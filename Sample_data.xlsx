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sta12\Desktop\"/>
    </mc:Choice>
  </mc:AlternateContent>
  <xr:revisionPtr revIDLastSave="0" documentId="13_ncr:1_{05EE235B-DF01-4C5E-A088-C186CD6D5FFC}" xr6:coauthVersionLast="47" xr6:coauthVersionMax="47" xr10:uidLastSave="{00000000-0000-0000-0000-000000000000}"/>
  <bookViews>
    <workbookView xWindow="-108" yWindow="-108" windowWidth="22308" windowHeight="13176" tabRatio="923" firstSheet="1" activeTab="2" xr2:uid="{00000000-000D-0000-FFFF-FFFF00000000}"/>
  </bookViews>
  <sheets>
    <sheet name="الاعدادات" sheetId="34" state="hidden" r:id="rId1"/>
    <sheet name="لوحة التحكم" sheetId="36" r:id="rId2"/>
    <sheet name="دفتر اليومية" sheetId="23" r:id="rId3"/>
    <sheet name="رصيد العملاء" sheetId="24" r:id="rId4"/>
    <sheet name="Dashboard" sheetId="32" r:id="rId5"/>
    <sheet name="⁠حسابات عملاء" sheetId="35" state="hidden" r:id="rId6"/>
    <sheet name="حركة المخزن" sheetId="27" r:id="rId7"/>
    <sheet name="المشتريات" sheetId="29" r:id="rId8"/>
    <sheet name="تحليل مبيعات" sheetId="18" r:id="rId9"/>
    <sheet name="نتائج الاعمال شهري" sheetId="30" state="hidden" r:id="rId10"/>
    <sheet name="قائمة عملاء - موردين" sheetId="21" state="hidden" r:id="rId11"/>
  </sheets>
  <definedNames>
    <definedName name="_xlnm._FilterDatabase" localSheetId="0" hidden="1">الاعدادات!$A$1:$B$366</definedName>
    <definedName name="_xlnm._FilterDatabase" localSheetId="8" hidden="1">'تحليل مبيعات'!$B$9:$M$425</definedName>
    <definedName name="_xlnm._FilterDatabase" localSheetId="2" hidden="1">'دفتر اليومية'!$B$5:$M$2172</definedName>
    <definedName name="_xlcn.WorksheetConnection_الوضعالماليللمحل.xlsxTable11" hidden="1">Table1[]</definedName>
    <definedName name="_xlcn.WorksheetConnection_دفتراليوميةB3L50001" hidden="1">'دفتر اليومية'!$B$5:$M$432</definedName>
  </definedNames>
  <calcPr calcId="191029"/>
  <pivotCaches>
    <pivotCache cacheId="1" r:id="rId12"/>
    <pivotCache cacheId="2" r:id="rId13"/>
    <pivotCache cacheId="10" r:id="rId1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دفتر اليومية!$B$3:$L$5000"/>
          <x15:modelTable id="Table1" name="Table1" connection="WorksheetConnection_الوضع المالي للمحل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5" l="1" a="1"/>
  <c r="A2" i="35" s="1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10" i="18"/>
  <c r="Q7" i="27" a="1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G2" i="29" a="1"/>
  <c r="G2" i="29" s="1"/>
  <c r="F2" i="29" a="1"/>
  <c r="F2" i="29" s="1"/>
  <c r="E2" i="29" a="1"/>
  <c r="E2" i="29" s="1"/>
  <c r="D2" i="29" a="1"/>
  <c r="D2" i="29" s="1"/>
  <c r="K434" i="23"/>
  <c r="M434" i="23" s="1"/>
  <c r="K435" i="23"/>
  <c r="M435" i="23" s="1"/>
  <c r="K436" i="23"/>
  <c r="M436" i="23" s="1"/>
  <c r="K437" i="23"/>
  <c r="M437" i="23" s="1"/>
  <c r="K438" i="23"/>
  <c r="M438" i="23" s="1"/>
  <c r="K439" i="23"/>
  <c r="M439" i="23" s="1"/>
  <c r="K440" i="23"/>
  <c r="M440" i="23" s="1"/>
  <c r="K441" i="23"/>
  <c r="M441" i="23" s="1"/>
  <c r="K442" i="23"/>
  <c r="M442" i="23" s="1"/>
  <c r="K443" i="23"/>
  <c r="M443" i="23" s="1"/>
  <c r="K444" i="23"/>
  <c r="M444" i="23" s="1"/>
  <c r="K445" i="23"/>
  <c r="M445" i="23" s="1"/>
  <c r="K446" i="23"/>
  <c r="M446" i="23" s="1"/>
  <c r="K447" i="23"/>
  <c r="M447" i="23" s="1"/>
  <c r="K448" i="23"/>
  <c r="M448" i="23" s="1"/>
  <c r="K449" i="23"/>
  <c r="M449" i="23" s="1"/>
  <c r="K450" i="23"/>
  <c r="M450" i="23" s="1"/>
  <c r="K451" i="23"/>
  <c r="M451" i="23" s="1"/>
  <c r="K452" i="23"/>
  <c r="M452" i="23" s="1"/>
  <c r="K453" i="23"/>
  <c r="M453" i="23" s="1"/>
  <c r="K454" i="23"/>
  <c r="M454" i="23" s="1"/>
  <c r="K455" i="23"/>
  <c r="M455" i="23" s="1"/>
  <c r="K456" i="23"/>
  <c r="M456" i="23" s="1"/>
  <c r="K457" i="23"/>
  <c r="M457" i="23" s="1"/>
  <c r="K458" i="23"/>
  <c r="M458" i="23" s="1"/>
  <c r="K459" i="23"/>
  <c r="M459" i="23" s="1"/>
  <c r="K460" i="23"/>
  <c r="M460" i="23" s="1"/>
  <c r="K461" i="23"/>
  <c r="M461" i="23" s="1"/>
  <c r="K462" i="23"/>
  <c r="M462" i="23" s="1"/>
  <c r="K463" i="23"/>
  <c r="M463" i="23" s="1"/>
  <c r="K464" i="23"/>
  <c r="M464" i="23" s="1"/>
  <c r="K465" i="23"/>
  <c r="M465" i="23" s="1"/>
  <c r="K466" i="23"/>
  <c r="M466" i="23" s="1"/>
  <c r="K467" i="23"/>
  <c r="M467" i="23" s="1"/>
  <c r="K468" i="23"/>
  <c r="M468" i="23" s="1"/>
  <c r="K469" i="23"/>
  <c r="M469" i="23" s="1"/>
  <c r="K470" i="23"/>
  <c r="M470" i="23" s="1"/>
  <c r="K471" i="23"/>
  <c r="M471" i="23" s="1"/>
  <c r="K472" i="23"/>
  <c r="M472" i="23" s="1"/>
  <c r="K473" i="23"/>
  <c r="M473" i="23" s="1"/>
  <c r="K474" i="23"/>
  <c r="M474" i="23" s="1"/>
  <c r="K475" i="23"/>
  <c r="M475" i="23" s="1"/>
  <c r="K476" i="23"/>
  <c r="M476" i="23" s="1"/>
  <c r="K477" i="23"/>
  <c r="M477" i="23" s="1"/>
  <c r="K478" i="23"/>
  <c r="M478" i="23" s="1"/>
  <c r="K479" i="23"/>
  <c r="M479" i="23" s="1"/>
  <c r="K480" i="23"/>
  <c r="M480" i="23" s="1"/>
  <c r="K481" i="23"/>
  <c r="M481" i="23" s="1"/>
  <c r="K482" i="23"/>
  <c r="M482" i="23" s="1"/>
  <c r="K483" i="23"/>
  <c r="M483" i="23" s="1"/>
  <c r="K484" i="23"/>
  <c r="M484" i="23" s="1"/>
  <c r="K485" i="23"/>
  <c r="M485" i="23" s="1"/>
  <c r="K486" i="23"/>
  <c r="M486" i="23" s="1"/>
  <c r="K487" i="23"/>
  <c r="M487" i="23" s="1"/>
  <c r="K488" i="23"/>
  <c r="M488" i="23" s="1"/>
  <c r="K489" i="23"/>
  <c r="M489" i="23" s="1"/>
  <c r="K490" i="23"/>
  <c r="M490" i="23" s="1"/>
  <c r="K491" i="23"/>
  <c r="M491" i="23" s="1"/>
  <c r="K492" i="23"/>
  <c r="M492" i="23" s="1"/>
  <c r="K493" i="23"/>
  <c r="M493" i="23" s="1"/>
  <c r="K494" i="23"/>
  <c r="M494" i="23" s="1"/>
  <c r="K495" i="23"/>
  <c r="M495" i="23" s="1"/>
  <c r="K496" i="23"/>
  <c r="M496" i="23" s="1"/>
  <c r="K497" i="23"/>
  <c r="M497" i="23" s="1"/>
  <c r="K498" i="23"/>
  <c r="M498" i="23" s="1"/>
  <c r="K499" i="23"/>
  <c r="M499" i="23" s="1"/>
  <c r="K500" i="23"/>
  <c r="M500" i="23" s="1"/>
  <c r="K501" i="23"/>
  <c r="M501" i="23" s="1"/>
  <c r="K502" i="23"/>
  <c r="M502" i="23" s="1"/>
  <c r="K503" i="23"/>
  <c r="M503" i="23" s="1"/>
  <c r="K504" i="23"/>
  <c r="M504" i="23" s="1"/>
  <c r="K505" i="23"/>
  <c r="M505" i="23" s="1"/>
  <c r="K506" i="23"/>
  <c r="M506" i="23" s="1"/>
  <c r="K507" i="23"/>
  <c r="M507" i="23" s="1"/>
  <c r="K508" i="23"/>
  <c r="M508" i="23" s="1"/>
  <c r="K509" i="23"/>
  <c r="M509" i="23" s="1"/>
  <c r="K510" i="23"/>
  <c r="M510" i="23" s="1"/>
  <c r="K511" i="23"/>
  <c r="M511" i="23" s="1"/>
  <c r="K512" i="23"/>
  <c r="M512" i="23" s="1"/>
  <c r="K513" i="23"/>
  <c r="M513" i="23" s="1"/>
  <c r="K514" i="23"/>
  <c r="M514" i="23" s="1"/>
  <c r="K515" i="23"/>
  <c r="M515" i="23" s="1"/>
  <c r="K516" i="23"/>
  <c r="M516" i="23" s="1"/>
  <c r="K517" i="23"/>
  <c r="M517" i="23" s="1"/>
  <c r="K518" i="23"/>
  <c r="M518" i="23" s="1"/>
  <c r="K519" i="23"/>
  <c r="M519" i="23" s="1"/>
  <c r="K520" i="23"/>
  <c r="M520" i="23" s="1"/>
  <c r="K521" i="23"/>
  <c r="M521" i="23" s="1"/>
  <c r="K522" i="23"/>
  <c r="M522" i="23" s="1"/>
  <c r="K523" i="23"/>
  <c r="M523" i="23" s="1"/>
  <c r="K524" i="23"/>
  <c r="M524" i="23" s="1"/>
  <c r="K525" i="23"/>
  <c r="M525" i="23" s="1"/>
  <c r="K526" i="23"/>
  <c r="M526" i="23" s="1"/>
  <c r="K527" i="23"/>
  <c r="M527" i="23" s="1"/>
  <c r="K528" i="23"/>
  <c r="M528" i="23" s="1"/>
  <c r="K529" i="23"/>
  <c r="M529" i="23" s="1"/>
  <c r="K530" i="23"/>
  <c r="M530" i="23" s="1"/>
  <c r="K531" i="23"/>
  <c r="M531" i="23" s="1"/>
  <c r="K532" i="23"/>
  <c r="M532" i="23" s="1"/>
  <c r="K533" i="23"/>
  <c r="M533" i="23" s="1"/>
  <c r="K534" i="23"/>
  <c r="M534" i="23" s="1"/>
  <c r="K535" i="23"/>
  <c r="M535" i="23" s="1"/>
  <c r="K536" i="23"/>
  <c r="M536" i="23" s="1"/>
  <c r="K537" i="23"/>
  <c r="M537" i="23" s="1"/>
  <c r="K538" i="23"/>
  <c r="M538" i="23" s="1"/>
  <c r="K539" i="23"/>
  <c r="M539" i="23" s="1"/>
  <c r="K540" i="23"/>
  <c r="M540" i="23" s="1"/>
  <c r="K541" i="23"/>
  <c r="M541" i="23" s="1"/>
  <c r="K542" i="23"/>
  <c r="M542" i="23" s="1"/>
  <c r="K543" i="23"/>
  <c r="M543" i="23" s="1"/>
  <c r="K544" i="23"/>
  <c r="M544" i="23" s="1"/>
  <c r="K545" i="23"/>
  <c r="M545" i="23" s="1"/>
  <c r="K546" i="23"/>
  <c r="M546" i="23" s="1"/>
  <c r="K547" i="23"/>
  <c r="M547" i="23" s="1"/>
  <c r="K548" i="23"/>
  <c r="M548" i="23" s="1"/>
  <c r="K549" i="23"/>
  <c r="M549" i="23" s="1"/>
  <c r="K550" i="23"/>
  <c r="M550" i="23" s="1"/>
  <c r="K551" i="23"/>
  <c r="M551" i="23" s="1"/>
  <c r="K552" i="23"/>
  <c r="M552" i="23" s="1"/>
  <c r="K553" i="23"/>
  <c r="M553" i="23" s="1"/>
  <c r="K554" i="23"/>
  <c r="M554" i="23" s="1"/>
  <c r="K555" i="23"/>
  <c r="M555" i="23" s="1"/>
  <c r="K556" i="23"/>
  <c r="M556" i="23" s="1"/>
  <c r="K557" i="23"/>
  <c r="M557" i="23" s="1"/>
  <c r="K558" i="23"/>
  <c r="M558" i="23" s="1"/>
  <c r="K559" i="23"/>
  <c r="M559" i="23" s="1"/>
  <c r="K560" i="23"/>
  <c r="M560" i="23" s="1"/>
  <c r="K561" i="23"/>
  <c r="M561" i="23" s="1"/>
  <c r="K562" i="23"/>
  <c r="M562" i="23" s="1"/>
  <c r="K563" i="23"/>
  <c r="M563" i="23" s="1"/>
  <c r="K564" i="23"/>
  <c r="M564" i="23" s="1"/>
  <c r="K565" i="23"/>
  <c r="M565" i="23" s="1"/>
  <c r="K566" i="23"/>
  <c r="M566" i="23" s="1"/>
  <c r="K567" i="23"/>
  <c r="M567" i="23" s="1"/>
  <c r="K568" i="23"/>
  <c r="M568" i="23" s="1"/>
  <c r="K569" i="23"/>
  <c r="M569" i="23" s="1"/>
  <c r="K570" i="23"/>
  <c r="M570" i="23" s="1"/>
  <c r="K571" i="23"/>
  <c r="M571" i="23" s="1"/>
  <c r="K572" i="23"/>
  <c r="M572" i="23" s="1"/>
  <c r="K573" i="23"/>
  <c r="M573" i="23" s="1"/>
  <c r="K574" i="23"/>
  <c r="M574" i="23" s="1"/>
  <c r="K575" i="23"/>
  <c r="M575" i="23" s="1"/>
  <c r="K576" i="23"/>
  <c r="M576" i="23" s="1"/>
  <c r="K577" i="23"/>
  <c r="M577" i="23" s="1"/>
  <c r="K578" i="23"/>
  <c r="M578" i="23" s="1"/>
  <c r="K579" i="23"/>
  <c r="M579" i="23" s="1"/>
  <c r="K580" i="23"/>
  <c r="M580" i="23" s="1"/>
  <c r="K581" i="23"/>
  <c r="M581" i="23" s="1"/>
  <c r="K582" i="23"/>
  <c r="M582" i="23" s="1"/>
  <c r="K583" i="23"/>
  <c r="M583" i="23" s="1"/>
  <c r="K584" i="23"/>
  <c r="M584" i="23" s="1"/>
  <c r="K585" i="23"/>
  <c r="M585" i="23" s="1"/>
  <c r="K586" i="23"/>
  <c r="M586" i="23" s="1"/>
  <c r="K587" i="23"/>
  <c r="M587" i="23" s="1"/>
  <c r="K588" i="23"/>
  <c r="M588" i="23" s="1"/>
  <c r="K589" i="23"/>
  <c r="M589" i="23" s="1"/>
  <c r="K590" i="23"/>
  <c r="M590" i="23" s="1"/>
  <c r="K591" i="23"/>
  <c r="M591" i="23" s="1"/>
  <c r="K592" i="23"/>
  <c r="M592" i="23" s="1"/>
  <c r="K593" i="23"/>
  <c r="M593" i="23" s="1"/>
  <c r="K594" i="23"/>
  <c r="M594" i="23" s="1"/>
  <c r="K595" i="23"/>
  <c r="M595" i="23" s="1"/>
  <c r="K596" i="23"/>
  <c r="M596" i="23" s="1"/>
  <c r="K597" i="23"/>
  <c r="M597" i="23" s="1"/>
  <c r="K598" i="23"/>
  <c r="M598" i="23" s="1"/>
  <c r="K599" i="23"/>
  <c r="M599" i="23" s="1"/>
  <c r="K600" i="23"/>
  <c r="M600" i="23" s="1"/>
  <c r="K601" i="23"/>
  <c r="M601" i="23" s="1"/>
  <c r="K602" i="23"/>
  <c r="M602" i="23" s="1"/>
  <c r="K603" i="23"/>
  <c r="M603" i="23" s="1"/>
  <c r="K604" i="23"/>
  <c r="M604" i="23" s="1"/>
  <c r="K605" i="23"/>
  <c r="M605" i="23" s="1"/>
  <c r="K606" i="23"/>
  <c r="M606" i="23" s="1"/>
  <c r="K607" i="23"/>
  <c r="M607" i="23" s="1"/>
  <c r="K608" i="23"/>
  <c r="M608" i="23" s="1"/>
  <c r="K609" i="23"/>
  <c r="M609" i="23" s="1"/>
  <c r="K610" i="23"/>
  <c r="M610" i="23" s="1"/>
  <c r="K611" i="23"/>
  <c r="M611" i="23" s="1"/>
  <c r="K612" i="23"/>
  <c r="M612" i="23" s="1"/>
  <c r="K613" i="23"/>
  <c r="M613" i="23" s="1"/>
  <c r="K614" i="23"/>
  <c r="M614" i="23" s="1"/>
  <c r="K615" i="23"/>
  <c r="M615" i="23" s="1"/>
  <c r="K616" i="23"/>
  <c r="M616" i="23" s="1"/>
  <c r="K617" i="23"/>
  <c r="M617" i="23" s="1"/>
  <c r="K618" i="23"/>
  <c r="M618" i="23" s="1"/>
  <c r="K619" i="23"/>
  <c r="M619" i="23" s="1"/>
  <c r="K620" i="23"/>
  <c r="M620" i="23" s="1"/>
  <c r="K621" i="23"/>
  <c r="M621" i="23" s="1"/>
  <c r="K622" i="23"/>
  <c r="M622" i="23" s="1"/>
  <c r="K623" i="23"/>
  <c r="M623" i="23" s="1"/>
  <c r="K624" i="23"/>
  <c r="M624" i="23" s="1"/>
  <c r="K625" i="23"/>
  <c r="M625" i="23" s="1"/>
  <c r="K626" i="23"/>
  <c r="M626" i="23" s="1"/>
  <c r="K627" i="23"/>
  <c r="M627" i="23" s="1"/>
  <c r="K628" i="23"/>
  <c r="M628" i="23" s="1"/>
  <c r="K629" i="23"/>
  <c r="M629" i="23" s="1"/>
  <c r="K630" i="23"/>
  <c r="M630" i="23" s="1"/>
  <c r="K631" i="23"/>
  <c r="M631" i="23" s="1"/>
  <c r="K632" i="23"/>
  <c r="M632" i="23" s="1"/>
  <c r="K633" i="23"/>
  <c r="M633" i="23" s="1"/>
  <c r="K634" i="23"/>
  <c r="M634" i="23" s="1"/>
  <c r="K635" i="23"/>
  <c r="M635" i="23" s="1"/>
  <c r="K636" i="23"/>
  <c r="M636" i="23" s="1"/>
  <c r="K637" i="23"/>
  <c r="M637" i="23" s="1"/>
  <c r="K638" i="23"/>
  <c r="M638" i="23" s="1"/>
  <c r="K639" i="23"/>
  <c r="M639" i="23" s="1"/>
  <c r="K640" i="23"/>
  <c r="M640" i="23" s="1"/>
  <c r="K641" i="23"/>
  <c r="M641" i="23" s="1"/>
  <c r="K642" i="23"/>
  <c r="M642" i="23" s="1"/>
  <c r="K643" i="23"/>
  <c r="M643" i="23" s="1"/>
  <c r="K644" i="23"/>
  <c r="M644" i="23" s="1"/>
  <c r="K645" i="23"/>
  <c r="M645" i="23" s="1"/>
  <c r="K646" i="23"/>
  <c r="M646" i="23" s="1"/>
  <c r="K647" i="23"/>
  <c r="M647" i="23" s="1"/>
  <c r="K648" i="23"/>
  <c r="M648" i="23" s="1"/>
  <c r="K649" i="23"/>
  <c r="M649" i="23" s="1"/>
  <c r="K650" i="23"/>
  <c r="M650" i="23" s="1"/>
  <c r="K651" i="23"/>
  <c r="M651" i="23" s="1"/>
  <c r="K652" i="23"/>
  <c r="M652" i="23" s="1"/>
  <c r="K653" i="23"/>
  <c r="M653" i="23" s="1"/>
  <c r="K654" i="23"/>
  <c r="M654" i="23" s="1"/>
  <c r="K655" i="23"/>
  <c r="M655" i="23" s="1"/>
  <c r="K656" i="23"/>
  <c r="M656" i="23" s="1"/>
  <c r="K657" i="23"/>
  <c r="M657" i="23" s="1"/>
  <c r="K658" i="23"/>
  <c r="M658" i="23" s="1"/>
  <c r="K659" i="23"/>
  <c r="M659" i="23" s="1"/>
  <c r="K660" i="23"/>
  <c r="M660" i="23" s="1"/>
  <c r="K661" i="23"/>
  <c r="M661" i="23" s="1"/>
  <c r="K662" i="23"/>
  <c r="M662" i="23" s="1"/>
  <c r="K663" i="23"/>
  <c r="M663" i="23" s="1"/>
  <c r="K664" i="23"/>
  <c r="M664" i="23" s="1"/>
  <c r="K665" i="23"/>
  <c r="M665" i="23" s="1"/>
  <c r="K666" i="23"/>
  <c r="M666" i="23" s="1"/>
  <c r="K667" i="23"/>
  <c r="M667" i="23" s="1"/>
  <c r="K668" i="23"/>
  <c r="M668" i="23" s="1"/>
  <c r="K669" i="23"/>
  <c r="M669" i="23" s="1"/>
  <c r="K670" i="23"/>
  <c r="M670" i="23" s="1"/>
  <c r="K671" i="23"/>
  <c r="M671" i="23" s="1"/>
  <c r="K672" i="23"/>
  <c r="M672" i="23" s="1"/>
  <c r="K673" i="23"/>
  <c r="M673" i="23" s="1"/>
  <c r="K674" i="23"/>
  <c r="M674" i="23" s="1"/>
  <c r="K675" i="23"/>
  <c r="M675" i="23" s="1"/>
  <c r="K676" i="23"/>
  <c r="M676" i="23" s="1"/>
  <c r="K677" i="23"/>
  <c r="M677" i="23" s="1"/>
  <c r="K678" i="23"/>
  <c r="M678" i="23" s="1"/>
  <c r="K679" i="23"/>
  <c r="M679" i="23" s="1"/>
  <c r="K680" i="23"/>
  <c r="M680" i="23" s="1"/>
  <c r="K681" i="23"/>
  <c r="M681" i="23" s="1"/>
  <c r="K682" i="23"/>
  <c r="M682" i="23" s="1"/>
  <c r="K683" i="23"/>
  <c r="M683" i="23" s="1"/>
  <c r="K684" i="23"/>
  <c r="M684" i="23" s="1"/>
  <c r="K685" i="23"/>
  <c r="M685" i="23" s="1"/>
  <c r="K686" i="23"/>
  <c r="M686" i="23" s="1"/>
  <c r="K687" i="23"/>
  <c r="M687" i="23" s="1"/>
  <c r="K688" i="23"/>
  <c r="M688" i="23" s="1"/>
  <c r="K689" i="23"/>
  <c r="M689" i="23" s="1"/>
  <c r="K690" i="23"/>
  <c r="M690" i="23" s="1"/>
  <c r="K691" i="23"/>
  <c r="M691" i="23" s="1"/>
  <c r="K692" i="23"/>
  <c r="M692" i="23" s="1"/>
  <c r="K693" i="23"/>
  <c r="M693" i="23" s="1"/>
  <c r="K694" i="23"/>
  <c r="M694" i="23" s="1"/>
  <c r="K695" i="23"/>
  <c r="M695" i="23" s="1"/>
  <c r="K696" i="23"/>
  <c r="M696" i="23" s="1"/>
  <c r="K697" i="23"/>
  <c r="M697" i="23" s="1"/>
  <c r="K698" i="23"/>
  <c r="M698" i="23" s="1"/>
  <c r="K699" i="23"/>
  <c r="M699" i="23" s="1"/>
  <c r="K700" i="23"/>
  <c r="M700" i="23" s="1"/>
  <c r="K701" i="23"/>
  <c r="M701" i="23" s="1"/>
  <c r="K702" i="23"/>
  <c r="M702" i="23" s="1"/>
  <c r="K703" i="23"/>
  <c r="M703" i="23" s="1"/>
  <c r="K704" i="23"/>
  <c r="M704" i="23" s="1"/>
  <c r="K705" i="23"/>
  <c r="M705" i="23" s="1"/>
  <c r="K706" i="23"/>
  <c r="M706" i="23" s="1"/>
  <c r="K707" i="23"/>
  <c r="M707" i="23" s="1"/>
  <c r="K708" i="23"/>
  <c r="M708" i="23" s="1"/>
  <c r="K709" i="23"/>
  <c r="M709" i="23" s="1"/>
  <c r="K710" i="23"/>
  <c r="M710" i="23" s="1"/>
  <c r="K711" i="23"/>
  <c r="M711" i="23" s="1"/>
  <c r="K712" i="23"/>
  <c r="M712" i="23" s="1"/>
  <c r="K713" i="23"/>
  <c r="M713" i="23" s="1"/>
  <c r="K714" i="23"/>
  <c r="M714" i="23" s="1"/>
  <c r="K715" i="23"/>
  <c r="M715" i="23" s="1"/>
  <c r="K716" i="23"/>
  <c r="M716" i="23" s="1"/>
  <c r="K717" i="23"/>
  <c r="M717" i="23" s="1"/>
  <c r="K718" i="23"/>
  <c r="M718" i="23" s="1"/>
  <c r="K719" i="23"/>
  <c r="M719" i="23" s="1"/>
  <c r="K720" i="23"/>
  <c r="M720" i="23" s="1"/>
  <c r="K721" i="23"/>
  <c r="M721" i="23" s="1"/>
  <c r="K722" i="23"/>
  <c r="M722" i="23" s="1"/>
  <c r="K723" i="23"/>
  <c r="M723" i="23" s="1"/>
  <c r="K724" i="23"/>
  <c r="M724" i="23" s="1"/>
  <c r="K725" i="23"/>
  <c r="M725" i="23" s="1"/>
  <c r="K726" i="23"/>
  <c r="M726" i="23" s="1"/>
  <c r="K727" i="23"/>
  <c r="M727" i="23" s="1"/>
  <c r="K728" i="23"/>
  <c r="M728" i="23" s="1"/>
  <c r="K729" i="23"/>
  <c r="M729" i="23" s="1"/>
  <c r="K730" i="23"/>
  <c r="M730" i="23" s="1"/>
  <c r="K731" i="23"/>
  <c r="M731" i="23" s="1"/>
  <c r="K732" i="23"/>
  <c r="M732" i="23" s="1"/>
  <c r="K733" i="23"/>
  <c r="M733" i="23" s="1"/>
  <c r="K734" i="23"/>
  <c r="M734" i="23" s="1"/>
  <c r="K735" i="23"/>
  <c r="M735" i="23" s="1"/>
  <c r="K736" i="23"/>
  <c r="M736" i="23" s="1"/>
  <c r="K737" i="23"/>
  <c r="M737" i="23" s="1"/>
  <c r="K738" i="23"/>
  <c r="M738" i="23" s="1"/>
  <c r="K739" i="23"/>
  <c r="M739" i="23" s="1"/>
  <c r="K740" i="23"/>
  <c r="M740" i="23" s="1"/>
  <c r="K741" i="23"/>
  <c r="M741" i="23" s="1"/>
  <c r="K742" i="23"/>
  <c r="M742" i="23" s="1"/>
  <c r="K743" i="23"/>
  <c r="M743" i="23" s="1"/>
  <c r="K744" i="23"/>
  <c r="M744" i="23" s="1"/>
  <c r="K745" i="23"/>
  <c r="M745" i="23" s="1"/>
  <c r="K746" i="23"/>
  <c r="M746" i="23" s="1"/>
  <c r="K747" i="23"/>
  <c r="M747" i="23" s="1"/>
  <c r="K748" i="23"/>
  <c r="M748" i="23" s="1"/>
  <c r="K749" i="23"/>
  <c r="M749" i="23" s="1"/>
  <c r="K750" i="23"/>
  <c r="M750" i="23" s="1"/>
  <c r="K751" i="23"/>
  <c r="M751" i="23" s="1"/>
  <c r="K752" i="23"/>
  <c r="M752" i="23" s="1"/>
  <c r="K753" i="23"/>
  <c r="M753" i="23" s="1"/>
  <c r="K754" i="23"/>
  <c r="M754" i="23" s="1"/>
  <c r="K755" i="23"/>
  <c r="M755" i="23" s="1"/>
  <c r="K756" i="23"/>
  <c r="M756" i="23" s="1"/>
  <c r="K757" i="23"/>
  <c r="M757" i="23" s="1"/>
  <c r="K758" i="23"/>
  <c r="M758" i="23" s="1"/>
  <c r="K759" i="23"/>
  <c r="M759" i="23" s="1"/>
  <c r="K760" i="23"/>
  <c r="M760" i="23" s="1"/>
  <c r="K761" i="23"/>
  <c r="M761" i="23" s="1"/>
  <c r="K762" i="23"/>
  <c r="M762" i="23" s="1"/>
  <c r="K763" i="23"/>
  <c r="M763" i="23" s="1"/>
  <c r="K764" i="23"/>
  <c r="M764" i="23" s="1"/>
  <c r="K765" i="23"/>
  <c r="M765" i="23" s="1"/>
  <c r="K766" i="23"/>
  <c r="M766" i="23" s="1"/>
  <c r="K767" i="23"/>
  <c r="M767" i="23" s="1"/>
  <c r="K768" i="23"/>
  <c r="M768" i="23" s="1"/>
  <c r="K769" i="23"/>
  <c r="M769" i="23" s="1"/>
  <c r="K770" i="23"/>
  <c r="M770" i="23" s="1"/>
  <c r="K771" i="23"/>
  <c r="M771" i="23" s="1"/>
  <c r="K772" i="23"/>
  <c r="M772" i="23" s="1"/>
  <c r="K773" i="23"/>
  <c r="M773" i="23" s="1"/>
  <c r="K774" i="23"/>
  <c r="M774" i="23" s="1"/>
  <c r="K775" i="23"/>
  <c r="M775" i="23" s="1"/>
  <c r="K776" i="23"/>
  <c r="M776" i="23" s="1"/>
  <c r="K777" i="23"/>
  <c r="M777" i="23" s="1"/>
  <c r="K778" i="23"/>
  <c r="M778" i="23" s="1"/>
  <c r="K779" i="23"/>
  <c r="M779" i="23" s="1"/>
  <c r="K780" i="23"/>
  <c r="M780" i="23" s="1"/>
  <c r="K781" i="23"/>
  <c r="M781" i="23" s="1"/>
  <c r="K782" i="23"/>
  <c r="M782" i="23" s="1"/>
  <c r="K783" i="23"/>
  <c r="M783" i="23" s="1"/>
  <c r="K784" i="23"/>
  <c r="M784" i="23" s="1"/>
  <c r="K785" i="23"/>
  <c r="M785" i="23" s="1"/>
  <c r="K786" i="23"/>
  <c r="M786" i="23" s="1"/>
  <c r="K787" i="23"/>
  <c r="M787" i="23" s="1"/>
  <c r="K788" i="23"/>
  <c r="M788" i="23" s="1"/>
  <c r="K789" i="23"/>
  <c r="M789" i="23" s="1"/>
  <c r="K790" i="23"/>
  <c r="M790" i="23" s="1"/>
  <c r="K791" i="23"/>
  <c r="M791" i="23" s="1"/>
  <c r="K792" i="23"/>
  <c r="M792" i="23" s="1"/>
  <c r="K793" i="23"/>
  <c r="M793" i="23" s="1"/>
  <c r="K794" i="23"/>
  <c r="M794" i="23" s="1"/>
  <c r="K795" i="23"/>
  <c r="M795" i="23" s="1"/>
  <c r="K796" i="23"/>
  <c r="M796" i="23" s="1"/>
  <c r="K797" i="23"/>
  <c r="M797" i="23" s="1"/>
  <c r="K798" i="23"/>
  <c r="M798" i="23" s="1"/>
  <c r="K799" i="23"/>
  <c r="M799" i="23" s="1"/>
  <c r="K800" i="23"/>
  <c r="M800" i="23" s="1"/>
  <c r="K801" i="23"/>
  <c r="M801" i="23" s="1"/>
  <c r="K802" i="23"/>
  <c r="M802" i="23" s="1"/>
  <c r="K803" i="23"/>
  <c r="M803" i="23" s="1"/>
  <c r="K804" i="23"/>
  <c r="M804" i="23" s="1"/>
  <c r="K805" i="23"/>
  <c r="M805" i="23" s="1"/>
  <c r="K806" i="23"/>
  <c r="M806" i="23" s="1"/>
  <c r="K807" i="23"/>
  <c r="M807" i="23" s="1"/>
  <c r="K808" i="23"/>
  <c r="M808" i="23" s="1"/>
  <c r="K809" i="23"/>
  <c r="M809" i="23" s="1"/>
  <c r="K810" i="23"/>
  <c r="M810" i="23" s="1"/>
  <c r="K811" i="23"/>
  <c r="M811" i="23" s="1"/>
  <c r="K812" i="23"/>
  <c r="M812" i="23" s="1"/>
  <c r="K813" i="23"/>
  <c r="M813" i="23" s="1"/>
  <c r="K814" i="23"/>
  <c r="M814" i="23" s="1"/>
  <c r="K815" i="23"/>
  <c r="M815" i="23" s="1"/>
  <c r="K816" i="23"/>
  <c r="M816" i="23" s="1"/>
  <c r="K817" i="23"/>
  <c r="M817" i="23" s="1"/>
  <c r="K818" i="23"/>
  <c r="M818" i="23" s="1"/>
  <c r="K819" i="23"/>
  <c r="M819" i="23" s="1"/>
  <c r="K820" i="23"/>
  <c r="M820" i="23" s="1"/>
  <c r="K821" i="23"/>
  <c r="M821" i="23" s="1"/>
  <c r="K822" i="23"/>
  <c r="M822" i="23" s="1"/>
  <c r="K823" i="23"/>
  <c r="M823" i="23" s="1"/>
  <c r="K824" i="23"/>
  <c r="M824" i="23" s="1"/>
  <c r="K825" i="23"/>
  <c r="M825" i="23" s="1"/>
  <c r="K826" i="23"/>
  <c r="M826" i="23" s="1"/>
  <c r="K827" i="23"/>
  <c r="M827" i="23" s="1"/>
  <c r="K828" i="23"/>
  <c r="M828" i="23" s="1"/>
  <c r="K829" i="23"/>
  <c r="M829" i="23" s="1"/>
  <c r="K830" i="23"/>
  <c r="M830" i="23" s="1"/>
  <c r="K831" i="23"/>
  <c r="M831" i="23" s="1"/>
  <c r="K832" i="23"/>
  <c r="M832" i="23" s="1"/>
  <c r="K833" i="23"/>
  <c r="M833" i="23" s="1"/>
  <c r="K834" i="23"/>
  <c r="M834" i="23" s="1"/>
  <c r="K835" i="23"/>
  <c r="M835" i="23" s="1"/>
  <c r="K836" i="23"/>
  <c r="M836" i="23" s="1"/>
  <c r="K837" i="23"/>
  <c r="M837" i="23" s="1"/>
  <c r="K838" i="23"/>
  <c r="M838" i="23" s="1"/>
  <c r="K839" i="23"/>
  <c r="M839" i="23" s="1"/>
  <c r="K840" i="23"/>
  <c r="M840" i="23" s="1"/>
  <c r="K841" i="23"/>
  <c r="M841" i="23" s="1"/>
  <c r="K842" i="23"/>
  <c r="M842" i="23" s="1"/>
  <c r="K843" i="23"/>
  <c r="M843" i="23" s="1"/>
  <c r="K844" i="23"/>
  <c r="M844" i="23" s="1"/>
  <c r="K845" i="23"/>
  <c r="M845" i="23" s="1"/>
  <c r="K846" i="23"/>
  <c r="M846" i="23" s="1"/>
  <c r="K847" i="23"/>
  <c r="M847" i="23" s="1"/>
  <c r="K848" i="23"/>
  <c r="M848" i="23" s="1"/>
  <c r="K849" i="23"/>
  <c r="M849" i="23" s="1"/>
  <c r="K850" i="23"/>
  <c r="M850" i="23" s="1"/>
  <c r="K851" i="23"/>
  <c r="M851" i="23" s="1"/>
  <c r="K852" i="23"/>
  <c r="M852" i="23" s="1"/>
  <c r="K853" i="23"/>
  <c r="M853" i="23" s="1"/>
  <c r="K854" i="23"/>
  <c r="M854" i="23" s="1"/>
  <c r="K855" i="23"/>
  <c r="M855" i="23" s="1"/>
  <c r="K856" i="23"/>
  <c r="M856" i="23" s="1"/>
  <c r="K857" i="23"/>
  <c r="M857" i="23" s="1"/>
  <c r="K858" i="23"/>
  <c r="M858" i="23" s="1"/>
  <c r="K859" i="23"/>
  <c r="M859" i="23" s="1"/>
  <c r="K860" i="23"/>
  <c r="M860" i="23" s="1"/>
  <c r="K861" i="23"/>
  <c r="M861" i="23" s="1"/>
  <c r="K862" i="23"/>
  <c r="M862" i="23" s="1"/>
  <c r="K863" i="23"/>
  <c r="M863" i="23" s="1"/>
  <c r="K864" i="23"/>
  <c r="M864" i="23" s="1"/>
  <c r="K865" i="23"/>
  <c r="M865" i="23" s="1"/>
  <c r="K866" i="23"/>
  <c r="M866" i="23" s="1"/>
  <c r="K867" i="23"/>
  <c r="M867" i="23" s="1"/>
  <c r="K868" i="23"/>
  <c r="M868" i="23" s="1"/>
  <c r="K869" i="23"/>
  <c r="M869" i="23" s="1"/>
  <c r="K870" i="23"/>
  <c r="M870" i="23" s="1"/>
  <c r="K871" i="23"/>
  <c r="M871" i="23" s="1"/>
  <c r="K872" i="23"/>
  <c r="M872" i="23" s="1"/>
  <c r="K873" i="23"/>
  <c r="M873" i="23" s="1"/>
  <c r="K874" i="23"/>
  <c r="M874" i="23" s="1"/>
  <c r="K875" i="23"/>
  <c r="M875" i="23" s="1"/>
  <c r="K876" i="23"/>
  <c r="M876" i="23" s="1"/>
  <c r="K877" i="23"/>
  <c r="M877" i="23" s="1"/>
  <c r="K878" i="23"/>
  <c r="M878" i="23" s="1"/>
  <c r="K879" i="23"/>
  <c r="M879" i="23" s="1"/>
  <c r="K880" i="23"/>
  <c r="M880" i="23" s="1"/>
  <c r="K881" i="23"/>
  <c r="M881" i="23" s="1"/>
  <c r="K882" i="23"/>
  <c r="M882" i="23" s="1"/>
  <c r="K883" i="23"/>
  <c r="M883" i="23" s="1"/>
  <c r="K884" i="23"/>
  <c r="M884" i="23" s="1"/>
  <c r="K885" i="23"/>
  <c r="M885" i="23" s="1"/>
  <c r="K886" i="23"/>
  <c r="M886" i="23" s="1"/>
  <c r="K887" i="23"/>
  <c r="M887" i="23" s="1"/>
  <c r="K888" i="23"/>
  <c r="M888" i="23" s="1"/>
  <c r="K889" i="23"/>
  <c r="M889" i="23" s="1"/>
  <c r="K890" i="23"/>
  <c r="M890" i="23" s="1"/>
  <c r="K891" i="23"/>
  <c r="M891" i="23" s="1"/>
  <c r="K892" i="23"/>
  <c r="M892" i="23" s="1"/>
  <c r="K893" i="23"/>
  <c r="M893" i="23" s="1"/>
  <c r="K894" i="23"/>
  <c r="M894" i="23" s="1"/>
  <c r="K895" i="23"/>
  <c r="M895" i="23" s="1"/>
  <c r="K896" i="23"/>
  <c r="M896" i="23" s="1"/>
  <c r="K897" i="23"/>
  <c r="M897" i="23" s="1"/>
  <c r="K898" i="23"/>
  <c r="M898" i="23" s="1"/>
  <c r="K899" i="23"/>
  <c r="M899" i="23" s="1"/>
  <c r="K900" i="23"/>
  <c r="M900" i="23" s="1"/>
  <c r="K901" i="23"/>
  <c r="M901" i="23" s="1"/>
  <c r="K902" i="23"/>
  <c r="M902" i="23" s="1"/>
  <c r="K903" i="23"/>
  <c r="M903" i="23" s="1"/>
  <c r="K904" i="23"/>
  <c r="M904" i="23" s="1"/>
  <c r="K905" i="23"/>
  <c r="M905" i="23" s="1"/>
  <c r="K906" i="23"/>
  <c r="M906" i="23" s="1"/>
  <c r="K907" i="23"/>
  <c r="M907" i="23" s="1"/>
  <c r="K908" i="23"/>
  <c r="M908" i="23" s="1"/>
  <c r="K909" i="23"/>
  <c r="M909" i="23" s="1"/>
  <c r="K910" i="23"/>
  <c r="M910" i="23" s="1"/>
  <c r="K911" i="23"/>
  <c r="M911" i="23" s="1"/>
  <c r="K912" i="23"/>
  <c r="M912" i="23" s="1"/>
  <c r="K913" i="23"/>
  <c r="M913" i="23" s="1"/>
  <c r="K914" i="23"/>
  <c r="M914" i="23" s="1"/>
  <c r="K915" i="23"/>
  <c r="M915" i="23" s="1"/>
  <c r="K916" i="23"/>
  <c r="M916" i="23" s="1"/>
  <c r="K917" i="23"/>
  <c r="M917" i="23" s="1"/>
  <c r="K918" i="23"/>
  <c r="M918" i="23" s="1"/>
  <c r="K919" i="23"/>
  <c r="M919" i="23" s="1"/>
  <c r="K920" i="23"/>
  <c r="M920" i="23" s="1"/>
  <c r="K921" i="23"/>
  <c r="M921" i="23" s="1"/>
  <c r="K922" i="23"/>
  <c r="M922" i="23" s="1"/>
  <c r="K923" i="23"/>
  <c r="M923" i="23" s="1"/>
  <c r="K924" i="23"/>
  <c r="M924" i="23" s="1"/>
  <c r="K925" i="23"/>
  <c r="M925" i="23" s="1"/>
  <c r="K926" i="23"/>
  <c r="M926" i="23" s="1"/>
  <c r="K927" i="23"/>
  <c r="M927" i="23" s="1"/>
  <c r="K928" i="23"/>
  <c r="M928" i="23" s="1"/>
  <c r="K929" i="23"/>
  <c r="M929" i="23" s="1"/>
  <c r="K930" i="23"/>
  <c r="M930" i="23" s="1"/>
  <c r="K931" i="23"/>
  <c r="M931" i="23" s="1"/>
  <c r="K932" i="23"/>
  <c r="M932" i="23" s="1"/>
  <c r="K933" i="23"/>
  <c r="M933" i="23" s="1"/>
  <c r="K934" i="23"/>
  <c r="M934" i="23" s="1"/>
  <c r="K935" i="23"/>
  <c r="M935" i="23" s="1"/>
  <c r="K936" i="23"/>
  <c r="M936" i="23" s="1"/>
  <c r="K937" i="23"/>
  <c r="M937" i="23" s="1"/>
  <c r="K938" i="23"/>
  <c r="M938" i="23" s="1"/>
  <c r="K939" i="23"/>
  <c r="M939" i="23" s="1"/>
  <c r="K940" i="23"/>
  <c r="M940" i="23" s="1"/>
  <c r="K941" i="23"/>
  <c r="M941" i="23" s="1"/>
  <c r="K942" i="23"/>
  <c r="M942" i="23" s="1"/>
  <c r="K943" i="23"/>
  <c r="M943" i="23" s="1"/>
  <c r="K944" i="23"/>
  <c r="M944" i="23" s="1"/>
  <c r="K945" i="23"/>
  <c r="M945" i="23" s="1"/>
  <c r="K946" i="23"/>
  <c r="M946" i="23" s="1"/>
  <c r="K947" i="23"/>
  <c r="M947" i="23" s="1"/>
  <c r="K948" i="23"/>
  <c r="M948" i="23" s="1"/>
  <c r="K949" i="23"/>
  <c r="M949" i="23" s="1"/>
  <c r="K950" i="23"/>
  <c r="M950" i="23" s="1"/>
  <c r="K951" i="23"/>
  <c r="M951" i="23" s="1"/>
  <c r="K952" i="23"/>
  <c r="M952" i="23" s="1"/>
  <c r="K953" i="23"/>
  <c r="M953" i="23" s="1"/>
  <c r="K954" i="23"/>
  <c r="M954" i="23" s="1"/>
  <c r="K955" i="23"/>
  <c r="M955" i="23" s="1"/>
  <c r="K956" i="23"/>
  <c r="M956" i="23" s="1"/>
  <c r="K957" i="23"/>
  <c r="M957" i="23" s="1"/>
  <c r="K958" i="23"/>
  <c r="M958" i="23" s="1"/>
  <c r="K959" i="23"/>
  <c r="M959" i="23" s="1"/>
  <c r="K960" i="23"/>
  <c r="M960" i="23" s="1"/>
  <c r="K961" i="23"/>
  <c r="M961" i="23" s="1"/>
  <c r="K962" i="23"/>
  <c r="M962" i="23" s="1"/>
  <c r="K963" i="23"/>
  <c r="M963" i="23" s="1"/>
  <c r="K964" i="23"/>
  <c r="M964" i="23" s="1"/>
  <c r="K965" i="23"/>
  <c r="M965" i="23" s="1"/>
  <c r="K966" i="23"/>
  <c r="M966" i="23" s="1"/>
  <c r="K967" i="23"/>
  <c r="M967" i="23" s="1"/>
  <c r="K968" i="23"/>
  <c r="M968" i="23" s="1"/>
  <c r="K969" i="23"/>
  <c r="M969" i="23" s="1"/>
  <c r="K970" i="23"/>
  <c r="M970" i="23" s="1"/>
  <c r="K971" i="23"/>
  <c r="M971" i="23" s="1"/>
  <c r="K972" i="23"/>
  <c r="M972" i="23" s="1"/>
  <c r="K973" i="23"/>
  <c r="M973" i="23" s="1"/>
  <c r="K974" i="23"/>
  <c r="M974" i="23" s="1"/>
  <c r="K975" i="23"/>
  <c r="M975" i="23" s="1"/>
  <c r="K976" i="23"/>
  <c r="M976" i="23" s="1"/>
  <c r="K977" i="23"/>
  <c r="M977" i="23" s="1"/>
  <c r="K978" i="23"/>
  <c r="M978" i="23" s="1"/>
  <c r="K979" i="23"/>
  <c r="M979" i="23" s="1"/>
  <c r="K980" i="23"/>
  <c r="M980" i="23" s="1"/>
  <c r="K981" i="23"/>
  <c r="M981" i="23" s="1"/>
  <c r="K982" i="23"/>
  <c r="M982" i="23" s="1"/>
  <c r="K983" i="23"/>
  <c r="M983" i="23" s="1"/>
  <c r="K984" i="23"/>
  <c r="M984" i="23" s="1"/>
  <c r="K985" i="23"/>
  <c r="M985" i="23" s="1"/>
  <c r="K986" i="23"/>
  <c r="M986" i="23" s="1"/>
  <c r="K987" i="23"/>
  <c r="M987" i="23" s="1"/>
  <c r="K988" i="23"/>
  <c r="M988" i="23" s="1"/>
  <c r="K989" i="23"/>
  <c r="M989" i="23" s="1"/>
  <c r="K990" i="23"/>
  <c r="M990" i="23" s="1"/>
  <c r="K991" i="23"/>
  <c r="M991" i="23" s="1"/>
  <c r="K992" i="23"/>
  <c r="M992" i="23" s="1"/>
  <c r="K993" i="23"/>
  <c r="M993" i="23" s="1"/>
  <c r="K994" i="23"/>
  <c r="M994" i="23" s="1"/>
  <c r="K995" i="23"/>
  <c r="M995" i="23" s="1"/>
  <c r="K996" i="23"/>
  <c r="M996" i="23" s="1"/>
  <c r="K997" i="23"/>
  <c r="M997" i="23" s="1"/>
  <c r="K998" i="23"/>
  <c r="M998" i="23" s="1"/>
  <c r="K999" i="23"/>
  <c r="M999" i="23" s="1"/>
  <c r="K1000" i="23"/>
  <c r="M1000" i="23" s="1"/>
  <c r="K1001" i="23"/>
  <c r="M1001" i="23" s="1"/>
  <c r="K1002" i="23"/>
  <c r="M1002" i="23" s="1"/>
  <c r="K1003" i="23"/>
  <c r="M1003" i="23" s="1"/>
  <c r="K1004" i="23"/>
  <c r="M1004" i="23" s="1"/>
  <c r="K1005" i="23"/>
  <c r="M1005" i="23" s="1"/>
  <c r="K1006" i="23"/>
  <c r="M1006" i="23" s="1"/>
  <c r="K1007" i="23"/>
  <c r="M1007" i="23" s="1"/>
  <c r="K1008" i="23"/>
  <c r="M1008" i="23" s="1"/>
  <c r="K1009" i="23"/>
  <c r="M1009" i="23" s="1"/>
  <c r="K1010" i="23"/>
  <c r="M1010" i="23" s="1"/>
  <c r="K1011" i="23"/>
  <c r="M1011" i="23" s="1"/>
  <c r="K1012" i="23"/>
  <c r="M1012" i="23" s="1"/>
  <c r="K1013" i="23"/>
  <c r="M1013" i="23" s="1"/>
  <c r="K1014" i="23"/>
  <c r="M1014" i="23" s="1"/>
  <c r="K1015" i="23"/>
  <c r="M1015" i="23" s="1"/>
  <c r="K1016" i="23"/>
  <c r="M1016" i="23" s="1"/>
  <c r="K1017" i="23"/>
  <c r="M1017" i="23" s="1"/>
  <c r="K1018" i="23"/>
  <c r="M1018" i="23" s="1"/>
  <c r="K1019" i="23"/>
  <c r="M1019" i="23" s="1"/>
  <c r="K1020" i="23"/>
  <c r="M1020" i="23" s="1"/>
  <c r="K1021" i="23"/>
  <c r="M1021" i="23" s="1"/>
  <c r="K1022" i="23"/>
  <c r="M1022" i="23" s="1"/>
  <c r="K1023" i="23"/>
  <c r="M1023" i="23" s="1"/>
  <c r="K1024" i="23"/>
  <c r="M1024" i="23" s="1"/>
  <c r="K1025" i="23"/>
  <c r="M1025" i="23" s="1"/>
  <c r="K1026" i="23"/>
  <c r="M1026" i="23" s="1"/>
  <c r="K1027" i="23"/>
  <c r="M1027" i="23" s="1"/>
  <c r="K1028" i="23"/>
  <c r="M1028" i="23" s="1"/>
  <c r="K1029" i="23"/>
  <c r="M1029" i="23" s="1"/>
  <c r="K1030" i="23"/>
  <c r="M1030" i="23" s="1"/>
  <c r="K1031" i="23"/>
  <c r="M1031" i="23" s="1"/>
  <c r="K1032" i="23"/>
  <c r="M1032" i="23" s="1"/>
  <c r="K1033" i="23"/>
  <c r="M1033" i="23" s="1"/>
  <c r="K1034" i="23"/>
  <c r="M1034" i="23" s="1"/>
  <c r="K1035" i="23"/>
  <c r="M1035" i="23" s="1"/>
  <c r="K1036" i="23"/>
  <c r="M1036" i="23" s="1"/>
  <c r="K1037" i="23"/>
  <c r="M1037" i="23" s="1"/>
  <c r="K1038" i="23"/>
  <c r="M1038" i="23" s="1"/>
  <c r="K1039" i="23"/>
  <c r="M1039" i="23" s="1"/>
  <c r="K1040" i="23"/>
  <c r="M1040" i="23" s="1"/>
  <c r="K1041" i="23"/>
  <c r="M1041" i="23" s="1"/>
  <c r="K1042" i="23"/>
  <c r="M1042" i="23" s="1"/>
  <c r="K1043" i="23"/>
  <c r="M1043" i="23" s="1"/>
  <c r="K1044" i="23"/>
  <c r="M1044" i="23" s="1"/>
  <c r="K1045" i="23"/>
  <c r="M1045" i="23" s="1"/>
  <c r="K1046" i="23"/>
  <c r="M1046" i="23" s="1"/>
  <c r="K1047" i="23"/>
  <c r="M1047" i="23" s="1"/>
  <c r="K1048" i="23"/>
  <c r="M1048" i="23" s="1"/>
  <c r="K1049" i="23"/>
  <c r="M1049" i="23" s="1"/>
  <c r="K1050" i="23"/>
  <c r="M1050" i="23" s="1"/>
  <c r="K1051" i="23"/>
  <c r="M1051" i="23" s="1"/>
  <c r="K1052" i="23"/>
  <c r="M1052" i="23" s="1"/>
  <c r="K1053" i="23"/>
  <c r="M1053" i="23" s="1"/>
  <c r="K1054" i="23"/>
  <c r="M1054" i="23" s="1"/>
  <c r="K1055" i="23"/>
  <c r="M1055" i="23" s="1"/>
  <c r="K1056" i="23"/>
  <c r="M1056" i="23" s="1"/>
  <c r="K1057" i="23"/>
  <c r="M1057" i="23" s="1"/>
  <c r="K1058" i="23"/>
  <c r="M1058" i="23" s="1"/>
  <c r="K1059" i="23"/>
  <c r="M1059" i="23" s="1"/>
  <c r="K1060" i="23"/>
  <c r="M1060" i="23" s="1"/>
  <c r="K1061" i="23"/>
  <c r="M1061" i="23" s="1"/>
  <c r="K1062" i="23"/>
  <c r="M1062" i="23" s="1"/>
  <c r="K1063" i="23"/>
  <c r="M1063" i="23" s="1"/>
  <c r="K1064" i="23"/>
  <c r="M1064" i="23" s="1"/>
  <c r="K1065" i="23"/>
  <c r="M1065" i="23" s="1"/>
  <c r="K1066" i="23"/>
  <c r="M1066" i="23" s="1"/>
  <c r="K1067" i="23"/>
  <c r="M1067" i="23" s="1"/>
  <c r="K1068" i="23"/>
  <c r="M1068" i="23" s="1"/>
  <c r="K1069" i="23"/>
  <c r="M1069" i="23" s="1"/>
  <c r="K1070" i="23"/>
  <c r="M1070" i="23" s="1"/>
  <c r="K1071" i="23"/>
  <c r="M1071" i="23" s="1"/>
  <c r="K1072" i="23"/>
  <c r="M1072" i="23" s="1"/>
  <c r="K1073" i="23"/>
  <c r="M1073" i="23" s="1"/>
  <c r="K1074" i="23"/>
  <c r="M1074" i="23" s="1"/>
  <c r="K1075" i="23"/>
  <c r="M1075" i="23" s="1"/>
  <c r="K1076" i="23"/>
  <c r="M1076" i="23" s="1"/>
  <c r="K1077" i="23"/>
  <c r="M1077" i="23" s="1"/>
  <c r="K1078" i="23"/>
  <c r="M1078" i="23" s="1"/>
  <c r="K1079" i="23"/>
  <c r="M1079" i="23" s="1"/>
  <c r="K1080" i="23"/>
  <c r="M1080" i="23" s="1"/>
  <c r="K1081" i="23"/>
  <c r="M1081" i="23" s="1"/>
  <c r="K1082" i="23"/>
  <c r="M1082" i="23" s="1"/>
  <c r="K1083" i="23"/>
  <c r="M1083" i="23" s="1"/>
  <c r="K1084" i="23"/>
  <c r="M1084" i="23" s="1"/>
  <c r="K1085" i="23"/>
  <c r="M1085" i="23" s="1"/>
  <c r="K1086" i="23"/>
  <c r="M1086" i="23" s="1"/>
  <c r="K1087" i="23"/>
  <c r="M1087" i="23" s="1"/>
  <c r="K1088" i="23"/>
  <c r="M1088" i="23" s="1"/>
  <c r="K1089" i="23"/>
  <c r="M1089" i="23" s="1"/>
  <c r="K1090" i="23"/>
  <c r="M1090" i="23" s="1"/>
  <c r="K1091" i="23"/>
  <c r="M1091" i="23" s="1"/>
  <c r="K1092" i="23"/>
  <c r="M1092" i="23" s="1"/>
  <c r="K1093" i="23"/>
  <c r="M1093" i="23" s="1"/>
  <c r="K1094" i="23"/>
  <c r="M1094" i="23" s="1"/>
  <c r="K1095" i="23"/>
  <c r="M1095" i="23" s="1"/>
  <c r="K1096" i="23"/>
  <c r="M1096" i="23" s="1"/>
  <c r="K1097" i="23"/>
  <c r="M1097" i="23" s="1"/>
  <c r="K1098" i="23"/>
  <c r="M1098" i="23" s="1"/>
  <c r="K1099" i="23"/>
  <c r="M1099" i="23" s="1"/>
  <c r="K1100" i="23"/>
  <c r="M1100" i="23" s="1"/>
  <c r="K1101" i="23"/>
  <c r="M1101" i="23" s="1"/>
  <c r="K1102" i="23"/>
  <c r="M1102" i="23" s="1"/>
  <c r="K1103" i="23"/>
  <c r="M1103" i="23" s="1"/>
  <c r="K1104" i="23"/>
  <c r="M1104" i="23" s="1"/>
  <c r="K1105" i="23"/>
  <c r="M1105" i="23" s="1"/>
  <c r="K1106" i="23"/>
  <c r="M1106" i="23" s="1"/>
  <c r="K1107" i="23"/>
  <c r="M1107" i="23" s="1"/>
  <c r="K1108" i="23"/>
  <c r="M1108" i="23" s="1"/>
  <c r="K1109" i="23"/>
  <c r="M1109" i="23" s="1"/>
  <c r="K1110" i="23"/>
  <c r="M1110" i="23" s="1"/>
  <c r="K1111" i="23"/>
  <c r="M1111" i="23" s="1"/>
  <c r="K1112" i="23"/>
  <c r="M1112" i="23" s="1"/>
  <c r="K1113" i="23"/>
  <c r="M1113" i="23" s="1"/>
  <c r="K1114" i="23"/>
  <c r="M1114" i="23" s="1"/>
  <c r="K1115" i="23"/>
  <c r="M1115" i="23" s="1"/>
  <c r="K1116" i="23"/>
  <c r="M1116" i="23" s="1"/>
  <c r="K1117" i="23"/>
  <c r="M1117" i="23" s="1"/>
  <c r="K1118" i="23"/>
  <c r="M1118" i="23" s="1"/>
  <c r="K1119" i="23"/>
  <c r="M1119" i="23" s="1"/>
  <c r="K1120" i="23"/>
  <c r="M1120" i="23" s="1"/>
  <c r="K1121" i="23"/>
  <c r="M1121" i="23" s="1"/>
  <c r="K1122" i="23"/>
  <c r="M1122" i="23" s="1"/>
  <c r="K1123" i="23"/>
  <c r="M1123" i="23" s="1"/>
  <c r="K1124" i="23"/>
  <c r="M1124" i="23" s="1"/>
  <c r="K1125" i="23"/>
  <c r="M1125" i="23" s="1"/>
  <c r="K1126" i="23"/>
  <c r="M1126" i="23" s="1"/>
  <c r="K1127" i="23"/>
  <c r="M1127" i="23" s="1"/>
  <c r="K1128" i="23"/>
  <c r="M1128" i="23" s="1"/>
  <c r="K1129" i="23"/>
  <c r="M1129" i="23" s="1"/>
  <c r="K1130" i="23"/>
  <c r="M1130" i="23" s="1"/>
  <c r="K1131" i="23"/>
  <c r="M1131" i="23" s="1"/>
  <c r="K1132" i="23"/>
  <c r="M1132" i="23" s="1"/>
  <c r="K1133" i="23"/>
  <c r="M1133" i="23" s="1"/>
  <c r="K1134" i="23"/>
  <c r="M1134" i="23" s="1"/>
  <c r="K1135" i="23"/>
  <c r="M1135" i="23" s="1"/>
  <c r="K1136" i="23"/>
  <c r="M1136" i="23" s="1"/>
  <c r="K1137" i="23"/>
  <c r="M1137" i="23" s="1"/>
  <c r="K1138" i="23"/>
  <c r="M1138" i="23" s="1"/>
  <c r="K1139" i="23"/>
  <c r="M1139" i="23" s="1"/>
  <c r="K1140" i="23"/>
  <c r="M1140" i="23" s="1"/>
  <c r="K1141" i="23"/>
  <c r="M1141" i="23" s="1"/>
  <c r="K1142" i="23"/>
  <c r="M1142" i="23" s="1"/>
  <c r="K1143" i="23"/>
  <c r="M1143" i="23" s="1"/>
  <c r="K1144" i="23"/>
  <c r="M1144" i="23" s="1"/>
  <c r="K1145" i="23"/>
  <c r="M1145" i="23" s="1"/>
  <c r="K1146" i="23"/>
  <c r="M1146" i="23" s="1"/>
  <c r="K1147" i="23"/>
  <c r="M1147" i="23" s="1"/>
  <c r="K1148" i="23"/>
  <c r="M1148" i="23" s="1"/>
  <c r="K1149" i="23"/>
  <c r="M1149" i="23" s="1"/>
  <c r="K1150" i="23"/>
  <c r="M1150" i="23" s="1"/>
  <c r="K1151" i="23"/>
  <c r="M1151" i="23" s="1"/>
  <c r="K1152" i="23"/>
  <c r="M1152" i="23" s="1"/>
  <c r="K1153" i="23"/>
  <c r="M1153" i="23" s="1"/>
  <c r="K1154" i="23"/>
  <c r="M1154" i="23" s="1"/>
  <c r="K1155" i="23"/>
  <c r="M1155" i="23" s="1"/>
  <c r="K1156" i="23"/>
  <c r="M1156" i="23" s="1"/>
  <c r="K1157" i="23"/>
  <c r="M1157" i="23" s="1"/>
  <c r="K1158" i="23"/>
  <c r="M1158" i="23" s="1"/>
  <c r="K1159" i="23"/>
  <c r="M1159" i="23" s="1"/>
  <c r="K1160" i="23"/>
  <c r="M1160" i="23" s="1"/>
  <c r="K1161" i="23"/>
  <c r="M1161" i="23" s="1"/>
  <c r="K1162" i="23"/>
  <c r="M1162" i="23" s="1"/>
  <c r="K1163" i="23"/>
  <c r="M1163" i="23" s="1"/>
  <c r="K1164" i="23"/>
  <c r="M1164" i="23" s="1"/>
  <c r="K1165" i="23"/>
  <c r="M1165" i="23" s="1"/>
  <c r="K1166" i="23"/>
  <c r="M1166" i="23" s="1"/>
  <c r="K1167" i="23"/>
  <c r="M1167" i="23" s="1"/>
  <c r="K1168" i="23"/>
  <c r="M1168" i="23" s="1"/>
  <c r="K1169" i="23"/>
  <c r="M1169" i="23" s="1"/>
  <c r="K1170" i="23"/>
  <c r="M1170" i="23" s="1"/>
  <c r="K1171" i="23"/>
  <c r="M1171" i="23" s="1"/>
  <c r="K1172" i="23"/>
  <c r="M1172" i="23" s="1"/>
  <c r="K1173" i="23"/>
  <c r="M1173" i="23" s="1"/>
  <c r="K1174" i="23"/>
  <c r="M1174" i="23" s="1"/>
  <c r="K1175" i="23"/>
  <c r="M1175" i="23" s="1"/>
  <c r="K1176" i="23"/>
  <c r="M1176" i="23" s="1"/>
  <c r="K1177" i="23"/>
  <c r="M1177" i="23" s="1"/>
  <c r="K1178" i="23"/>
  <c r="M1178" i="23" s="1"/>
  <c r="K1179" i="23"/>
  <c r="M1179" i="23" s="1"/>
  <c r="K1180" i="23"/>
  <c r="M1180" i="23" s="1"/>
  <c r="K1181" i="23"/>
  <c r="M1181" i="23" s="1"/>
  <c r="K1182" i="23"/>
  <c r="M1182" i="23" s="1"/>
  <c r="K1183" i="23"/>
  <c r="M1183" i="23" s="1"/>
  <c r="K1184" i="23"/>
  <c r="M1184" i="23" s="1"/>
  <c r="K1185" i="23"/>
  <c r="M1185" i="23" s="1"/>
  <c r="K1186" i="23"/>
  <c r="M1186" i="23" s="1"/>
  <c r="K1187" i="23"/>
  <c r="M1187" i="23" s="1"/>
  <c r="K1188" i="23"/>
  <c r="M1188" i="23" s="1"/>
  <c r="K1189" i="23"/>
  <c r="M1189" i="23" s="1"/>
  <c r="K1190" i="23"/>
  <c r="M1190" i="23" s="1"/>
  <c r="K1191" i="23"/>
  <c r="M1191" i="23" s="1"/>
  <c r="K1192" i="23"/>
  <c r="M1192" i="23" s="1"/>
  <c r="K1193" i="23"/>
  <c r="M1193" i="23" s="1"/>
  <c r="K1194" i="23"/>
  <c r="M1194" i="23" s="1"/>
  <c r="K1195" i="23"/>
  <c r="M1195" i="23" s="1"/>
  <c r="K1196" i="23"/>
  <c r="M1196" i="23" s="1"/>
  <c r="K1197" i="23"/>
  <c r="M1197" i="23" s="1"/>
  <c r="K1198" i="23"/>
  <c r="M1198" i="23" s="1"/>
  <c r="K1199" i="23"/>
  <c r="M1199" i="23" s="1"/>
  <c r="K1200" i="23"/>
  <c r="M1200" i="23" s="1"/>
  <c r="K1201" i="23"/>
  <c r="M1201" i="23" s="1"/>
  <c r="K1202" i="23"/>
  <c r="M1202" i="23" s="1"/>
  <c r="K1203" i="23"/>
  <c r="M1203" i="23" s="1"/>
  <c r="K1204" i="23"/>
  <c r="M1204" i="23" s="1"/>
  <c r="K1205" i="23"/>
  <c r="M1205" i="23" s="1"/>
  <c r="K1206" i="23"/>
  <c r="M1206" i="23" s="1"/>
  <c r="K1207" i="23"/>
  <c r="M1207" i="23" s="1"/>
  <c r="K1208" i="23"/>
  <c r="M1208" i="23" s="1"/>
  <c r="K1209" i="23"/>
  <c r="M1209" i="23" s="1"/>
  <c r="K1210" i="23"/>
  <c r="M1210" i="23" s="1"/>
  <c r="K1211" i="23"/>
  <c r="M1211" i="23" s="1"/>
  <c r="K1212" i="23"/>
  <c r="M1212" i="23" s="1"/>
  <c r="K1213" i="23"/>
  <c r="M1213" i="23" s="1"/>
  <c r="K1214" i="23"/>
  <c r="M1214" i="23" s="1"/>
  <c r="K1215" i="23"/>
  <c r="M1215" i="23" s="1"/>
  <c r="K1216" i="23"/>
  <c r="M1216" i="23" s="1"/>
  <c r="K1217" i="23"/>
  <c r="M1217" i="23" s="1"/>
  <c r="K1218" i="23"/>
  <c r="M1218" i="23" s="1"/>
  <c r="K1219" i="23"/>
  <c r="M1219" i="23" s="1"/>
  <c r="K1220" i="23"/>
  <c r="M1220" i="23" s="1"/>
  <c r="K1221" i="23"/>
  <c r="M1221" i="23" s="1"/>
  <c r="K1222" i="23"/>
  <c r="M1222" i="23" s="1"/>
  <c r="K1223" i="23"/>
  <c r="M1223" i="23" s="1"/>
  <c r="K1224" i="23"/>
  <c r="M1224" i="23" s="1"/>
  <c r="K1225" i="23"/>
  <c r="M1225" i="23" s="1"/>
  <c r="K1226" i="23"/>
  <c r="M1226" i="23" s="1"/>
  <c r="K1227" i="23"/>
  <c r="M1227" i="23" s="1"/>
  <c r="K1228" i="23"/>
  <c r="M1228" i="23" s="1"/>
  <c r="K1229" i="23"/>
  <c r="M1229" i="23" s="1"/>
  <c r="K1230" i="23"/>
  <c r="M1230" i="23" s="1"/>
  <c r="K1231" i="23"/>
  <c r="M1231" i="23" s="1"/>
  <c r="K1232" i="23"/>
  <c r="M1232" i="23" s="1"/>
  <c r="K1233" i="23"/>
  <c r="M1233" i="23" s="1"/>
  <c r="K1234" i="23"/>
  <c r="M1234" i="23" s="1"/>
  <c r="K1235" i="23"/>
  <c r="M1235" i="23" s="1"/>
  <c r="K1236" i="23"/>
  <c r="M1236" i="23" s="1"/>
  <c r="K1237" i="23"/>
  <c r="M1237" i="23" s="1"/>
  <c r="K1238" i="23"/>
  <c r="M1238" i="23" s="1"/>
  <c r="K1239" i="23"/>
  <c r="M1239" i="23" s="1"/>
  <c r="K1240" i="23"/>
  <c r="M1240" i="23" s="1"/>
  <c r="K1241" i="23"/>
  <c r="M1241" i="23" s="1"/>
  <c r="K1242" i="23"/>
  <c r="M1242" i="23" s="1"/>
  <c r="K1243" i="23"/>
  <c r="M1243" i="23" s="1"/>
  <c r="K1244" i="23"/>
  <c r="M1244" i="23" s="1"/>
  <c r="K1245" i="23"/>
  <c r="M1245" i="23" s="1"/>
  <c r="K1246" i="23"/>
  <c r="M1246" i="23" s="1"/>
  <c r="K1247" i="23"/>
  <c r="M1247" i="23" s="1"/>
  <c r="K1248" i="23"/>
  <c r="M1248" i="23" s="1"/>
  <c r="K1249" i="23"/>
  <c r="M1249" i="23" s="1"/>
  <c r="K1250" i="23"/>
  <c r="M1250" i="23" s="1"/>
  <c r="K1251" i="23"/>
  <c r="M1251" i="23" s="1"/>
  <c r="K1252" i="23"/>
  <c r="M1252" i="23" s="1"/>
  <c r="K1253" i="23"/>
  <c r="M1253" i="23" s="1"/>
  <c r="K1254" i="23"/>
  <c r="M1254" i="23" s="1"/>
  <c r="K1255" i="23"/>
  <c r="M1255" i="23" s="1"/>
  <c r="K1256" i="23"/>
  <c r="M1256" i="23" s="1"/>
  <c r="K1257" i="23"/>
  <c r="M1257" i="23" s="1"/>
  <c r="K1258" i="23"/>
  <c r="M1258" i="23" s="1"/>
  <c r="K1259" i="23"/>
  <c r="M1259" i="23" s="1"/>
  <c r="K1260" i="23"/>
  <c r="M1260" i="23" s="1"/>
  <c r="K1261" i="23"/>
  <c r="M1261" i="23" s="1"/>
  <c r="K1262" i="23"/>
  <c r="M1262" i="23" s="1"/>
  <c r="K1263" i="23"/>
  <c r="M1263" i="23" s="1"/>
  <c r="K1264" i="23"/>
  <c r="M1264" i="23" s="1"/>
  <c r="K1265" i="23"/>
  <c r="M1265" i="23" s="1"/>
  <c r="K1266" i="23"/>
  <c r="M1266" i="23" s="1"/>
  <c r="K1267" i="23"/>
  <c r="M1267" i="23" s="1"/>
  <c r="K1268" i="23"/>
  <c r="M1268" i="23" s="1"/>
  <c r="K1269" i="23"/>
  <c r="M1269" i="23" s="1"/>
  <c r="K1270" i="23"/>
  <c r="M1270" i="23" s="1"/>
  <c r="K1271" i="23"/>
  <c r="M1271" i="23" s="1"/>
  <c r="K1272" i="23"/>
  <c r="M1272" i="23" s="1"/>
  <c r="K1273" i="23"/>
  <c r="M1273" i="23" s="1"/>
  <c r="K1274" i="23"/>
  <c r="M1274" i="23" s="1"/>
  <c r="K1275" i="23"/>
  <c r="M1275" i="23" s="1"/>
  <c r="K1276" i="23"/>
  <c r="M1276" i="23" s="1"/>
  <c r="K1277" i="23"/>
  <c r="M1277" i="23" s="1"/>
  <c r="K1278" i="23"/>
  <c r="M1278" i="23" s="1"/>
  <c r="K1279" i="23"/>
  <c r="M1279" i="23" s="1"/>
  <c r="K1280" i="23"/>
  <c r="M1280" i="23" s="1"/>
  <c r="K1281" i="23"/>
  <c r="M1281" i="23" s="1"/>
  <c r="K1282" i="23"/>
  <c r="M1282" i="23" s="1"/>
  <c r="K1283" i="23"/>
  <c r="M1283" i="23" s="1"/>
  <c r="K1284" i="23"/>
  <c r="M1284" i="23" s="1"/>
  <c r="K1285" i="23"/>
  <c r="M1285" i="23" s="1"/>
  <c r="K1286" i="23"/>
  <c r="M1286" i="23" s="1"/>
  <c r="K1287" i="23"/>
  <c r="M1287" i="23" s="1"/>
  <c r="K1288" i="23"/>
  <c r="M1288" i="23" s="1"/>
  <c r="K1289" i="23"/>
  <c r="M1289" i="23" s="1"/>
  <c r="K1290" i="23"/>
  <c r="M1290" i="23" s="1"/>
  <c r="K1291" i="23"/>
  <c r="M1291" i="23" s="1"/>
  <c r="K1292" i="23"/>
  <c r="M1292" i="23" s="1"/>
  <c r="K1293" i="23"/>
  <c r="M1293" i="23" s="1"/>
  <c r="K1294" i="23"/>
  <c r="M1294" i="23" s="1"/>
  <c r="K1295" i="23"/>
  <c r="M1295" i="23" s="1"/>
  <c r="K1296" i="23"/>
  <c r="M1296" i="23" s="1"/>
  <c r="K1297" i="23"/>
  <c r="M1297" i="23" s="1"/>
  <c r="K1298" i="23"/>
  <c r="M1298" i="23" s="1"/>
  <c r="K1299" i="23"/>
  <c r="M1299" i="23" s="1"/>
  <c r="K1300" i="23"/>
  <c r="M1300" i="23" s="1"/>
  <c r="K1301" i="23"/>
  <c r="M1301" i="23" s="1"/>
  <c r="K1302" i="23"/>
  <c r="M1302" i="23" s="1"/>
  <c r="K1303" i="23"/>
  <c r="M1303" i="23" s="1"/>
  <c r="K1304" i="23"/>
  <c r="M1304" i="23" s="1"/>
  <c r="K1305" i="23"/>
  <c r="M1305" i="23" s="1"/>
  <c r="K1306" i="23"/>
  <c r="M1306" i="23" s="1"/>
  <c r="K1307" i="23"/>
  <c r="M1307" i="23" s="1"/>
  <c r="K1308" i="23"/>
  <c r="M1308" i="23" s="1"/>
  <c r="K1309" i="23"/>
  <c r="M1309" i="23" s="1"/>
  <c r="K1310" i="23"/>
  <c r="M1310" i="23" s="1"/>
  <c r="K1311" i="23"/>
  <c r="M1311" i="23" s="1"/>
  <c r="K1312" i="23"/>
  <c r="M1312" i="23" s="1"/>
  <c r="K1313" i="23"/>
  <c r="M1313" i="23" s="1"/>
  <c r="K1314" i="23"/>
  <c r="M1314" i="23" s="1"/>
  <c r="K1315" i="23"/>
  <c r="M1315" i="23" s="1"/>
  <c r="K1316" i="23"/>
  <c r="M1316" i="23" s="1"/>
  <c r="K1317" i="23"/>
  <c r="M1317" i="23" s="1"/>
  <c r="K1318" i="23"/>
  <c r="M1318" i="23" s="1"/>
  <c r="K1319" i="23"/>
  <c r="M1319" i="23" s="1"/>
  <c r="K1320" i="23"/>
  <c r="M1320" i="23" s="1"/>
  <c r="K1321" i="23"/>
  <c r="M1321" i="23" s="1"/>
  <c r="K1322" i="23"/>
  <c r="M1322" i="23" s="1"/>
  <c r="K1323" i="23"/>
  <c r="M1323" i="23" s="1"/>
  <c r="K1324" i="23"/>
  <c r="M1324" i="23" s="1"/>
  <c r="K1325" i="23"/>
  <c r="M1325" i="23" s="1"/>
  <c r="K1326" i="23"/>
  <c r="M1326" i="23" s="1"/>
  <c r="K1327" i="23"/>
  <c r="M1327" i="23" s="1"/>
  <c r="K1328" i="23"/>
  <c r="M1328" i="23" s="1"/>
  <c r="K1329" i="23"/>
  <c r="M1329" i="23" s="1"/>
  <c r="K1330" i="23"/>
  <c r="M1330" i="23" s="1"/>
  <c r="K1331" i="23"/>
  <c r="M1331" i="23" s="1"/>
  <c r="K1332" i="23"/>
  <c r="M1332" i="23" s="1"/>
  <c r="K1333" i="23"/>
  <c r="M1333" i="23" s="1"/>
  <c r="K1334" i="23"/>
  <c r="M1334" i="23" s="1"/>
  <c r="K1335" i="23"/>
  <c r="M1335" i="23" s="1"/>
  <c r="K1336" i="23"/>
  <c r="M1336" i="23" s="1"/>
  <c r="K1337" i="23"/>
  <c r="M1337" i="23" s="1"/>
  <c r="K1338" i="23"/>
  <c r="M1338" i="23" s="1"/>
  <c r="K1339" i="23"/>
  <c r="M1339" i="23" s="1"/>
  <c r="K1340" i="23"/>
  <c r="M1340" i="23" s="1"/>
  <c r="K1341" i="23"/>
  <c r="M1341" i="23" s="1"/>
  <c r="K1342" i="23"/>
  <c r="M1342" i="23" s="1"/>
  <c r="K1343" i="23"/>
  <c r="M1343" i="23" s="1"/>
  <c r="K1344" i="23"/>
  <c r="M1344" i="23" s="1"/>
  <c r="K1345" i="23"/>
  <c r="M1345" i="23" s="1"/>
  <c r="K1346" i="23"/>
  <c r="M1346" i="23" s="1"/>
  <c r="K1347" i="23"/>
  <c r="M1347" i="23" s="1"/>
  <c r="K1348" i="23"/>
  <c r="M1348" i="23" s="1"/>
  <c r="K1349" i="23"/>
  <c r="M1349" i="23" s="1"/>
  <c r="K1350" i="23"/>
  <c r="M1350" i="23" s="1"/>
  <c r="K1351" i="23"/>
  <c r="M1351" i="23" s="1"/>
  <c r="K1352" i="23"/>
  <c r="M1352" i="23" s="1"/>
  <c r="K1353" i="23"/>
  <c r="M1353" i="23" s="1"/>
  <c r="K1354" i="23"/>
  <c r="M1354" i="23" s="1"/>
  <c r="K1355" i="23"/>
  <c r="M1355" i="23" s="1"/>
  <c r="K1356" i="23"/>
  <c r="M1356" i="23" s="1"/>
  <c r="K1357" i="23"/>
  <c r="M1357" i="23" s="1"/>
  <c r="K1358" i="23"/>
  <c r="M1358" i="23" s="1"/>
  <c r="K1359" i="23"/>
  <c r="M1359" i="23" s="1"/>
  <c r="K1360" i="23"/>
  <c r="M1360" i="23" s="1"/>
  <c r="K1361" i="23"/>
  <c r="M1361" i="23" s="1"/>
  <c r="K1362" i="23"/>
  <c r="M1362" i="23" s="1"/>
  <c r="K1363" i="23"/>
  <c r="M1363" i="23" s="1"/>
  <c r="K1364" i="23"/>
  <c r="M1364" i="23" s="1"/>
  <c r="K1365" i="23"/>
  <c r="M1365" i="23" s="1"/>
  <c r="K1366" i="23"/>
  <c r="M1366" i="23" s="1"/>
  <c r="K1367" i="23"/>
  <c r="M1367" i="23" s="1"/>
  <c r="K1368" i="23"/>
  <c r="M1368" i="23" s="1"/>
  <c r="K1369" i="23"/>
  <c r="M1369" i="23" s="1"/>
  <c r="K1370" i="23"/>
  <c r="M1370" i="23" s="1"/>
  <c r="K1371" i="23"/>
  <c r="M1371" i="23" s="1"/>
  <c r="K1372" i="23"/>
  <c r="M1372" i="23" s="1"/>
  <c r="K1373" i="23"/>
  <c r="M1373" i="23" s="1"/>
  <c r="K1374" i="23"/>
  <c r="M1374" i="23" s="1"/>
  <c r="K1375" i="23"/>
  <c r="M1375" i="23" s="1"/>
  <c r="K1376" i="23"/>
  <c r="M1376" i="23" s="1"/>
  <c r="K1377" i="23"/>
  <c r="M1377" i="23" s="1"/>
  <c r="K1378" i="23"/>
  <c r="M1378" i="23" s="1"/>
  <c r="K1379" i="23"/>
  <c r="M1379" i="23" s="1"/>
  <c r="K1380" i="23"/>
  <c r="M1380" i="23" s="1"/>
  <c r="K1381" i="23"/>
  <c r="M1381" i="23" s="1"/>
  <c r="K1382" i="23"/>
  <c r="M1382" i="23" s="1"/>
  <c r="K1383" i="23"/>
  <c r="M1383" i="23" s="1"/>
  <c r="K1384" i="23"/>
  <c r="M1384" i="23" s="1"/>
  <c r="K1385" i="23"/>
  <c r="M1385" i="23" s="1"/>
  <c r="K1386" i="23"/>
  <c r="M1386" i="23" s="1"/>
  <c r="K1387" i="23"/>
  <c r="M1387" i="23" s="1"/>
  <c r="K1388" i="23"/>
  <c r="M1388" i="23" s="1"/>
  <c r="K1389" i="23"/>
  <c r="M1389" i="23" s="1"/>
  <c r="K1390" i="23"/>
  <c r="M1390" i="23" s="1"/>
  <c r="K1391" i="23"/>
  <c r="M1391" i="23" s="1"/>
  <c r="K1392" i="23"/>
  <c r="M1392" i="23" s="1"/>
  <c r="K1393" i="23"/>
  <c r="M1393" i="23" s="1"/>
  <c r="K1394" i="23"/>
  <c r="M1394" i="23" s="1"/>
  <c r="K1395" i="23"/>
  <c r="M1395" i="23" s="1"/>
  <c r="K1396" i="23"/>
  <c r="M1396" i="23" s="1"/>
  <c r="K1397" i="23"/>
  <c r="M1397" i="23" s="1"/>
  <c r="K1398" i="23"/>
  <c r="M1398" i="23" s="1"/>
  <c r="K1399" i="23"/>
  <c r="M1399" i="23" s="1"/>
  <c r="K1400" i="23"/>
  <c r="M1400" i="23" s="1"/>
  <c r="K1401" i="23"/>
  <c r="M1401" i="23" s="1"/>
  <c r="K1402" i="23"/>
  <c r="M1402" i="23" s="1"/>
  <c r="K1403" i="23"/>
  <c r="M1403" i="23" s="1"/>
  <c r="K1404" i="23"/>
  <c r="M1404" i="23" s="1"/>
  <c r="K1405" i="23"/>
  <c r="M1405" i="23" s="1"/>
  <c r="K1406" i="23"/>
  <c r="M1406" i="23" s="1"/>
  <c r="K1407" i="23"/>
  <c r="M1407" i="23" s="1"/>
  <c r="K1408" i="23"/>
  <c r="M1408" i="23" s="1"/>
  <c r="K1409" i="23"/>
  <c r="M1409" i="23" s="1"/>
  <c r="K1410" i="23"/>
  <c r="M1410" i="23" s="1"/>
  <c r="K1411" i="23"/>
  <c r="M1411" i="23" s="1"/>
  <c r="K1412" i="23"/>
  <c r="M1412" i="23" s="1"/>
  <c r="K1413" i="23"/>
  <c r="M1413" i="23" s="1"/>
  <c r="K1414" i="23"/>
  <c r="M1414" i="23" s="1"/>
  <c r="K1415" i="23"/>
  <c r="M1415" i="23" s="1"/>
  <c r="K1416" i="23"/>
  <c r="M1416" i="23" s="1"/>
  <c r="K1417" i="23"/>
  <c r="M1417" i="23" s="1"/>
  <c r="K1418" i="23"/>
  <c r="M1418" i="23" s="1"/>
  <c r="K1419" i="23"/>
  <c r="M1419" i="23" s="1"/>
  <c r="K1420" i="23"/>
  <c r="M1420" i="23" s="1"/>
  <c r="K1421" i="23"/>
  <c r="M1421" i="23" s="1"/>
  <c r="K1422" i="23"/>
  <c r="M1422" i="23" s="1"/>
  <c r="K1423" i="23"/>
  <c r="M1423" i="23" s="1"/>
  <c r="K1424" i="23"/>
  <c r="M1424" i="23" s="1"/>
  <c r="K1425" i="23"/>
  <c r="M1425" i="23" s="1"/>
  <c r="K1426" i="23"/>
  <c r="M1426" i="23" s="1"/>
  <c r="K1427" i="23"/>
  <c r="M1427" i="23" s="1"/>
  <c r="K1428" i="23"/>
  <c r="M1428" i="23" s="1"/>
  <c r="K1429" i="23"/>
  <c r="M1429" i="23" s="1"/>
  <c r="K1430" i="23"/>
  <c r="M1430" i="23" s="1"/>
  <c r="K1431" i="23"/>
  <c r="M1431" i="23" s="1"/>
  <c r="K1432" i="23"/>
  <c r="M1432" i="23" s="1"/>
  <c r="K1433" i="23"/>
  <c r="M1433" i="23" s="1"/>
  <c r="K1434" i="23"/>
  <c r="M1434" i="23" s="1"/>
  <c r="K1435" i="23"/>
  <c r="M1435" i="23" s="1"/>
  <c r="K1436" i="23"/>
  <c r="M1436" i="23" s="1"/>
  <c r="K1437" i="23"/>
  <c r="M1437" i="23" s="1"/>
  <c r="K1438" i="23"/>
  <c r="M1438" i="23" s="1"/>
  <c r="K1439" i="23"/>
  <c r="M1439" i="23" s="1"/>
  <c r="K1440" i="23"/>
  <c r="M1440" i="23" s="1"/>
  <c r="K1441" i="23"/>
  <c r="M1441" i="23" s="1"/>
  <c r="K1442" i="23"/>
  <c r="M1442" i="23" s="1"/>
  <c r="K1443" i="23"/>
  <c r="M1443" i="23" s="1"/>
  <c r="K1444" i="23"/>
  <c r="M1444" i="23" s="1"/>
  <c r="K1445" i="23"/>
  <c r="M1445" i="23" s="1"/>
  <c r="K1446" i="23"/>
  <c r="M1446" i="23" s="1"/>
  <c r="K1447" i="23"/>
  <c r="M1447" i="23" s="1"/>
  <c r="K1448" i="23"/>
  <c r="M1448" i="23" s="1"/>
  <c r="K1449" i="23"/>
  <c r="M1449" i="23" s="1"/>
  <c r="K1450" i="23"/>
  <c r="M1450" i="23" s="1"/>
  <c r="K1451" i="23"/>
  <c r="M1451" i="23" s="1"/>
  <c r="K1452" i="23"/>
  <c r="M1452" i="23" s="1"/>
  <c r="K1453" i="23"/>
  <c r="M1453" i="23" s="1"/>
  <c r="K1454" i="23"/>
  <c r="M1454" i="23" s="1"/>
  <c r="K1455" i="23"/>
  <c r="M1455" i="23" s="1"/>
  <c r="K1456" i="23"/>
  <c r="M1456" i="23" s="1"/>
  <c r="K1457" i="23"/>
  <c r="M1457" i="23" s="1"/>
  <c r="K1458" i="23"/>
  <c r="M1458" i="23" s="1"/>
  <c r="K1459" i="23"/>
  <c r="M1459" i="23" s="1"/>
  <c r="K1460" i="23"/>
  <c r="M1460" i="23" s="1"/>
  <c r="K1461" i="23"/>
  <c r="M1461" i="23" s="1"/>
  <c r="K1462" i="23"/>
  <c r="M1462" i="23" s="1"/>
  <c r="K1463" i="23"/>
  <c r="M1463" i="23" s="1"/>
  <c r="K1464" i="23"/>
  <c r="M1464" i="23" s="1"/>
  <c r="K1465" i="23"/>
  <c r="M1465" i="23" s="1"/>
  <c r="K1466" i="23"/>
  <c r="M1466" i="23" s="1"/>
  <c r="K1467" i="23"/>
  <c r="M1467" i="23" s="1"/>
  <c r="K1468" i="23"/>
  <c r="M1468" i="23" s="1"/>
  <c r="K1469" i="23"/>
  <c r="M1469" i="23" s="1"/>
  <c r="K1470" i="23"/>
  <c r="M1470" i="23" s="1"/>
  <c r="K1471" i="23"/>
  <c r="M1471" i="23" s="1"/>
  <c r="K1472" i="23"/>
  <c r="M1472" i="23" s="1"/>
  <c r="K1473" i="23"/>
  <c r="M1473" i="23" s="1"/>
  <c r="K1474" i="23"/>
  <c r="M1474" i="23" s="1"/>
  <c r="K1475" i="23"/>
  <c r="M1475" i="23" s="1"/>
  <c r="K1476" i="23"/>
  <c r="M1476" i="23" s="1"/>
  <c r="K1477" i="23"/>
  <c r="M1477" i="23" s="1"/>
  <c r="K1478" i="23"/>
  <c r="M1478" i="23" s="1"/>
  <c r="K1479" i="23"/>
  <c r="M1479" i="23" s="1"/>
  <c r="K1480" i="23"/>
  <c r="M1480" i="23" s="1"/>
  <c r="K1481" i="23"/>
  <c r="M1481" i="23" s="1"/>
  <c r="K1482" i="23"/>
  <c r="M1482" i="23" s="1"/>
  <c r="K1483" i="23"/>
  <c r="M1483" i="23" s="1"/>
  <c r="K1484" i="23"/>
  <c r="M1484" i="23" s="1"/>
  <c r="K1485" i="23"/>
  <c r="M1485" i="23" s="1"/>
  <c r="K1486" i="23"/>
  <c r="M1486" i="23" s="1"/>
  <c r="K1487" i="23"/>
  <c r="M1487" i="23" s="1"/>
  <c r="K1488" i="23"/>
  <c r="M1488" i="23" s="1"/>
  <c r="K1489" i="23"/>
  <c r="M1489" i="23" s="1"/>
  <c r="K1490" i="23"/>
  <c r="M1490" i="23" s="1"/>
  <c r="K1491" i="23"/>
  <c r="M1491" i="23" s="1"/>
  <c r="K1492" i="23"/>
  <c r="M1492" i="23" s="1"/>
  <c r="K1493" i="23"/>
  <c r="M1493" i="23" s="1"/>
  <c r="K1494" i="23"/>
  <c r="M1494" i="23" s="1"/>
  <c r="K1495" i="23"/>
  <c r="M1495" i="23" s="1"/>
  <c r="K1496" i="23"/>
  <c r="M1496" i="23" s="1"/>
  <c r="K1497" i="23"/>
  <c r="M1497" i="23" s="1"/>
  <c r="K1498" i="23"/>
  <c r="M1498" i="23" s="1"/>
  <c r="K1499" i="23"/>
  <c r="M1499" i="23" s="1"/>
  <c r="K1500" i="23"/>
  <c r="M1500" i="23" s="1"/>
  <c r="K1501" i="23"/>
  <c r="M1501" i="23" s="1"/>
  <c r="K1502" i="23"/>
  <c r="M1502" i="23" s="1"/>
  <c r="K1503" i="23"/>
  <c r="M1503" i="23" s="1"/>
  <c r="K1504" i="23"/>
  <c r="M1504" i="23" s="1"/>
  <c r="K1505" i="23"/>
  <c r="M1505" i="23" s="1"/>
  <c r="K1506" i="23"/>
  <c r="M1506" i="23" s="1"/>
  <c r="K1507" i="23"/>
  <c r="M1507" i="23" s="1"/>
  <c r="K1508" i="23"/>
  <c r="M1508" i="23" s="1"/>
  <c r="K1509" i="23"/>
  <c r="M1509" i="23" s="1"/>
  <c r="K1510" i="23"/>
  <c r="M1510" i="23" s="1"/>
  <c r="K1511" i="23"/>
  <c r="M1511" i="23" s="1"/>
  <c r="K1512" i="23"/>
  <c r="M1512" i="23" s="1"/>
  <c r="K1513" i="23"/>
  <c r="M1513" i="23" s="1"/>
  <c r="K1514" i="23"/>
  <c r="M1514" i="23" s="1"/>
  <c r="K1515" i="23"/>
  <c r="M1515" i="23" s="1"/>
  <c r="K1516" i="23"/>
  <c r="M1516" i="23" s="1"/>
  <c r="K1517" i="23"/>
  <c r="M1517" i="23" s="1"/>
  <c r="K1518" i="23"/>
  <c r="M1518" i="23" s="1"/>
  <c r="K1519" i="23"/>
  <c r="M1519" i="23" s="1"/>
  <c r="K1520" i="23"/>
  <c r="M1520" i="23" s="1"/>
  <c r="K1521" i="23"/>
  <c r="M1521" i="23" s="1"/>
  <c r="K1522" i="23"/>
  <c r="M1522" i="23" s="1"/>
  <c r="K1523" i="23"/>
  <c r="M1523" i="23" s="1"/>
  <c r="K1524" i="23"/>
  <c r="M1524" i="23" s="1"/>
  <c r="K1525" i="23"/>
  <c r="M1525" i="23" s="1"/>
  <c r="K1526" i="23"/>
  <c r="M1526" i="23" s="1"/>
  <c r="K1527" i="23"/>
  <c r="M1527" i="23" s="1"/>
  <c r="K1528" i="23"/>
  <c r="M1528" i="23" s="1"/>
  <c r="K1529" i="23"/>
  <c r="M1529" i="23" s="1"/>
  <c r="K1530" i="23"/>
  <c r="M1530" i="23" s="1"/>
  <c r="K1531" i="23"/>
  <c r="M1531" i="23" s="1"/>
  <c r="K1532" i="23"/>
  <c r="M1532" i="23" s="1"/>
  <c r="K1533" i="23"/>
  <c r="M1533" i="23" s="1"/>
  <c r="K1534" i="23"/>
  <c r="M1534" i="23" s="1"/>
  <c r="K1535" i="23"/>
  <c r="M1535" i="23" s="1"/>
  <c r="K1536" i="23"/>
  <c r="M1536" i="23" s="1"/>
  <c r="K1537" i="23"/>
  <c r="M1537" i="23" s="1"/>
  <c r="K1538" i="23"/>
  <c r="M1538" i="23" s="1"/>
  <c r="K1539" i="23"/>
  <c r="M1539" i="23" s="1"/>
  <c r="K1540" i="23"/>
  <c r="M1540" i="23" s="1"/>
  <c r="K1541" i="23"/>
  <c r="M1541" i="23" s="1"/>
  <c r="K1542" i="23"/>
  <c r="M1542" i="23" s="1"/>
  <c r="K1543" i="23"/>
  <c r="M1543" i="23" s="1"/>
  <c r="K1544" i="23"/>
  <c r="M1544" i="23" s="1"/>
  <c r="K1545" i="23"/>
  <c r="M1545" i="23" s="1"/>
  <c r="K1546" i="23"/>
  <c r="M1546" i="23" s="1"/>
  <c r="K1547" i="23"/>
  <c r="M1547" i="23" s="1"/>
  <c r="K1548" i="23"/>
  <c r="M1548" i="23" s="1"/>
  <c r="K1549" i="23"/>
  <c r="M1549" i="23" s="1"/>
  <c r="K1550" i="23"/>
  <c r="M1550" i="23" s="1"/>
  <c r="K1551" i="23"/>
  <c r="M1551" i="23" s="1"/>
  <c r="K1552" i="23"/>
  <c r="M1552" i="23" s="1"/>
  <c r="K1553" i="23"/>
  <c r="M1553" i="23" s="1"/>
  <c r="K1554" i="23"/>
  <c r="M1554" i="23" s="1"/>
  <c r="K1555" i="23"/>
  <c r="M1555" i="23" s="1"/>
  <c r="K1556" i="23"/>
  <c r="M1556" i="23" s="1"/>
  <c r="K1557" i="23"/>
  <c r="M1557" i="23" s="1"/>
  <c r="K1558" i="23"/>
  <c r="M1558" i="23" s="1"/>
  <c r="K1559" i="23"/>
  <c r="M1559" i="23" s="1"/>
  <c r="K1560" i="23"/>
  <c r="M1560" i="23" s="1"/>
  <c r="K1561" i="23"/>
  <c r="M1561" i="23" s="1"/>
  <c r="K1562" i="23"/>
  <c r="M1562" i="23" s="1"/>
  <c r="K1563" i="23"/>
  <c r="M1563" i="23" s="1"/>
  <c r="K1564" i="23"/>
  <c r="M1564" i="23" s="1"/>
  <c r="K1565" i="23"/>
  <c r="M1565" i="23" s="1"/>
  <c r="K1566" i="23"/>
  <c r="M1566" i="23" s="1"/>
  <c r="K1567" i="23"/>
  <c r="M1567" i="23" s="1"/>
  <c r="K1568" i="23"/>
  <c r="M1568" i="23" s="1"/>
  <c r="K1569" i="23"/>
  <c r="M1569" i="23" s="1"/>
  <c r="K1570" i="23"/>
  <c r="M1570" i="23" s="1"/>
  <c r="K1571" i="23"/>
  <c r="M1571" i="23" s="1"/>
  <c r="K1572" i="23"/>
  <c r="M1572" i="23" s="1"/>
  <c r="K1573" i="23"/>
  <c r="M1573" i="23" s="1"/>
  <c r="K1574" i="23"/>
  <c r="M1574" i="23" s="1"/>
  <c r="K1575" i="23"/>
  <c r="M1575" i="23" s="1"/>
  <c r="K1576" i="23"/>
  <c r="M1576" i="23" s="1"/>
  <c r="K1577" i="23"/>
  <c r="M1577" i="23" s="1"/>
  <c r="K1578" i="23"/>
  <c r="M1578" i="23" s="1"/>
  <c r="K1579" i="23"/>
  <c r="M1579" i="23" s="1"/>
  <c r="K1580" i="23"/>
  <c r="M1580" i="23" s="1"/>
  <c r="K1581" i="23"/>
  <c r="M1581" i="23" s="1"/>
  <c r="K1582" i="23"/>
  <c r="M1582" i="23" s="1"/>
  <c r="K1583" i="23"/>
  <c r="M1583" i="23" s="1"/>
  <c r="K1584" i="23"/>
  <c r="M1584" i="23" s="1"/>
  <c r="K1585" i="23"/>
  <c r="M1585" i="23" s="1"/>
  <c r="K1586" i="23"/>
  <c r="M1586" i="23" s="1"/>
  <c r="K1587" i="23"/>
  <c r="M1587" i="23" s="1"/>
  <c r="K1588" i="23"/>
  <c r="M1588" i="23" s="1"/>
  <c r="K1589" i="23"/>
  <c r="M1589" i="23" s="1"/>
  <c r="K1590" i="23"/>
  <c r="M1590" i="23" s="1"/>
  <c r="K1591" i="23"/>
  <c r="M1591" i="23" s="1"/>
  <c r="K1592" i="23"/>
  <c r="M1592" i="23" s="1"/>
  <c r="K1593" i="23"/>
  <c r="M1593" i="23" s="1"/>
  <c r="K1594" i="23"/>
  <c r="M1594" i="23" s="1"/>
  <c r="K1595" i="23"/>
  <c r="M1595" i="23" s="1"/>
  <c r="K1596" i="23"/>
  <c r="M1596" i="23" s="1"/>
  <c r="K1597" i="23"/>
  <c r="M1597" i="23" s="1"/>
  <c r="K1598" i="23"/>
  <c r="M1598" i="23" s="1"/>
  <c r="K1599" i="23"/>
  <c r="M1599" i="23" s="1"/>
  <c r="K1600" i="23"/>
  <c r="M1600" i="23" s="1"/>
  <c r="K1601" i="23"/>
  <c r="M1601" i="23" s="1"/>
  <c r="K1602" i="23"/>
  <c r="M1602" i="23" s="1"/>
  <c r="K1603" i="23"/>
  <c r="M1603" i="23" s="1"/>
  <c r="K1604" i="23"/>
  <c r="M1604" i="23" s="1"/>
  <c r="K1605" i="23"/>
  <c r="M1605" i="23" s="1"/>
  <c r="K1606" i="23"/>
  <c r="M1606" i="23" s="1"/>
  <c r="K1607" i="23"/>
  <c r="M1607" i="23" s="1"/>
  <c r="K1608" i="23"/>
  <c r="M1608" i="23" s="1"/>
  <c r="K1609" i="23"/>
  <c r="M1609" i="23" s="1"/>
  <c r="K1610" i="23"/>
  <c r="M1610" i="23" s="1"/>
  <c r="K1611" i="23"/>
  <c r="M1611" i="23" s="1"/>
  <c r="K1612" i="23"/>
  <c r="M1612" i="23" s="1"/>
  <c r="K1613" i="23"/>
  <c r="M1613" i="23" s="1"/>
  <c r="K1614" i="23"/>
  <c r="M1614" i="23" s="1"/>
  <c r="K1615" i="23"/>
  <c r="M1615" i="23" s="1"/>
  <c r="K1616" i="23"/>
  <c r="M1616" i="23" s="1"/>
  <c r="K1617" i="23"/>
  <c r="M1617" i="23" s="1"/>
  <c r="K1618" i="23"/>
  <c r="M1618" i="23" s="1"/>
  <c r="K1619" i="23"/>
  <c r="M1619" i="23" s="1"/>
  <c r="K1620" i="23"/>
  <c r="M1620" i="23" s="1"/>
  <c r="K1621" i="23"/>
  <c r="M1621" i="23" s="1"/>
  <c r="K1622" i="23"/>
  <c r="M1622" i="23" s="1"/>
  <c r="K1623" i="23"/>
  <c r="M1623" i="23" s="1"/>
  <c r="K1624" i="23"/>
  <c r="M1624" i="23" s="1"/>
  <c r="K1625" i="23"/>
  <c r="M1625" i="23" s="1"/>
  <c r="K1626" i="23"/>
  <c r="M1626" i="23" s="1"/>
  <c r="K1627" i="23"/>
  <c r="M1627" i="23" s="1"/>
  <c r="K1628" i="23"/>
  <c r="M1628" i="23" s="1"/>
  <c r="K1629" i="23"/>
  <c r="M1629" i="23" s="1"/>
  <c r="K1630" i="23"/>
  <c r="M1630" i="23" s="1"/>
  <c r="K1631" i="23"/>
  <c r="M1631" i="23" s="1"/>
  <c r="K1632" i="23"/>
  <c r="M1632" i="23" s="1"/>
  <c r="K1633" i="23"/>
  <c r="M1633" i="23" s="1"/>
  <c r="K1634" i="23"/>
  <c r="M1634" i="23" s="1"/>
  <c r="K1635" i="23"/>
  <c r="M1635" i="23" s="1"/>
  <c r="K1636" i="23"/>
  <c r="M1636" i="23" s="1"/>
  <c r="K1637" i="23"/>
  <c r="M1637" i="23" s="1"/>
  <c r="K1638" i="23"/>
  <c r="M1638" i="23" s="1"/>
  <c r="K1639" i="23"/>
  <c r="M1639" i="23" s="1"/>
  <c r="K1640" i="23"/>
  <c r="M1640" i="23" s="1"/>
  <c r="K1641" i="23"/>
  <c r="M1641" i="23" s="1"/>
  <c r="K1642" i="23"/>
  <c r="M1642" i="23" s="1"/>
  <c r="K1643" i="23"/>
  <c r="M1643" i="23" s="1"/>
  <c r="K1644" i="23"/>
  <c r="M1644" i="23" s="1"/>
  <c r="K1645" i="23"/>
  <c r="M1645" i="23" s="1"/>
  <c r="K1646" i="23"/>
  <c r="M1646" i="23" s="1"/>
  <c r="K1647" i="23"/>
  <c r="M1647" i="23" s="1"/>
  <c r="K1648" i="23"/>
  <c r="M1648" i="23" s="1"/>
  <c r="K1649" i="23"/>
  <c r="M1649" i="23" s="1"/>
  <c r="K1650" i="23"/>
  <c r="M1650" i="23" s="1"/>
  <c r="K1651" i="23"/>
  <c r="M1651" i="23" s="1"/>
  <c r="K1652" i="23"/>
  <c r="M1652" i="23" s="1"/>
  <c r="K1653" i="23"/>
  <c r="M1653" i="23" s="1"/>
  <c r="K1654" i="23"/>
  <c r="M1654" i="23" s="1"/>
  <c r="K1655" i="23"/>
  <c r="M1655" i="23" s="1"/>
  <c r="K1656" i="23"/>
  <c r="M1656" i="23" s="1"/>
  <c r="K1657" i="23"/>
  <c r="M1657" i="23" s="1"/>
  <c r="K1658" i="23"/>
  <c r="M1658" i="23" s="1"/>
  <c r="K1659" i="23"/>
  <c r="M1659" i="23" s="1"/>
  <c r="K1660" i="23"/>
  <c r="M1660" i="23" s="1"/>
  <c r="K1661" i="23"/>
  <c r="M1661" i="23" s="1"/>
  <c r="K1662" i="23"/>
  <c r="M1662" i="23" s="1"/>
  <c r="K1663" i="23"/>
  <c r="M1663" i="23" s="1"/>
  <c r="K1664" i="23"/>
  <c r="M1664" i="23" s="1"/>
  <c r="K1665" i="23"/>
  <c r="M1665" i="23" s="1"/>
  <c r="K1666" i="23"/>
  <c r="M1666" i="23" s="1"/>
  <c r="K1667" i="23"/>
  <c r="M1667" i="23" s="1"/>
  <c r="K1668" i="23"/>
  <c r="M1668" i="23" s="1"/>
  <c r="K1669" i="23"/>
  <c r="M1669" i="23" s="1"/>
  <c r="K1670" i="23"/>
  <c r="M1670" i="23" s="1"/>
  <c r="K1671" i="23"/>
  <c r="M1671" i="23" s="1"/>
  <c r="K1672" i="23"/>
  <c r="M1672" i="23" s="1"/>
  <c r="K1673" i="23"/>
  <c r="M1673" i="23" s="1"/>
  <c r="K1674" i="23"/>
  <c r="M1674" i="23" s="1"/>
  <c r="K1675" i="23"/>
  <c r="M1675" i="23" s="1"/>
  <c r="K1676" i="23"/>
  <c r="M1676" i="23" s="1"/>
  <c r="K1677" i="23"/>
  <c r="M1677" i="23" s="1"/>
  <c r="K1678" i="23"/>
  <c r="M1678" i="23" s="1"/>
  <c r="K1679" i="23"/>
  <c r="M1679" i="23" s="1"/>
  <c r="K1680" i="23"/>
  <c r="M1680" i="23" s="1"/>
  <c r="K1681" i="23"/>
  <c r="M1681" i="23" s="1"/>
  <c r="K1682" i="23"/>
  <c r="M1682" i="23" s="1"/>
  <c r="K1683" i="23"/>
  <c r="M1683" i="23" s="1"/>
  <c r="K1684" i="23"/>
  <c r="M1684" i="23" s="1"/>
  <c r="K1685" i="23"/>
  <c r="M1685" i="23" s="1"/>
  <c r="K1686" i="23"/>
  <c r="M1686" i="23" s="1"/>
  <c r="K1687" i="23"/>
  <c r="M1687" i="23" s="1"/>
  <c r="K1688" i="23"/>
  <c r="M1688" i="23" s="1"/>
  <c r="K1689" i="23"/>
  <c r="M1689" i="23" s="1"/>
  <c r="K1690" i="23"/>
  <c r="M1690" i="23" s="1"/>
  <c r="K1691" i="23"/>
  <c r="M1691" i="23" s="1"/>
  <c r="K1692" i="23"/>
  <c r="M1692" i="23" s="1"/>
  <c r="K1693" i="23"/>
  <c r="M1693" i="23" s="1"/>
  <c r="K1694" i="23"/>
  <c r="M1694" i="23" s="1"/>
  <c r="K1695" i="23"/>
  <c r="M1695" i="23" s="1"/>
  <c r="K1696" i="23"/>
  <c r="M1696" i="23" s="1"/>
  <c r="K1697" i="23"/>
  <c r="M1697" i="23" s="1"/>
  <c r="K1698" i="23"/>
  <c r="M1698" i="23" s="1"/>
  <c r="K1699" i="23"/>
  <c r="M1699" i="23" s="1"/>
  <c r="K1700" i="23"/>
  <c r="M1700" i="23" s="1"/>
  <c r="K1701" i="23"/>
  <c r="M1701" i="23" s="1"/>
  <c r="K1702" i="23"/>
  <c r="M1702" i="23" s="1"/>
  <c r="K1703" i="23"/>
  <c r="M1703" i="23" s="1"/>
  <c r="K1704" i="23"/>
  <c r="M1704" i="23" s="1"/>
  <c r="K1705" i="23"/>
  <c r="M1705" i="23" s="1"/>
  <c r="K1706" i="23"/>
  <c r="M1706" i="23" s="1"/>
  <c r="K1707" i="23"/>
  <c r="M1707" i="23" s="1"/>
  <c r="K1708" i="23"/>
  <c r="M1708" i="23" s="1"/>
  <c r="K1709" i="23"/>
  <c r="M1709" i="23" s="1"/>
  <c r="K1710" i="23"/>
  <c r="M1710" i="23" s="1"/>
  <c r="K1711" i="23"/>
  <c r="M1711" i="23" s="1"/>
  <c r="K1712" i="23"/>
  <c r="M1712" i="23" s="1"/>
  <c r="K1713" i="23"/>
  <c r="M1713" i="23" s="1"/>
  <c r="K1714" i="23"/>
  <c r="M1714" i="23" s="1"/>
  <c r="K1715" i="23"/>
  <c r="M1715" i="23" s="1"/>
  <c r="K1716" i="23"/>
  <c r="M1716" i="23" s="1"/>
  <c r="K1717" i="23"/>
  <c r="M1717" i="23" s="1"/>
  <c r="K1718" i="23"/>
  <c r="M1718" i="23" s="1"/>
  <c r="K1719" i="23"/>
  <c r="M1719" i="23" s="1"/>
  <c r="K1720" i="23"/>
  <c r="M1720" i="23" s="1"/>
  <c r="K1721" i="23"/>
  <c r="M1721" i="23" s="1"/>
  <c r="K1722" i="23"/>
  <c r="M1722" i="23" s="1"/>
  <c r="K1723" i="23"/>
  <c r="M1723" i="23" s="1"/>
  <c r="K1724" i="23"/>
  <c r="M1724" i="23" s="1"/>
  <c r="K1725" i="23"/>
  <c r="M1725" i="23" s="1"/>
  <c r="K1726" i="23"/>
  <c r="M1726" i="23" s="1"/>
  <c r="K1727" i="23"/>
  <c r="M1727" i="23" s="1"/>
  <c r="K1728" i="23"/>
  <c r="M1728" i="23" s="1"/>
  <c r="K1729" i="23"/>
  <c r="M1729" i="23" s="1"/>
  <c r="K1730" i="23"/>
  <c r="M1730" i="23" s="1"/>
  <c r="K1731" i="23"/>
  <c r="M1731" i="23" s="1"/>
  <c r="K1732" i="23"/>
  <c r="M1732" i="23" s="1"/>
  <c r="K1733" i="23"/>
  <c r="M1733" i="23" s="1"/>
  <c r="K1734" i="23"/>
  <c r="M1734" i="23" s="1"/>
  <c r="K1735" i="23"/>
  <c r="M1735" i="23" s="1"/>
  <c r="K1736" i="23"/>
  <c r="M1736" i="23" s="1"/>
  <c r="K1737" i="23"/>
  <c r="M1737" i="23" s="1"/>
  <c r="K1738" i="23"/>
  <c r="M1738" i="23" s="1"/>
  <c r="K1739" i="23"/>
  <c r="M1739" i="23" s="1"/>
  <c r="K1740" i="23"/>
  <c r="M1740" i="23" s="1"/>
  <c r="K1741" i="23"/>
  <c r="M1741" i="23" s="1"/>
  <c r="K1742" i="23"/>
  <c r="M1742" i="23" s="1"/>
  <c r="K1743" i="23"/>
  <c r="M1743" i="23" s="1"/>
  <c r="K1744" i="23"/>
  <c r="M1744" i="23" s="1"/>
  <c r="K1745" i="23"/>
  <c r="M1745" i="23" s="1"/>
  <c r="K1746" i="23"/>
  <c r="M1746" i="23" s="1"/>
  <c r="K1747" i="23"/>
  <c r="M1747" i="23" s="1"/>
  <c r="K1748" i="23"/>
  <c r="M1748" i="23" s="1"/>
  <c r="K1749" i="23"/>
  <c r="M1749" i="23" s="1"/>
  <c r="K1750" i="23"/>
  <c r="M1750" i="23" s="1"/>
  <c r="K1751" i="23"/>
  <c r="M1751" i="23" s="1"/>
  <c r="K1752" i="23"/>
  <c r="M1752" i="23" s="1"/>
  <c r="K1753" i="23"/>
  <c r="M1753" i="23" s="1"/>
  <c r="K1754" i="23"/>
  <c r="M1754" i="23" s="1"/>
  <c r="K1755" i="23"/>
  <c r="M1755" i="23" s="1"/>
  <c r="K1756" i="23"/>
  <c r="M1756" i="23" s="1"/>
  <c r="K1757" i="23"/>
  <c r="M1757" i="23" s="1"/>
  <c r="K1758" i="23"/>
  <c r="M1758" i="23" s="1"/>
  <c r="K1759" i="23"/>
  <c r="M1759" i="23" s="1"/>
  <c r="K1760" i="23"/>
  <c r="M1760" i="23" s="1"/>
  <c r="K1761" i="23"/>
  <c r="M1761" i="23" s="1"/>
  <c r="K1762" i="23"/>
  <c r="M1762" i="23" s="1"/>
  <c r="K1763" i="23"/>
  <c r="M1763" i="23" s="1"/>
  <c r="K1764" i="23"/>
  <c r="M1764" i="23" s="1"/>
  <c r="K1765" i="23"/>
  <c r="M1765" i="23" s="1"/>
  <c r="K1766" i="23"/>
  <c r="M1766" i="23" s="1"/>
  <c r="K1767" i="23"/>
  <c r="M1767" i="23" s="1"/>
  <c r="K1768" i="23"/>
  <c r="M1768" i="23" s="1"/>
  <c r="K1769" i="23"/>
  <c r="M1769" i="23" s="1"/>
  <c r="K1770" i="23"/>
  <c r="M1770" i="23" s="1"/>
  <c r="K1771" i="23"/>
  <c r="M1771" i="23" s="1"/>
  <c r="K1772" i="23"/>
  <c r="M1772" i="23" s="1"/>
  <c r="K1773" i="23"/>
  <c r="M1773" i="23" s="1"/>
  <c r="K1774" i="23"/>
  <c r="M1774" i="23" s="1"/>
  <c r="K1775" i="23"/>
  <c r="M1775" i="23" s="1"/>
  <c r="K1776" i="23"/>
  <c r="M1776" i="23" s="1"/>
  <c r="K1777" i="23"/>
  <c r="M1777" i="23" s="1"/>
  <c r="K1778" i="23"/>
  <c r="M1778" i="23" s="1"/>
  <c r="K1779" i="23"/>
  <c r="M1779" i="23" s="1"/>
  <c r="K1780" i="23"/>
  <c r="M1780" i="23" s="1"/>
  <c r="K1781" i="23"/>
  <c r="M1781" i="23" s="1"/>
  <c r="K1782" i="23"/>
  <c r="M1782" i="23" s="1"/>
  <c r="K1783" i="23"/>
  <c r="M1783" i="23" s="1"/>
  <c r="K1784" i="23"/>
  <c r="M1784" i="23" s="1"/>
  <c r="K1785" i="23"/>
  <c r="M1785" i="23" s="1"/>
  <c r="K1786" i="23"/>
  <c r="M1786" i="23" s="1"/>
  <c r="K1787" i="23"/>
  <c r="M1787" i="23" s="1"/>
  <c r="K1788" i="23"/>
  <c r="M1788" i="23" s="1"/>
  <c r="K1789" i="23"/>
  <c r="M1789" i="23" s="1"/>
  <c r="K1790" i="23"/>
  <c r="M1790" i="23" s="1"/>
  <c r="K1791" i="23"/>
  <c r="M1791" i="23" s="1"/>
  <c r="K1792" i="23"/>
  <c r="M1792" i="23" s="1"/>
  <c r="K1793" i="23"/>
  <c r="M1793" i="23" s="1"/>
  <c r="K1794" i="23"/>
  <c r="M1794" i="23" s="1"/>
  <c r="K1795" i="23"/>
  <c r="M1795" i="23" s="1"/>
  <c r="K1796" i="23"/>
  <c r="M1796" i="23" s="1"/>
  <c r="K1797" i="23"/>
  <c r="M1797" i="23" s="1"/>
  <c r="K1798" i="23"/>
  <c r="M1798" i="23" s="1"/>
  <c r="K1799" i="23"/>
  <c r="M1799" i="23" s="1"/>
  <c r="K1800" i="23"/>
  <c r="M1800" i="23" s="1"/>
  <c r="K1801" i="23"/>
  <c r="M1801" i="23" s="1"/>
  <c r="K1802" i="23"/>
  <c r="M1802" i="23" s="1"/>
  <c r="K1803" i="23"/>
  <c r="M1803" i="23" s="1"/>
  <c r="K1804" i="23"/>
  <c r="M1804" i="23" s="1"/>
  <c r="K1805" i="23"/>
  <c r="M1805" i="23" s="1"/>
  <c r="K1806" i="23"/>
  <c r="M1806" i="23" s="1"/>
  <c r="K1807" i="23"/>
  <c r="M1807" i="23" s="1"/>
  <c r="K1808" i="23"/>
  <c r="M1808" i="23" s="1"/>
  <c r="K1809" i="23"/>
  <c r="M1809" i="23" s="1"/>
  <c r="K1810" i="23"/>
  <c r="M1810" i="23" s="1"/>
  <c r="K1811" i="23"/>
  <c r="M1811" i="23" s="1"/>
  <c r="K1812" i="23"/>
  <c r="M1812" i="23" s="1"/>
  <c r="K1813" i="23"/>
  <c r="M1813" i="23" s="1"/>
  <c r="K1814" i="23"/>
  <c r="M1814" i="23" s="1"/>
  <c r="K1815" i="23"/>
  <c r="M1815" i="23" s="1"/>
  <c r="K1816" i="23"/>
  <c r="M1816" i="23" s="1"/>
  <c r="K1817" i="23"/>
  <c r="M1817" i="23" s="1"/>
  <c r="K1818" i="23"/>
  <c r="M1818" i="23" s="1"/>
  <c r="K1819" i="23"/>
  <c r="M1819" i="23" s="1"/>
  <c r="K1820" i="23"/>
  <c r="M1820" i="23" s="1"/>
  <c r="K1821" i="23"/>
  <c r="M1821" i="23" s="1"/>
  <c r="K1822" i="23"/>
  <c r="M1822" i="23" s="1"/>
  <c r="K1823" i="23"/>
  <c r="M1823" i="23" s="1"/>
  <c r="K1824" i="23"/>
  <c r="M1824" i="23" s="1"/>
  <c r="K1825" i="23"/>
  <c r="M1825" i="23" s="1"/>
  <c r="K1826" i="23"/>
  <c r="M1826" i="23" s="1"/>
  <c r="K1827" i="23"/>
  <c r="M1827" i="23" s="1"/>
  <c r="K1828" i="23"/>
  <c r="M1828" i="23" s="1"/>
  <c r="K1829" i="23"/>
  <c r="M1829" i="23" s="1"/>
  <c r="K1830" i="23"/>
  <c r="M1830" i="23" s="1"/>
  <c r="K1831" i="23"/>
  <c r="M1831" i="23" s="1"/>
  <c r="K1832" i="23"/>
  <c r="M1832" i="23" s="1"/>
  <c r="K1833" i="23"/>
  <c r="M1833" i="23" s="1"/>
  <c r="K1834" i="23"/>
  <c r="M1834" i="23" s="1"/>
  <c r="K1835" i="23"/>
  <c r="M1835" i="23" s="1"/>
  <c r="K1836" i="23"/>
  <c r="M1836" i="23" s="1"/>
  <c r="K1837" i="23"/>
  <c r="M1837" i="23" s="1"/>
  <c r="K1838" i="23"/>
  <c r="M1838" i="23" s="1"/>
  <c r="K1839" i="23"/>
  <c r="M1839" i="23" s="1"/>
  <c r="K1840" i="23"/>
  <c r="M1840" i="23" s="1"/>
  <c r="K1841" i="23"/>
  <c r="M1841" i="23" s="1"/>
  <c r="K1842" i="23"/>
  <c r="M1842" i="23" s="1"/>
  <c r="K1843" i="23"/>
  <c r="M1843" i="23" s="1"/>
  <c r="K1844" i="23"/>
  <c r="M1844" i="23" s="1"/>
  <c r="K1845" i="23"/>
  <c r="M1845" i="23" s="1"/>
  <c r="K1846" i="23"/>
  <c r="M1846" i="23" s="1"/>
  <c r="K1847" i="23"/>
  <c r="M1847" i="23" s="1"/>
  <c r="K1848" i="23"/>
  <c r="M1848" i="23" s="1"/>
  <c r="K1849" i="23"/>
  <c r="M1849" i="23" s="1"/>
  <c r="K1850" i="23"/>
  <c r="M1850" i="23" s="1"/>
  <c r="K1851" i="23"/>
  <c r="M1851" i="23" s="1"/>
  <c r="K1852" i="23"/>
  <c r="M1852" i="23" s="1"/>
  <c r="K1853" i="23"/>
  <c r="M1853" i="23" s="1"/>
  <c r="K1854" i="23"/>
  <c r="M1854" i="23" s="1"/>
  <c r="K1855" i="23"/>
  <c r="M1855" i="23" s="1"/>
  <c r="K1856" i="23"/>
  <c r="M1856" i="23" s="1"/>
  <c r="K1857" i="23"/>
  <c r="M1857" i="23" s="1"/>
  <c r="K1858" i="23"/>
  <c r="M1858" i="23" s="1"/>
  <c r="K1859" i="23"/>
  <c r="M1859" i="23" s="1"/>
  <c r="K1860" i="23"/>
  <c r="M1860" i="23" s="1"/>
  <c r="K1861" i="23"/>
  <c r="M1861" i="23" s="1"/>
  <c r="K1862" i="23"/>
  <c r="M1862" i="23" s="1"/>
  <c r="K1863" i="23"/>
  <c r="M1863" i="23" s="1"/>
  <c r="K1864" i="23"/>
  <c r="M1864" i="23" s="1"/>
  <c r="K1865" i="23"/>
  <c r="M1865" i="23" s="1"/>
  <c r="K1866" i="23"/>
  <c r="M1866" i="23" s="1"/>
  <c r="K1867" i="23"/>
  <c r="M1867" i="23" s="1"/>
  <c r="K1868" i="23"/>
  <c r="M1868" i="23" s="1"/>
  <c r="K1869" i="23"/>
  <c r="M1869" i="23" s="1"/>
  <c r="K1870" i="23"/>
  <c r="M1870" i="23" s="1"/>
  <c r="K1871" i="23"/>
  <c r="M1871" i="23" s="1"/>
  <c r="K1872" i="23"/>
  <c r="M1872" i="23" s="1"/>
  <c r="K1873" i="23"/>
  <c r="M1873" i="23" s="1"/>
  <c r="K1874" i="23"/>
  <c r="M1874" i="23" s="1"/>
  <c r="K1875" i="23"/>
  <c r="M1875" i="23" s="1"/>
  <c r="K1876" i="23"/>
  <c r="M1876" i="23" s="1"/>
  <c r="K1877" i="23"/>
  <c r="M1877" i="23" s="1"/>
  <c r="K1878" i="23"/>
  <c r="M1878" i="23" s="1"/>
  <c r="K1879" i="23"/>
  <c r="M1879" i="23" s="1"/>
  <c r="K1880" i="23"/>
  <c r="M1880" i="23" s="1"/>
  <c r="K1881" i="23"/>
  <c r="M1881" i="23" s="1"/>
  <c r="K1882" i="23"/>
  <c r="M1882" i="23" s="1"/>
  <c r="K1883" i="23"/>
  <c r="M1883" i="23" s="1"/>
  <c r="K1884" i="23"/>
  <c r="M1884" i="23" s="1"/>
  <c r="K1885" i="23"/>
  <c r="M1885" i="23" s="1"/>
  <c r="K1886" i="23"/>
  <c r="M1886" i="23" s="1"/>
  <c r="K1887" i="23"/>
  <c r="M1887" i="23" s="1"/>
  <c r="K1888" i="23"/>
  <c r="M1888" i="23" s="1"/>
  <c r="K1889" i="23"/>
  <c r="M1889" i="23" s="1"/>
  <c r="K1890" i="23"/>
  <c r="M1890" i="23" s="1"/>
  <c r="K1891" i="23"/>
  <c r="M1891" i="23" s="1"/>
  <c r="K1892" i="23"/>
  <c r="M1892" i="23" s="1"/>
  <c r="K1893" i="23"/>
  <c r="M1893" i="23" s="1"/>
  <c r="K1894" i="23"/>
  <c r="M1894" i="23" s="1"/>
  <c r="K1895" i="23"/>
  <c r="M1895" i="23" s="1"/>
  <c r="K1896" i="23"/>
  <c r="M1896" i="23" s="1"/>
  <c r="K1897" i="23"/>
  <c r="M1897" i="23" s="1"/>
  <c r="K1898" i="23"/>
  <c r="M1898" i="23" s="1"/>
  <c r="K1899" i="23"/>
  <c r="M1899" i="23" s="1"/>
  <c r="K1900" i="23"/>
  <c r="M1900" i="23" s="1"/>
  <c r="K1901" i="23"/>
  <c r="M1901" i="23" s="1"/>
  <c r="K1902" i="23"/>
  <c r="M1902" i="23" s="1"/>
  <c r="K1903" i="23"/>
  <c r="M1903" i="23" s="1"/>
  <c r="K1904" i="23"/>
  <c r="M1904" i="23" s="1"/>
  <c r="K1905" i="23"/>
  <c r="M1905" i="23" s="1"/>
  <c r="K1906" i="23"/>
  <c r="M1906" i="23" s="1"/>
  <c r="K1907" i="23"/>
  <c r="M1907" i="23" s="1"/>
  <c r="K1908" i="23"/>
  <c r="M1908" i="23" s="1"/>
  <c r="K1909" i="23"/>
  <c r="M1909" i="23" s="1"/>
  <c r="K1910" i="23"/>
  <c r="M1910" i="23" s="1"/>
  <c r="K1911" i="23"/>
  <c r="M1911" i="23" s="1"/>
  <c r="K1912" i="23"/>
  <c r="M1912" i="23" s="1"/>
  <c r="K1913" i="23"/>
  <c r="M1913" i="23" s="1"/>
  <c r="K1914" i="23"/>
  <c r="M1914" i="23" s="1"/>
  <c r="K1915" i="23"/>
  <c r="M1915" i="23" s="1"/>
  <c r="K1916" i="23"/>
  <c r="M1916" i="23" s="1"/>
  <c r="K1917" i="23"/>
  <c r="M1917" i="23" s="1"/>
  <c r="K1918" i="23"/>
  <c r="M1918" i="23" s="1"/>
  <c r="K1919" i="23"/>
  <c r="M1919" i="23" s="1"/>
  <c r="K1920" i="23"/>
  <c r="M1920" i="23" s="1"/>
  <c r="K1921" i="23"/>
  <c r="M1921" i="23" s="1"/>
  <c r="K1922" i="23"/>
  <c r="M1922" i="23" s="1"/>
  <c r="K1923" i="23"/>
  <c r="M1923" i="23" s="1"/>
  <c r="K1924" i="23"/>
  <c r="M1924" i="23" s="1"/>
  <c r="K1925" i="23"/>
  <c r="M1925" i="23" s="1"/>
  <c r="K1926" i="23"/>
  <c r="M1926" i="23" s="1"/>
  <c r="K1927" i="23"/>
  <c r="M1927" i="23" s="1"/>
  <c r="K1928" i="23"/>
  <c r="M1928" i="23" s="1"/>
  <c r="K1929" i="23"/>
  <c r="M1929" i="23" s="1"/>
  <c r="K1930" i="23"/>
  <c r="M1930" i="23" s="1"/>
  <c r="K1931" i="23"/>
  <c r="M1931" i="23" s="1"/>
  <c r="K1932" i="23"/>
  <c r="M1932" i="23" s="1"/>
  <c r="K1933" i="23"/>
  <c r="M1933" i="23" s="1"/>
  <c r="K1934" i="23"/>
  <c r="M1934" i="23" s="1"/>
  <c r="K1935" i="23"/>
  <c r="M1935" i="23" s="1"/>
  <c r="K1936" i="23"/>
  <c r="M1936" i="23" s="1"/>
  <c r="K1937" i="23"/>
  <c r="M1937" i="23" s="1"/>
  <c r="K1938" i="23"/>
  <c r="M1938" i="23" s="1"/>
  <c r="K1939" i="23"/>
  <c r="M1939" i="23" s="1"/>
  <c r="K1940" i="23"/>
  <c r="M1940" i="23" s="1"/>
  <c r="K1941" i="23"/>
  <c r="M1941" i="23" s="1"/>
  <c r="K1942" i="23"/>
  <c r="M1942" i="23" s="1"/>
  <c r="K1943" i="23"/>
  <c r="M1943" i="23" s="1"/>
  <c r="K1944" i="23"/>
  <c r="M1944" i="23" s="1"/>
  <c r="K1945" i="23"/>
  <c r="M1945" i="23" s="1"/>
  <c r="K1946" i="23"/>
  <c r="M1946" i="23" s="1"/>
  <c r="K1947" i="23"/>
  <c r="M1947" i="23" s="1"/>
  <c r="K1948" i="23"/>
  <c r="M1948" i="23" s="1"/>
  <c r="K1949" i="23"/>
  <c r="M1949" i="23" s="1"/>
  <c r="K1950" i="23"/>
  <c r="M1950" i="23" s="1"/>
  <c r="K1951" i="23"/>
  <c r="M1951" i="23" s="1"/>
  <c r="K1952" i="23"/>
  <c r="M1952" i="23" s="1"/>
  <c r="K1953" i="23"/>
  <c r="M1953" i="23" s="1"/>
  <c r="K1954" i="23"/>
  <c r="M1954" i="23" s="1"/>
  <c r="K1955" i="23"/>
  <c r="M1955" i="23" s="1"/>
  <c r="K1956" i="23"/>
  <c r="M1956" i="23" s="1"/>
  <c r="K1957" i="23"/>
  <c r="M1957" i="23" s="1"/>
  <c r="K1958" i="23"/>
  <c r="M1958" i="23" s="1"/>
  <c r="K1959" i="23"/>
  <c r="M1959" i="23" s="1"/>
  <c r="K1960" i="23"/>
  <c r="M1960" i="23" s="1"/>
  <c r="K1961" i="23"/>
  <c r="M1961" i="23" s="1"/>
  <c r="K1962" i="23"/>
  <c r="M1962" i="23" s="1"/>
  <c r="K1963" i="23"/>
  <c r="M1963" i="23" s="1"/>
  <c r="K1964" i="23"/>
  <c r="M1964" i="23" s="1"/>
  <c r="K1965" i="23"/>
  <c r="M1965" i="23" s="1"/>
  <c r="K1966" i="23"/>
  <c r="M1966" i="23" s="1"/>
  <c r="K1967" i="23"/>
  <c r="M1967" i="23" s="1"/>
  <c r="K1968" i="23"/>
  <c r="M1968" i="23" s="1"/>
  <c r="K1969" i="23"/>
  <c r="M1969" i="23" s="1"/>
  <c r="K1970" i="23"/>
  <c r="M1970" i="23" s="1"/>
  <c r="K1971" i="23"/>
  <c r="M1971" i="23" s="1"/>
  <c r="K1972" i="23"/>
  <c r="M1972" i="23" s="1"/>
  <c r="K1973" i="23"/>
  <c r="M1973" i="23" s="1"/>
  <c r="K1974" i="23"/>
  <c r="M1974" i="23" s="1"/>
  <c r="K1975" i="23"/>
  <c r="M1975" i="23" s="1"/>
  <c r="K1976" i="23"/>
  <c r="M1976" i="23" s="1"/>
  <c r="K1977" i="23"/>
  <c r="M1977" i="23" s="1"/>
  <c r="K1978" i="23"/>
  <c r="M1978" i="23" s="1"/>
  <c r="K1979" i="23"/>
  <c r="M1979" i="23" s="1"/>
  <c r="K1980" i="23"/>
  <c r="M1980" i="23" s="1"/>
  <c r="K1981" i="23"/>
  <c r="M1981" i="23" s="1"/>
  <c r="K1982" i="23"/>
  <c r="M1982" i="23" s="1"/>
  <c r="K1983" i="23"/>
  <c r="M1983" i="23" s="1"/>
  <c r="K1984" i="23"/>
  <c r="M1984" i="23" s="1"/>
  <c r="K1985" i="23"/>
  <c r="M1985" i="23" s="1"/>
  <c r="K1986" i="23"/>
  <c r="M1986" i="23" s="1"/>
  <c r="K1987" i="23"/>
  <c r="M1987" i="23" s="1"/>
  <c r="K1988" i="23"/>
  <c r="M1988" i="23" s="1"/>
  <c r="K1989" i="23"/>
  <c r="M1989" i="23" s="1"/>
  <c r="K1990" i="23"/>
  <c r="M1990" i="23" s="1"/>
  <c r="K1991" i="23"/>
  <c r="M1991" i="23" s="1"/>
  <c r="K1992" i="23"/>
  <c r="M1992" i="23" s="1"/>
  <c r="K1993" i="23"/>
  <c r="M1993" i="23" s="1"/>
  <c r="K1994" i="23"/>
  <c r="M1994" i="23" s="1"/>
  <c r="K1995" i="23"/>
  <c r="M1995" i="23" s="1"/>
  <c r="K1996" i="23"/>
  <c r="M1996" i="23" s="1"/>
  <c r="K1997" i="23"/>
  <c r="M1997" i="23" s="1"/>
  <c r="K1998" i="23"/>
  <c r="M1998" i="23" s="1"/>
  <c r="K1999" i="23"/>
  <c r="M1999" i="23" s="1"/>
  <c r="K2000" i="23"/>
  <c r="M2000" i="23" s="1"/>
  <c r="K2001" i="23"/>
  <c r="M2001" i="23" s="1"/>
  <c r="K2002" i="23"/>
  <c r="M2002" i="23" s="1"/>
  <c r="K2003" i="23"/>
  <c r="M2003" i="23" s="1"/>
  <c r="K2004" i="23"/>
  <c r="M2004" i="23" s="1"/>
  <c r="K2005" i="23"/>
  <c r="M2005" i="23" s="1"/>
  <c r="K2006" i="23"/>
  <c r="M2006" i="23" s="1"/>
  <c r="K2007" i="23"/>
  <c r="M2007" i="23" s="1"/>
  <c r="K2008" i="23"/>
  <c r="M2008" i="23" s="1"/>
  <c r="K2009" i="23"/>
  <c r="M2009" i="23" s="1"/>
  <c r="K2010" i="23"/>
  <c r="M2010" i="23" s="1"/>
  <c r="K2011" i="23"/>
  <c r="M2011" i="23" s="1"/>
  <c r="K2012" i="23"/>
  <c r="M2012" i="23" s="1"/>
  <c r="K2013" i="23"/>
  <c r="M2013" i="23" s="1"/>
  <c r="K2014" i="23"/>
  <c r="M2014" i="23" s="1"/>
  <c r="K2015" i="23"/>
  <c r="M2015" i="23" s="1"/>
  <c r="K2016" i="23"/>
  <c r="M2016" i="23" s="1"/>
  <c r="K2017" i="23"/>
  <c r="M2017" i="23" s="1"/>
  <c r="K2018" i="23"/>
  <c r="M2018" i="23" s="1"/>
  <c r="K2019" i="23"/>
  <c r="M2019" i="23" s="1"/>
  <c r="K2020" i="23"/>
  <c r="M2020" i="23" s="1"/>
  <c r="K2021" i="23"/>
  <c r="M2021" i="23" s="1"/>
  <c r="K2022" i="23"/>
  <c r="M2022" i="23" s="1"/>
  <c r="K2023" i="23"/>
  <c r="M2023" i="23" s="1"/>
  <c r="K2024" i="23"/>
  <c r="M2024" i="23" s="1"/>
  <c r="K2025" i="23"/>
  <c r="M2025" i="23" s="1"/>
  <c r="K2026" i="23"/>
  <c r="M2026" i="23" s="1"/>
  <c r="K2027" i="23"/>
  <c r="M2027" i="23" s="1"/>
  <c r="K2028" i="23"/>
  <c r="M2028" i="23" s="1"/>
  <c r="K2029" i="23"/>
  <c r="M2029" i="23" s="1"/>
  <c r="K2030" i="23"/>
  <c r="M2030" i="23" s="1"/>
  <c r="K2031" i="23"/>
  <c r="M2031" i="23" s="1"/>
  <c r="K2032" i="23"/>
  <c r="M2032" i="23" s="1"/>
  <c r="K2033" i="23"/>
  <c r="M2033" i="23" s="1"/>
  <c r="K2034" i="23"/>
  <c r="M2034" i="23" s="1"/>
  <c r="K2035" i="23"/>
  <c r="M2035" i="23" s="1"/>
  <c r="K2036" i="23"/>
  <c r="M2036" i="23" s="1"/>
  <c r="K2037" i="23"/>
  <c r="M2037" i="23" s="1"/>
  <c r="K2038" i="23"/>
  <c r="M2038" i="23" s="1"/>
  <c r="K2039" i="23"/>
  <c r="M2039" i="23" s="1"/>
  <c r="K2040" i="23"/>
  <c r="M2040" i="23" s="1"/>
  <c r="K2041" i="23"/>
  <c r="M2041" i="23" s="1"/>
  <c r="K2042" i="23"/>
  <c r="M2042" i="23" s="1"/>
  <c r="K2043" i="23"/>
  <c r="M2043" i="23" s="1"/>
  <c r="K2044" i="23"/>
  <c r="M2044" i="23" s="1"/>
  <c r="K2045" i="23"/>
  <c r="M2045" i="23" s="1"/>
  <c r="K2046" i="23"/>
  <c r="M2046" i="23" s="1"/>
  <c r="K2047" i="23"/>
  <c r="M2047" i="23" s="1"/>
  <c r="K2048" i="23"/>
  <c r="M2048" i="23" s="1"/>
  <c r="K2049" i="23"/>
  <c r="M2049" i="23" s="1"/>
  <c r="K2050" i="23"/>
  <c r="M2050" i="23" s="1"/>
  <c r="K2051" i="23"/>
  <c r="M2051" i="23" s="1"/>
  <c r="K2052" i="23"/>
  <c r="M2052" i="23" s="1"/>
  <c r="K2053" i="23"/>
  <c r="M2053" i="23" s="1"/>
  <c r="K2054" i="23"/>
  <c r="M2054" i="23" s="1"/>
  <c r="K2055" i="23"/>
  <c r="M2055" i="23" s="1"/>
  <c r="K2056" i="23"/>
  <c r="M2056" i="23" s="1"/>
  <c r="K2057" i="23"/>
  <c r="M2057" i="23" s="1"/>
  <c r="K2058" i="23"/>
  <c r="M2058" i="23" s="1"/>
  <c r="K2059" i="23"/>
  <c r="M2059" i="23" s="1"/>
  <c r="K2060" i="23"/>
  <c r="M2060" i="23" s="1"/>
  <c r="K2061" i="23"/>
  <c r="M2061" i="23" s="1"/>
  <c r="K2062" i="23"/>
  <c r="M2062" i="23" s="1"/>
  <c r="K2063" i="23"/>
  <c r="M2063" i="23" s="1"/>
  <c r="K2064" i="23"/>
  <c r="M2064" i="23" s="1"/>
  <c r="K2065" i="23"/>
  <c r="M2065" i="23" s="1"/>
  <c r="K2066" i="23"/>
  <c r="M2066" i="23" s="1"/>
  <c r="K2067" i="23"/>
  <c r="M2067" i="23" s="1"/>
  <c r="K2068" i="23"/>
  <c r="M2068" i="23" s="1"/>
  <c r="K2069" i="23"/>
  <c r="M2069" i="23" s="1"/>
  <c r="K2070" i="23"/>
  <c r="M2070" i="23" s="1"/>
  <c r="K2071" i="23"/>
  <c r="M2071" i="23" s="1"/>
  <c r="K2072" i="23"/>
  <c r="M2072" i="23" s="1"/>
  <c r="K2073" i="23"/>
  <c r="M2073" i="23" s="1"/>
  <c r="K2074" i="23"/>
  <c r="M2074" i="23" s="1"/>
  <c r="K2075" i="23"/>
  <c r="M2075" i="23" s="1"/>
  <c r="K2076" i="23"/>
  <c r="M2076" i="23" s="1"/>
  <c r="K2077" i="23"/>
  <c r="M2077" i="23" s="1"/>
  <c r="K2078" i="23"/>
  <c r="M2078" i="23" s="1"/>
  <c r="K2079" i="23"/>
  <c r="M2079" i="23" s="1"/>
  <c r="K2080" i="23"/>
  <c r="M2080" i="23" s="1"/>
  <c r="K2081" i="23"/>
  <c r="M2081" i="23" s="1"/>
  <c r="K2082" i="23"/>
  <c r="M2082" i="23" s="1"/>
  <c r="K2083" i="23"/>
  <c r="M2083" i="23" s="1"/>
  <c r="K2084" i="23"/>
  <c r="M2084" i="23" s="1"/>
  <c r="K2085" i="23"/>
  <c r="M2085" i="23" s="1"/>
  <c r="K2086" i="23"/>
  <c r="M2086" i="23" s="1"/>
  <c r="K2087" i="23"/>
  <c r="M2087" i="23" s="1"/>
  <c r="K2088" i="23"/>
  <c r="M2088" i="23" s="1"/>
  <c r="K2089" i="23"/>
  <c r="M2089" i="23" s="1"/>
  <c r="K2090" i="23"/>
  <c r="M2090" i="23" s="1"/>
  <c r="K2091" i="23"/>
  <c r="M2091" i="23" s="1"/>
  <c r="K2092" i="23"/>
  <c r="M2092" i="23" s="1"/>
  <c r="K2093" i="23"/>
  <c r="M2093" i="23" s="1"/>
  <c r="K2094" i="23"/>
  <c r="M2094" i="23" s="1"/>
  <c r="K2095" i="23"/>
  <c r="M2095" i="23" s="1"/>
  <c r="K2096" i="23"/>
  <c r="M2096" i="23" s="1"/>
  <c r="K2097" i="23"/>
  <c r="M2097" i="23" s="1"/>
  <c r="K2098" i="23"/>
  <c r="M2098" i="23" s="1"/>
  <c r="K2099" i="23"/>
  <c r="M2099" i="23" s="1"/>
  <c r="K2100" i="23"/>
  <c r="M2100" i="23" s="1"/>
  <c r="K2101" i="23"/>
  <c r="M2101" i="23" s="1"/>
  <c r="K2102" i="23"/>
  <c r="M2102" i="23" s="1"/>
  <c r="K2103" i="23"/>
  <c r="M2103" i="23" s="1"/>
  <c r="K2104" i="23"/>
  <c r="M2104" i="23" s="1"/>
  <c r="K2105" i="23"/>
  <c r="M2105" i="23" s="1"/>
  <c r="K2106" i="23"/>
  <c r="M2106" i="23" s="1"/>
  <c r="K2107" i="23"/>
  <c r="M2107" i="23" s="1"/>
  <c r="K2108" i="23"/>
  <c r="M2108" i="23" s="1"/>
  <c r="K2109" i="23"/>
  <c r="M2109" i="23" s="1"/>
  <c r="K2110" i="23"/>
  <c r="M2110" i="23" s="1"/>
  <c r="K2111" i="23"/>
  <c r="M2111" i="23" s="1"/>
  <c r="K2112" i="23"/>
  <c r="M2112" i="23" s="1"/>
  <c r="K2113" i="23"/>
  <c r="M2113" i="23" s="1"/>
  <c r="K2114" i="23"/>
  <c r="M2114" i="23" s="1"/>
  <c r="K2115" i="23"/>
  <c r="M2115" i="23" s="1"/>
  <c r="K2116" i="23"/>
  <c r="M2116" i="23" s="1"/>
  <c r="K2117" i="23"/>
  <c r="M2117" i="23" s="1"/>
  <c r="K2118" i="23"/>
  <c r="M2118" i="23" s="1"/>
  <c r="K2119" i="23"/>
  <c r="M2119" i="23" s="1"/>
  <c r="K2120" i="23"/>
  <c r="M2120" i="23" s="1"/>
  <c r="K2121" i="23"/>
  <c r="M2121" i="23" s="1"/>
  <c r="K2122" i="23"/>
  <c r="M2122" i="23" s="1"/>
  <c r="K2123" i="23"/>
  <c r="M2123" i="23" s="1"/>
  <c r="K2124" i="23"/>
  <c r="M2124" i="23" s="1"/>
  <c r="K2125" i="23"/>
  <c r="M2125" i="23" s="1"/>
  <c r="K2126" i="23"/>
  <c r="M2126" i="23" s="1"/>
  <c r="K2127" i="23"/>
  <c r="M2127" i="23" s="1"/>
  <c r="K2128" i="23"/>
  <c r="M2128" i="23" s="1"/>
  <c r="K2129" i="23"/>
  <c r="M2129" i="23" s="1"/>
  <c r="K2130" i="23"/>
  <c r="M2130" i="23" s="1"/>
  <c r="K2131" i="23"/>
  <c r="M2131" i="23" s="1"/>
  <c r="K2132" i="23"/>
  <c r="M2132" i="23" s="1"/>
  <c r="K2133" i="23"/>
  <c r="M2133" i="23" s="1"/>
  <c r="K2134" i="23"/>
  <c r="M2134" i="23" s="1"/>
  <c r="K2135" i="23"/>
  <c r="M2135" i="23" s="1"/>
  <c r="K2136" i="23"/>
  <c r="M2136" i="23" s="1"/>
  <c r="K2137" i="23"/>
  <c r="M2137" i="23" s="1"/>
  <c r="K2138" i="23"/>
  <c r="M2138" i="23" s="1"/>
  <c r="K2139" i="23"/>
  <c r="M2139" i="23" s="1"/>
  <c r="K2140" i="23"/>
  <c r="M2140" i="23" s="1"/>
  <c r="K2141" i="23"/>
  <c r="M2141" i="23" s="1"/>
  <c r="K2142" i="23"/>
  <c r="M2142" i="23" s="1"/>
  <c r="K2143" i="23"/>
  <c r="M2143" i="23" s="1"/>
  <c r="K2144" i="23"/>
  <c r="M2144" i="23" s="1"/>
  <c r="K2145" i="23"/>
  <c r="M2145" i="23" s="1"/>
  <c r="K2146" i="23"/>
  <c r="M2146" i="23" s="1"/>
  <c r="K2147" i="23"/>
  <c r="M2147" i="23" s="1"/>
  <c r="K2148" i="23"/>
  <c r="M2148" i="23" s="1"/>
  <c r="K2149" i="23"/>
  <c r="M2149" i="23" s="1"/>
  <c r="K2150" i="23"/>
  <c r="M2150" i="23" s="1"/>
  <c r="K2151" i="23"/>
  <c r="M2151" i="23" s="1"/>
  <c r="K2152" i="23"/>
  <c r="M2152" i="23" s="1"/>
  <c r="K2153" i="23"/>
  <c r="M2153" i="23" s="1"/>
  <c r="K2154" i="23"/>
  <c r="M2154" i="23" s="1"/>
  <c r="K2155" i="23"/>
  <c r="M2155" i="23" s="1"/>
  <c r="K2156" i="23"/>
  <c r="M2156" i="23" s="1"/>
  <c r="K2157" i="23"/>
  <c r="M2157" i="23" s="1"/>
  <c r="K2158" i="23"/>
  <c r="M2158" i="23" s="1"/>
  <c r="K2159" i="23"/>
  <c r="M2159" i="23" s="1"/>
  <c r="K2160" i="23"/>
  <c r="M2160" i="23" s="1"/>
  <c r="K2161" i="23"/>
  <c r="M2161" i="23" s="1"/>
  <c r="K2162" i="23"/>
  <c r="M2162" i="23" s="1"/>
  <c r="K2163" i="23"/>
  <c r="M2163" i="23" s="1"/>
  <c r="K2164" i="23"/>
  <c r="M2164" i="23" s="1"/>
  <c r="K2165" i="23"/>
  <c r="M2165" i="23" s="1"/>
  <c r="K2166" i="23"/>
  <c r="M2166" i="23" s="1"/>
  <c r="K2167" i="23"/>
  <c r="M2167" i="23" s="1"/>
  <c r="K2168" i="23"/>
  <c r="M2168" i="23" s="1"/>
  <c r="K2169" i="23"/>
  <c r="M2169" i="23" s="1"/>
  <c r="K2170" i="23"/>
  <c r="M2170" i="23" s="1"/>
  <c r="K2171" i="23"/>
  <c r="M2171" i="23" s="1"/>
  <c r="K2172" i="23"/>
  <c r="M2172" i="23" s="1"/>
  <c r="C2" i="29" a="1"/>
  <c r="C2" i="29" s="1"/>
  <c r="B2" i="29" a="1"/>
  <c r="B2" i="29" s="1"/>
  <c r="C433" i="23"/>
  <c r="AC433" i="23" s="1"/>
  <c r="C434" i="23"/>
  <c r="AC434" i="23" s="1"/>
  <c r="C435" i="23"/>
  <c r="AC435" i="23" s="1"/>
  <c r="C436" i="23"/>
  <c r="AC436" i="23" s="1"/>
  <c r="C437" i="23"/>
  <c r="AC437" i="23" s="1"/>
  <c r="C438" i="23"/>
  <c r="AC438" i="23" s="1"/>
  <c r="C439" i="23"/>
  <c r="AC439" i="23" s="1"/>
  <c r="C440" i="23"/>
  <c r="AC440" i="23" s="1"/>
  <c r="C441" i="23"/>
  <c r="AC441" i="23" s="1"/>
  <c r="C442" i="23"/>
  <c r="AC442" i="23" s="1"/>
  <c r="C443" i="23"/>
  <c r="AC443" i="23" s="1"/>
  <c r="C444" i="23"/>
  <c r="AC444" i="23" s="1"/>
  <c r="C445" i="23"/>
  <c r="AC445" i="23" s="1"/>
  <c r="C446" i="23"/>
  <c r="AC446" i="23" s="1"/>
  <c r="C447" i="23"/>
  <c r="AC447" i="23" s="1"/>
  <c r="C448" i="23"/>
  <c r="AC448" i="23" s="1"/>
  <c r="C449" i="23"/>
  <c r="AC449" i="23" s="1"/>
  <c r="C450" i="23"/>
  <c r="AC450" i="23" s="1"/>
  <c r="C451" i="23"/>
  <c r="AC451" i="23" s="1"/>
  <c r="C452" i="23"/>
  <c r="AC452" i="23" s="1"/>
  <c r="C453" i="23"/>
  <c r="AC453" i="23" s="1"/>
  <c r="C454" i="23"/>
  <c r="AC454" i="23" s="1"/>
  <c r="C455" i="23"/>
  <c r="AC455" i="23" s="1"/>
  <c r="C456" i="23"/>
  <c r="AC456" i="23" s="1"/>
  <c r="C457" i="23"/>
  <c r="AC457" i="23" s="1"/>
  <c r="C458" i="23"/>
  <c r="AC458" i="23" s="1"/>
  <c r="C459" i="23"/>
  <c r="AC459" i="23" s="1"/>
  <c r="C460" i="23"/>
  <c r="AC460" i="23" s="1"/>
  <c r="C461" i="23"/>
  <c r="AC461" i="23" s="1"/>
  <c r="C462" i="23"/>
  <c r="AC462" i="23" s="1"/>
  <c r="C463" i="23"/>
  <c r="AC463" i="23" s="1"/>
  <c r="C464" i="23"/>
  <c r="AC464" i="23" s="1"/>
  <c r="C465" i="23"/>
  <c r="AC465" i="23" s="1"/>
  <c r="C466" i="23"/>
  <c r="AC466" i="23" s="1"/>
  <c r="C467" i="23"/>
  <c r="AC467" i="23" s="1"/>
  <c r="C468" i="23"/>
  <c r="AC468" i="23" s="1"/>
  <c r="C469" i="23"/>
  <c r="AC469" i="23" s="1"/>
  <c r="C470" i="23"/>
  <c r="AC470" i="23" s="1"/>
  <c r="C471" i="23"/>
  <c r="AC471" i="23" s="1"/>
  <c r="C472" i="23"/>
  <c r="AC472" i="23" s="1"/>
  <c r="C473" i="23"/>
  <c r="AC473" i="23" s="1"/>
  <c r="C474" i="23"/>
  <c r="AC474" i="23" s="1"/>
  <c r="C475" i="23"/>
  <c r="AC475" i="23" s="1"/>
  <c r="C476" i="23"/>
  <c r="AC476" i="23" s="1"/>
  <c r="C477" i="23"/>
  <c r="AC477" i="23" s="1"/>
  <c r="C478" i="23"/>
  <c r="AC478" i="23" s="1"/>
  <c r="C479" i="23"/>
  <c r="AC479" i="23" s="1"/>
  <c r="C480" i="23"/>
  <c r="AC480" i="23" s="1"/>
  <c r="C481" i="23"/>
  <c r="AC481" i="23" s="1"/>
  <c r="C482" i="23"/>
  <c r="AC482" i="23" s="1"/>
  <c r="C483" i="23"/>
  <c r="AC483" i="23" s="1"/>
  <c r="C484" i="23"/>
  <c r="AC484" i="23" s="1"/>
  <c r="C485" i="23"/>
  <c r="AC485" i="23" s="1"/>
  <c r="C486" i="23"/>
  <c r="AC486" i="23" s="1"/>
  <c r="C487" i="23"/>
  <c r="AC487" i="23" s="1"/>
  <c r="C488" i="23"/>
  <c r="AC488" i="23" s="1"/>
  <c r="C489" i="23"/>
  <c r="AC489" i="23" s="1"/>
  <c r="C490" i="23"/>
  <c r="AC490" i="23" s="1"/>
  <c r="C491" i="23"/>
  <c r="AC491" i="23" s="1"/>
  <c r="C492" i="23"/>
  <c r="AC492" i="23" s="1"/>
  <c r="C493" i="23"/>
  <c r="AC493" i="23" s="1"/>
  <c r="C494" i="23"/>
  <c r="AC494" i="23" s="1"/>
  <c r="C495" i="23"/>
  <c r="AC495" i="23" s="1"/>
  <c r="C496" i="23"/>
  <c r="AC496" i="23" s="1"/>
  <c r="C497" i="23"/>
  <c r="AC497" i="23" s="1"/>
  <c r="C498" i="23"/>
  <c r="AC498" i="23" s="1"/>
  <c r="C499" i="23"/>
  <c r="AC499" i="23" s="1"/>
  <c r="C500" i="23"/>
  <c r="AC500" i="23" s="1"/>
  <c r="C501" i="23"/>
  <c r="AC501" i="23" s="1"/>
  <c r="C502" i="23"/>
  <c r="AC502" i="23" s="1"/>
  <c r="C503" i="23"/>
  <c r="AC503" i="23" s="1"/>
  <c r="C504" i="23"/>
  <c r="AC504" i="23" s="1"/>
  <c r="C505" i="23"/>
  <c r="AC505" i="23" s="1"/>
  <c r="C506" i="23"/>
  <c r="AC506" i="23" s="1"/>
  <c r="C507" i="23"/>
  <c r="AC507" i="23" s="1"/>
  <c r="C508" i="23"/>
  <c r="C509" i="23"/>
  <c r="AC509" i="23" s="1"/>
  <c r="C510" i="23"/>
  <c r="C511" i="23"/>
  <c r="C512" i="23"/>
  <c r="AC512" i="23" s="1"/>
  <c r="C513" i="23"/>
  <c r="AC513" i="23" s="1"/>
  <c r="C514" i="23"/>
  <c r="AC514" i="23" s="1"/>
  <c r="C515" i="23"/>
  <c r="AC515" i="23" s="1"/>
  <c r="C516" i="23"/>
  <c r="AC516" i="23" s="1"/>
  <c r="C517" i="23"/>
  <c r="AC517" i="23" s="1"/>
  <c r="C518" i="23"/>
  <c r="C519" i="23"/>
  <c r="AC519" i="23" s="1"/>
  <c r="C520" i="23"/>
  <c r="AC520" i="23" s="1"/>
  <c r="C521" i="23"/>
  <c r="AC521" i="23" s="1"/>
  <c r="C522" i="23"/>
  <c r="AC522" i="23" s="1"/>
  <c r="C523" i="23"/>
  <c r="AC523" i="23" s="1"/>
  <c r="C524" i="23"/>
  <c r="AC524" i="23" s="1"/>
  <c r="C525" i="23"/>
  <c r="AC525" i="23" s="1"/>
  <c r="C526" i="23"/>
  <c r="AC526" i="23" s="1"/>
  <c r="C527" i="23"/>
  <c r="AC527" i="23" s="1"/>
  <c r="C528" i="23"/>
  <c r="AC528" i="23" s="1"/>
  <c r="C529" i="23"/>
  <c r="AC529" i="23" s="1"/>
  <c r="C530" i="23"/>
  <c r="AC530" i="23" s="1"/>
  <c r="C531" i="23"/>
  <c r="AC531" i="23" s="1"/>
  <c r="C532" i="23"/>
  <c r="AC532" i="23" s="1"/>
  <c r="C533" i="23"/>
  <c r="AC533" i="23" s="1"/>
  <c r="C534" i="23"/>
  <c r="AC534" i="23" s="1"/>
  <c r="C535" i="23"/>
  <c r="AC535" i="23" s="1"/>
  <c r="C536" i="23"/>
  <c r="AC536" i="23" s="1"/>
  <c r="C537" i="23"/>
  <c r="AC537" i="23" s="1"/>
  <c r="C538" i="23"/>
  <c r="AC538" i="23" s="1"/>
  <c r="C539" i="23"/>
  <c r="AC539" i="23" s="1"/>
  <c r="C540" i="23"/>
  <c r="AC540" i="23" s="1"/>
  <c r="C541" i="23"/>
  <c r="AC541" i="23" s="1"/>
  <c r="C542" i="23"/>
  <c r="AC542" i="23" s="1"/>
  <c r="C543" i="23"/>
  <c r="AC543" i="23" s="1"/>
  <c r="C544" i="23"/>
  <c r="AC544" i="23" s="1"/>
  <c r="C545" i="23"/>
  <c r="AC545" i="23" s="1"/>
  <c r="C546" i="23"/>
  <c r="AC546" i="23" s="1"/>
  <c r="C547" i="23"/>
  <c r="AC547" i="23" s="1"/>
  <c r="C548" i="23"/>
  <c r="AC548" i="23" s="1"/>
  <c r="C549" i="23"/>
  <c r="AC549" i="23" s="1"/>
  <c r="C550" i="23"/>
  <c r="AC550" i="23" s="1"/>
  <c r="C551" i="23"/>
  <c r="AC551" i="23" s="1"/>
  <c r="C552" i="23"/>
  <c r="AC552" i="23" s="1"/>
  <c r="C553" i="23"/>
  <c r="AC553" i="23" s="1"/>
  <c r="C554" i="23"/>
  <c r="AC554" i="23" s="1"/>
  <c r="C555" i="23"/>
  <c r="AC555" i="23" s="1"/>
  <c r="C556" i="23"/>
  <c r="AC556" i="23" s="1"/>
  <c r="C557" i="23"/>
  <c r="AC557" i="23" s="1"/>
  <c r="C558" i="23"/>
  <c r="AC558" i="23" s="1"/>
  <c r="C559" i="23"/>
  <c r="AC559" i="23" s="1"/>
  <c r="C560" i="23"/>
  <c r="AC560" i="23" s="1"/>
  <c r="C561" i="23"/>
  <c r="AC561" i="23" s="1"/>
  <c r="C562" i="23"/>
  <c r="AC562" i="23" s="1"/>
  <c r="C563" i="23"/>
  <c r="AC563" i="23" s="1"/>
  <c r="C564" i="23"/>
  <c r="C565" i="23"/>
  <c r="AC565" i="23" s="1"/>
  <c r="C566" i="23"/>
  <c r="C567" i="23"/>
  <c r="AC567" i="23" s="1"/>
  <c r="C568" i="23"/>
  <c r="AC568" i="23" s="1"/>
  <c r="C569" i="23"/>
  <c r="AC569" i="23" s="1"/>
  <c r="C570" i="23"/>
  <c r="AC570" i="23" s="1"/>
  <c r="C571" i="23"/>
  <c r="AC571" i="23" s="1"/>
  <c r="C572" i="23"/>
  <c r="C573" i="23"/>
  <c r="AC573" i="23" s="1"/>
  <c r="C574" i="23"/>
  <c r="AC574" i="23" s="1"/>
  <c r="C575" i="23"/>
  <c r="AC575" i="23" s="1"/>
  <c r="C576" i="23"/>
  <c r="AC576" i="23" s="1"/>
  <c r="C577" i="23"/>
  <c r="AC577" i="23" s="1"/>
  <c r="C578" i="23"/>
  <c r="AC578" i="23" s="1"/>
  <c r="C579" i="23"/>
  <c r="AC579" i="23" s="1"/>
  <c r="C580" i="23"/>
  <c r="AC580" i="23" s="1"/>
  <c r="C581" i="23"/>
  <c r="AC581" i="23" s="1"/>
  <c r="C582" i="23"/>
  <c r="C583" i="23"/>
  <c r="AC583" i="23" s="1"/>
  <c r="C584" i="23"/>
  <c r="AC584" i="23" s="1"/>
  <c r="C585" i="23"/>
  <c r="AC585" i="23" s="1"/>
  <c r="C586" i="23"/>
  <c r="AC586" i="23" s="1"/>
  <c r="C587" i="23"/>
  <c r="AC587" i="23" s="1"/>
  <c r="C588" i="23"/>
  <c r="AC588" i="23" s="1"/>
  <c r="C589" i="23"/>
  <c r="AC589" i="23" s="1"/>
  <c r="C590" i="23"/>
  <c r="AC590" i="23" s="1"/>
  <c r="C591" i="23"/>
  <c r="AC591" i="23" s="1"/>
  <c r="C592" i="23"/>
  <c r="AC592" i="23" s="1"/>
  <c r="C593" i="23"/>
  <c r="AC593" i="23" s="1"/>
  <c r="C594" i="23"/>
  <c r="AC594" i="23" s="1"/>
  <c r="C595" i="23"/>
  <c r="AC595" i="23" s="1"/>
  <c r="C596" i="23"/>
  <c r="AC596" i="23" s="1"/>
  <c r="C597" i="23"/>
  <c r="AC597" i="23" s="1"/>
  <c r="C598" i="23"/>
  <c r="AC598" i="23" s="1"/>
  <c r="C599" i="23"/>
  <c r="AC599" i="23" s="1"/>
  <c r="C600" i="23"/>
  <c r="AC600" i="23" s="1"/>
  <c r="C601" i="23"/>
  <c r="AC601" i="23" s="1"/>
  <c r="C602" i="23"/>
  <c r="AC602" i="23" s="1"/>
  <c r="C603" i="23"/>
  <c r="AC603" i="23" s="1"/>
  <c r="C604" i="23"/>
  <c r="AC604" i="23" s="1"/>
  <c r="C605" i="23"/>
  <c r="AC605" i="23" s="1"/>
  <c r="C606" i="23"/>
  <c r="AC606" i="23" s="1"/>
  <c r="C607" i="23"/>
  <c r="AC607" i="23" s="1"/>
  <c r="C608" i="23"/>
  <c r="AC608" i="23" s="1"/>
  <c r="C609" i="23"/>
  <c r="AC609" i="23" s="1"/>
  <c r="C610" i="23"/>
  <c r="AC610" i="23" s="1"/>
  <c r="C611" i="23"/>
  <c r="AC611" i="23" s="1"/>
  <c r="C612" i="23"/>
  <c r="AC612" i="23" s="1"/>
  <c r="C613" i="23"/>
  <c r="AC613" i="23" s="1"/>
  <c r="C614" i="23"/>
  <c r="AC614" i="23" s="1"/>
  <c r="C615" i="23"/>
  <c r="AC615" i="23" s="1"/>
  <c r="C616" i="23"/>
  <c r="AC616" i="23" s="1"/>
  <c r="C617" i="23"/>
  <c r="AC617" i="23" s="1"/>
  <c r="C618" i="23"/>
  <c r="AC618" i="23" s="1"/>
  <c r="C619" i="23"/>
  <c r="AC619" i="23" s="1"/>
  <c r="C620" i="23"/>
  <c r="AC620" i="23" s="1"/>
  <c r="C621" i="23"/>
  <c r="AC621" i="23" s="1"/>
  <c r="C622" i="23"/>
  <c r="AC622" i="23" s="1"/>
  <c r="C623" i="23"/>
  <c r="AC623" i="23" s="1"/>
  <c r="C624" i="23"/>
  <c r="AC624" i="23" s="1"/>
  <c r="C625" i="23"/>
  <c r="AC625" i="23" s="1"/>
  <c r="C626" i="23"/>
  <c r="AC626" i="23" s="1"/>
  <c r="C627" i="23"/>
  <c r="AC627" i="23" s="1"/>
  <c r="C628" i="23"/>
  <c r="C629" i="23"/>
  <c r="AC629" i="23" s="1"/>
  <c r="C630" i="23"/>
  <c r="C631" i="23"/>
  <c r="AC631" i="23" s="1"/>
  <c r="C632" i="23"/>
  <c r="AC632" i="23" s="1"/>
  <c r="C633" i="23"/>
  <c r="AC633" i="23" s="1"/>
  <c r="C634" i="23"/>
  <c r="AC634" i="23" s="1"/>
  <c r="C635" i="23"/>
  <c r="AC635" i="23" s="1"/>
  <c r="C636" i="23"/>
  <c r="AC636" i="23" s="1"/>
  <c r="C637" i="23"/>
  <c r="AC637" i="23" s="1"/>
  <c r="C638" i="23"/>
  <c r="C639" i="23"/>
  <c r="AC639" i="23" s="1"/>
  <c r="C640" i="23"/>
  <c r="AC640" i="23" s="1"/>
  <c r="C641" i="23"/>
  <c r="AC641" i="23" s="1"/>
  <c r="C642" i="23"/>
  <c r="AC642" i="23" s="1"/>
  <c r="C643" i="23"/>
  <c r="AC643" i="23" s="1"/>
  <c r="C644" i="23"/>
  <c r="AC644" i="23" s="1"/>
  <c r="C645" i="23"/>
  <c r="AC645" i="23" s="1"/>
  <c r="C646" i="23"/>
  <c r="C647" i="23"/>
  <c r="C648" i="23"/>
  <c r="AC648" i="23" s="1"/>
  <c r="C649" i="23"/>
  <c r="AC649" i="23" s="1"/>
  <c r="C650" i="23"/>
  <c r="AC650" i="23" s="1"/>
  <c r="C651" i="23"/>
  <c r="AC651" i="23" s="1"/>
  <c r="C652" i="23"/>
  <c r="AC652" i="23" s="1"/>
  <c r="C653" i="23"/>
  <c r="AC653" i="23" s="1"/>
  <c r="C654" i="23"/>
  <c r="AC654" i="23" s="1"/>
  <c r="C655" i="23"/>
  <c r="C656" i="23"/>
  <c r="AC656" i="23" s="1"/>
  <c r="C657" i="23"/>
  <c r="AC657" i="23" s="1"/>
  <c r="C658" i="23"/>
  <c r="AC658" i="23" s="1"/>
  <c r="C659" i="23"/>
  <c r="AC659" i="23" s="1"/>
  <c r="C660" i="23"/>
  <c r="AC660" i="23" s="1"/>
  <c r="C661" i="23"/>
  <c r="AC661" i="23" s="1"/>
  <c r="C662" i="23"/>
  <c r="AC662" i="23" s="1"/>
  <c r="C663" i="23"/>
  <c r="AC663" i="23" s="1"/>
  <c r="C664" i="23"/>
  <c r="AC664" i="23" s="1"/>
  <c r="C665" i="23"/>
  <c r="AC665" i="23" s="1"/>
  <c r="C666" i="23"/>
  <c r="AC666" i="23" s="1"/>
  <c r="C667" i="23"/>
  <c r="AC667" i="23" s="1"/>
  <c r="C668" i="23"/>
  <c r="AC668" i="23" s="1"/>
  <c r="C669" i="23"/>
  <c r="AC669" i="23" s="1"/>
  <c r="C670" i="23"/>
  <c r="AC670" i="23" s="1"/>
  <c r="C671" i="23"/>
  <c r="AC671" i="23" s="1"/>
  <c r="C672" i="23"/>
  <c r="AC672" i="23" s="1"/>
  <c r="C673" i="23"/>
  <c r="AC673" i="23" s="1"/>
  <c r="C674" i="23"/>
  <c r="AC674" i="23" s="1"/>
  <c r="C675" i="23"/>
  <c r="AC675" i="23" s="1"/>
  <c r="C676" i="23"/>
  <c r="AC676" i="23" s="1"/>
  <c r="C677" i="23"/>
  <c r="AC677" i="23" s="1"/>
  <c r="C678" i="23"/>
  <c r="AC678" i="23" s="1"/>
  <c r="C679" i="23"/>
  <c r="AC679" i="23" s="1"/>
  <c r="C680" i="23"/>
  <c r="AC680" i="23" s="1"/>
  <c r="C681" i="23"/>
  <c r="AC681" i="23" s="1"/>
  <c r="C682" i="23"/>
  <c r="AC682" i="23" s="1"/>
  <c r="C683" i="23"/>
  <c r="AC683" i="23" s="1"/>
  <c r="C684" i="23"/>
  <c r="AC684" i="23" s="1"/>
  <c r="C685" i="23"/>
  <c r="AC685" i="23" s="1"/>
  <c r="C686" i="23"/>
  <c r="AC686" i="23" s="1"/>
  <c r="C687" i="23"/>
  <c r="AC687" i="23" s="1"/>
  <c r="C688" i="23"/>
  <c r="AC688" i="23" s="1"/>
  <c r="C689" i="23"/>
  <c r="AC689" i="23" s="1"/>
  <c r="C690" i="23"/>
  <c r="AC690" i="23" s="1"/>
  <c r="C691" i="23"/>
  <c r="AC691" i="23" s="1"/>
  <c r="C692" i="23"/>
  <c r="C693" i="23"/>
  <c r="AC693" i="23" s="1"/>
  <c r="C694" i="23"/>
  <c r="C695" i="23"/>
  <c r="AC695" i="23" s="1"/>
  <c r="C696" i="23"/>
  <c r="AC696" i="23" s="1"/>
  <c r="C697" i="23"/>
  <c r="AC697" i="23" s="1"/>
  <c r="C698" i="23"/>
  <c r="AC698" i="23" s="1"/>
  <c r="C699" i="23"/>
  <c r="AC699" i="23" s="1"/>
  <c r="C700" i="23"/>
  <c r="AC700" i="23" s="1"/>
  <c r="C701" i="23"/>
  <c r="AC701" i="23" s="1"/>
  <c r="C702" i="23"/>
  <c r="AC702" i="23" s="1"/>
  <c r="C703" i="23"/>
  <c r="AC703" i="23" s="1"/>
  <c r="C704" i="23"/>
  <c r="C705" i="23"/>
  <c r="C706" i="23"/>
  <c r="C707" i="23"/>
  <c r="C708" i="23"/>
  <c r="C709" i="23"/>
  <c r="C710" i="23"/>
  <c r="C711" i="23"/>
  <c r="C712" i="23"/>
  <c r="C713" i="23"/>
  <c r="C714" i="23"/>
  <c r="C715" i="23"/>
  <c r="C716" i="23"/>
  <c r="C717" i="23"/>
  <c r="C718" i="23"/>
  <c r="C719" i="23"/>
  <c r="C720" i="23"/>
  <c r="C721" i="23"/>
  <c r="C722" i="23"/>
  <c r="C723" i="23"/>
  <c r="C724" i="23"/>
  <c r="C725" i="23"/>
  <c r="C726" i="23"/>
  <c r="C727" i="23"/>
  <c r="C728" i="23"/>
  <c r="C729" i="23"/>
  <c r="C730" i="23"/>
  <c r="C731" i="23"/>
  <c r="C732" i="23"/>
  <c r="C733" i="23"/>
  <c r="C734" i="23"/>
  <c r="C735" i="23"/>
  <c r="C736" i="23"/>
  <c r="C737" i="23"/>
  <c r="C738" i="23"/>
  <c r="C739" i="23"/>
  <c r="C740" i="23"/>
  <c r="C741" i="23"/>
  <c r="C742" i="23"/>
  <c r="C743" i="23"/>
  <c r="C744" i="23"/>
  <c r="C745" i="23"/>
  <c r="C746" i="23"/>
  <c r="C747" i="23"/>
  <c r="C748" i="23"/>
  <c r="C749" i="23"/>
  <c r="C750" i="23"/>
  <c r="C751" i="23"/>
  <c r="C752" i="23"/>
  <c r="C753" i="23"/>
  <c r="C754" i="23"/>
  <c r="C755" i="23"/>
  <c r="C756" i="23"/>
  <c r="C757" i="23"/>
  <c r="C758" i="23"/>
  <c r="C759" i="23"/>
  <c r="C760" i="23"/>
  <c r="C761" i="23"/>
  <c r="C762" i="23"/>
  <c r="C763" i="23"/>
  <c r="C764" i="23"/>
  <c r="C765" i="23"/>
  <c r="C766" i="23"/>
  <c r="C767" i="23"/>
  <c r="C768" i="23"/>
  <c r="C769" i="23"/>
  <c r="C770" i="23"/>
  <c r="C771" i="23"/>
  <c r="C772" i="23"/>
  <c r="C773" i="23"/>
  <c r="C774" i="23"/>
  <c r="C775" i="23"/>
  <c r="C776" i="23"/>
  <c r="C777" i="23"/>
  <c r="C778" i="23"/>
  <c r="C779" i="23"/>
  <c r="C780" i="23"/>
  <c r="C781" i="23"/>
  <c r="C782" i="23"/>
  <c r="C783" i="23"/>
  <c r="C784" i="23"/>
  <c r="C785" i="23"/>
  <c r="C786" i="23"/>
  <c r="C787" i="23"/>
  <c r="C788" i="23"/>
  <c r="C789" i="23"/>
  <c r="C790" i="23"/>
  <c r="C791" i="23"/>
  <c r="C792" i="23"/>
  <c r="C793" i="23"/>
  <c r="C794" i="23"/>
  <c r="C795" i="23"/>
  <c r="C796" i="23"/>
  <c r="C797" i="23"/>
  <c r="C798" i="23"/>
  <c r="C799" i="23"/>
  <c r="C800" i="23"/>
  <c r="C801" i="23"/>
  <c r="C802" i="23"/>
  <c r="C803" i="23"/>
  <c r="C804" i="23"/>
  <c r="C805" i="23"/>
  <c r="C806" i="23"/>
  <c r="C807" i="23"/>
  <c r="C808" i="23"/>
  <c r="C809" i="23"/>
  <c r="C810" i="23"/>
  <c r="C811" i="23"/>
  <c r="C812" i="23"/>
  <c r="C813" i="23"/>
  <c r="C814" i="23"/>
  <c r="C815" i="23"/>
  <c r="C816" i="23"/>
  <c r="C817" i="23"/>
  <c r="C818" i="23"/>
  <c r="C819" i="23"/>
  <c r="C820" i="23"/>
  <c r="C821" i="23"/>
  <c r="C822" i="23"/>
  <c r="C823" i="23"/>
  <c r="C824" i="23"/>
  <c r="C825" i="23"/>
  <c r="C826" i="23"/>
  <c r="C827" i="23"/>
  <c r="C828" i="23"/>
  <c r="C829" i="23"/>
  <c r="C830" i="23"/>
  <c r="C831" i="23"/>
  <c r="C832" i="23"/>
  <c r="C833" i="23"/>
  <c r="C834" i="23"/>
  <c r="C835" i="23"/>
  <c r="C836" i="23"/>
  <c r="C837" i="23"/>
  <c r="C838" i="23"/>
  <c r="C839" i="23"/>
  <c r="C840" i="23"/>
  <c r="C841" i="23"/>
  <c r="C842" i="23"/>
  <c r="C843" i="23"/>
  <c r="C844" i="23"/>
  <c r="C845" i="23"/>
  <c r="C846" i="23"/>
  <c r="C847" i="23"/>
  <c r="C848" i="23"/>
  <c r="C849" i="23"/>
  <c r="C850" i="23"/>
  <c r="C851" i="23"/>
  <c r="C852" i="23"/>
  <c r="C853" i="23"/>
  <c r="C854" i="23"/>
  <c r="C855" i="23"/>
  <c r="C856" i="23"/>
  <c r="C857" i="23"/>
  <c r="C858" i="23"/>
  <c r="C859" i="23"/>
  <c r="C860" i="23"/>
  <c r="C861" i="23"/>
  <c r="C862" i="23"/>
  <c r="C863" i="23"/>
  <c r="C864" i="23"/>
  <c r="C865" i="23"/>
  <c r="C866" i="23"/>
  <c r="C867" i="23"/>
  <c r="C868" i="23"/>
  <c r="C869" i="23"/>
  <c r="C870" i="23"/>
  <c r="C871" i="23"/>
  <c r="C872" i="23"/>
  <c r="C873" i="23"/>
  <c r="C874" i="23"/>
  <c r="C875" i="23"/>
  <c r="C876" i="23"/>
  <c r="C877" i="23"/>
  <c r="C878" i="23"/>
  <c r="C879" i="23"/>
  <c r="C880" i="23"/>
  <c r="C881" i="23"/>
  <c r="C882" i="23"/>
  <c r="C883" i="23"/>
  <c r="C884" i="23"/>
  <c r="C885" i="23"/>
  <c r="C886" i="23"/>
  <c r="C887" i="23"/>
  <c r="C888" i="23"/>
  <c r="C889" i="23"/>
  <c r="C890" i="23"/>
  <c r="C891" i="23"/>
  <c r="C892" i="23"/>
  <c r="C893" i="23"/>
  <c r="C894" i="23"/>
  <c r="C895" i="23"/>
  <c r="C896" i="23"/>
  <c r="C897" i="23"/>
  <c r="C898" i="23"/>
  <c r="C899" i="23"/>
  <c r="C900" i="23"/>
  <c r="C901" i="23"/>
  <c r="C902" i="23"/>
  <c r="C903" i="23"/>
  <c r="C904" i="23"/>
  <c r="C905" i="23"/>
  <c r="C906" i="23"/>
  <c r="C907" i="23"/>
  <c r="C908" i="23"/>
  <c r="C909" i="23"/>
  <c r="C910" i="23"/>
  <c r="C911" i="23"/>
  <c r="C912" i="23"/>
  <c r="C913" i="23"/>
  <c r="C914" i="23"/>
  <c r="C915" i="23"/>
  <c r="C916" i="23"/>
  <c r="C917" i="23"/>
  <c r="C918" i="23"/>
  <c r="C919" i="23"/>
  <c r="C920" i="23"/>
  <c r="C921" i="23"/>
  <c r="C922" i="23"/>
  <c r="C923" i="23"/>
  <c r="C924" i="23"/>
  <c r="C925" i="23"/>
  <c r="C926" i="23"/>
  <c r="C927" i="23"/>
  <c r="C928" i="23"/>
  <c r="C929" i="23"/>
  <c r="C930" i="23"/>
  <c r="C931" i="23"/>
  <c r="C932" i="23"/>
  <c r="C933" i="23"/>
  <c r="C934" i="23"/>
  <c r="C935" i="23"/>
  <c r="C936" i="23"/>
  <c r="C937" i="23"/>
  <c r="C938" i="23"/>
  <c r="C939" i="23"/>
  <c r="C940" i="23"/>
  <c r="C941" i="23"/>
  <c r="C942" i="23"/>
  <c r="C943" i="23"/>
  <c r="C944" i="23"/>
  <c r="C945" i="23"/>
  <c r="C946" i="23"/>
  <c r="C947" i="23"/>
  <c r="C948" i="23"/>
  <c r="C949" i="23"/>
  <c r="C950" i="23"/>
  <c r="C951" i="23"/>
  <c r="C952" i="23"/>
  <c r="C953" i="23"/>
  <c r="C954" i="23"/>
  <c r="C955" i="23"/>
  <c r="C956" i="23"/>
  <c r="C957" i="23"/>
  <c r="C958" i="23"/>
  <c r="C959" i="23"/>
  <c r="C960" i="23"/>
  <c r="C961" i="23"/>
  <c r="C962" i="23"/>
  <c r="C963" i="23"/>
  <c r="C964" i="23"/>
  <c r="C965" i="23"/>
  <c r="C966" i="23"/>
  <c r="C967" i="23"/>
  <c r="C968" i="23"/>
  <c r="C969" i="23"/>
  <c r="C970" i="23"/>
  <c r="C971" i="23"/>
  <c r="C972" i="23"/>
  <c r="C973" i="23"/>
  <c r="C974" i="23"/>
  <c r="C975" i="23"/>
  <c r="C976" i="23"/>
  <c r="C977" i="23"/>
  <c r="C978" i="23"/>
  <c r="C979" i="23"/>
  <c r="C980" i="23"/>
  <c r="C981" i="23"/>
  <c r="C982" i="23"/>
  <c r="C983" i="23"/>
  <c r="C984" i="23"/>
  <c r="C985" i="23"/>
  <c r="C986" i="23"/>
  <c r="C987" i="23"/>
  <c r="C988" i="23"/>
  <c r="C989" i="23"/>
  <c r="C990" i="23"/>
  <c r="C991" i="23"/>
  <c r="C992" i="23"/>
  <c r="C993" i="23"/>
  <c r="C994" i="23"/>
  <c r="C995" i="23"/>
  <c r="C996" i="23"/>
  <c r="C997" i="23"/>
  <c r="C998" i="23"/>
  <c r="C999" i="23"/>
  <c r="C1000" i="23"/>
  <c r="C1001" i="23"/>
  <c r="C1002" i="23"/>
  <c r="C1003" i="23"/>
  <c r="C1004" i="23"/>
  <c r="C1005" i="23"/>
  <c r="C1006" i="23"/>
  <c r="C1007" i="23"/>
  <c r="C1008" i="23"/>
  <c r="C1009" i="23"/>
  <c r="C1010" i="23"/>
  <c r="C1011" i="23"/>
  <c r="C1012" i="23"/>
  <c r="C1013" i="23"/>
  <c r="C1014" i="23"/>
  <c r="C1015" i="23"/>
  <c r="C1016" i="23"/>
  <c r="C1017" i="23"/>
  <c r="C1018" i="23"/>
  <c r="C1019" i="23"/>
  <c r="C1020" i="23"/>
  <c r="C1021" i="23"/>
  <c r="C1022" i="23"/>
  <c r="C1023" i="23"/>
  <c r="C1024" i="23"/>
  <c r="C1025" i="23"/>
  <c r="C1026" i="23"/>
  <c r="C1027" i="23"/>
  <c r="C1028" i="23"/>
  <c r="C1029" i="23"/>
  <c r="C1030" i="23"/>
  <c r="C1031" i="23"/>
  <c r="C1032" i="23"/>
  <c r="C1033" i="23"/>
  <c r="C1034" i="23"/>
  <c r="C1035" i="23"/>
  <c r="C1036" i="23"/>
  <c r="C1037" i="23"/>
  <c r="C1038" i="23"/>
  <c r="C1039" i="23"/>
  <c r="C1040" i="23"/>
  <c r="C1041" i="23"/>
  <c r="C1042" i="23"/>
  <c r="C1043" i="23"/>
  <c r="C1044" i="23"/>
  <c r="C1045" i="23"/>
  <c r="C1046" i="23"/>
  <c r="C1047" i="23"/>
  <c r="C1048" i="23"/>
  <c r="C1049" i="23"/>
  <c r="C1050" i="23"/>
  <c r="C1051" i="23"/>
  <c r="C1052" i="23"/>
  <c r="C1053" i="23"/>
  <c r="C1054" i="23"/>
  <c r="C1055" i="23"/>
  <c r="C1056" i="23"/>
  <c r="C1057" i="23"/>
  <c r="C1058" i="23"/>
  <c r="C1059" i="23"/>
  <c r="C1060" i="23"/>
  <c r="C1061" i="23"/>
  <c r="C1062" i="23"/>
  <c r="C1063" i="23"/>
  <c r="C1064" i="23"/>
  <c r="C1065" i="23"/>
  <c r="C1066" i="23"/>
  <c r="C1067" i="23"/>
  <c r="C1068" i="23"/>
  <c r="C1069" i="23"/>
  <c r="C1070" i="23"/>
  <c r="C1071" i="23"/>
  <c r="C1072" i="23"/>
  <c r="C1073" i="23"/>
  <c r="C1074" i="23"/>
  <c r="C1075" i="23"/>
  <c r="C1076" i="23"/>
  <c r="C1077" i="23"/>
  <c r="C1078" i="23"/>
  <c r="C1079" i="23"/>
  <c r="C1080" i="23"/>
  <c r="C1081" i="23"/>
  <c r="C1082" i="23"/>
  <c r="C1083" i="23"/>
  <c r="C1084" i="23"/>
  <c r="C1085" i="23"/>
  <c r="C1086" i="23"/>
  <c r="C1087" i="23"/>
  <c r="C1088" i="23"/>
  <c r="C1089" i="23"/>
  <c r="C1090" i="23"/>
  <c r="C1091" i="23"/>
  <c r="C1092" i="23"/>
  <c r="C1093" i="23"/>
  <c r="C1094" i="23"/>
  <c r="C1095" i="23"/>
  <c r="C1096" i="23"/>
  <c r="C1097" i="23"/>
  <c r="C1098" i="23"/>
  <c r="C1099" i="23"/>
  <c r="C1100" i="23"/>
  <c r="C1101" i="23"/>
  <c r="C1102" i="23"/>
  <c r="C1103" i="23"/>
  <c r="C1104" i="23"/>
  <c r="C1105" i="23"/>
  <c r="C1106" i="23"/>
  <c r="C1107" i="23"/>
  <c r="C1108" i="23"/>
  <c r="C1109" i="23"/>
  <c r="C1110" i="23"/>
  <c r="C1111" i="23"/>
  <c r="C1112" i="23"/>
  <c r="C1113" i="23"/>
  <c r="C1114" i="23"/>
  <c r="C1115" i="23"/>
  <c r="C1116" i="23"/>
  <c r="C1117" i="23"/>
  <c r="C1118" i="23"/>
  <c r="C1119" i="23"/>
  <c r="C1120" i="23"/>
  <c r="C1121" i="23"/>
  <c r="C1122" i="23"/>
  <c r="C1123" i="23"/>
  <c r="C1124" i="23"/>
  <c r="C1125" i="23"/>
  <c r="C1126" i="23"/>
  <c r="C1127" i="23"/>
  <c r="C1128" i="23"/>
  <c r="C1129" i="23"/>
  <c r="C1130" i="23"/>
  <c r="C1131" i="23"/>
  <c r="C1132" i="23"/>
  <c r="C1133" i="23"/>
  <c r="C1134" i="23"/>
  <c r="C1135" i="23"/>
  <c r="C1136" i="23"/>
  <c r="C1137" i="23"/>
  <c r="C1138" i="23"/>
  <c r="C1139" i="23"/>
  <c r="C1140" i="23"/>
  <c r="C1141" i="23"/>
  <c r="C1142" i="23"/>
  <c r="C1143" i="23"/>
  <c r="C1144" i="23"/>
  <c r="C1145" i="23"/>
  <c r="C1146" i="23"/>
  <c r="C1147" i="23"/>
  <c r="C1148" i="23"/>
  <c r="C1149" i="23"/>
  <c r="C1150" i="23"/>
  <c r="C1151" i="23"/>
  <c r="C1152" i="23"/>
  <c r="C1153" i="23"/>
  <c r="C1154" i="23"/>
  <c r="C1155" i="23"/>
  <c r="C1156" i="23"/>
  <c r="C1157" i="23"/>
  <c r="C1158" i="23"/>
  <c r="C1159" i="23"/>
  <c r="C1160" i="23"/>
  <c r="C1161" i="23"/>
  <c r="C1162" i="23"/>
  <c r="C1163" i="23"/>
  <c r="C1164" i="23"/>
  <c r="C1165" i="23"/>
  <c r="C1166" i="23"/>
  <c r="C1167" i="23"/>
  <c r="C1168" i="23"/>
  <c r="C1169" i="23"/>
  <c r="C1170" i="23"/>
  <c r="C1171" i="23"/>
  <c r="C1172" i="23"/>
  <c r="C1173" i="23"/>
  <c r="C1174" i="23"/>
  <c r="C1175" i="23"/>
  <c r="C1176" i="23"/>
  <c r="C1177" i="23"/>
  <c r="C1178" i="23"/>
  <c r="C1179" i="23"/>
  <c r="C1180" i="23"/>
  <c r="C1181" i="23"/>
  <c r="C1182" i="23"/>
  <c r="C1183" i="23"/>
  <c r="C1184" i="23"/>
  <c r="C1185" i="23"/>
  <c r="C1186" i="23"/>
  <c r="C1187" i="23"/>
  <c r="C1188" i="23"/>
  <c r="C1189" i="23"/>
  <c r="C1190" i="23"/>
  <c r="C1191" i="23"/>
  <c r="C1192" i="23"/>
  <c r="C1193" i="23"/>
  <c r="C1194" i="23"/>
  <c r="C1195" i="23"/>
  <c r="C1196" i="23"/>
  <c r="C1197" i="23"/>
  <c r="C1198" i="23"/>
  <c r="C1199" i="23"/>
  <c r="C1200" i="23"/>
  <c r="C1201" i="23"/>
  <c r="C1202" i="23"/>
  <c r="C1203" i="23"/>
  <c r="C1204" i="23"/>
  <c r="C1205" i="23"/>
  <c r="C1206" i="23"/>
  <c r="C1207" i="23"/>
  <c r="C1208" i="23"/>
  <c r="C1209" i="23"/>
  <c r="C1210" i="23"/>
  <c r="C1211" i="23"/>
  <c r="C1212" i="23"/>
  <c r="C1213" i="23"/>
  <c r="C1214" i="23"/>
  <c r="C1215" i="23"/>
  <c r="C1216" i="23"/>
  <c r="C1217" i="23"/>
  <c r="C1218" i="23"/>
  <c r="C1219" i="23"/>
  <c r="C1220" i="23"/>
  <c r="C1221" i="23"/>
  <c r="C1222" i="23"/>
  <c r="C1223" i="23"/>
  <c r="C1224" i="23"/>
  <c r="C1225" i="23"/>
  <c r="C1226" i="23"/>
  <c r="C1227" i="23"/>
  <c r="C1228" i="23"/>
  <c r="C1229" i="23"/>
  <c r="C1230" i="23"/>
  <c r="C1231" i="23"/>
  <c r="C1232" i="23"/>
  <c r="C1233" i="23"/>
  <c r="C1234" i="23"/>
  <c r="C1235" i="23"/>
  <c r="C1236" i="23"/>
  <c r="C1237" i="23"/>
  <c r="C1238" i="23"/>
  <c r="C1239" i="23"/>
  <c r="C1240" i="23"/>
  <c r="C1241" i="23"/>
  <c r="C1242" i="23"/>
  <c r="C1243" i="23"/>
  <c r="C1244" i="23"/>
  <c r="C1245" i="23"/>
  <c r="C1246" i="23"/>
  <c r="C1247" i="23"/>
  <c r="C1248" i="23"/>
  <c r="C1249" i="23"/>
  <c r="C1250" i="23"/>
  <c r="C1251" i="23"/>
  <c r="C1252" i="23"/>
  <c r="C1253" i="23"/>
  <c r="C1254" i="23"/>
  <c r="C1255" i="23"/>
  <c r="C1256" i="23"/>
  <c r="C1257" i="23"/>
  <c r="C1258" i="23"/>
  <c r="C1259" i="23"/>
  <c r="C1260" i="23"/>
  <c r="C1261" i="23"/>
  <c r="C1262" i="23"/>
  <c r="C1263" i="23"/>
  <c r="C1264" i="23"/>
  <c r="C1265" i="23"/>
  <c r="C1266" i="23"/>
  <c r="C1267" i="23"/>
  <c r="C1268" i="23"/>
  <c r="C1269" i="23"/>
  <c r="C1270" i="23"/>
  <c r="C1271" i="23"/>
  <c r="C1272" i="23"/>
  <c r="C1273" i="23"/>
  <c r="C1274" i="23"/>
  <c r="C1275" i="23"/>
  <c r="C1276" i="23"/>
  <c r="C1277" i="23"/>
  <c r="C1278" i="23"/>
  <c r="C1279" i="23"/>
  <c r="C1280" i="23"/>
  <c r="C1281" i="23"/>
  <c r="C1282" i="23"/>
  <c r="C1283" i="23"/>
  <c r="C1284" i="23"/>
  <c r="C1285" i="23"/>
  <c r="C1286" i="23"/>
  <c r="C1287" i="23"/>
  <c r="C1288" i="23"/>
  <c r="C1289" i="23"/>
  <c r="C1290" i="23"/>
  <c r="C1291" i="23"/>
  <c r="C1292" i="23"/>
  <c r="C1293" i="23"/>
  <c r="C1294" i="23"/>
  <c r="C1295" i="23"/>
  <c r="C1296" i="23"/>
  <c r="C1297" i="23"/>
  <c r="C1298" i="23"/>
  <c r="C1299" i="23"/>
  <c r="C1300" i="23"/>
  <c r="C1301" i="23"/>
  <c r="C1302" i="23"/>
  <c r="C1303" i="23"/>
  <c r="C1304" i="23"/>
  <c r="C1305" i="23"/>
  <c r="C1306" i="23"/>
  <c r="C1307" i="23"/>
  <c r="C1308" i="23"/>
  <c r="C1309" i="23"/>
  <c r="C1310" i="23"/>
  <c r="C1311" i="23"/>
  <c r="C1312" i="23"/>
  <c r="C1313" i="23"/>
  <c r="C1314" i="23"/>
  <c r="C1315" i="23"/>
  <c r="C1316" i="23"/>
  <c r="C1317" i="23"/>
  <c r="C1318" i="23"/>
  <c r="C1319" i="23"/>
  <c r="C1320" i="23"/>
  <c r="C1321" i="23"/>
  <c r="C1322" i="23"/>
  <c r="C1323" i="23"/>
  <c r="C1324" i="23"/>
  <c r="C1325" i="23"/>
  <c r="C1326" i="23"/>
  <c r="C1327" i="23"/>
  <c r="C1328" i="23"/>
  <c r="C1329" i="23"/>
  <c r="C1330" i="23"/>
  <c r="C1331" i="23"/>
  <c r="C1332" i="23"/>
  <c r="C1333" i="23"/>
  <c r="C1334" i="23"/>
  <c r="C1335" i="23"/>
  <c r="C1336" i="23"/>
  <c r="C1337" i="23"/>
  <c r="C1338" i="23"/>
  <c r="C1339" i="23"/>
  <c r="C1340" i="23"/>
  <c r="C1341" i="23"/>
  <c r="C1342" i="23"/>
  <c r="C1343" i="23"/>
  <c r="C1344" i="23"/>
  <c r="C1345" i="23"/>
  <c r="C1346" i="23"/>
  <c r="C1347" i="23"/>
  <c r="C1348" i="23"/>
  <c r="C1349" i="23"/>
  <c r="C1350" i="23"/>
  <c r="C1351" i="23"/>
  <c r="C1352" i="23"/>
  <c r="C1353" i="23"/>
  <c r="C1354" i="23"/>
  <c r="C1355" i="23"/>
  <c r="C1356" i="23"/>
  <c r="C1357" i="23"/>
  <c r="C1358" i="23"/>
  <c r="C1359" i="23"/>
  <c r="C1360" i="23"/>
  <c r="C1361" i="23"/>
  <c r="C1362" i="23"/>
  <c r="C1363" i="23"/>
  <c r="C1364" i="23"/>
  <c r="C1365" i="23"/>
  <c r="C1366" i="23"/>
  <c r="C1367" i="23"/>
  <c r="C1368" i="23"/>
  <c r="C1369" i="23"/>
  <c r="C1370" i="23"/>
  <c r="C1371" i="23"/>
  <c r="C1372" i="23"/>
  <c r="C1373" i="23"/>
  <c r="C1374" i="23"/>
  <c r="C1375" i="23"/>
  <c r="C1376" i="23"/>
  <c r="C1377" i="23"/>
  <c r="C1378" i="23"/>
  <c r="C1379" i="23"/>
  <c r="C1380" i="23"/>
  <c r="C1381" i="23"/>
  <c r="C1382" i="23"/>
  <c r="C1383" i="23"/>
  <c r="C1384" i="23"/>
  <c r="C1385" i="23"/>
  <c r="C1386" i="23"/>
  <c r="C1387" i="23"/>
  <c r="C1388" i="23"/>
  <c r="C1389" i="23"/>
  <c r="C1390" i="23"/>
  <c r="C1391" i="23"/>
  <c r="C1392" i="23"/>
  <c r="C1393" i="23"/>
  <c r="C1394" i="23"/>
  <c r="C1395" i="23"/>
  <c r="C1396" i="23"/>
  <c r="C1397" i="23"/>
  <c r="C1398" i="23"/>
  <c r="C1399" i="23"/>
  <c r="C1400" i="23"/>
  <c r="C1401" i="23"/>
  <c r="C1402" i="23"/>
  <c r="C1403" i="23"/>
  <c r="C1404" i="23"/>
  <c r="C1405" i="23"/>
  <c r="C1406" i="23"/>
  <c r="C1407" i="23"/>
  <c r="C1408" i="23"/>
  <c r="C1409" i="23"/>
  <c r="C1410" i="23"/>
  <c r="C1411" i="23"/>
  <c r="C1412" i="23"/>
  <c r="C1413" i="23"/>
  <c r="C1414" i="23"/>
  <c r="C1415" i="23"/>
  <c r="C1416" i="23"/>
  <c r="C1417" i="23"/>
  <c r="C1418" i="23"/>
  <c r="C1419" i="23"/>
  <c r="C1420" i="23"/>
  <c r="C1421" i="23"/>
  <c r="C1422" i="23"/>
  <c r="C1423" i="23"/>
  <c r="C1424" i="23"/>
  <c r="C1425" i="23"/>
  <c r="C1426" i="23"/>
  <c r="C1427" i="23"/>
  <c r="C1428" i="23"/>
  <c r="C1429" i="23"/>
  <c r="C1430" i="23"/>
  <c r="C1431" i="23"/>
  <c r="C1432" i="23"/>
  <c r="C1433" i="23"/>
  <c r="C1434" i="23"/>
  <c r="C1435" i="23"/>
  <c r="C1436" i="23"/>
  <c r="C1437" i="23"/>
  <c r="C1438" i="23"/>
  <c r="C1439" i="23"/>
  <c r="C1440" i="23"/>
  <c r="C1441" i="23"/>
  <c r="C1442" i="23"/>
  <c r="C1443" i="23"/>
  <c r="C1444" i="23"/>
  <c r="C1445" i="23"/>
  <c r="C1446" i="23"/>
  <c r="C1447" i="23"/>
  <c r="C1448" i="23"/>
  <c r="C1449" i="23"/>
  <c r="C1450" i="23"/>
  <c r="C1451" i="23"/>
  <c r="C1452" i="23"/>
  <c r="C1453" i="23"/>
  <c r="C1454" i="23"/>
  <c r="C1455" i="23"/>
  <c r="C1456" i="23"/>
  <c r="C1457" i="23"/>
  <c r="C1458" i="23"/>
  <c r="C1459" i="23"/>
  <c r="C1460" i="23"/>
  <c r="C1461" i="23"/>
  <c r="C1462" i="23"/>
  <c r="C1463" i="23"/>
  <c r="C1464" i="23"/>
  <c r="C1465" i="23"/>
  <c r="C1466" i="23"/>
  <c r="C1467" i="23"/>
  <c r="C1468" i="23"/>
  <c r="C1469" i="23"/>
  <c r="C1470" i="23"/>
  <c r="C1471" i="23"/>
  <c r="C1472" i="23"/>
  <c r="C1473" i="23"/>
  <c r="C1474" i="23"/>
  <c r="C1475" i="23"/>
  <c r="C1476" i="23"/>
  <c r="C1477" i="23"/>
  <c r="C1478" i="23"/>
  <c r="C1479" i="23"/>
  <c r="C1480" i="23"/>
  <c r="C1481" i="23"/>
  <c r="C1482" i="23"/>
  <c r="C1483" i="23"/>
  <c r="C1484" i="23"/>
  <c r="C1485" i="23"/>
  <c r="C1486" i="23"/>
  <c r="C1487" i="23"/>
  <c r="C1488" i="23"/>
  <c r="C1489" i="23"/>
  <c r="C1490" i="23"/>
  <c r="C1491" i="23"/>
  <c r="C1492" i="23"/>
  <c r="C1493" i="23"/>
  <c r="C1494" i="23"/>
  <c r="C1495" i="23"/>
  <c r="C1496" i="23"/>
  <c r="C1497" i="23"/>
  <c r="C1498" i="23"/>
  <c r="C1499" i="23"/>
  <c r="C1500" i="23"/>
  <c r="C1501" i="23"/>
  <c r="C1502" i="23"/>
  <c r="C1503" i="23"/>
  <c r="C1504" i="23"/>
  <c r="C1505" i="23"/>
  <c r="C1506" i="23"/>
  <c r="C1507" i="23"/>
  <c r="C1508" i="23"/>
  <c r="C1509" i="23"/>
  <c r="C1510" i="23"/>
  <c r="C1511" i="23"/>
  <c r="C1512" i="23"/>
  <c r="C1513" i="23"/>
  <c r="C1514" i="23"/>
  <c r="C1515" i="23"/>
  <c r="C1516" i="23"/>
  <c r="C1517" i="23"/>
  <c r="C1518" i="23"/>
  <c r="C1519" i="23"/>
  <c r="C1520" i="23"/>
  <c r="C1521" i="23"/>
  <c r="C1522" i="23"/>
  <c r="C1523" i="23"/>
  <c r="C1524" i="23"/>
  <c r="C1525" i="23"/>
  <c r="C1526" i="23"/>
  <c r="C1527" i="23"/>
  <c r="C1528" i="23"/>
  <c r="C1529" i="23"/>
  <c r="C1530" i="23"/>
  <c r="C1531" i="23"/>
  <c r="C1532" i="23"/>
  <c r="C1533" i="23"/>
  <c r="C1534" i="23"/>
  <c r="C1535" i="23"/>
  <c r="C1536" i="23"/>
  <c r="C1537" i="23"/>
  <c r="C1538" i="23"/>
  <c r="C1539" i="23"/>
  <c r="C1540" i="23"/>
  <c r="C1541" i="23"/>
  <c r="C1542" i="23"/>
  <c r="C1543" i="23"/>
  <c r="C1544" i="23"/>
  <c r="C1545" i="23"/>
  <c r="C1546" i="23"/>
  <c r="C1547" i="23"/>
  <c r="C1548" i="23"/>
  <c r="C1549" i="23"/>
  <c r="C1550" i="23"/>
  <c r="C1551" i="23"/>
  <c r="C1552" i="23"/>
  <c r="C1553" i="23"/>
  <c r="C1554" i="23"/>
  <c r="C1555" i="23"/>
  <c r="C1556" i="23"/>
  <c r="C1557" i="23"/>
  <c r="C1558" i="23"/>
  <c r="C1559" i="23"/>
  <c r="C1560" i="23"/>
  <c r="C1561" i="23"/>
  <c r="C1562" i="23"/>
  <c r="C1563" i="23"/>
  <c r="C1564" i="23"/>
  <c r="C1565" i="23"/>
  <c r="C1566" i="23"/>
  <c r="C1567" i="23"/>
  <c r="C1568" i="23"/>
  <c r="C1569" i="23"/>
  <c r="C1570" i="23"/>
  <c r="C1571" i="23"/>
  <c r="C1572" i="23"/>
  <c r="C1573" i="23"/>
  <c r="C1574" i="23"/>
  <c r="C1575" i="23"/>
  <c r="C1576" i="23"/>
  <c r="C1577" i="23"/>
  <c r="C1578" i="23"/>
  <c r="C1579" i="23"/>
  <c r="C1580" i="23"/>
  <c r="C1581" i="23"/>
  <c r="C1582" i="23"/>
  <c r="C1583" i="23"/>
  <c r="C1584" i="23"/>
  <c r="C1585" i="23"/>
  <c r="C1586" i="23"/>
  <c r="C1587" i="23"/>
  <c r="C1588" i="23"/>
  <c r="C1589" i="23"/>
  <c r="C1590" i="23"/>
  <c r="C1591" i="23"/>
  <c r="C1592" i="23"/>
  <c r="C1593" i="23"/>
  <c r="C1594" i="23"/>
  <c r="C1595" i="23"/>
  <c r="C1596" i="23"/>
  <c r="C1597" i="23"/>
  <c r="C1598" i="23"/>
  <c r="C1599" i="23"/>
  <c r="C1600" i="23"/>
  <c r="C1601" i="23"/>
  <c r="C1602" i="23"/>
  <c r="C1603" i="23"/>
  <c r="C1604" i="23"/>
  <c r="C1605" i="23"/>
  <c r="C1606" i="23"/>
  <c r="C1607" i="23"/>
  <c r="C1608" i="23"/>
  <c r="C1609" i="23"/>
  <c r="C1610" i="23"/>
  <c r="C1611" i="23"/>
  <c r="C1612" i="23"/>
  <c r="C1613" i="23"/>
  <c r="C1614" i="23"/>
  <c r="C1615" i="23"/>
  <c r="C1616" i="23"/>
  <c r="C1617" i="23"/>
  <c r="C1618" i="23"/>
  <c r="C1619" i="23"/>
  <c r="C1620" i="23"/>
  <c r="C1621" i="23"/>
  <c r="C1622" i="23"/>
  <c r="C1623" i="23"/>
  <c r="C1624" i="23"/>
  <c r="C1625" i="23"/>
  <c r="C1626" i="23"/>
  <c r="C1627" i="23"/>
  <c r="C1628" i="23"/>
  <c r="C1629" i="23"/>
  <c r="C1630" i="23"/>
  <c r="C1631" i="23"/>
  <c r="C1632" i="23"/>
  <c r="C1633" i="23"/>
  <c r="C1634" i="23"/>
  <c r="C1635" i="23"/>
  <c r="C1636" i="23"/>
  <c r="C1637" i="23"/>
  <c r="C1638" i="23"/>
  <c r="C1639" i="23"/>
  <c r="C1640" i="23"/>
  <c r="C1641" i="23"/>
  <c r="C1642" i="23"/>
  <c r="C1643" i="23"/>
  <c r="C1644" i="23"/>
  <c r="C1645" i="23"/>
  <c r="C1646" i="23"/>
  <c r="C1647" i="23"/>
  <c r="C1648" i="23"/>
  <c r="C1649" i="23"/>
  <c r="C1650" i="23"/>
  <c r="C1651" i="23"/>
  <c r="C1652" i="23"/>
  <c r="C1653" i="23"/>
  <c r="C1654" i="23"/>
  <c r="C1655" i="23"/>
  <c r="C1656" i="23"/>
  <c r="C1657" i="23"/>
  <c r="C1658" i="23"/>
  <c r="C1659" i="23"/>
  <c r="C1660" i="23"/>
  <c r="C1661" i="23"/>
  <c r="C1662" i="23"/>
  <c r="C1663" i="23"/>
  <c r="C1664" i="23"/>
  <c r="C1665" i="23"/>
  <c r="C1666" i="23"/>
  <c r="C1667" i="23"/>
  <c r="C1668" i="23"/>
  <c r="C1669" i="23"/>
  <c r="C1670" i="23"/>
  <c r="C1671" i="23"/>
  <c r="C1672" i="23"/>
  <c r="C1673" i="23"/>
  <c r="C1674" i="23"/>
  <c r="C1675" i="23"/>
  <c r="C1676" i="23"/>
  <c r="C1677" i="23"/>
  <c r="C1678" i="23"/>
  <c r="C1679" i="23"/>
  <c r="C1680" i="23"/>
  <c r="C1681" i="23"/>
  <c r="C1682" i="23"/>
  <c r="C1683" i="23"/>
  <c r="C1684" i="23"/>
  <c r="C1685" i="23"/>
  <c r="C1686" i="23"/>
  <c r="C1687" i="23"/>
  <c r="C1688" i="23"/>
  <c r="C1689" i="23"/>
  <c r="C1690" i="23"/>
  <c r="C1691" i="23"/>
  <c r="C1692" i="23"/>
  <c r="C1693" i="23"/>
  <c r="C1694" i="23"/>
  <c r="C1695" i="23"/>
  <c r="C1696" i="23"/>
  <c r="C1697" i="23"/>
  <c r="C1698" i="23"/>
  <c r="C1699" i="23"/>
  <c r="C1700" i="23"/>
  <c r="C1701" i="23"/>
  <c r="C1702" i="23"/>
  <c r="C1703" i="23"/>
  <c r="C1704" i="23"/>
  <c r="C1705" i="23"/>
  <c r="C1706" i="23"/>
  <c r="C1707" i="23"/>
  <c r="C1708" i="23"/>
  <c r="C1709" i="23"/>
  <c r="C1710" i="23"/>
  <c r="C1711" i="23"/>
  <c r="C1712" i="23"/>
  <c r="C1713" i="23"/>
  <c r="C1714" i="23"/>
  <c r="C1715" i="23"/>
  <c r="C1716" i="23"/>
  <c r="C1717" i="23"/>
  <c r="C1718" i="23"/>
  <c r="C1719" i="23"/>
  <c r="C1720" i="23"/>
  <c r="C1721" i="23"/>
  <c r="C1722" i="23"/>
  <c r="C1723" i="23"/>
  <c r="C1724" i="23"/>
  <c r="C1725" i="23"/>
  <c r="C1726" i="23"/>
  <c r="C1727" i="23"/>
  <c r="C1728" i="23"/>
  <c r="C1729" i="23"/>
  <c r="C1730" i="23"/>
  <c r="C1731" i="23"/>
  <c r="C1732" i="23"/>
  <c r="C1733" i="23"/>
  <c r="C1734" i="23"/>
  <c r="C1735" i="23"/>
  <c r="C1736" i="23"/>
  <c r="C1737" i="23"/>
  <c r="C1738" i="23"/>
  <c r="C1739" i="23"/>
  <c r="C1740" i="23"/>
  <c r="C1741" i="23"/>
  <c r="C1742" i="23"/>
  <c r="C1743" i="23"/>
  <c r="C1744" i="23"/>
  <c r="C1745" i="23"/>
  <c r="C1746" i="23"/>
  <c r="C1747" i="23"/>
  <c r="C1748" i="23"/>
  <c r="C1749" i="23"/>
  <c r="C1750" i="23"/>
  <c r="C1751" i="23"/>
  <c r="C1752" i="23"/>
  <c r="C1753" i="23"/>
  <c r="C1754" i="23"/>
  <c r="C1755" i="23"/>
  <c r="C1756" i="23"/>
  <c r="C1757" i="23"/>
  <c r="C1758" i="23"/>
  <c r="C1759" i="23"/>
  <c r="C1760" i="23"/>
  <c r="C1761" i="23"/>
  <c r="C1762" i="23"/>
  <c r="C1763" i="23"/>
  <c r="C1764" i="23"/>
  <c r="C1765" i="23"/>
  <c r="C1766" i="23"/>
  <c r="C1767" i="23"/>
  <c r="C1768" i="23"/>
  <c r="C1769" i="23"/>
  <c r="C1770" i="23"/>
  <c r="C1771" i="23"/>
  <c r="C1772" i="23"/>
  <c r="C1773" i="23"/>
  <c r="C1774" i="23"/>
  <c r="C1775" i="23"/>
  <c r="C1776" i="23"/>
  <c r="C1777" i="23"/>
  <c r="C1778" i="23"/>
  <c r="C1779" i="23"/>
  <c r="C1780" i="23"/>
  <c r="C1781" i="23"/>
  <c r="C1782" i="23"/>
  <c r="C1783" i="23"/>
  <c r="C1784" i="23"/>
  <c r="C1785" i="23"/>
  <c r="C1786" i="23"/>
  <c r="C1787" i="23"/>
  <c r="C1788" i="23"/>
  <c r="C1789" i="23"/>
  <c r="C1790" i="23"/>
  <c r="C1791" i="23"/>
  <c r="C1792" i="23"/>
  <c r="C1793" i="23"/>
  <c r="C1794" i="23"/>
  <c r="C1795" i="23"/>
  <c r="C1796" i="23"/>
  <c r="C1797" i="23"/>
  <c r="C1798" i="23"/>
  <c r="C1799" i="23"/>
  <c r="C1800" i="23"/>
  <c r="C1801" i="23"/>
  <c r="C1802" i="23"/>
  <c r="C1803" i="23"/>
  <c r="C1804" i="23"/>
  <c r="C1805" i="23"/>
  <c r="C1806" i="23"/>
  <c r="C1807" i="23"/>
  <c r="C1808" i="23"/>
  <c r="C1809" i="23"/>
  <c r="C1810" i="23"/>
  <c r="C1811" i="23"/>
  <c r="C1812" i="23"/>
  <c r="C1813" i="23"/>
  <c r="C1814" i="23"/>
  <c r="C1815" i="23"/>
  <c r="C1816" i="23"/>
  <c r="C1817" i="23"/>
  <c r="C1818" i="23"/>
  <c r="C1819" i="23"/>
  <c r="C1820" i="23"/>
  <c r="C1821" i="23"/>
  <c r="C1822" i="23"/>
  <c r="C1823" i="23"/>
  <c r="C1824" i="23"/>
  <c r="C1825" i="23"/>
  <c r="C1826" i="23"/>
  <c r="C1827" i="23"/>
  <c r="C1828" i="23"/>
  <c r="C1829" i="23"/>
  <c r="C1830" i="23"/>
  <c r="C1831" i="23"/>
  <c r="C1832" i="23"/>
  <c r="C1833" i="23"/>
  <c r="C1834" i="23"/>
  <c r="C1835" i="23"/>
  <c r="C1836" i="23"/>
  <c r="C1837" i="23"/>
  <c r="C1838" i="23"/>
  <c r="C1839" i="23"/>
  <c r="C1840" i="23"/>
  <c r="C1841" i="23"/>
  <c r="C1842" i="23"/>
  <c r="C1843" i="23"/>
  <c r="C1844" i="23"/>
  <c r="C1845" i="23"/>
  <c r="C1846" i="23"/>
  <c r="C1847" i="23"/>
  <c r="C1848" i="23"/>
  <c r="C1849" i="23"/>
  <c r="C1850" i="23"/>
  <c r="C1851" i="23"/>
  <c r="C1852" i="23"/>
  <c r="C1853" i="23"/>
  <c r="C1854" i="23"/>
  <c r="C1855" i="23"/>
  <c r="C1856" i="23"/>
  <c r="C1857" i="23"/>
  <c r="C1858" i="23"/>
  <c r="C1859" i="23"/>
  <c r="C1860" i="23"/>
  <c r="C1861" i="23"/>
  <c r="C1862" i="23"/>
  <c r="C1863" i="23"/>
  <c r="C1864" i="23"/>
  <c r="C1865" i="23"/>
  <c r="C1866" i="23"/>
  <c r="C1867" i="23"/>
  <c r="C1868" i="23"/>
  <c r="C1869" i="23"/>
  <c r="C1870" i="23"/>
  <c r="C1871" i="23"/>
  <c r="C1872" i="23"/>
  <c r="C1873" i="23"/>
  <c r="C1874" i="23"/>
  <c r="C1875" i="23"/>
  <c r="C1876" i="23"/>
  <c r="C1877" i="23"/>
  <c r="C1878" i="23"/>
  <c r="C1879" i="23"/>
  <c r="C1880" i="23"/>
  <c r="C1881" i="23"/>
  <c r="C1882" i="23"/>
  <c r="C1883" i="23"/>
  <c r="C1884" i="23"/>
  <c r="C1885" i="23"/>
  <c r="C1886" i="23"/>
  <c r="C1887" i="23"/>
  <c r="C1888" i="23"/>
  <c r="C1889" i="23"/>
  <c r="C1890" i="23"/>
  <c r="C1891" i="23"/>
  <c r="C1892" i="23"/>
  <c r="C1893" i="23"/>
  <c r="C1894" i="23"/>
  <c r="C1895" i="23"/>
  <c r="C1896" i="23"/>
  <c r="C1897" i="23"/>
  <c r="C1898" i="23"/>
  <c r="C1899" i="23"/>
  <c r="C1900" i="23"/>
  <c r="C1901" i="23"/>
  <c r="C1902" i="23"/>
  <c r="C1903" i="23"/>
  <c r="C1904" i="23"/>
  <c r="C1905" i="23"/>
  <c r="C1906" i="23"/>
  <c r="C1907" i="23"/>
  <c r="C1908" i="23"/>
  <c r="C1909" i="23"/>
  <c r="C1910" i="23"/>
  <c r="C1911" i="23"/>
  <c r="C1912" i="23"/>
  <c r="C1913" i="23"/>
  <c r="C1914" i="23"/>
  <c r="C1915" i="23"/>
  <c r="C1916" i="23"/>
  <c r="C1917" i="23"/>
  <c r="C1918" i="23"/>
  <c r="C1919" i="23"/>
  <c r="C1920" i="23"/>
  <c r="C1921" i="23"/>
  <c r="C1922" i="23"/>
  <c r="C1923" i="23"/>
  <c r="C1924" i="23"/>
  <c r="C1925" i="23"/>
  <c r="C1926" i="23"/>
  <c r="C1927" i="23"/>
  <c r="C1928" i="23"/>
  <c r="C1929" i="23"/>
  <c r="C1930" i="23"/>
  <c r="C1931" i="23"/>
  <c r="C1932" i="23"/>
  <c r="C1933" i="23"/>
  <c r="C1934" i="23"/>
  <c r="C1935" i="23"/>
  <c r="C1936" i="23"/>
  <c r="C1937" i="23"/>
  <c r="C1938" i="23"/>
  <c r="C1939" i="23"/>
  <c r="C1940" i="23"/>
  <c r="C1941" i="23"/>
  <c r="C1942" i="23"/>
  <c r="C1943" i="23"/>
  <c r="C1944" i="23"/>
  <c r="C1945" i="23"/>
  <c r="C1946" i="23"/>
  <c r="C1947" i="23"/>
  <c r="C1948" i="23"/>
  <c r="C1949" i="23"/>
  <c r="C1950" i="23"/>
  <c r="C1951" i="23"/>
  <c r="C1952" i="23"/>
  <c r="C1953" i="23"/>
  <c r="C1954" i="23"/>
  <c r="C1955" i="23"/>
  <c r="C1956" i="23"/>
  <c r="C1957" i="23"/>
  <c r="C1958" i="23"/>
  <c r="C1959" i="23"/>
  <c r="C1960" i="23"/>
  <c r="C1961" i="23"/>
  <c r="C1962" i="23"/>
  <c r="C1963" i="23"/>
  <c r="C1964" i="23"/>
  <c r="C1965" i="23"/>
  <c r="C1966" i="23"/>
  <c r="C1967" i="23"/>
  <c r="C1968" i="23"/>
  <c r="C1969" i="23"/>
  <c r="C1970" i="23"/>
  <c r="C1971" i="23"/>
  <c r="C1972" i="23"/>
  <c r="C1973" i="23"/>
  <c r="C1974" i="23"/>
  <c r="C1975" i="23"/>
  <c r="C1976" i="23"/>
  <c r="C1977" i="23"/>
  <c r="C1978" i="23"/>
  <c r="C1979" i="23"/>
  <c r="C1980" i="23"/>
  <c r="C1981" i="23"/>
  <c r="C1982" i="23"/>
  <c r="C1983" i="23"/>
  <c r="C1984" i="23"/>
  <c r="C1985" i="23"/>
  <c r="C1986" i="23"/>
  <c r="C1987" i="23"/>
  <c r="C1988" i="23"/>
  <c r="C1989" i="23"/>
  <c r="C1990" i="23"/>
  <c r="C1991" i="23"/>
  <c r="C1992" i="23"/>
  <c r="C1993" i="23"/>
  <c r="C1994" i="23"/>
  <c r="C1995" i="23"/>
  <c r="C1996" i="23"/>
  <c r="C1997" i="23"/>
  <c r="C1998" i="23"/>
  <c r="C1999" i="23"/>
  <c r="C2000" i="23"/>
  <c r="C2001" i="23"/>
  <c r="C2002" i="23"/>
  <c r="C2003" i="23"/>
  <c r="C2004" i="23"/>
  <c r="C2005" i="23"/>
  <c r="C2006" i="23"/>
  <c r="C2007" i="23"/>
  <c r="C2008" i="23"/>
  <c r="C2009" i="23"/>
  <c r="C2010" i="23"/>
  <c r="C2011" i="23"/>
  <c r="C2012" i="23"/>
  <c r="C2013" i="23"/>
  <c r="C2014" i="23"/>
  <c r="C2015" i="23"/>
  <c r="C2016" i="23"/>
  <c r="C2017" i="23"/>
  <c r="C2018" i="23"/>
  <c r="C2019" i="23"/>
  <c r="C2020" i="23"/>
  <c r="C2021" i="23"/>
  <c r="C2022" i="23"/>
  <c r="C2023" i="23"/>
  <c r="C2024" i="23"/>
  <c r="C2025" i="23"/>
  <c r="C2026" i="23"/>
  <c r="C2027" i="23"/>
  <c r="C2028" i="23"/>
  <c r="C2029" i="23"/>
  <c r="C2030" i="23"/>
  <c r="C2031" i="23"/>
  <c r="C2032" i="23"/>
  <c r="C2033" i="23"/>
  <c r="C2034" i="23"/>
  <c r="C2035" i="23"/>
  <c r="C2036" i="23"/>
  <c r="C2037" i="23"/>
  <c r="C2038" i="23"/>
  <c r="C2039" i="23"/>
  <c r="C2040" i="23"/>
  <c r="C2041" i="23"/>
  <c r="C2042" i="23"/>
  <c r="C2043" i="23"/>
  <c r="C2044" i="23"/>
  <c r="C2045" i="23"/>
  <c r="C2046" i="23"/>
  <c r="C2047" i="23"/>
  <c r="C2048" i="23"/>
  <c r="C2049" i="23"/>
  <c r="C2050" i="23"/>
  <c r="C2051" i="23"/>
  <c r="C2052" i="23"/>
  <c r="C2053" i="23"/>
  <c r="C2054" i="23"/>
  <c r="C2055" i="23"/>
  <c r="C2056" i="23"/>
  <c r="C2057" i="23"/>
  <c r="C2058" i="23"/>
  <c r="C2059" i="23"/>
  <c r="C2060" i="23"/>
  <c r="C2061" i="23"/>
  <c r="C2062" i="23"/>
  <c r="C2063" i="23"/>
  <c r="C2064" i="23"/>
  <c r="C2065" i="23"/>
  <c r="C2066" i="23"/>
  <c r="C2067" i="23"/>
  <c r="C2068" i="23"/>
  <c r="C2069" i="23"/>
  <c r="C2070" i="23"/>
  <c r="C2071" i="23"/>
  <c r="C2072" i="23"/>
  <c r="C2073" i="23"/>
  <c r="C2074" i="23"/>
  <c r="C2075" i="23"/>
  <c r="C2076" i="23"/>
  <c r="C2077" i="23"/>
  <c r="C2078" i="23"/>
  <c r="C2079" i="23"/>
  <c r="C2080" i="23"/>
  <c r="C2081" i="23"/>
  <c r="C2082" i="23"/>
  <c r="C2083" i="23"/>
  <c r="C2084" i="23"/>
  <c r="C2085" i="23"/>
  <c r="C2086" i="23"/>
  <c r="C2087" i="23"/>
  <c r="C2088" i="23"/>
  <c r="C2089" i="23"/>
  <c r="C2090" i="23"/>
  <c r="C2091" i="23"/>
  <c r="C2092" i="23"/>
  <c r="C2093" i="23"/>
  <c r="C2094" i="23"/>
  <c r="C2095" i="23"/>
  <c r="C2096" i="23"/>
  <c r="C2097" i="23"/>
  <c r="C2098" i="23"/>
  <c r="C2099" i="23"/>
  <c r="C2100" i="23"/>
  <c r="C2101" i="23"/>
  <c r="C2102" i="23"/>
  <c r="C2103" i="23"/>
  <c r="C2104" i="23"/>
  <c r="C2105" i="23"/>
  <c r="C2106" i="23"/>
  <c r="C2107" i="23"/>
  <c r="C2108" i="23"/>
  <c r="C2109" i="23"/>
  <c r="C2110" i="23"/>
  <c r="C2111" i="23"/>
  <c r="C2112" i="23"/>
  <c r="C2113" i="23"/>
  <c r="C2114" i="23"/>
  <c r="C2115" i="23"/>
  <c r="C2116" i="23"/>
  <c r="C2117" i="23"/>
  <c r="C2118" i="23"/>
  <c r="C2119" i="23"/>
  <c r="C2120" i="23"/>
  <c r="C2121" i="23"/>
  <c r="C2122" i="23"/>
  <c r="C2123" i="23"/>
  <c r="C2124" i="23"/>
  <c r="C2125" i="23"/>
  <c r="C2126" i="23"/>
  <c r="C2127" i="23"/>
  <c r="C2128" i="23"/>
  <c r="C2129" i="23"/>
  <c r="C2130" i="23"/>
  <c r="C2131" i="23"/>
  <c r="C2132" i="23"/>
  <c r="C2133" i="23"/>
  <c r="C2134" i="23"/>
  <c r="C2135" i="23"/>
  <c r="C2136" i="23"/>
  <c r="C2137" i="23"/>
  <c r="C2138" i="23"/>
  <c r="C2139" i="23"/>
  <c r="C2140" i="23"/>
  <c r="C2141" i="23"/>
  <c r="C2142" i="23"/>
  <c r="C2143" i="23"/>
  <c r="C2144" i="23"/>
  <c r="C2145" i="23"/>
  <c r="C2146" i="23"/>
  <c r="C2147" i="23"/>
  <c r="C2148" i="23"/>
  <c r="C2149" i="23"/>
  <c r="C2150" i="23"/>
  <c r="C2151" i="23"/>
  <c r="C2152" i="23"/>
  <c r="C2153" i="23"/>
  <c r="C2154" i="23"/>
  <c r="C2155" i="23"/>
  <c r="C2156" i="23"/>
  <c r="C2157" i="23"/>
  <c r="C2158" i="23"/>
  <c r="C2159" i="23"/>
  <c r="C2160" i="23"/>
  <c r="C2161" i="23"/>
  <c r="C2162" i="23"/>
  <c r="C2163" i="23"/>
  <c r="C2164" i="23"/>
  <c r="C2165" i="23"/>
  <c r="C2166" i="23"/>
  <c r="C2167" i="23"/>
  <c r="C2168" i="23"/>
  <c r="C2169" i="23"/>
  <c r="C2170" i="23"/>
  <c r="C2171" i="23"/>
  <c r="C2172" i="23"/>
  <c r="AC508" i="23"/>
  <c r="AC510" i="23"/>
  <c r="AC511" i="23"/>
  <c r="AC518" i="23"/>
  <c r="AC564" i="23"/>
  <c r="AC566" i="23"/>
  <c r="AC572" i="23"/>
  <c r="AC582" i="23"/>
  <c r="AC628" i="23"/>
  <c r="AC630" i="23"/>
  <c r="AC638" i="23"/>
  <c r="AC646" i="23"/>
  <c r="AC647" i="23"/>
  <c r="AC655" i="23"/>
  <c r="AC692" i="23"/>
  <c r="AC694" i="23"/>
  <c r="K433" i="23"/>
  <c r="M433" i="23" s="1"/>
  <c r="A51" i="32" a="1"/>
  <c r="D39" i="32" l="1"/>
  <c r="D47" i="32"/>
  <c r="D36" i="32"/>
  <c r="D45" i="32"/>
  <c r="I2" i="29"/>
  <c r="A51" i="32"/>
  <c r="Q7" i="27"/>
  <c r="J3" i="29"/>
  <c r="I3" i="29"/>
  <c r="H132" i="27" s="1"/>
  <c r="J2" i="29"/>
  <c r="H111" i="27"/>
  <c r="H115" i="27"/>
  <c r="H119" i="27"/>
  <c r="H123" i="27"/>
  <c r="H127" i="27"/>
  <c r="H131" i="27"/>
  <c r="H135" i="27"/>
  <c r="H139" i="27"/>
  <c r="H143" i="27"/>
  <c r="H147" i="27"/>
  <c r="H151" i="27"/>
  <c r="H155" i="27"/>
  <c r="H159" i="27"/>
  <c r="H163" i="27"/>
  <c r="H167" i="27"/>
  <c r="H171" i="27"/>
  <c r="H175" i="27"/>
  <c r="H179" i="27"/>
  <c r="H183" i="27"/>
  <c r="H187" i="27"/>
  <c r="H191" i="27"/>
  <c r="H195" i="27"/>
  <c r="H199" i="27"/>
  <c r="H203" i="27"/>
  <c r="H207" i="27"/>
  <c r="H211" i="27"/>
  <c r="H215" i="27"/>
  <c r="H219" i="27"/>
  <c r="H223" i="27"/>
  <c r="H227" i="27"/>
  <c r="H231" i="27"/>
  <c r="H235" i="27"/>
  <c r="H221" i="27"/>
  <c r="H138" i="27"/>
  <c r="H186" i="27"/>
  <c r="H222" i="27"/>
  <c r="G127" i="27"/>
  <c r="G143" i="27"/>
  <c r="G167" i="27"/>
  <c r="G191" i="27"/>
  <c r="G203" i="27"/>
  <c r="G227" i="27"/>
  <c r="G108" i="27"/>
  <c r="G112" i="27"/>
  <c r="G116" i="27"/>
  <c r="G120" i="27"/>
  <c r="G124" i="27"/>
  <c r="G128" i="27"/>
  <c r="G132" i="27"/>
  <c r="G136" i="27"/>
  <c r="G140" i="27"/>
  <c r="G144" i="27"/>
  <c r="G148" i="27"/>
  <c r="G152" i="27"/>
  <c r="G156" i="27"/>
  <c r="G160" i="27"/>
  <c r="G164" i="27"/>
  <c r="G168" i="27"/>
  <c r="G172" i="27"/>
  <c r="G176" i="27"/>
  <c r="G180" i="27"/>
  <c r="G184" i="27"/>
  <c r="G188" i="27"/>
  <c r="G192" i="27"/>
  <c r="G196" i="27"/>
  <c r="G200" i="27"/>
  <c r="G204" i="27"/>
  <c r="G208" i="27"/>
  <c r="G212" i="27"/>
  <c r="G216" i="27"/>
  <c r="G220" i="27"/>
  <c r="G224" i="27"/>
  <c r="G228" i="27"/>
  <c r="G232" i="27"/>
  <c r="G236" i="27"/>
  <c r="H225" i="27"/>
  <c r="H142" i="27"/>
  <c r="H202" i="27"/>
  <c r="G131" i="27"/>
  <c r="G159" i="27"/>
  <c r="G171" i="27"/>
  <c r="G199" i="27"/>
  <c r="G223" i="27"/>
  <c r="H108" i="27"/>
  <c r="H112" i="27"/>
  <c r="H116" i="27"/>
  <c r="H120" i="27"/>
  <c r="H124" i="27"/>
  <c r="H128" i="27"/>
  <c r="H136" i="27"/>
  <c r="H140" i="27"/>
  <c r="H144" i="27"/>
  <c r="H148" i="27"/>
  <c r="H152" i="27"/>
  <c r="H156" i="27"/>
  <c r="H160" i="27"/>
  <c r="H164" i="27"/>
  <c r="H168" i="27"/>
  <c r="H172" i="27"/>
  <c r="H176" i="27"/>
  <c r="H180" i="27"/>
  <c r="H184" i="27"/>
  <c r="H188" i="27"/>
  <c r="H192" i="27"/>
  <c r="H196" i="27"/>
  <c r="H200" i="27"/>
  <c r="H204" i="27"/>
  <c r="H208" i="27"/>
  <c r="H212" i="27"/>
  <c r="H216" i="27"/>
  <c r="H220" i="27"/>
  <c r="H224" i="27"/>
  <c r="H228" i="27"/>
  <c r="H232" i="27"/>
  <c r="H236" i="27"/>
  <c r="H217" i="27"/>
  <c r="H134" i="27"/>
  <c r="H178" i="27"/>
  <c r="H198" i="27"/>
  <c r="H218" i="27"/>
  <c r="H234" i="27"/>
  <c r="G111" i="27"/>
  <c r="G151" i="27"/>
  <c r="G155" i="27"/>
  <c r="G163" i="27"/>
  <c r="G187" i="27"/>
  <c r="G211" i="27"/>
  <c r="G235" i="27"/>
  <c r="G109" i="27"/>
  <c r="G113" i="27"/>
  <c r="G117" i="27"/>
  <c r="G121" i="27"/>
  <c r="G125" i="27"/>
  <c r="G129" i="27"/>
  <c r="G133" i="27"/>
  <c r="G137" i="27"/>
  <c r="G141" i="27"/>
  <c r="G145" i="27"/>
  <c r="G149" i="27"/>
  <c r="G153" i="27"/>
  <c r="G157" i="27"/>
  <c r="G161" i="27"/>
  <c r="G165" i="27"/>
  <c r="G169" i="27"/>
  <c r="G173" i="27"/>
  <c r="G177" i="27"/>
  <c r="G181" i="27"/>
  <c r="G185" i="27"/>
  <c r="G189" i="27"/>
  <c r="G193" i="27"/>
  <c r="G197" i="27"/>
  <c r="G201" i="27"/>
  <c r="G205" i="27"/>
  <c r="G209" i="27"/>
  <c r="G213" i="27"/>
  <c r="G217" i="27"/>
  <c r="G221" i="27"/>
  <c r="G225" i="27"/>
  <c r="G229" i="27"/>
  <c r="G233" i="27"/>
  <c r="G237" i="27"/>
  <c r="H213" i="27"/>
  <c r="H122" i="27"/>
  <c r="H162" i="27"/>
  <c r="H170" i="27"/>
  <c r="H194" i="27"/>
  <c r="H214" i="27"/>
  <c r="G119" i="27"/>
  <c r="G139" i="27"/>
  <c r="G175" i="27"/>
  <c r="G215" i="27"/>
  <c r="H109" i="27"/>
  <c r="H113" i="27"/>
  <c r="H117" i="27"/>
  <c r="H121" i="27"/>
  <c r="H125" i="27"/>
  <c r="H129" i="27"/>
  <c r="H133" i="27"/>
  <c r="H137" i="27"/>
  <c r="H141" i="27"/>
  <c r="H145" i="27"/>
  <c r="H149" i="27"/>
  <c r="H153" i="27"/>
  <c r="H157" i="27"/>
  <c r="H161" i="27"/>
  <c r="H165" i="27"/>
  <c r="H169" i="27"/>
  <c r="H173" i="27"/>
  <c r="H177" i="27"/>
  <c r="H181" i="27"/>
  <c r="H185" i="27"/>
  <c r="H189" i="27"/>
  <c r="H193" i="27"/>
  <c r="H197" i="27"/>
  <c r="H201" i="27"/>
  <c r="H205" i="27"/>
  <c r="H209" i="27"/>
  <c r="H229" i="27"/>
  <c r="H233" i="27"/>
  <c r="H237" i="27"/>
  <c r="H126" i="27"/>
  <c r="H158" i="27"/>
  <c r="H182" i="27"/>
  <c r="H210" i="27"/>
  <c r="H230" i="27"/>
  <c r="G123" i="27"/>
  <c r="G135" i="27"/>
  <c r="G183" i="27"/>
  <c r="G207" i="27"/>
  <c r="G231" i="27"/>
  <c r="G110" i="27"/>
  <c r="G114" i="27"/>
  <c r="G118" i="27"/>
  <c r="G122" i="27"/>
  <c r="G126" i="27"/>
  <c r="G130" i="27"/>
  <c r="G134" i="27"/>
  <c r="G138" i="27"/>
  <c r="G142" i="27"/>
  <c r="G146" i="27"/>
  <c r="G150" i="27"/>
  <c r="G154" i="27"/>
  <c r="G158" i="27"/>
  <c r="G162" i="27"/>
  <c r="G166" i="27"/>
  <c r="G170" i="27"/>
  <c r="G174" i="27"/>
  <c r="G178" i="27"/>
  <c r="G182" i="27"/>
  <c r="G186" i="27"/>
  <c r="G190" i="27"/>
  <c r="G194" i="27"/>
  <c r="G198" i="27"/>
  <c r="G202" i="27"/>
  <c r="G206" i="27"/>
  <c r="G210" i="27"/>
  <c r="G214" i="27"/>
  <c r="G218" i="27"/>
  <c r="G222" i="27"/>
  <c r="G226" i="27"/>
  <c r="G230" i="27"/>
  <c r="G234" i="27"/>
  <c r="H110" i="27"/>
  <c r="H114" i="27"/>
  <c r="H118" i="27"/>
  <c r="H130" i="27"/>
  <c r="H146" i="27"/>
  <c r="H150" i="27"/>
  <c r="H154" i="27"/>
  <c r="H166" i="27"/>
  <c r="H174" i="27"/>
  <c r="H190" i="27"/>
  <c r="H206" i="27"/>
  <c r="H226" i="27"/>
  <c r="G115" i="27"/>
  <c r="G147" i="27"/>
  <c r="G179" i="27"/>
  <c r="G195" i="27"/>
  <c r="G219" i="27"/>
  <c r="D46" i="32"/>
  <c r="D38" i="32"/>
  <c r="D44" i="32"/>
  <c r="D43" i="32"/>
  <c r="D37" i="32"/>
  <c r="D42" i="32"/>
  <c r="D41" i="32"/>
  <c r="D40" i="32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47" i="29"/>
  <c r="W48" i="29"/>
  <c r="W49" i="29"/>
  <c r="W50" i="29"/>
  <c r="W51" i="29"/>
  <c r="W52" i="29"/>
  <c r="W53" i="29"/>
  <c r="W54" i="29"/>
  <c r="W55" i="29"/>
  <c r="W56" i="29"/>
  <c r="W57" i="29"/>
  <c r="W58" i="29"/>
  <c r="W59" i="29"/>
  <c r="W60" i="29"/>
  <c r="W61" i="29"/>
  <c r="W62" i="29"/>
  <c r="W63" i="29"/>
  <c r="W64" i="29"/>
  <c r="W65" i="29"/>
  <c r="W66" i="29"/>
  <c r="W67" i="29"/>
  <c r="W68" i="29"/>
  <c r="W69" i="29"/>
  <c r="W70" i="29"/>
  <c r="W71" i="29"/>
  <c r="W72" i="29"/>
  <c r="W73" i="29"/>
  <c r="W74" i="29"/>
  <c r="W75" i="29"/>
  <c r="W76" i="29"/>
  <c r="W77" i="29"/>
  <c r="W78" i="29"/>
  <c r="W79" i="29"/>
  <c r="W80" i="29"/>
  <c r="W81" i="29"/>
  <c r="W82" i="29"/>
  <c r="W83" i="29"/>
  <c r="W84" i="29"/>
  <c r="W85" i="29"/>
  <c r="W86" i="29"/>
  <c r="W87" i="29"/>
  <c r="W88" i="29"/>
  <c r="W89" i="29"/>
  <c r="W90" i="29"/>
  <c r="W91" i="29"/>
  <c r="W92" i="29"/>
  <c r="W93" i="29"/>
  <c r="W94" i="29"/>
  <c r="W95" i="29"/>
  <c r="W96" i="29"/>
  <c r="W97" i="29"/>
  <c r="W98" i="29"/>
  <c r="W99" i="29"/>
  <c r="W100" i="29"/>
  <c r="W101" i="29"/>
  <c r="W102" i="29"/>
  <c r="W103" i="29"/>
  <c r="W104" i="29"/>
  <c r="W105" i="29"/>
  <c r="W106" i="29"/>
  <c r="W107" i="29"/>
  <c r="W108" i="29"/>
  <c r="W109" i="29"/>
  <c r="W110" i="29"/>
  <c r="W111" i="29"/>
  <c r="W112" i="29"/>
  <c r="W113" i="29"/>
  <c r="W114" i="29"/>
  <c r="W115" i="29"/>
  <c r="W116" i="29"/>
  <c r="W117" i="29"/>
  <c r="W118" i="29"/>
  <c r="W119" i="29"/>
  <c r="W120" i="29"/>
  <c r="W121" i="29"/>
  <c r="W122" i="29"/>
  <c r="W123" i="29"/>
  <c r="W124" i="29"/>
  <c r="W125" i="29"/>
  <c r="W126" i="29"/>
  <c r="W127" i="29"/>
  <c r="W128" i="29"/>
  <c r="W129" i="29"/>
  <c r="W130" i="29"/>
  <c r="W131" i="29"/>
  <c r="W132" i="29"/>
  <c r="W133" i="29"/>
  <c r="W134" i="29"/>
  <c r="W135" i="29"/>
  <c r="W136" i="29"/>
  <c r="W137" i="29"/>
  <c r="W138" i="29"/>
  <c r="W139" i="29"/>
  <c r="W140" i="29"/>
  <c r="W141" i="29"/>
  <c r="W142" i="29"/>
  <c r="W143" i="29"/>
  <c r="W144" i="29"/>
  <c r="W145" i="29"/>
  <c r="W146" i="29"/>
  <c r="W147" i="29"/>
  <c r="W148" i="29"/>
  <c r="W149" i="29"/>
  <c r="W150" i="29"/>
  <c r="W151" i="29"/>
  <c r="W152" i="29"/>
  <c r="W153" i="29"/>
  <c r="W154" i="29"/>
  <c r="W155" i="29"/>
  <c r="W156" i="29"/>
  <c r="W157" i="29"/>
  <c r="W158" i="29"/>
  <c r="W159" i="29"/>
  <c r="W160" i="29"/>
  <c r="W161" i="29"/>
  <c r="W162" i="29"/>
  <c r="W163" i="29"/>
  <c r="W164" i="29"/>
  <c r="W165" i="29"/>
  <c r="W166" i="29"/>
  <c r="W167" i="29"/>
  <c r="W168" i="29"/>
  <c r="W169" i="29"/>
  <c r="W170" i="29"/>
  <c r="W171" i="29"/>
  <c r="W172" i="29"/>
  <c r="W173" i="29"/>
  <c r="W174" i="29"/>
  <c r="W175" i="29"/>
  <c r="W176" i="29"/>
  <c r="W177" i="29"/>
  <c r="W178" i="29"/>
  <c r="W179" i="29"/>
  <c r="W180" i="29"/>
  <c r="W181" i="29"/>
  <c r="W182" i="29"/>
  <c r="W183" i="29"/>
  <c r="W184" i="29"/>
  <c r="W185" i="29"/>
  <c r="W186" i="29"/>
  <c r="W187" i="29"/>
  <c r="W188" i="29"/>
  <c r="W189" i="29"/>
  <c r="W190" i="29"/>
  <c r="W191" i="29"/>
  <c r="W192" i="29"/>
  <c r="W193" i="29"/>
  <c r="W194" i="29"/>
  <c r="W195" i="29"/>
  <c r="W196" i="29"/>
  <c r="W197" i="29"/>
  <c r="W198" i="29"/>
  <c r="W199" i="29"/>
  <c r="W200" i="29"/>
  <c r="W201" i="29"/>
  <c r="W202" i="29"/>
  <c r="W203" i="29"/>
  <c r="W204" i="29"/>
  <c r="W205" i="29"/>
  <c r="W206" i="29"/>
  <c r="W207" i="29"/>
  <c r="W208" i="29"/>
  <c r="W209" i="29"/>
  <c r="W210" i="29"/>
  <c r="W211" i="29"/>
  <c r="W212" i="29"/>
  <c r="W213" i="29"/>
  <c r="W214" i="29"/>
  <c r="W215" i="29"/>
  <c r="W216" i="29"/>
  <c r="W217" i="29"/>
  <c r="W218" i="29"/>
  <c r="W219" i="29"/>
  <c r="W220" i="29"/>
  <c r="W221" i="29"/>
  <c r="W222" i="29"/>
  <c r="W223" i="29"/>
  <c r="W224" i="29"/>
  <c r="W225" i="29"/>
  <c r="W226" i="29"/>
  <c r="W227" i="29"/>
  <c r="W228" i="29"/>
  <c r="W229" i="29"/>
  <c r="W230" i="29"/>
  <c r="W231" i="29"/>
  <c r="W232" i="29"/>
  <c r="W233" i="29"/>
  <c r="W234" i="29"/>
  <c r="W235" i="29"/>
  <c r="W236" i="29"/>
  <c r="W237" i="29"/>
  <c r="W238" i="29"/>
  <c r="W239" i="29"/>
  <c r="W240" i="29"/>
  <c r="W241" i="29"/>
  <c r="W242" i="29"/>
  <c r="W243" i="29"/>
  <c r="W244" i="29"/>
  <c r="W245" i="29"/>
  <c r="W246" i="29"/>
  <c r="W247" i="29"/>
  <c r="W248" i="29"/>
  <c r="W249" i="29"/>
  <c r="W250" i="29"/>
  <c r="W251" i="29"/>
  <c r="W252" i="29"/>
  <c r="W253" i="29"/>
  <c r="W254" i="29"/>
  <c r="W255" i="29"/>
  <c r="W256" i="29"/>
  <c r="W257" i="29"/>
  <c r="W258" i="29"/>
  <c r="W259" i="29"/>
  <c r="W260" i="29"/>
  <c r="W261" i="29"/>
  <c r="W262" i="29"/>
  <c r="W263" i="29"/>
  <c r="W264" i="29"/>
  <c r="W265" i="29"/>
  <c r="W266" i="29"/>
  <c r="W267" i="29"/>
  <c r="W268" i="29"/>
  <c r="W269" i="29"/>
  <c r="W270" i="29"/>
  <c r="W271" i="29"/>
  <c r="W272" i="29"/>
  <c r="W273" i="29"/>
  <c r="W274" i="29"/>
  <c r="W275" i="29"/>
  <c r="W276" i="29"/>
  <c r="W277" i="29"/>
  <c r="W278" i="29"/>
  <c r="W279" i="29"/>
  <c r="W280" i="29"/>
  <c r="W281" i="29"/>
  <c r="W282" i="29"/>
  <c r="W283" i="29"/>
  <c r="W284" i="29"/>
  <c r="W285" i="29"/>
  <c r="W286" i="29"/>
  <c r="W287" i="29"/>
  <c r="W288" i="29"/>
  <c r="W289" i="29"/>
  <c r="W290" i="29"/>
  <c r="W291" i="29"/>
  <c r="W292" i="29"/>
  <c r="W293" i="29"/>
  <c r="W294" i="29"/>
  <c r="W295" i="29"/>
  <c r="W296" i="29"/>
  <c r="W297" i="29"/>
  <c r="W298" i="29"/>
  <c r="W299" i="29"/>
  <c r="W300" i="29"/>
  <c r="W301" i="29"/>
  <c r="W302" i="29"/>
  <c r="W303" i="29"/>
  <c r="W304" i="29"/>
  <c r="W305" i="29"/>
  <c r="W306" i="29"/>
  <c r="W307" i="29"/>
  <c r="W308" i="29"/>
  <c r="W309" i="29"/>
  <c r="W310" i="29"/>
  <c r="W311" i="29"/>
  <c r="W312" i="29"/>
  <c r="W313" i="29"/>
  <c r="W314" i="29"/>
  <c r="W315" i="29"/>
  <c r="W316" i="29"/>
  <c r="W317" i="29"/>
  <c r="W318" i="29"/>
  <c r="W319" i="29"/>
  <c r="W320" i="29"/>
  <c r="W321" i="29"/>
  <c r="W322" i="29"/>
  <c r="W323" i="29"/>
  <c r="W324" i="29"/>
  <c r="W325" i="29"/>
  <c r="W326" i="29"/>
  <c r="W327" i="29"/>
  <c r="W328" i="29"/>
  <c r="W329" i="29"/>
  <c r="W330" i="29"/>
  <c r="W331" i="29"/>
  <c r="W332" i="29"/>
  <c r="W333" i="29"/>
  <c r="W334" i="29"/>
  <c r="W335" i="29"/>
  <c r="W336" i="29"/>
  <c r="W337" i="29"/>
  <c r="W338" i="29"/>
  <c r="W339" i="29"/>
  <c r="W340" i="29"/>
  <c r="W341" i="29"/>
  <c r="W342" i="29"/>
  <c r="W343" i="29"/>
  <c r="W344" i="29"/>
  <c r="W345" i="29"/>
  <c r="W346" i="29"/>
  <c r="W347" i="29"/>
  <c r="W348" i="29"/>
  <c r="W349" i="29"/>
  <c r="W350" i="29"/>
  <c r="W351" i="29"/>
  <c r="W352" i="29"/>
  <c r="W353" i="29"/>
  <c r="W354" i="29"/>
  <c r="W355" i="29"/>
  <c r="W356" i="29"/>
  <c r="W357" i="29"/>
  <c r="W358" i="29"/>
  <c r="W359" i="29"/>
  <c r="W360" i="29"/>
  <c r="W361" i="29"/>
  <c r="W362" i="29"/>
  <c r="W363" i="29"/>
  <c r="W364" i="29"/>
  <c r="W365" i="29"/>
  <c r="W366" i="29"/>
  <c r="W367" i="29"/>
  <c r="W368" i="29"/>
  <c r="W369" i="29"/>
  <c r="W370" i="29"/>
  <c r="W371" i="29"/>
  <c r="W372" i="29"/>
  <c r="W373" i="29"/>
  <c r="W374" i="29"/>
  <c r="W375" i="29"/>
  <c r="W376" i="29"/>
  <c r="W377" i="29"/>
  <c r="W378" i="29"/>
  <c r="W379" i="29"/>
  <c r="W380" i="29"/>
  <c r="W381" i="29"/>
  <c r="W382" i="29"/>
  <c r="W383" i="29"/>
  <c r="W384" i="29"/>
  <c r="W385" i="29"/>
  <c r="W386" i="29"/>
  <c r="W387" i="29"/>
  <c r="W388" i="29"/>
  <c r="W389" i="29"/>
  <c r="W390" i="29"/>
  <c r="W391" i="29"/>
  <c r="W392" i="29"/>
  <c r="W393" i="29"/>
  <c r="W394" i="29"/>
  <c r="W395" i="29"/>
  <c r="W396" i="29"/>
  <c r="W397" i="29"/>
  <c r="W398" i="29"/>
  <c r="W399" i="29"/>
  <c r="W400" i="29"/>
  <c r="W401" i="29"/>
  <c r="W402" i="29"/>
  <c r="W403" i="29"/>
  <c r="W404" i="29"/>
  <c r="W405" i="29"/>
  <c r="W406" i="29"/>
  <c r="W407" i="29"/>
  <c r="W408" i="29"/>
  <c r="W409" i="29"/>
  <c r="W410" i="29"/>
  <c r="W411" i="29"/>
  <c r="W412" i="29"/>
  <c r="W413" i="29"/>
  <c r="W414" i="29"/>
  <c r="W415" i="29"/>
  <c r="W416" i="29"/>
  <c r="W417" i="29"/>
  <c r="W418" i="29"/>
  <c r="W419" i="29"/>
  <c r="W420" i="29"/>
  <c r="W421" i="29"/>
  <c r="W422" i="29"/>
  <c r="W423" i="29"/>
  <c r="W424" i="29"/>
  <c r="W425" i="29"/>
  <c r="W426" i="29"/>
  <c r="W427" i="29"/>
  <c r="W428" i="29"/>
  <c r="W429" i="29"/>
  <c r="W430" i="29"/>
  <c r="W431" i="29"/>
  <c r="W432" i="29"/>
  <c r="W433" i="29"/>
  <c r="W434" i="29"/>
  <c r="W435" i="29"/>
  <c r="W436" i="29"/>
  <c r="W437" i="29"/>
  <c r="W438" i="29"/>
  <c r="W439" i="29"/>
  <c r="W440" i="29"/>
  <c r="W441" i="29"/>
  <c r="W442" i="29"/>
  <c r="W443" i="29"/>
  <c r="W444" i="29"/>
  <c r="W445" i="29"/>
  <c r="W446" i="29"/>
  <c r="W447" i="29"/>
  <c r="W448" i="29"/>
  <c r="W449" i="29"/>
  <c r="W450" i="29"/>
  <c r="W451" i="29"/>
  <c r="W452" i="29"/>
  <c r="W453" i="29"/>
  <c r="W454" i="29"/>
  <c r="W455" i="29"/>
  <c r="W456" i="29"/>
  <c r="W457" i="29"/>
  <c r="W458" i="29"/>
  <c r="W459" i="29"/>
  <c r="W460" i="29"/>
  <c r="W461" i="29"/>
  <c r="W462" i="29"/>
  <c r="W463" i="29"/>
  <c r="W464" i="29"/>
  <c r="W465" i="29"/>
  <c r="W466" i="29"/>
  <c r="W467" i="29"/>
  <c r="W468" i="29"/>
  <c r="W469" i="29"/>
  <c r="W470" i="29"/>
  <c r="W471" i="29"/>
  <c r="W472" i="29"/>
  <c r="W473" i="29"/>
  <c r="W474" i="29"/>
  <c r="W475" i="29"/>
  <c r="W476" i="29"/>
  <c r="W477" i="29"/>
  <c r="W478" i="29"/>
  <c r="W479" i="29"/>
  <c r="W480" i="29"/>
  <c r="W481" i="29"/>
  <c r="W482" i="29"/>
  <c r="W483" i="29"/>
  <c r="W484" i="29"/>
  <c r="W485" i="29"/>
  <c r="W486" i="29"/>
  <c r="W487" i="29"/>
  <c r="W488" i="29"/>
  <c r="W489" i="29"/>
  <c r="W490" i="29"/>
  <c r="W491" i="29"/>
  <c r="W492" i="29"/>
  <c r="W493" i="29"/>
  <c r="W494" i="29"/>
  <c r="W495" i="29"/>
  <c r="W496" i="29"/>
  <c r="W497" i="29"/>
  <c r="W498" i="29"/>
  <c r="W499" i="29"/>
  <c r="W500" i="29"/>
  <c r="W501" i="29"/>
  <c r="W502" i="29"/>
  <c r="W503" i="29"/>
  <c r="W504" i="29"/>
  <c r="W505" i="29"/>
  <c r="W506" i="29"/>
  <c r="W507" i="29"/>
  <c r="W508" i="29"/>
  <c r="W509" i="29"/>
  <c r="W510" i="29"/>
  <c r="W511" i="29"/>
  <c r="W512" i="29"/>
  <c r="W513" i="29"/>
  <c r="W514" i="29"/>
  <c r="W515" i="29"/>
  <c r="W516" i="29"/>
  <c r="W517" i="29"/>
  <c r="W518" i="29"/>
  <c r="W519" i="29"/>
  <c r="W520" i="29"/>
  <c r="W521" i="29"/>
  <c r="W522" i="29"/>
  <c r="W523" i="29"/>
  <c r="W524" i="29"/>
  <c r="W525" i="29"/>
  <c r="W526" i="29"/>
  <c r="W527" i="29"/>
  <c r="W528" i="29"/>
  <c r="W529" i="29"/>
  <c r="W530" i="29"/>
  <c r="W531" i="29"/>
  <c r="W532" i="29"/>
  <c r="W533" i="29"/>
  <c r="W534" i="29"/>
  <c r="W535" i="29"/>
  <c r="W536" i="29"/>
  <c r="W537" i="29"/>
  <c r="W538" i="29"/>
  <c r="W539" i="29"/>
  <c r="W540" i="29"/>
  <c r="W541" i="29"/>
  <c r="W542" i="29"/>
  <c r="W543" i="29"/>
  <c r="W544" i="29"/>
  <c r="W545" i="29"/>
  <c r="W546" i="29"/>
  <c r="W547" i="29"/>
  <c r="W548" i="29"/>
  <c r="W549" i="29"/>
  <c r="W550" i="29"/>
  <c r="W551" i="29"/>
  <c r="W552" i="29"/>
  <c r="W553" i="29"/>
  <c r="W554" i="29"/>
  <c r="W555" i="29"/>
  <c r="W556" i="29"/>
  <c r="W557" i="29"/>
  <c r="W558" i="29"/>
  <c r="W559" i="29"/>
  <c r="W560" i="29"/>
  <c r="W561" i="29"/>
  <c r="W562" i="29"/>
  <c r="W563" i="29"/>
  <c r="W564" i="29"/>
  <c r="W565" i="29"/>
  <c r="W566" i="29"/>
  <c r="W567" i="29"/>
  <c r="W568" i="29"/>
  <c r="W569" i="29"/>
  <c r="W570" i="29"/>
  <c r="W571" i="29"/>
  <c r="W572" i="29"/>
  <c r="W573" i="29"/>
  <c r="W574" i="29"/>
  <c r="W575" i="29"/>
  <c r="W576" i="29"/>
  <c r="W577" i="29"/>
  <c r="W578" i="29"/>
  <c r="W579" i="29"/>
  <c r="W580" i="29"/>
  <c r="W581" i="29"/>
  <c r="W582" i="29"/>
  <c r="W583" i="29"/>
  <c r="W584" i="29"/>
  <c r="W585" i="29"/>
  <c r="W586" i="29"/>
  <c r="W587" i="29"/>
  <c r="W588" i="29"/>
  <c r="W589" i="29"/>
  <c r="W590" i="29"/>
  <c r="W591" i="29"/>
  <c r="W592" i="29"/>
  <c r="W593" i="29"/>
  <c r="W594" i="29"/>
  <c r="W595" i="29"/>
  <c r="W596" i="29"/>
  <c r="W597" i="29"/>
  <c r="W598" i="29"/>
  <c r="W599" i="29"/>
  <c r="W600" i="29"/>
  <c r="W601" i="29"/>
  <c r="W602" i="29"/>
  <c r="W603" i="29"/>
  <c r="W604" i="29"/>
  <c r="W605" i="29"/>
  <c r="W606" i="29"/>
  <c r="W607" i="29"/>
  <c r="W608" i="29"/>
  <c r="W609" i="29"/>
  <c r="W610" i="29"/>
  <c r="W611" i="29"/>
  <c r="W612" i="29"/>
  <c r="W613" i="29"/>
  <c r="W614" i="29"/>
  <c r="W615" i="29"/>
  <c r="W616" i="29"/>
  <c r="W617" i="29"/>
  <c r="W618" i="29"/>
  <c r="W619" i="29"/>
  <c r="W620" i="29"/>
  <c r="W621" i="29"/>
  <c r="W622" i="29"/>
  <c r="W623" i="29"/>
  <c r="W624" i="29"/>
  <c r="W625" i="29"/>
  <c r="W626" i="29"/>
  <c r="W627" i="29"/>
  <c r="W628" i="29"/>
  <c r="W629" i="29"/>
  <c r="W630" i="29"/>
  <c r="W631" i="29"/>
  <c r="W632" i="29"/>
  <c r="W633" i="29"/>
  <c r="W634" i="29"/>
  <c r="W635" i="29"/>
  <c r="W636" i="29"/>
  <c r="W637" i="29"/>
  <c r="W638" i="29"/>
  <c r="W639" i="29"/>
  <c r="W640" i="29"/>
  <c r="W641" i="29"/>
  <c r="W642" i="29"/>
  <c r="W643" i="29"/>
  <c r="W644" i="29"/>
  <c r="W645" i="29"/>
  <c r="W646" i="29"/>
  <c r="W647" i="29"/>
  <c r="W648" i="29"/>
  <c r="W649" i="29"/>
  <c r="W650" i="29"/>
  <c r="W651" i="29"/>
  <c r="W652" i="29"/>
  <c r="W653" i="29"/>
  <c r="W654" i="29"/>
  <c r="W655" i="29"/>
  <c r="W656" i="29"/>
  <c r="W657" i="29"/>
  <c r="W658" i="29"/>
  <c r="W659" i="29"/>
  <c r="W660" i="29"/>
  <c r="W661" i="29"/>
  <c r="W662" i="29"/>
  <c r="W663" i="29"/>
  <c r="W664" i="29"/>
  <c r="W665" i="29"/>
  <c r="W666" i="29"/>
  <c r="W667" i="29"/>
  <c r="W668" i="29"/>
  <c r="W669" i="29"/>
  <c r="W670" i="29"/>
  <c r="W671" i="29"/>
  <c r="W672" i="29"/>
  <c r="W673" i="29"/>
  <c r="W674" i="29"/>
  <c r="W675" i="29"/>
  <c r="W676" i="29"/>
  <c r="W677" i="29"/>
  <c r="W678" i="29"/>
  <c r="W679" i="29"/>
  <c r="W680" i="29"/>
  <c r="W681" i="29"/>
  <c r="W682" i="29"/>
  <c r="W683" i="29"/>
  <c r="W684" i="29"/>
  <c r="W685" i="29"/>
  <c r="W686" i="29"/>
  <c r="W687" i="29"/>
  <c r="W688" i="29"/>
  <c r="W689" i="29"/>
  <c r="W690" i="29"/>
  <c r="W691" i="29"/>
  <c r="W692" i="29"/>
  <c r="W693" i="29"/>
  <c r="W694" i="29"/>
  <c r="W695" i="29"/>
  <c r="W696" i="29"/>
  <c r="W697" i="29"/>
  <c r="W698" i="29"/>
  <c r="W699" i="29"/>
  <c r="W700" i="29"/>
  <c r="W701" i="29"/>
  <c r="W702" i="29"/>
  <c r="W703" i="29"/>
  <c r="W704" i="29"/>
  <c r="W705" i="29"/>
  <c r="W706" i="29"/>
  <c r="W707" i="29"/>
  <c r="W708" i="29"/>
  <c r="W709" i="29"/>
  <c r="W710" i="29"/>
  <c r="W711" i="29"/>
  <c r="W712" i="29"/>
  <c r="W713" i="29"/>
  <c r="W714" i="29"/>
  <c r="W715" i="29"/>
  <c r="W716" i="29"/>
  <c r="W717" i="29"/>
  <c r="W718" i="29"/>
  <c r="W719" i="29"/>
  <c r="W720" i="29"/>
  <c r="W721" i="29"/>
  <c r="W722" i="29"/>
  <c r="W723" i="29"/>
  <c r="W724" i="29"/>
  <c r="W725" i="29"/>
  <c r="W726" i="29"/>
  <c r="W727" i="29"/>
  <c r="W728" i="29"/>
  <c r="W729" i="29"/>
  <c r="W730" i="29"/>
  <c r="W731" i="29"/>
  <c r="W732" i="29"/>
  <c r="W733" i="29"/>
  <c r="W734" i="29"/>
  <c r="W735" i="29"/>
  <c r="W736" i="29"/>
  <c r="W737" i="29"/>
  <c r="W738" i="29"/>
  <c r="W739" i="29"/>
  <c r="W740" i="29"/>
  <c r="W741" i="29"/>
  <c r="W742" i="29"/>
  <c r="W743" i="29"/>
  <c r="W744" i="29"/>
  <c r="W745" i="29"/>
  <c r="W746" i="29"/>
  <c r="W747" i="29"/>
  <c r="W748" i="29"/>
  <c r="W749" i="29"/>
  <c r="W750" i="29"/>
  <c r="W751" i="29"/>
  <c r="W752" i="29"/>
  <c r="W753" i="29"/>
  <c r="W754" i="29"/>
  <c r="W755" i="29"/>
  <c r="W756" i="29"/>
  <c r="W757" i="29"/>
  <c r="W758" i="29"/>
  <c r="W759" i="29"/>
  <c r="W760" i="29"/>
  <c r="W761" i="29"/>
  <c r="W762" i="29"/>
  <c r="W763" i="29"/>
  <c r="W764" i="29"/>
  <c r="W765" i="29"/>
  <c r="W766" i="29"/>
  <c r="W767" i="29"/>
  <c r="W768" i="29"/>
  <c r="W769" i="29"/>
  <c r="W770" i="29"/>
  <c r="W771" i="29"/>
  <c r="W772" i="29"/>
  <c r="W773" i="29"/>
  <c r="W774" i="29"/>
  <c r="W775" i="29"/>
  <c r="W776" i="29"/>
  <c r="W777" i="29"/>
  <c r="W778" i="29"/>
  <c r="W779" i="29"/>
  <c r="W780" i="29"/>
  <c r="W781" i="29"/>
  <c r="W782" i="29"/>
  <c r="W783" i="29"/>
  <c r="W784" i="29"/>
  <c r="W785" i="29"/>
  <c r="W786" i="29"/>
  <c r="W787" i="29"/>
  <c r="W788" i="29"/>
  <c r="W789" i="29"/>
  <c r="W790" i="29"/>
  <c r="W791" i="29"/>
  <c r="W792" i="29"/>
  <c r="W793" i="29"/>
  <c r="W794" i="29"/>
  <c r="W795" i="29"/>
  <c r="W796" i="29"/>
  <c r="W797" i="29"/>
  <c r="W798" i="29"/>
  <c r="W799" i="29"/>
  <c r="W800" i="29"/>
  <c r="W801" i="29"/>
  <c r="W802" i="29"/>
  <c r="W803" i="29"/>
  <c r="W804" i="29"/>
  <c r="W805" i="29"/>
  <c r="W806" i="29"/>
  <c r="W807" i="29"/>
  <c r="W808" i="29"/>
  <c r="W809" i="29"/>
  <c r="W810" i="29"/>
  <c r="W811" i="29"/>
  <c r="W812" i="29"/>
  <c r="W813" i="29"/>
  <c r="W814" i="29"/>
  <c r="W815" i="29"/>
  <c r="W816" i="29"/>
  <c r="W817" i="29"/>
  <c r="W818" i="29"/>
  <c r="W819" i="29"/>
  <c r="W820" i="29"/>
  <c r="W821" i="29"/>
  <c r="W822" i="29"/>
  <c r="W823" i="29"/>
  <c r="W824" i="29"/>
  <c r="W825" i="29"/>
  <c r="W826" i="29"/>
  <c r="W827" i="29"/>
  <c r="W828" i="29"/>
  <c r="W829" i="29"/>
  <c r="W830" i="29"/>
  <c r="W831" i="29"/>
  <c r="W832" i="29"/>
  <c r="W833" i="29"/>
  <c r="W834" i="29"/>
  <c r="W835" i="29"/>
  <c r="W836" i="29"/>
  <c r="W837" i="29"/>
  <c r="W838" i="29"/>
  <c r="W839" i="29"/>
  <c r="W840" i="29"/>
  <c r="W841" i="29"/>
  <c r="W842" i="29"/>
  <c r="W843" i="29"/>
  <c r="W844" i="29"/>
  <c r="W845" i="29"/>
  <c r="W846" i="29"/>
  <c r="W847" i="29"/>
  <c r="W848" i="29"/>
  <c r="W849" i="29"/>
  <c r="W850" i="29"/>
  <c r="W851" i="29"/>
  <c r="W852" i="29"/>
  <c r="W853" i="29"/>
  <c r="W854" i="29"/>
  <c r="W855" i="29"/>
  <c r="W856" i="29"/>
  <c r="W857" i="29"/>
  <c r="W858" i="29"/>
  <c r="W859" i="29"/>
  <c r="W860" i="29"/>
  <c r="W861" i="29"/>
  <c r="W862" i="29"/>
  <c r="W863" i="29"/>
  <c r="W864" i="29"/>
  <c r="W865" i="29"/>
  <c r="W866" i="29"/>
  <c r="W867" i="29"/>
  <c r="W868" i="29"/>
  <c r="W869" i="29"/>
  <c r="W870" i="29"/>
  <c r="W871" i="29"/>
  <c r="W872" i="29"/>
  <c r="W873" i="29"/>
  <c r="W874" i="29"/>
  <c r="W875" i="29"/>
  <c r="W876" i="29"/>
  <c r="W877" i="29"/>
  <c r="W878" i="29"/>
  <c r="W879" i="29"/>
  <c r="W880" i="29"/>
  <c r="W881" i="29"/>
  <c r="W882" i="29"/>
  <c r="W883" i="29"/>
  <c r="W884" i="29"/>
  <c r="W885" i="29"/>
  <c r="W886" i="29"/>
  <c r="W887" i="29"/>
  <c r="W888" i="29"/>
  <c r="W889" i="29"/>
  <c r="W890" i="29"/>
  <c r="W891" i="29"/>
  <c r="W892" i="29"/>
  <c r="W893" i="29"/>
  <c r="W894" i="29"/>
  <c r="W895" i="29"/>
  <c r="W896" i="29"/>
  <c r="W897" i="29"/>
  <c r="W898" i="29"/>
  <c r="W899" i="29"/>
  <c r="W900" i="29"/>
  <c r="W901" i="29"/>
  <c r="W902" i="29"/>
  <c r="W903" i="29"/>
  <c r="W904" i="29"/>
  <c r="W905" i="29"/>
  <c r="W906" i="29"/>
  <c r="W907" i="29"/>
  <c r="W908" i="29"/>
  <c r="W909" i="29"/>
  <c r="W910" i="29"/>
  <c r="W911" i="29"/>
  <c r="W912" i="29"/>
  <c r="W913" i="29"/>
  <c r="W914" i="29"/>
  <c r="W915" i="29"/>
  <c r="W916" i="29"/>
  <c r="W917" i="29"/>
  <c r="W918" i="29"/>
  <c r="W919" i="29"/>
  <c r="W920" i="29"/>
  <c r="W921" i="29"/>
  <c r="W922" i="29"/>
  <c r="W923" i="29"/>
  <c r="W924" i="29"/>
  <c r="W925" i="29"/>
  <c r="W926" i="29"/>
  <c r="W927" i="29"/>
  <c r="W928" i="29"/>
  <c r="W929" i="29"/>
  <c r="W930" i="29"/>
  <c r="W931" i="29"/>
  <c r="W932" i="29"/>
  <c r="W933" i="29"/>
  <c r="W934" i="29"/>
  <c r="W935" i="29"/>
  <c r="W936" i="29"/>
  <c r="W937" i="29"/>
  <c r="W938" i="29"/>
  <c r="W939" i="29"/>
  <c r="W940" i="29"/>
  <c r="W941" i="29"/>
  <c r="W942" i="29"/>
  <c r="W943" i="29"/>
  <c r="W944" i="29"/>
  <c r="W945" i="29"/>
  <c r="W946" i="29"/>
  <c r="W947" i="29"/>
  <c r="W948" i="29"/>
  <c r="W949" i="29"/>
  <c r="W950" i="29"/>
  <c r="W951" i="29"/>
  <c r="W952" i="29"/>
  <c r="W953" i="29"/>
  <c r="W954" i="29"/>
  <c r="W955" i="29"/>
  <c r="W956" i="29"/>
  <c r="W957" i="29"/>
  <c r="W958" i="29"/>
  <c r="W959" i="29"/>
  <c r="W960" i="29"/>
  <c r="W961" i="29"/>
  <c r="W962" i="29"/>
  <c r="W963" i="29"/>
  <c r="W964" i="29"/>
  <c r="W965" i="29"/>
  <c r="W966" i="29"/>
  <c r="W967" i="29"/>
  <c r="W968" i="29"/>
  <c r="W969" i="29"/>
  <c r="W970" i="29"/>
  <c r="W971" i="29"/>
  <c r="W972" i="29"/>
  <c r="W973" i="29"/>
  <c r="W974" i="29"/>
  <c r="W975" i="29"/>
  <c r="W976" i="29"/>
  <c r="W977" i="29"/>
  <c r="W978" i="29"/>
  <c r="W979" i="29"/>
  <c r="W980" i="29"/>
  <c r="W981" i="29"/>
  <c r="W982" i="29"/>
  <c r="W983" i="29"/>
  <c r="W984" i="29"/>
  <c r="W985" i="29"/>
  <c r="W986" i="29"/>
  <c r="W987" i="29"/>
  <c r="W988" i="29"/>
  <c r="W989" i="29"/>
  <c r="W990" i="29"/>
  <c r="W991" i="29"/>
  <c r="W992" i="29"/>
  <c r="W993" i="29"/>
  <c r="W994" i="29"/>
  <c r="W2" i="29"/>
  <c r="W11" i="18"/>
  <c r="W12" i="18"/>
  <c r="W13" i="18"/>
  <c r="W14" i="18"/>
  <c r="W15" i="18"/>
  <c r="W16" i="18"/>
  <c r="W17" i="18"/>
  <c r="W18" i="18"/>
  <c r="S14" i="27" s="1"/>
  <c r="W19" i="18"/>
  <c r="W20" i="18"/>
  <c r="W21" i="18"/>
  <c r="W22" i="18"/>
  <c r="W23" i="18"/>
  <c r="W24" i="18"/>
  <c r="W25" i="18"/>
  <c r="W26" i="18"/>
  <c r="W27" i="18"/>
  <c r="T17" i="27" s="1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U26" i="27" s="1"/>
  <c r="W41" i="18"/>
  <c r="W42" i="18"/>
  <c r="W43" i="18"/>
  <c r="W44" i="18"/>
  <c r="AC29" i="27" s="1"/>
  <c r="W45" i="18"/>
  <c r="W46" i="18"/>
  <c r="U31" i="27" s="1"/>
  <c r="W47" i="18"/>
  <c r="Y32" i="27" s="1"/>
  <c r="W48" i="18"/>
  <c r="W49" i="18"/>
  <c r="U33" i="27" s="1"/>
  <c r="W50" i="18"/>
  <c r="W51" i="18"/>
  <c r="W52" i="18"/>
  <c r="W53" i="18"/>
  <c r="T35" i="27" s="1"/>
  <c r="W54" i="18"/>
  <c r="W55" i="18"/>
  <c r="W56" i="18"/>
  <c r="W57" i="18"/>
  <c r="W58" i="18"/>
  <c r="W59" i="18"/>
  <c r="W60" i="18"/>
  <c r="W38" i="27" s="1"/>
  <c r="W61" i="18"/>
  <c r="W62" i="18"/>
  <c r="W63" i="18"/>
  <c r="W64" i="18"/>
  <c r="W65" i="18"/>
  <c r="W66" i="18"/>
  <c r="W67" i="18"/>
  <c r="W68" i="18"/>
  <c r="W69" i="18"/>
  <c r="W70" i="18"/>
  <c r="W71" i="18"/>
  <c r="AC44" i="27" s="1"/>
  <c r="W72" i="18"/>
  <c r="W73" i="18"/>
  <c r="W74" i="18"/>
  <c r="W75" i="18"/>
  <c r="W76" i="18"/>
  <c r="W77" i="18"/>
  <c r="W78" i="18"/>
  <c r="Y46" i="27" s="1"/>
  <c r="W79" i="18"/>
  <c r="W80" i="18"/>
  <c r="W81" i="18"/>
  <c r="W82" i="18"/>
  <c r="W83" i="18"/>
  <c r="W84" i="18"/>
  <c r="W85" i="18"/>
  <c r="W86" i="18"/>
  <c r="AB51" i="27" s="1"/>
  <c r="W87" i="18"/>
  <c r="W88" i="18"/>
  <c r="W89" i="18"/>
  <c r="S52" i="27" s="1"/>
  <c r="W90" i="18"/>
  <c r="W91" i="18"/>
  <c r="W92" i="18"/>
  <c r="W93" i="18"/>
  <c r="W94" i="18"/>
  <c r="W95" i="18"/>
  <c r="W96" i="18"/>
  <c r="AC57" i="27" s="1"/>
  <c r="W97" i="18"/>
  <c r="W98" i="18"/>
  <c r="W99" i="18"/>
  <c r="W100" i="18"/>
  <c r="W101" i="18"/>
  <c r="W102" i="18"/>
  <c r="W103" i="18"/>
  <c r="W104" i="18"/>
  <c r="AC61" i="27" s="1"/>
  <c r="W105" i="18"/>
  <c r="W106" i="18"/>
  <c r="W107" i="18"/>
  <c r="W108" i="18"/>
  <c r="W109" i="18"/>
  <c r="W110" i="18"/>
  <c r="W111" i="18"/>
  <c r="W112" i="18"/>
  <c r="Y62" i="27" s="1"/>
  <c r="W113" i="18"/>
  <c r="W114" i="18"/>
  <c r="W115" i="18"/>
  <c r="W116" i="18"/>
  <c r="W65" i="27" s="1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X72" i="27" s="1"/>
  <c r="W129" i="18"/>
  <c r="W130" i="18"/>
  <c r="W131" i="18"/>
  <c r="U73" i="27" s="1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AB76" i="27" s="1"/>
  <c r="W145" i="18"/>
  <c r="W146" i="18"/>
  <c r="W147" i="18"/>
  <c r="W148" i="18"/>
  <c r="AC79" i="27" s="1"/>
  <c r="W149" i="18"/>
  <c r="W150" i="18"/>
  <c r="W151" i="18"/>
  <c r="W152" i="18"/>
  <c r="W153" i="18"/>
  <c r="W154" i="18"/>
  <c r="W155" i="18"/>
  <c r="W156" i="18"/>
  <c r="U82" i="27" s="1"/>
  <c r="W157" i="18"/>
  <c r="W158" i="18"/>
  <c r="W159" i="18"/>
  <c r="W160" i="18"/>
  <c r="Z41" i="27" s="1"/>
  <c r="W161" i="18"/>
  <c r="W162" i="18"/>
  <c r="W163" i="18"/>
  <c r="W164" i="18"/>
  <c r="W165" i="18"/>
  <c r="W166" i="18"/>
  <c r="W167" i="18"/>
  <c r="U86" i="27" s="1"/>
  <c r="W168" i="18"/>
  <c r="S87" i="27" s="1"/>
  <c r="W169" i="18"/>
  <c r="W170" i="18"/>
  <c r="W171" i="18"/>
  <c r="W172" i="18"/>
  <c r="U88" i="27" s="1"/>
  <c r="W173" i="18"/>
  <c r="W174" i="18"/>
  <c r="W175" i="18"/>
  <c r="W176" i="18"/>
  <c r="W177" i="18"/>
  <c r="W178" i="18"/>
  <c r="W179" i="18"/>
  <c r="Z92" i="27" s="1"/>
  <c r="W180" i="18"/>
  <c r="W181" i="18"/>
  <c r="W182" i="18"/>
  <c r="W183" i="18"/>
  <c r="W184" i="18"/>
  <c r="W185" i="18"/>
  <c r="R93" i="27" s="1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Z99" i="27" s="1"/>
  <c r="W204" i="18"/>
  <c r="Z100" i="27" s="1"/>
  <c r="W205" i="18"/>
  <c r="W206" i="18"/>
  <c r="W207" i="18"/>
  <c r="W208" i="18"/>
  <c r="W209" i="18"/>
  <c r="W210" i="18"/>
  <c r="V102" i="27" s="1"/>
  <c r="W211" i="18"/>
  <c r="W212" i="18"/>
  <c r="W213" i="18"/>
  <c r="W214" i="18"/>
  <c r="W215" i="18"/>
  <c r="W216" i="18"/>
  <c r="W217" i="18"/>
  <c r="Y105" i="27" s="1"/>
  <c r="W218" i="18"/>
  <c r="W219" i="18"/>
  <c r="W220" i="18"/>
  <c r="W221" i="18"/>
  <c r="W222" i="18"/>
  <c r="W223" i="18"/>
  <c r="W224" i="18"/>
  <c r="W225" i="18"/>
  <c r="W226" i="18"/>
  <c r="AB107" i="27" s="1"/>
  <c r="W227" i="18"/>
  <c r="AA108" i="27" s="1"/>
  <c r="W228" i="18"/>
  <c r="W229" i="18"/>
  <c r="W230" i="18"/>
  <c r="W231" i="18"/>
  <c r="W232" i="18"/>
  <c r="W233" i="18"/>
  <c r="W234" i="18"/>
  <c r="W235" i="18"/>
  <c r="W236" i="18"/>
  <c r="W237" i="18"/>
  <c r="W238" i="18"/>
  <c r="Y113" i="27" s="1"/>
  <c r="W239" i="18"/>
  <c r="W240" i="18"/>
  <c r="W241" i="18"/>
  <c r="W242" i="18"/>
  <c r="W243" i="18"/>
  <c r="W244" i="18"/>
  <c r="W245" i="18"/>
  <c r="W246" i="18"/>
  <c r="W247" i="18"/>
  <c r="W248" i="18"/>
  <c r="W249" i="18"/>
  <c r="W250" i="18"/>
  <c r="W251" i="18"/>
  <c r="W252" i="18"/>
  <c r="W253" i="18"/>
  <c r="W254" i="18"/>
  <c r="W255" i="18"/>
  <c r="W256" i="18"/>
  <c r="W257" i="18"/>
  <c r="W258" i="18"/>
  <c r="W259" i="18"/>
  <c r="W260" i="18"/>
  <c r="AA117" i="27" s="1"/>
  <c r="W261" i="18"/>
  <c r="W262" i="18"/>
  <c r="W263" i="18"/>
  <c r="W264" i="18"/>
  <c r="W265" i="18"/>
  <c r="W266" i="18"/>
  <c r="W267" i="18"/>
  <c r="W268" i="18"/>
  <c r="W269" i="18"/>
  <c r="W270" i="18"/>
  <c r="W271" i="18"/>
  <c r="W272" i="18"/>
  <c r="W273" i="18"/>
  <c r="V120" i="27" s="1"/>
  <c r="W274" i="18"/>
  <c r="W275" i="18"/>
  <c r="W276" i="18"/>
  <c r="W277" i="18"/>
  <c r="W278" i="18"/>
  <c r="W279" i="18"/>
  <c r="W280" i="18"/>
  <c r="W281" i="18"/>
  <c r="W282" i="18"/>
  <c r="W283" i="18"/>
  <c r="W284" i="18"/>
  <c r="S125" i="27" s="1"/>
  <c r="W285" i="18"/>
  <c r="W286" i="18"/>
  <c r="W287" i="18"/>
  <c r="W288" i="18"/>
  <c r="W289" i="18"/>
  <c r="W290" i="18"/>
  <c r="W291" i="18"/>
  <c r="W292" i="18"/>
  <c r="W293" i="18"/>
  <c r="W294" i="18"/>
  <c r="W295" i="18"/>
  <c r="W296" i="18"/>
  <c r="W297" i="18"/>
  <c r="W298" i="18"/>
  <c r="W299" i="18"/>
  <c r="V128" i="27" s="1"/>
  <c r="W300" i="18"/>
  <c r="W301" i="18"/>
  <c r="W302" i="18"/>
  <c r="W303" i="18"/>
  <c r="W304" i="18"/>
  <c r="W305" i="18"/>
  <c r="W306" i="18"/>
  <c r="W307" i="18"/>
  <c r="S131" i="27" s="1"/>
  <c r="W308" i="18"/>
  <c r="W309" i="18"/>
  <c r="W310" i="18"/>
  <c r="W311" i="18"/>
  <c r="Y132" i="27" s="1"/>
  <c r="W312" i="18"/>
  <c r="W313" i="18"/>
  <c r="R133" i="27" s="1"/>
  <c r="W314" i="18"/>
  <c r="U134" i="27" s="1"/>
  <c r="W315" i="18"/>
  <c r="T135" i="27" s="1"/>
  <c r="W316" i="18"/>
  <c r="W317" i="18"/>
  <c r="W318" i="18"/>
  <c r="W319" i="18"/>
  <c r="W320" i="18"/>
  <c r="W321" i="18"/>
  <c r="W322" i="18"/>
  <c r="T139" i="27" s="1"/>
  <c r="W323" i="18"/>
  <c r="W324" i="18"/>
  <c r="W325" i="18"/>
  <c r="W326" i="18"/>
  <c r="W327" i="18"/>
  <c r="W328" i="18"/>
  <c r="W329" i="18"/>
  <c r="W330" i="18"/>
  <c r="W331" i="18"/>
  <c r="W332" i="18"/>
  <c r="W333" i="18"/>
  <c r="W334" i="18"/>
  <c r="W335" i="18"/>
  <c r="W336" i="18"/>
  <c r="W337" i="18"/>
  <c r="W338" i="18"/>
  <c r="W339" i="18"/>
  <c r="W340" i="18"/>
  <c r="W341" i="18"/>
  <c r="W342" i="18"/>
  <c r="W343" i="18"/>
  <c r="S143" i="27" s="1"/>
  <c r="W344" i="18"/>
  <c r="W345" i="18"/>
  <c r="W346" i="18"/>
  <c r="W347" i="18"/>
  <c r="W348" i="18"/>
  <c r="W349" i="18"/>
  <c r="W350" i="18"/>
  <c r="W351" i="18"/>
  <c r="W352" i="18"/>
  <c r="W353" i="18"/>
  <c r="W354" i="18"/>
  <c r="W355" i="18"/>
  <c r="W356" i="18"/>
  <c r="X49" i="27" s="1"/>
  <c r="W357" i="18"/>
  <c r="W358" i="18"/>
  <c r="W359" i="18"/>
  <c r="W360" i="18"/>
  <c r="Y145" i="27" s="1"/>
  <c r="W361" i="18"/>
  <c r="W362" i="18"/>
  <c r="W363" i="18"/>
  <c r="W364" i="18"/>
  <c r="W365" i="18"/>
  <c r="W366" i="18"/>
  <c r="W367" i="18"/>
  <c r="W368" i="18"/>
  <c r="AA148" i="27" s="1"/>
  <c r="W369" i="18"/>
  <c r="W370" i="18"/>
  <c r="W371" i="18"/>
  <c r="W372" i="18"/>
  <c r="W373" i="18"/>
  <c r="W374" i="18"/>
  <c r="W375" i="18"/>
  <c r="W376" i="18"/>
  <c r="W377" i="18"/>
  <c r="W378" i="18"/>
  <c r="W379" i="18"/>
  <c r="W380" i="18"/>
  <c r="W381" i="18"/>
  <c r="W382" i="18"/>
  <c r="W383" i="18"/>
  <c r="W149" i="27" s="1"/>
  <c r="W384" i="18"/>
  <c r="W385" i="18"/>
  <c r="S151" i="27" s="1"/>
  <c r="W386" i="18"/>
  <c r="W387" i="18"/>
  <c r="W388" i="18"/>
  <c r="W389" i="18"/>
  <c r="W390" i="18"/>
  <c r="W391" i="18"/>
  <c r="W392" i="18"/>
  <c r="W393" i="18"/>
  <c r="W394" i="18"/>
  <c r="W395" i="18"/>
  <c r="W396" i="18"/>
  <c r="W397" i="18"/>
  <c r="W398" i="18"/>
  <c r="W399" i="18"/>
  <c r="W400" i="18"/>
  <c r="W401" i="18"/>
  <c r="W402" i="18"/>
  <c r="W403" i="18"/>
  <c r="W404" i="18"/>
  <c r="W405" i="18"/>
  <c r="W406" i="18"/>
  <c r="W407" i="18"/>
  <c r="W408" i="18"/>
  <c r="W409" i="18"/>
  <c r="W410" i="18"/>
  <c r="W411" i="18"/>
  <c r="W412" i="18"/>
  <c r="W413" i="18"/>
  <c r="W414" i="18"/>
  <c r="W415" i="18"/>
  <c r="W416" i="18"/>
  <c r="W417" i="18"/>
  <c r="W418" i="18"/>
  <c r="W419" i="18"/>
  <c r="W160" i="27" s="1"/>
  <c r="W420" i="18"/>
  <c r="W421" i="18"/>
  <c r="W422" i="18"/>
  <c r="R162" i="27" s="1"/>
  <c r="W423" i="18"/>
  <c r="W424" i="18"/>
  <c r="W425" i="18"/>
  <c r="W426" i="18"/>
  <c r="W427" i="18"/>
  <c r="W428" i="18"/>
  <c r="W429" i="18"/>
  <c r="W430" i="18"/>
  <c r="W431" i="18"/>
  <c r="W432" i="18"/>
  <c r="W433" i="18"/>
  <c r="W434" i="18"/>
  <c r="W435" i="18"/>
  <c r="W436" i="18"/>
  <c r="W437" i="18"/>
  <c r="W438" i="18"/>
  <c r="W439" i="18"/>
  <c r="W440" i="18"/>
  <c r="W441" i="18"/>
  <c r="W442" i="18"/>
  <c r="W443" i="18"/>
  <c r="W444" i="18"/>
  <c r="W445" i="18"/>
  <c r="W446" i="18"/>
  <c r="W447" i="18"/>
  <c r="W448" i="18"/>
  <c r="W449" i="18"/>
  <c r="W450" i="18"/>
  <c r="W451" i="18"/>
  <c r="W452" i="18"/>
  <c r="W453" i="18"/>
  <c r="W454" i="18"/>
  <c r="W455" i="18"/>
  <c r="W456" i="18"/>
  <c r="W457" i="18"/>
  <c r="W458" i="18"/>
  <c r="W459" i="18"/>
  <c r="W460" i="18"/>
  <c r="W461" i="18"/>
  <c r="W462" i="18"/>
  <c r="W463" i="18"/>
  <c r="W464" i="18"/>
  <c r="W465" i="18"/>
  <c r="W466" i="18"/>
  <c r="W467" i="18"/>
  <c r="W468" i="18"/>
  <c r="W469" i="18"/>
  <c r="W470" i="18"/>
  <c r="W471" i="18"/>
  <c r="W472" i="18"/>
  <c r="W473" i="18"/>
  <c r="W474" i="18"/>
  <c r="W475" i="18"/>
  <c r="W476" i="18"/>
  <c r="W477" i="18"/>
  <c r="W478" i="18"/>
  <c r="W479" i="18"/>
  <c r="W480" i="18"/>
  <c r="W481" i="18"/>
  <c r="W482" i="18"/>
  <c r="W483" i="18"/>
  <c r="W484" i="18"/>
  <c r="W485" i="18"/>
  <c r="W486" i="18"/>
  <c r="W487" i="18"/>
  <c r="W488" i="18"/>
  <c r="W489" i="18"/>
  <c r="W490" i="18"/>
  <c r="W491" i="18"/>
  <c r="W492" i="18"/>
  <c r="W493" i="18"/>
  <c r="W494" i="18"/>
  <c r="W495" i="18"/>
  <c r="W496" i="18"/>
  <c r="W497" i="18"/>
  <c r="W498" i="18"/>
  <c r="W499" i="18"/>
  <c r="W500" i="18"/>
  <c r="W501" i="18"/>
  <c r="W502" i="18"/>
  <c r="W503" i="18"/>
  <c r="W504" i="18"/>
  <c r="W505" i="18"/>
  <c r="W506" i="18"/>
  <c r="W507" i="18"/>
  <c r="W508" i="18"/>
  <c r="W509" i="18"/>
  <c r="W510" i="18"/>
  <c r="W511" i="18"/>
  <c r="W512" i="18"/>
  <c r="W513" i="18"/>
  <c r="W514" i="18"/>
  <c r="W515" i="18"/>
  <c r="W516" i="18"/>
  <c r="W517" i="18"/>
  <c r="W518" i="18"/>
  <c r="W519" i="18"/>
  <c r="W520" i="18"/>
  <c r="W521" i="18"/>
  <c r="W522" i="18"/>
  <c r="W523" i="18"/>
  <c r="W524" i="18"/>
  <c r="W525" i="18"/>
  <c r="W526" i="18"/>
  <c r="W527" i="18"/>
  <c r="W528" i="18"/>
  <c r="W529" i="18"/>
  <c r="W530" i="18"/>
  <c r="W531" i="18"/>
  <c r="W532" i="18"/>
  <c r="W533" i="18"/>
  <c r="W534" i="18"/>
  <c r="W535" i="18"/>
  <c r="W536" i="18"/>
  <c r="W537" i="18"/>
  <c r="W538" i="18"/>
  <c r="W539" i="18"/>
  <c r="W540" i="18"/>
  <c r="W541" i="18"/>
  <c r="W542" i="18"/>
  <c r="W543" i="18"/>
  <c r="W544" i="18"/>
  <c r="W545" i="18"/>
  <c r="W546" i="18"/>
  <c r="W547" i="18"/>
  <c r="W548" i="18"/>
  <c r="W549" i="18"/>
  <c r="W550" i="18"/>
  <c r="W551" i="18"/>
  <c r="W552" i="18"/>
  <c r="W553" i="18"/>
  <c r="W554" i="18"/>
  <c r="W555" i="18"/>
  <c r="W556" i="18"/>
  <c r="W557" i="18"/>
  <c r="W558" i="18"/>
  <c r="W559" i="18"/>
  <c r="W560" i="18"/>
  <c r="W561" i="18"/>
  <c r="W562" i="18"/>
  <c r="W563" i="18"/>
  <c r="W564" i="18"/>
  <c r="W565" i="18"/>
  <c r="W566" i="18"/>
  <c r="W567" i="18"/>
  <c r="W568" i="18"/>
  <c r="W569" i="18"/>
  <c r="W570" i="18"/>
  <c r="W571" i="18"/>
  <c r="W572" i="18"/>
  <c r="W573" i="18"/>
  <c r="W574" i="18"/>
  <c r="W575" i="18"/>
  <c r="W576" i="18"/>
  <c r="W577" i="18"/>
  <c r="W578" i="18"/>
  <c r="W579" i="18"/>
  <c r="W580" i="18"/>
  <c r="W581" i="18"/>
  <c r="W582" i="18"/>
  <c r="W583" i="18"/>
  <c r="W584" i="18"/>
  <c r="W585" i="18"/>
  <c r="W586" i="18"/>
  <c r="W587" i="18"/>
  <c r="W588" i="18"/>
  <c r="W589" i="18"/>
  <c r="W590" i="18"/>
  <c r="W591" i="18"/>
  <c r="W592" i="18"/>
  <c r="W593" i="18"/>
  <c r="W594" i="18"/>
  <c r="W595" i="18"/>
  <c r="W596" i="18"/>
  <c r="W597" i="18"/>
  <c r="W598" i="18"/>
  <c r="W599" i="18"/>
  <c r="W600" i="18"/>
  <c r="W601" i="18"/>
  <c r="W602" i="18"/>
  <c r="W603" i="18"/>
  <c r="W604" i="18"/>
  <c r="W605" i="18"/>
  <c r="W606" i="18"/>
  <c r="W607" i="18"/>
  <c r="W608" i="18"/>
  <c r="W609" i="18"/>
  <c r="W610" i="18"/>
  <c r="W611" i="18"/>
  <c r="W612" i="18"/>
  <c r="W613" i="18"/>
  <c r="W614" i="18"/>
  <c r="W615" i="18"/>
  <c r="W616" i="18"/>
  <c r="W617" i="18"/>
  <c r="W618" i="18"/>
  <c r="W619" i="18"/>
  <c r="W620" i="18"/>
  <c r="W621" i="18"/>
  <c r="W622" i="18"/>
  <c r="W623" i="18"/>
  <c r="W624" i="18"/>
  <c r="W625" i="18"/>
  <c r="W626" i="18"/>
  <c r="W627" i="18"/>
  <c r="W628" i="18"/>
  <c r="W629" i="18"/>
  <c r="W630" i="18"/>
  <c r="W631" i="18"/>
  <c r="W632" i="18"/>
  <c r="W633" i="18"/>
  <c r="W634" i="18"/>
  <c r="W635" i="18"/>
  <c r="W636" i="18"/>
  <c r="W637" i="18"/>
  <c r="W638" i="18"/>
  <c r="W639" i="18"/>
  <c r="W640" i="18"/>
  <c r="W641" i="18"/>
  <c r="W642" i="18"/>
  <c r="W643" i="18"/>
  <c r="W644" i="18"/>
  <c r="W645" i="18"/>
  <c r="W646" i="18"/>
  <c r="W647" i="18"/>
  <c r="W648" i="18"/>
  <c r="W649" i="18"/>
  <c r="W650" i="18"/>
  <c r="W651" i="18"/>
  <c r="W652" i="18"/>
  <c r="W653" i="18"/>
  <c r="W654" i="18"/>
  <c r="W655" i="18"/>
  <c r="W656" i="18"/>
  <c r="W657" i="18"/>
  <c r="W658" i="18"/>
  <c r="W659" i="18"/>
  <c r="W660" i="18"/>
  <c r="W661" i="18"/>
  <c r="W662" i="18"/>
  <c r="W663" i="18"/>
  <c r="W664" i="18"/>
  <c r="W665" i="18"/>
  <c r="W666" i="18"/>
  <c r="W667" i="18"/>
  <c r="W668" i="18"/>
  <c r="W669" i="18"/>
  <c r="W670" i="18"/>
  <c r="W671" i="18"/>
  <c r="W672" i="18"/>
  <c r="W673" i="18"/>
  <c r="W674" i="18"/>
  <c r="W675" i="18"/>
  <c r="W676" i="18"/>
  <c r="W677" i="18"/>
  <c r="W678" i="18"/>
  <c r="W679" i="18"/>
  <c r="W680" i="18"/>
  <c r="W681" i="18"/>
  <c r="W682" i="18"/>
  <c r="W683" i="18"/>
  <c r="W684" i="18"/>
  <c r="W685" i="18"/>
  <c r="W686" i="18"/>
  <c r="W687" i="18"/>
  <c r="W688" i="18"/>
  <c r="W689" i="18"/>
  <c r="W690" i="18"/>
  <c r="W691" i="18"/>
  <c r="W692" i="18"/>
  <c r="W693" i="18"/>
  <c r="W694" i="18"/>
  <c r="W695" i="18"/>
  <c r="W696" i="18"/>
  <c r="W697" i="18"/>
  <c r="W698" i="18"/>
  <c r="W699" i="18"/>
  <c r="W700" i="18"/>
  <c r="W701" i="18"/>
  <c r="W702" i="18"/>
  <c r="W703" i="18"/>
  <c r="W704" i="18"/>
  <c r="W705" i="18"/>
  <c r="W706" i="18"/>
  <c r="W707" i="18"/>
  <c r="W708" i="18"/>
  <c r="W709" i="18"/>
  <c r="W710" i="18"/>
  <c r="W711" i="18"/>
  <c r="W712" i="18"/>
  <c r="W713" i="18"/>
  <c r="W714" i="18"/>
  <c r="W715" i="18"/>
  <c r="W716" i="18"/>
  <c r="W717" i="18"/>
  <c r="W718" i="18"/>
  <c r="W719" i="18"/>
  <c r="W720" i="18"/>
  <c r="W721" i="18"/>
  <c r="W722" i="18"/>
  <c r="W723" i="18"/>
  <c r="W724" i="18"/>
  <c r="W725" i="18"/>
  <c r="W726" i="18"/>
  <c r="W727" i="18"/>
  <c r="W728" i="18"/>
  <c r="W729" i="18"/>
  <c r="W730" i="18"/>
  <c r="W731" i="18"/>
  <c r="W732" i="18"/>
  <c r="W733" i="18"/>
  <c r="W734" i="18"/>
  <c r="W735" i="18"/>
  <c r="W736" i="18"/>
  <c r="W737" i="18"/>
  <c r="W738" i="18"/>
  <c r="W739" i="18"/>
  <c r="W740" i="18"/>
  <c r="W741" i="18"/>
  <c r="W742" i="18"/>
  <c r="W743" i="18"/>
  <c r="W744" i="18"/>
  <c r="W745" i="18"/>
  <c r="W746" i="18"/>
  <c r="W747" i="18"/>
  <c r="W748" i="18"/>
  <c r="W749" i="18"/>
  <c r="W750" i="18"/>
  <c r="W751" i="18"/>
  <c r="W752" i="18"/>
  <c r="W753" i="18"/>
  <c r="W754" i="18"/>
  <c r="W755" i="18"/>
  <c r="W756" i="18"/>
  <c r="W757" i="18"/>
  <c r="W758" i="18"/>
  <c r="W759" i="18"/>
  <c r="W760" i="18"/>
  <c r="W761" i="18"/>
  <c r="W762" i="18"/>
  <c r="W763" i="18"/>
  <c r="W764" i="18"/>
  <c r="W765" i="18"/>
  <c r="W766" i="18"/>
  <c r="W767" i="18"/>
  <c r="W768" i="18"/>
  <c r="W769" i="18"/>
  <c r="W770" i="18"/>
  <c r="W771" i="18"/>
  <c r="W772" i="18"/>
  <c r="W773" i="18"/>
  <c r="W774" i="18"/>
  <c r="W775" i="18"/>
  <c r="W776" i="18"/>
  <c r="W777" i="18"/>
  <c r="W778" i="18"/>
  <c r="W779" i="18"/>
  <c r="W780" i="18"/>
  <c r="W781" i="18"/>
  <c r="W782" i="18"/>
  <c r="W783" i="18"/>
  <c r="W784" i="18"/>
  <c r="W785" i="18"/>
  <c r="W786" i="18"/>
  <c r="W787" i="18"/>
  <c r="W788" i="18"/>
  <c r="W789" i="18"/>
  <c r="W790" i="18"/>
  <c r="W791" i="18"/>
  <c r="W792" i="18"/>
  <c r="W793" i="18"/>
  <c r="W794" i="18"/>
  <c r="W795" i="18"/>
  <c r="W796" i="18"/>
  <c r="W797" i="18"/>
  <c r="W798" i="18"/>
  <c r="W799" i="18"/>
  <c r="W800" i="18"/>
  <c r="W801" i="18"/>
  <c r="W802" i="18"/>
  <c r="W803" i="18"/>
  <c r="W804" i="18"/>
  <c r="W805" i="18"/>
  <c r="W806" i="18"/>
  <c r="W807" i="18"/>
  <c r="W808" i="18"/>
  <c r="W809" i="18"/>
  <c r="W810" i="18"/>
  <c r="W811" i="18"/>
  <c r="W812" i="18"/>
  <c r="W813" i="18"/>
  <c r="W814" i="18"/>
  <c r="W815" i="18"/>
  <c r="W816" i="18"/>
  <c r="W817" i="18"/>
  <c r="W818" i="18"/>
  <c r="W819" i="18"/>
  <c r="W820" i="18"/>
  <c r="W821" i="18"/>
  <c r="W822" i="18"/>
  <c r="W823" i="18"/>
  <c r="W824" i="18"/>
  <c r="W825" i="18"/>
  <c r="W826" i="18"/>
  <c r="W827" i="18"/>
  <c r="W828" i="18"/>
  <c r="W829" i="18"/>
  <c r="W830" i="18"/>
  <c r="W831" i="18"/>
  <c r="W832" i="18"/>
  <c r="W833" i="18"/>
  <c r="W834" i="18"/>
  <c r="W835" i="18"/>
  <c r="W836" i="18"/>
  <c r="W837" i="18"/>
  <c r="W838" i="18"/>
  <c r="W839" i="18"/>
  <c r="W840" i="18"/>
  <c r="W841" i="18"/>
  <c r="W842" i="18"/>
  <c r="W843" i="18"/>
  <c r="W844" i="18"/>
  <c r="W845" i="18"/>
  <c r="W846" i="18"/>
  <c r="W847" i="18"/>
  <c r="W848" i="18"/>
  <c r="W849" i="18"/>
  <c r="W850" i="18"/>
  <c r="W851" i="18"/>
  <c r="W852" i="18"/>
  <c r="W853" i="18"/>
  <c r="W854" i="18"/>
  <c r="W855" i="18"/>
  <c r="W856" i="18"/>
  <c r="W857" i="18"/>
  <c r="W858" i="18"/>
  <c r="W859" i="18"/>
  <c r="W860" i="18"/>
  <c r="W861" i="18"/>
  <c r="W862" i="18"/>
  <c r="W863" i="18"/>
  <c r="W864" i="18"/>
  <c r="W865" i="18"/>
  <c r="W866" i="18"/>
  <c r="W867" i="18"/>
  <c r="W868" i="18"/>
  <c r="W869" i="18"/>
  <c r="W870" i="18"/>
  <c r="W871" i="18"/>
  <c r="W872" i="18"/>
  <c r="W873" i="18"/>
  <c r="W874" i="18"/>
  <c r="W875" i="18"/>
  <c r="W876" i="18"/>
  <c r="W877" i="18"/>
  <c r="W878" i="18"/>
  <c r="W879" i="18"/>
  <c r="W880" i="18"/>
  <c r="W881" i="18"/>
  <c r="W882" i="18"/>
  <c r="W883" i="18"/>
  <c r="W884" i="18"/>
  <c r="W885" i="18"/>
  <c r="W886" i="18"/>
  <c r="W887" i="18"/>
  <c r="W888" i="18"/>
  <c r="W889" i="18"/>
  <c r="W890" i="18"/>
  <c r="W891" i="18"/>
  <c r="W892" i="18"/>
  <c r="W893" i="18"/>
  <c r="W894" i="18"/>
  <c r="W895" i="18"/>
  <c r="W896" i="18"/>
  <c r="W897" i="18"/>
  <c r="W898" i="18"/>
  <c r="W899" i="18"/>
  <c r="W900" i="18"/>
  <c r="W901" i="18"/>
  <c r="W902" i="18"/>
  <c r="W903" i="18"/>
  <c r="W904" i="18"/>
  <c r="W905" i="18"/>
  <c r="W906" i="18"/>
  <c r="W907" i="18"/>
  <c r="W908" i="18"/>
  <c r="W909" i="18"/>
  <c r="W910" i="18"/>
  <c r="W911" i="18"/>
  <c r="W912" i="18"/>
  <c r="W913" i="18"/>
  <c r="W914" i="18"/>
  <c r="W915" i="18"/>
  <c r="W916" i="18"/>
  <c r="W917" i="18"/>
  <c r="W918" i="18"/>
  <c r="W919" i="18"/>
  <c r="W920" i="18"/>
  <c r="W921" i="18"/>
  <c r="W922" i="18"/>
  <c r="W923" i="18"/>
  <c r="W924" i="18"/>
  <c r="W925" i="18"/>
  <c r="W926" i="18"/>
  <c r="W10" i="18"/>
  <c r="AC70" i="27" l="1"/>
  <c r="T84" i="27"/>
  <c r="AB119" i="27"/>
  <c r="R89" i="27"/>
  <c r="R43" i="27"/>
  <c r="W24" i="27"/>
  <c r="Z118" i="27"/>
  <c r="V68" i="27"/>
  <c r="R51" i="27"/>
  <c r="R11" i="27"/>
  <c r="AB17" i="27"/>
  <c r="AA17" i="27"/>
  <c r="Z11" i="27"/>
  <c r="W70" i="27"/>
  <c r="X155" i="27"/>
  <c r="R19" i="27"/>
  <c r="S11" i="27"/>
  <c r="W23" i="27"/>
  <c r="X17" i="27"/>
  <c r="AB94" i="27"/>
  <c r="Y69" i="27"/>
  <c r="AC64" i="27"/>
  <c r="X38" i="27"/>
  <c r="S111" i="27"/>
  <c r="S54" i="27"/>
  <c r="Y29" i="27"/>
  <c r="R116" i="27"/>
  <c r="AA9" i="27"/>
  <c r="U10" i="27"/>
  <c r="AB18" i="27"/>
  <c r="AC17" i="27"/>
  <c r="T25" i="27"/>
  <c r="U17" i="27"/>
  <c r="U106" i="27"/>
  <c r="T104" i="27"/>
  <c r="S101" i="27"/>
  <c r="AC75" i="27"/>
  <c r="AC36" i="27"/>
  <c r="T49" i="27"/>
  <c r="V136" i="27"/>
  <c r="R85" i="27"/>
  <c r="U46" i="27"/>
  <c r="V38" i="27"/>
  <c r="R48" i="27"/>
  <c r="X71" i="27"/>
  <c r="V56" i="27"/>
  <c r="R39" i="27"/>
  <c r="R109" i="27"/>
  <c r="U74" i="27"/>
  <c r="AC43" i="27"/>
  <c r="S30" i="27"/>
  <c r="R10" i="27"/>
  <c r="AB25" i="27"/>
  <c r="AC31" i="27"/>
  <c r="AC10" i="27"/>
  <c r="S68" i="27"/>
  <c r="Y24" i="27"/>
  <c r="AC18" i="27"/>
  <c r="U15" i="27"/>
  <c r="T9" i="27"/>
  <c r="W19" i="27"/>
  <c r="W51" i="27"/>
  <c r="Z83" i="27"/>
  <c r="Y81" i="27"/>
  <c r="AB67" i="27"/>
  <c r="V59" i="27"/>
  <c r="W54" i="27"/>
  <c r="W49" i="27"/>
  <c r="AA41" i="27"/>
  <c r="Y37" i="27"/>
  <c r="AB34" i="27"/>
  <c r="U28" i="27"/>
  <c r="U23" i="27"/>
  <c r="R8" i="27"/>
  <c r="AA11" i="27"/>
  <c r="AC23" i="27"/>
  <c r="R44" i="27"/>
  <c r="V75" i="27"/>
  <c r="X91" i="27"/>
  <c r="W80" i="27"/>
  <c r="T78" i="27"/>
  <c r="AA53" i="27"/>
  <c r="AB48" i="27"/>
  <c r="Z27" i="27"/>
  <c r="W16" i="27"/>
  <c r="U54" i="27"/>
  <c r="T59" i="27"/>
  <c r="Y58" i="27"/>
  <c r="Z45" i="27"/>
  <c r="V104" i="27"/>
  <c r="X16" i="27"/>
  <c r="AC16" i="27"/>
  <c r="AB42" i="27"/>
  <c r="Z37" i="27"/>
  <c r="Y40" i="27"/>
  <c r="Y15" i="27"/>
  <c r="W21" i="27"/>
  <c r="U13" i="27"/>
  <c r="T30" i="27"/>
  <c r="Y92" i="27"/>
  <c r="V10" i="27"/>
  <c r="T16" i="27"/>
  <c r="R161" i="27"/>
  <c r="AB161" i="27"/>
  <c r="V161" i="27"/>
  <c r="AC161" i="27"/>
  <c r="X161" i="27"/>
  <c r="U161" i="27"/>
  <c r="Z161" i="27"/>
  <c r="Y161" i="27"/>
  <c r="AA161" i="27"/>
  <c r="S161" i="27"/>
  <c r="T161" i="27"/>
  <c r="W161" i="27"/>
  <c r="Z63" i="27"/>
  <c r="Y63" i="27"/>
  <c r="R63" i="27"/>
  <c r="AA63" i="27"/>
  <c r="AC63" i="27"/>
  <c r="AB63" i="27"/>
  <c r="S63" i="27"/>
  <c r="X63" i="27"/>
  <c r="V47" i="27"/>
  <c r="Z47" i="27"/>
  <c r="Y47" i="27"/>
  <c r="R47" i="27"/>
  <c r="X47" i="27"/>
  <c r="AA47" i="27"/>
  <c r="AC47" i="27"/>
  <c r="AB47" i="27"/>
  <c r="S47" i="27"/>
  <c r="U22" i="27"/>
  <c r="AC22" i="27"/>
  <c r="Y22" i="27"/>
  <c r="V22" i="27"/>
  <c r="X22" i="27"/>
  <c r="Z22" i="27"/>
  <c r="AC45" i="27"/>
  <c r="T42" i="27"/>
  <c r="W47" i="27"/>
  <c r="AA37" i="27"/>
  <c r="U59" i="27"/>
  <c r="AA101" i="27"/>
  <c r="AC48" i="27"/>
  <c r="R41" i="27"/>
  <c r="AA125" i="27"/>
  <c r="T52" i="27"/>
  <c r="AA74" i="27"/>
  <c r="X105" i="27"/>
  <c r="V160" i="27"/>
  <c r="AA106" i="27"/>
  <c r="T73" i="27"/>
  <c r="S94" i="27"/>
  <c r="Z134" i="27"/>
  <c r="S83" i="27"/>
  <c r="AC111" i="27"/>
  <c r="U78" i="27"/>
  <c r="Y118" i="27"/>
  <c r="X145" i="27"/>
  <c r="Z139" i="27"/>
  <c r="U45" i="27"/>
  <c r="V45" i="27"/>
  <c r="W45" i="27"/>
  <c r="X45" i="27"/>
  <c r="Y45" i="27"/>
  <c r="AA45" i="27"/>
  <c r="AB45" i="27"/>
  <c r="S45" i="27"/>
  <c r="T45" i="27"/>
  <c r="R24" i="27"/>
  <c r="T33" i="27"/>
  <c r="X24" i="27"/>
  <c r="T150" i="27"/>
  <c r="Z150" i="27"/>
  <c r="AA150" i="27"/>
  <c r="R150" i="27"/>
  <c r="AC150" i="27"/>
  <c r="W150" i="27"/>
  <c r="U150" i="27"/>
  <c r="AB150" i="27"/>
  <c r="V150" i="27"/>
  <c r="Y150" i="27"/>
  <c r="X150" i="27"/>
  <c r="S150" i="27"/>
  <c r="U130" i="27"/>
  <c r="Y130" i="27"/>
  <c r="S130" i="27"/>
  <c r="W130" i="27"/>
  <c r="V130" i="27"/>
  <c r="AA130" i="27"/>
  <c r="X130" i="27"/>
  <c r="T130" i="27"/>
  <c r="Z130" i="27"/>
  <c r="R130" i="27"/>
  <c r="S72" i="27"/>
  <c r="R72" i="27"/>
  <c r="Y72" i="27"/>
  <c r="AC72" i="27"/>
  <c r="AB72" i="27"/>
  <c r="T72" i="27"/>
  <c r="U72" i="27"/>
  <c r="W72" i="27"/>
  <c r="V72" i="27"/>
  <c r="Y26" i="27"/>
  <c r="T26" i="27"/>
  <c r="W26" i="27"/>
  <c r="AB26" i="27"/>
  <c r="S26" i="27"/>
  <c r="AA26" i="27"/>
  <c r="AC59" i="27"/>
  <c r="R71" i="27"/>
  <c r="R52" i="27"/>
  <c r="T63" i="27"/>
  <c r="T132" i="27"/>
  <c r="AB52" i="27"/>
  <c r="T76" i="27"/>
  <c r="T82" i="27"/>
  <c r="V106" i="27"/>
  <c r="T109" i="27"/>
  <c r="AB73" i="27"/>
  <c r="AA94" i="27"/>
  <c r="AA83" i="27"/>
  <c r="AC78" i="27"/>
  <c r="U120" i="27"/>
  <c r="S102" i="27"/>
  <c r="T145" i="27"/>
  <c r="X36" i="27"/>
  <c r="Y36" i="27"/>
  <c r="AA36" i="27"/>
  <c r="S32" i="27"/>
  <c r="AA32" i="27"/>
  <c r="AB32" i="27"/>
  <c r="U32" i="27"/>
  <c r="V25" i="27"/>
  <c r="Y25" i="27"/>
  <c r="S25" i="27"/>
  <c r="X25" i="27"/>
  <c r="R25" i="27"/>
  <c r="W25" i="27"/>
  <c r="Z25" i="27"/>
  <c r="AC25" i="27"/>
  <c r="W20" i="27"/>
  <c r="R20" i="27"/>
  <c r="Z20" i="27"/>
  <c r="T20" i="27"/>
  <c r="AC20" i="27"/>
  <c r="Y20" i="27"/>
  <c r="S20" i="27"/>
  <c r="V20" i="27"/>
  <c r="W12" i="27"/>
  <c r="S12" i="27"/>
  <c r="X12" i="27"/>
  <c r="AA12" i="27"/>
  <c r="R12" i="27"/>
  <c r="Z12" i="27"/>
  <c r="T12" i="27"/>
  <c r="AC12" i="27"/>
  <c r="V28" i="27"/>
  <c r="AB22" i="27"/>
  <c r="Z16" i="27"/>
  <c r="X10" i="27"/>
  <c r="V71" i="27"/>
  <c r="AA46" i="27"/>
  <c r="AA30" i="27"/>
  <c r="AB9" i="27"/>
  <c r="W68" i="27"/>
  <c r="V41" i="27"/>
  <c r="R30" i="27"/>
  <c r="AC15" i="27"/>
  <c r="X8" i="27"/>
  <c r="T41" i="27"/>
  <c r="V21" i="27"/>
  <c r="W8" i="27"/>
  <c r="R36" i="27"/>
  <c r="AC13" i="27"/>
  <c r="X33" i="27"/>
  <c r="Y12" i="27"/>
  <c r="T32" i="27"/>
  <c r="Z10" i="27"/>
  <c r="V52" i="27"/>
  <c r="W78" i="27"/>
  <c r="U43" i="27"/>
  <c r="AB64" i="27"/>
  <c r="R149" i="27"/>
  <c r="X80" i="27"/>
  <c r="X67" i="27"/>
  <c r="T36" i="27"/>
  <c r="S57" i="27"/>
  <c r="S92" i="27"/>
  <c r="X86" i="27"/>
  <c r="X88" i="27"/>
  <c r="S78" i="27"/>
  <c r="T100" i="27"/>
  <c r="Z88" i="27"/>
  <c r="T143" i="27"/>
  <c r="AC128" i="27"/>
  <c r="Z147" i="27"/>
  <c r="T147" i="27"/>
  <c r="R147" i="27"/>
  <c r="AA147" i="27"/>
  <c r="Y147" i="27"/>
  <c r="X147" i="27"/>
  <c r="AC147" i="27"/>
  <c r="S147" i="27"/>
  <c r="V147" i="27"/>
  <c r="V110" i="27"/>
  <c r="U110" i="27"/>
  <c r="AB110" i="27"/>
  <c r="T110" i="27"/>
  <c r="AC110" i="27"/>
  <c r="Z110" i="27"/>
  <c r="AA110" i="27"/>
  <c r="R110" i="27"/>
  <c r="X110" i="27"/>
  <c r="W110" i="27"/>
  <c r="S110" i="27"/>
  <c r="W89" i="27"/>
  <c r="Z89" i="27"/>
  <c r="V89" i="27"/>
  <c r="Y89" i="27"/>
  <c r="AC89" i="27"/>
  <c r="AA89" i="27"/>
  <c r="Y154" i="27"/>
  <c r="X154" i="27"/>
  <c r="AB154" i="27"/>
  <c r="AA154" i="27"/>
  <c r="W154" i="27"/>
  <c r="AC154" i="27"/>
  <c r="T154" i="27"/>
  <c r="S154" i="27"/>
  <c r="Z154" i="27"/>
  <c r="U154" i="27"/>
  <c r="V154" i="27"/>
  <c r="R154" i="27"/>
  <c r="R146" i="27"/>
  <c r="AC146" i="27"/>
  <c r="U146" i="27"/>
  <c r="W146" i="27"/>
  <c r="X146" i="27"/>
  <c r="Z146" i="27"/>
  <c r="AB146" i="27"/>
  <c r="AA146" i="27"/>
  <c r="S146" i="27"/>
  <c r="T146" i="27"/>
  <c r="V146" i="27"/>
  <c r="S142" i="27"/>
  <c r="X142" i="27"/>
  <c r="AB142" i="27"/>
  <c r="Y142" i="27"/>
  <c r="U142" i="27"/>
  <c r="AA142" i="27"/>
  <c r="Z142" i="27"/>
  <c r="W142" i="27"/>
  <c r="V142" i="27"/>
  <c r="AC142" i="27"/>
  <c r="R142" i="27"/>
  <c r="T142" i="27"/>
  <c r="AB136" i="27"/>
  <c r="Y136" i="27"/>
  <c r="T136" i="27"/>
  <c r="S136" i="27"/>
  <c r="R136" i="27"/>
  <c r="W136" i="27"/>
  <c r="AA136" i="27"/>
  <c r="X136" i="27"/>
  <c r="U136" i="27"/>
  <c r="T121" i="27"/>
  <c r="S121" i="27"/>
  <c r="AC121" i="27"/>
  <c r="U121" i="27"/>
  <c r="Z121" i="27"/>
  <c r="AB121" i="27"/>
  <c r="AA121" i="27"/>
  <c r="R121" i="27"/>
  <c r="W121" i="27"/>
  <c r="V121" i="27"/>
  <c r="AB113" i="27"/>
  <c r="S113" i="27"/>
  <c r="AC113" i="27"/>
  <c r="X113" i="27"/>
  <c r="U113" i="27"/>
  <c r="AA113" i="27"/>
  <c r="Z113" i="27"/>
  <c r="W113" i="27"/>
  <c r="V113" i="27"/>
  <c r="T113" i="27"/>
  <c r="R113" i="27"/>
  <c r="W103" i="27"/>
  <c r="Y103" i="27"/>
  <c r="T103" i="27"/>
  <c r="X103" i="27"/>
  <c r="V103" i="27"/>
  <c r="AA103" i="27"/>
  <c r="AB103" i="27"/>
  <c r="Z103" i="27"/>
  <c r="U103" i="27"/>
  <c r="AC103" i="27"/>
  <c r="R103" i="27"/>
  <c r="R95" i="27"/>
  <c r="Y95" i="27"/>
  <c r="AA95" i="27"/>
  <c r="AB95" i="27"/>
  <c r="S95" i="27"/>
  <c r="X95" i="27"/>
  <c r="AC95" i="27"/>
  <c r="W95" i="27"/>
  <c r="V95" i="27"/>
  <c r="U95" i="27"/>
  <c r="T85" i="27"/>
  <c r="AA85" i="27"/>
  <c r="Z85" i="27"/>
  <c r="S85" i="27"/>
  <c r="AC85" i="27"/>
  <c r="U85" i="27"/>
  <c r="V85" i="27"/>
  <c r="Y85" i="27"/>
  <c r="X85" i="27"/>
  <c r="W85" i="27"/>
  <c r="AB85" i="27"/>
  <c r="S70" i="27"/>
  <c r="X70" i="27"/>
  <c r="AA70" i="27"/>
  <c r="Z70" i="27"/>
  <c r="Y70" i="27"/>
  <c r="R70" i="27"/>
  <c r="AB70" i="27"/>
  <c r="U70" i="27"/>
  <c r="T70" i="27"/>
  <c r="AA55" i="27"/>
  <c r="AC55" i="27"/>
  <c r="AB55" i="27"/>
  <c r="S55" i="27"/>
  <c r="U55" i="27"/>
  <c r="T55" i="27"/>
  <c r="V55" i="27"/>
  <c r="W55" i="27"/>
  <c r="Z55" i="27"/>
  <c r="Y55" i="27"/>
  <c r="Y51" i="27"/>
  <c r="AA51" i="27"/>
  <c r="S51" i="27"/>
  <c r="AC51" i="27"/>
  <c r="V51" i="27"/>
  <c r="U51" i="27"/>
  <c r="Z51" i="27"/>
  <c r="R46" i="27"/>
  <c r="AB46" i="27"/>
  <c r="T46" i="27"/>
  <c r="S46" i="27"/>
  <c r="V46" i="27"/>
  <c r="W46" i="27"/>
  <c r="X31" i="27"/>
  <c r="S31" i="27"/>
  <c r="V31" i="27"/>
  <c r="AA31" i="27"/>
  <c r="R31" i="27"/>
  <c r="Z31" i="27"/>
  <c r="T31" i="27"/>
  <c r="W31" i="27"/>
  <c r="T11" i="27"/>
  <c r="AB11" i="27"/>
  <c r="U11" i="27"/>
  <c r="X11" i="27"/>
  <c r="AC11" i="27"/>
  <c r="W11" i="27"/>
  <c r="V49" i="27"/>
  <c r="AC33" i="27"/>
  <c r="AA27" i="27"/>
  <c r="T22" i="27"/>
  <c r="R16" i="27"/>
  <c r="U9" i="27"/>
  <c r="AC68" i="27"/>
  <c r="AA22" i="27"/>
  <c r="Y16" i="27"/>
  <c r="R61" i="27"/>
  <c r="AA39" i="27"/>
  <c r="W29" i="27"/>
  <c r="R22" i="27"/>
  <c r="AB120" i="27"/>
  <c r="U36" i="27"/>
  <c r="AA20" i="27"/>
  <c r="V32" i="27"/>
  <c r="AC32" i="27"/>
  <c r="V11" i="27"/>
  <c r="Y31" i="27"/>
  <c r="Y53" i="27"/>
  <c r="R55" i="27"/>
  <c r="Y57" i="27"/>
  <c r="T47" i="27"/>
  <c r="AB36" i="27"/>
  <c r="AA57" i="27"/>
  <c r="Y94" i="27"/>
  <c r="S89" i="27"/>
  <c r="X121" i="27"/>
  <c r="AA78" i="27"/>
  <c r="U89" i="27"/>
  <c r="Y146" i="27"/>
  <c r="AB133" i="27"/>
  <c r="S162" i="27"/>
  <c r="AC136" i="27"/>
  <c r="Z136" i="27"/>
  <c r="S155" i="27"/>
  <c r="T155" i="27"/>
  <c r="R155" i="27"/>
  <c r="AB155" i="27"/>
  <c r="AC155" i="27"/>
  <c r="AA155" i="27"/>
  <c r="W155" i="27"/>
  <c r="V155" i="27"/>
  <c r="Z155" i="27"/>
  <c r="Y155" i="27"/>
  <c r="Y138" i="27"/>
  <c r="X138" i="27"/>
  <c r="Z138" i="27"/>
  <c r="S138" i="27"/>
  <c r="W138" i="27"/>
  <c r="V138" i="27"/>
  <c r="U138" i="27"/>
  <c r="T138" i="27"/>
  <c r="AC138" i="27"/>
  <c r="AA138" i="27"/>
  <c r="R138" i="27"/>
  <c r="AB138" i="27"/>
  <c r="Y124" i="27"/>
  <c r="Z124" i="27"/>
  <c r="AC124" i="27"/>
  <c r="U124" i="27"/>
  <c r="X124" i="27"/>
  <c r="V124" i="27"/>
  <c r="S124" i="27"/>
  <c r="T124" i="27"/>
  <c r="AA124" i="27"/>
  <c r="R124" i="27"/>
  <c r="AB124" i="27"/>
  <c r="Z114" i="27"/>
  <c r="W114" i="27"/>
  <c r="AB114" i="27"/>
  <c r="AA114" i="27"/>
  <c r="X114" i="27"/>
  <c r="U114" i="27"/>
  <c r="V114" i="27"/>
  <c r="S114" i="27"/>
  <c r="AC114" i="27"/>
  <c r="Y114" i="27"/>
  <c r="R114" i="27"/>
  <c r="T114" i="27"/>
  <c r="V148" i="27"/>
  <c r="T148" i="27"/>
  <c r="X148" i="27"/>
  <c r="W148" i="27"/>
  <c r="AC148" i="27"/>
  <c r="U148" i="27"/>
  <c r="Y148" i="27"/>
  <c r="R148" i="27"/>
  <c r="S148" i="27"/>
  <c r="AB148" i="27"/>
  <c r="Z148" i="27"/>
  <c r="Y87" i="27"/>
  <c r="AC87" i="27"/>
  <c r="R87" i="27"/>
  <c r="W87" i="27"/>
  <c r="V87" i="27"/>
  <c r="U87" i="27"/>
  <c r="T87" i="27"/>
  <c r="AB87" i="27"/>
  <c r="Z87" i="27"/>
  <c r="X87" i="27"/>
  <c r="AA87" i="27"/>
  <c r="S62" i="27"/>
  <c r="R62" i="27"/>
  <c r="AB62" i="27"/>
  <c r="T62" i="27"/>
  <c r="AC62" i="27"/>
  <c r="V62" i="27"/>
  <c r="W62" i="27"/>
  <c r="AA62" i="27"/>
  <c r="V40" i="27"/>
  <c r="X40" i="27"/>
  <c r="W40" i="27"/>
  <c r="Z40" i="27"/>
  <c r="R40" i="27"/>
  <c r="AC40" i="27"/>
  <c r="AB40" i="27"/>
  <c r="U40" i="27"/>
  <c r="T40" i="27"/>
  <c r="AA40" i="27"/>
  <c r="S40" i="27"/>
  <c r="R13" i="27"/>
  <c r="Z13" i="27"/>
  <c r="T13" i="27"/>
  <c r="AB13" i="27"/>
  <c r="S13" i="27"/>
  <c r="AA13" i="27"/>
  <c r="T119" i="27"/>
  <c r="V119" i="27"/>
  <c r="Y119" i="27"/>
  <c r="W119" i="27"/>
  <c r="AA119" i="27"/>
  <c r="Z119" i="27"/>
  <c r="AC119" i="27"/>
  <c r="X119" i="27"/>
  <c r="S119" i="27"/>
  <c r="R119" i="27"/>
  <c r="U119" i="27"/>
  <c r="Y101" i="27"/>
  <c r="Z101" i="27"/>
  <c r="V101" i="27"/>
  <c r="R101" i="27"/>
  <c r="X101" i="27"/>
  <c r="AB101" i="27"/>
  <c r="AC101" i="27"/>
  <c r="AC86" i="27"/>
  <c r="Y86" i="27"/>
  <c r="AB86" i="27"/>
  <c r="AA86" i="27"/>
  <c r="Z86" i="27"/>
  <c r="T86" i="27"/>
  <c r="S86" i="27"/>
  <c r="R86" i="27"/>
  <c r="W86" i="27"/>
  <c r="AA71" i="27"/>
  <c r="AC71" i="27"/>
  <c r="AB71" i="27"/>
  <c r="S71" i="27"/>
  <c r="U71" i="27"/>
  <c r="T71" i="27"/>
  <c r="W71" i="27"/>
  <c r="Z71" i="27"/>
  <c r="Y71" i="27"/>
  <c r="X56" i="27"/>
  <c r="W56" i="27"/>
  <c r="Z56" i="27"/>
  <c r="R56" i="27"/>
  <c r="AC56" i="27"/>
  <c r="AB56" i="27"/>
  <c r="U56" i="27"/>
  <c r="T56" i="27"/>
  <c r="AA56" i="27"/>
  <c r="AB159" i="27"/>
  <c r="AC159" i="27"/>
  <c r="R159" i="27"/>
  <c r="Y159" i="27"/>
  <c r="U159" i="27"/>
  <c r="W159" i="27"/>
  <c r="T159" i="27"/>
  <c r="S159" i="27"/>
  <c r="Z159" i="27"/>
  <c r="V159" i="27"/>
  <c r="AA159" i="27"/>
  <c r="X159" i="27"/>
  <c r="V151" i="27"/>
  <c r="AA151" i="27"/>
  <c r="AB151" i="27"/>
  <c r="X151" i="27"/>
  <c r="W151" i="27"/>
  <c r="Y151" i="27"/>
  <c r="Z151" i="27"/>
  <c r="U151" i="27"/>
  <c r="AC151" i="27"/>
  <c r="T151" i="27"/>
  <c r="R151" i="27"/>
  <c r="X141" i="27"/>
  <c r="W141" i="27"/>
  <c r="Z141" i="27"/>
  <c r="Y141" i="27"/>
  <c r="AC141" i="27"/>
  <c r="R141" i="27"/>
  <c r="S141" i="27"/>
  <c r="AA141" i="27"/>
  <c r="V141" i="27"/>
  <c r="U141" i="27"/>
  <c r="T141" i="27"/>
  <c r="AB141" i="27"/>
  <c r="W129" i="27"/>
  <c r="AB129" i="27"/>
  <c r="Y129" i="27"/>
  <c r="AC129" i="27"/>
  <c r="U129" i="27"/>
  <c r="X129" i="27"/>
  <c r="S129" i="27"/>
  <c r="T129" i="27"/>
  <c r="Z129" i="27"/>
  <c r="AA129" i="27"/>
  <c r="V129" i="27"/>
  <c r="S126" i="27"/>
  <c r="Z126" i="27"/>
  <c r="AB126" i="27"/>
  <c r="R126" i="27"/>
  <c r="AC126" i="27"/>
  <c r="U126" i="27"/>
  <c r="AA126" i="27"/>
  <c r="V126" i="27"/>
  <c r="T126" i="27"/>
  <c r="W126" i="27"/>
  <c r="X126" i="27"/>
  <c r="Z115" i="27"/>
  <c r="W115" i="27"/>
  <c r="R115" i="27"/>
  <c r="AB115" i="27"/>
  <c r="V115" i="27"/>
  <c r="Y115" i="27"/>
  <c r="AA115" i="27"/>
  <c r="AC115" i="27"/>
  <c r="S115" i="27"/>
  <c r="X115" i="27"/>
  <c r="T115" i="27"/>
  <c r="U115" i="27"/>
  <c r="AA109" i="27"/>
  <c r="Z109" i="27"/>
  <c r="S109" i="27"/>
  <c r="V109" i="27"/>
  <c r="AB109" i="27"/>
  <c r="X109" i="27"/>
  <c r="Y109" i="27"/>
  <c r="W109" i="27"/>
  <c r="R74" i="27"/>
  <c r="Z74" i="27"/>
  <c r="AB74" i="27"/>
  <c r="T74" i="27"/>
  <c r="S74" i="27"/>
  <c r="Y74" i="27"/>
  <c r="X74" i="27"/>
  <c r="W74" i="27"/>
  <c r="X69" i="27"/>
  <c r="AB69" i="27"/>
  <c r="S69" i="27"/>
  <c r="T69" i="27"/>
  <c r="Z69" i="27"/>
  <c r="AC69" i="27"/>
  <c r="V69" i="27"/>
  <c r="U69" i="27"/>
  <c r="W69" i="27"/>
  <c r="AC66" i="27"/>
  <c r="AB66" i="27"/>
  <c r="V66" i="27"/>
  <c r="U66" i="27"/>
  <c r="T66" i="27"/>
  <c r="X66" i="27"/>
  <c r="AA66" i="27"/>
  <c r="Z66" i="27"/>
  <c r="S66" i="27"/>
  <c r="R66" i="27"/>
  <c r="W60" i="27"/>
  <c r="AA60" i="27"/>
  <c r="Z60" i="27"/>
  <c r="AB60" i="27"/>
  <c r="S60" i="27"/>
  <c r="R60" i="27"/>
  <c r="T60" i="27"/>
  <c r="V60" i="27"/>
  <c r="U60" i="27"/>
  <c r="X60" i="27"/>
  <c r="Z43" i="27"/>
  <c r="AB43" i="27"/>
  <c r="T43" i="27"/>
  <c r="X43" i="27"/>
  <c r="Y43" i="27"/>
  <c r="AA43" i="27"/>
  <c r="S43" i="27"/>
  <c r="W35" i="27"/>
  <c r="Y35" i="27"/>
  <c r="AA35" i="27"/>
  <c r="S35" i="27"/>
  <c r="AB35" i="27"/>
  <c r="AC35" i="27"/>
  <c r="V35" i="27"/>
  <c r="U35" i="27"/>
  <c r="Z35" i="27"/>
  <c r="R35" i="27"/>
  <c r="U30" i="27"/>
  <c r="AC30" i="27"/>
  <c r="X30" i="27"/>
  <c r="Z30" i="27"/>
  <c r="W30" i="27"/>
  <c r="Y30" i="27"/>
  <c r="V30" i="27"/>
  <c r="T19" i="27"/>
  <c r="AB19" i="27"/>
  <c r="V19" i="27"/>
  <c r="U19" i="27"/>
  <c r="X19" i="27"/>
  <c r="AC19" i="27"/>
  <c r="Y10" i="27"/>
  <c r="T10" i="27"/>
  <c r="W10" i="27"/>
  <c r="AB10" i="27"/>
  <c r="S10" i="27"/>
  <c r="AA10" i="27"/>
  <c r="R69" i="27"/>
  <c r="AC46" i="27"/>
  <c r="S27" i="27"/>
  <c r="Y21" i="27"/>
  <c r="AB14" i="27"/>
  <c r="Z8" i="27"/>
  <c r="W66" i="27"/>
  <c r="Y41" i="27"/>
  <c r="X29" i="27"/>
  <c r="S22" i="27"/>
  <c r="AA14" i="27"/>
  <c r="Y8" i="27"/>
  <c r="W36" i="27"/>
  <c r="AB28" i="27"/>
  <c r="R14" i="27"/>
  <c r="W32" i="27"/>
  <c r="U80" i="27"/>
  <c r="V8" i="27"/>
  <c r="Y28" i="27"/>
  <c r="AC109" i="27"/>
  <c r="Z26" i="27"/>
  <c r="V36" i="27"/>
  <c r="T95" i="27"/>
  <c r="AA69" i="27"/>
  <c r="W124" i="27"/>
  <c r="X51" i="27"/>
  <c r="V74" i="27"/>
  <c r="S41" i="27"/>
  <c r="Z62" i="27"/>
  <c r="R92" i="27"/>
  <c r="AB130" i="27"/>
  <c r="R94" i="27"/>
  <c r="R108" i="27"/>
  <c r="Z72" i="27"/>
  <c r="T94" i="27"/>
  <c r="T133" i="27"/>
  <c r="AC133" i="27"/>
  <c r="Y133" i="27"/>
  <c r="X133" i="27"/>
  <c r="AA133" i="27"/>
  <c r="Z133" i="27"/>
  <c r="S133" i="27"/>
  <c r="V133" i="27"/>
  <c r="W133" i="27"/>
  <c r="U133" i="27"/>
  <c r="T118" i="27"/>
  <c r="W118" i="27"/>
  <c r="AA118" i="27"/>
  <c r="AB118" i="27"/>
  <c r="R118" i="27"/>
  <c r="AC118" i="27"/>
  <c r="U118" i="27"/>
  <c r="V118" i="27"/>
  <c r="S118" i="27"/>
  <c r="X118" i="27"/>
  <c r="W105" i="27"/>
  <c r="S105" i="27"/>
  <c r="R105" i="27"/>
  <c r="U105" i="27"/>
  <c r="V105" i="27"/>
  <c r="Z105" i="27"/>
  <c r="AA105" i="27"/>
  <c r="AC105" i="27"/>
  <c r="AB105" i="27"/>
  <c r="S93" i="27"/>
  <c r="Y93" i="27"/>
  <c r="X93" i="27"/>
  <c r="W93" i="27"/>
  <c r="AA93" i="27"/>
  <c r="AB93" i="27"/>
  <c r="V93" i="27"/>
  <c r="AC93" i="27"/>
  <c r="U93" i="27"/>
  <c r="Z77" i="27"/>
  <c r="Y77" i="27"/>
  <c r="X77" i="27"/>
  <c r="R77" i="27"/>
  <c r="V77" i="27"/>
  <c r="T77" i="27"/>
  <c r="AC77" i="27"/>
  <c r="AA77" i="27"/>
  <c r="U77" i="27"/>
  <c r="AB77" i="27"/>
  <c r="W77" i="27"/>
  <c r="AA58" i="27"/>
  <c r="Z58" i="27"/>
  <c r="S58" i="27"/>
  <c r="R58" i="27"/>
  <c r="AC58" i="27"/>
  <c r="AB58" i="27"/>
  <c r="V58" i="27"/>
  <c r="U58" i="27"/>
  <c r="T58" i="27"/>
  <c r="W58" i="27"/>
  <c r="AC97" i="27"/>
  <c r="V97" i="27"/>
  <c r="W97" i="27"/>
  <c r="AA97" i="27"/>
  <c r="U97" i="27"/>
  <c r="AB97" i="27"/>
  <c r="S97" i="27"/>
  <c r="T97" i="27"/>
  <c r="X97" i="27"/>
  <c r="R97" i="27"/>
  <c r="X76" i="27"/>
  <c r="W76" i="27"/>
  <c r="AA76" i="27"/>
  <c r="V76" i="27"/>
  <c r="AC76" i="27"/>
  <c r="U76" i="27"/>
  <c r="Y76" i="27"/>
  <c r="V61" i="27"/>
  <c r="U61" i="27"/>
  <c r="W61" i="27"/>
  <c r="Y61" i="27"/>
  <c r="AA61" i="27"/>
  <c r="AB61" i="27"/>
  <c r="S61" i="27"/>
  <c r="T61" i="27"/>
  <c r="R21" i="27"/>
  <c r="Z21" i="27"/>
  <c r="AA21" i="27"/>
  <c r="U21" i="27"/>
  <c r="AC21" i="27"/>
  <c r="T21" i="27"/>
  <c r="AB21" i="27"/>
  <c r="Z144" i="27"/>
  <c r="R144" i="27"/>
  <c r="U144" i="27"/>
  <c r="AC144" i="27"/>
  <c r="V144" i="27"/>
  <c r="AA144" i="27"/>
  <c r="Y144" i="27"/>
  <c r="T144" i="27"/>
  <c r="W144" i="27"/>
  <c r="X144" i="27"/>
  <c r="S144" i="27"/>
  <c r="R132" i="27"/>
  <c r="S132" i="27"/>
  <c r="W132" i="27"/>
  <c r="V132" i="27"/>
  <c r="Z132" i="27"/>
  <c r="AC132" i="27"/>
  <c r="U132" i="27"/>
  <c r="AB132" i="27"/>
  <c r="AA132" i="27"/>
  <c r="R122" i="27"/>
  <c r="X122" i="27"/>
  <c r="T122" i="27"/>
  <c r="S122" i="27"/>
  <c r="U122" i="27"/>
  <c r="W122" i="27"/>
  <c r="AB122" i="27"/>
  <c r="Y122" i="27"/>
  <c r="AC122" i="27"/>
  <c r="AA122" i="27"/>
  <c r="Z122" i="27"/>
  <c r="AB96" i="27"/>
  <c r="S96" i="27"/>
  <c r="V96" i="27"/>
  <c r="T96" i="27"/>
  <c r="U96" i="27"/>
  <c r="AA96" i="27"/>
  <c r="Z96" i="27"/>
  <c r="X96" i="27"/>
  <c r="R96" i="27"/>
  <c r="Y96" i="27"/>
  <c r="AC96" i="27"/>
  <c r="W96" i="27"/>
  <c r="U157" i="27"/>
  <c r="X157" i="27"/>
  <c r="V157" i="27"/>
  <c r="Y157" i="27"/>
  <c r="R157" i="27"/>
  <c r="T157" i="27"/>
  <c r="AB157" i="27"/>
  <c r="AC157" i="27"/>
  <c r="AA157" i="27"/>
  <c r="Z157" i="27"/>
  <c r="Y140" i="27"/>
  <c r="AC140" i="27"/>
  <c r="U140" i="27"/>
  <c r="AB140" i="27"/>
  <c r="W140" i="27"/>
  <c r="V140" i="27"/>
  <c r="S140" i="27"/>
  <c r="T140" i="27"/>
  <c r="R140" i="27"/>
  <c r="Z140" i="27"/>
  <c r="W125" i="27"/>
  <c r="AB125" i="27"/>
  <c r="X125" i="27"/>
  <c r="R125" i="27"/>
  <c r="Y125" i="27"/>
  <c r="V125" i="27"/>
  <c r="Z125" i="27"/>
  <c r="AC125" i="27"/>
  <c r="U125" i="27"/>
  <c r="T125" i="27"/>
  <c r="U117" i="27"/>
  <c r="T117" i="27"/>
  <c r="V117" i="27"/>
  <c r="Y117" i="27"/>
  <c r="X117" i="27"/>
  <c r="AC117" i="27"/>
  <c r="S117" i="27"/>
  <c r="R117" i="27"/>
  <c r="AB117" i="27"/>
  <c r="Z117" i="27"/>
  <c r="W117" i="27"/>
  <c r="Z112" i="27"/>
  <c r="R112" i="27"/>
  <c r="T112" i="27"/>
  <c r="W112" i="27"/>
  <c r="S112" i="27"/>
  <c r="Y112" i="27"/>
  <c r="U112" i="27"/>
  <c r="V112" i="27"/>
  <c r="AB112" i="27"/>
  <c r="AC112" i="27"/>
  <c r="X112" i="27"/>
  <c r="AA112" i="27"/>
  <c r="X100" i="27"/>
  <c r="Y100" i="27"/>
  <c r="W100" i="27"/>
  <c r="AA100" i="27"/>
  <c r="R100" i="27"/>
  <c r="V100" i="27"/>
  <c r="AC100" i="27"/>
  <c r="AB100" i="27"/>
  <c r="R88" i="27"/>
  <c r="Y88" i="27"/>
  <c r="AA88" i="27"/>
  <c r="S88" i="27"/>
  <c r="V88" i="27"/>
  <c r="AC88" i="27"/>
  <c r="W88" i="27"/>
  <c r="AB88" i="27"/>
  <c r="X84" i="27"/>
  <c r="W84" i="27"/>
  <c r="Y84" i="27"/>
  <c r="S84" i="27"/>
  <c r="Z84" i="27"/>
  <c r="AA84" i="27"/>
  <c r="R84" i="27"/>
  <c r="V84" i="27"/>
  <c r="AC84" i="27"/>
  <c r="AB84" i="27"/>
  <c r="R82" i="27"/>
  <c r="X82" i="27"/>
  <c r="W82" i="27"/>
  <c r="Z82" i="27"/>
  <c r="AA82" i="27"/>
  <c r="V82" i="27"/>
  <c r="Y82" i="27"/>
  <c r="AC82" i="27"/>
  <c r="AB82" i="27"/>
  <c r="Y79" i="27"/>
  <c r="R79" i="27"/>
  <c r="AA79" i="27"/>
  <c r="S79" i="27"/>
  <c r="AB79" i="27"/>
  <c r="U79" i="27"/>
  <c r="T79" i="27"/>
  <c r="X79" i="27"/>
  <c r="W79" i="27"/>
  <c r="V79" i="27"/>
  <c r="Z79" i="27"/>
  <c r="X68" i="27"/>
  <c r="U68" i="27"/>
  <c r="Y68" i="27"/>
  <c r="AA68" i="27"/>
  <c r="Z68" i="27"/>
  <c r="AB65" i="27"/>
  <c r="AA65" i="27"/>
  <c r="Z65" i="27"/>
  <c r="Y65" i="27"/>
  <c r="V65" i="27"/>
  <c r="S65" i="27"/>
  <c r="R65" i="27"/>
  <c r="AC65" i="27"/>
  <c r="U65" i="27"/>
  <c r="AC50" i="27"/>
  <c r="AB50" i="27"/>
  <c r="W50" i="27"/>
  <c r="V50" i="27"/>
  <c r="U50" i="27"/>
  <c r="T50" i="27"/>
  <c r="X50" i="27"/>
  <c r="AA50" i="27"/>
  <c r="Z50" i="27"/>
  <c r="S50" i="27"/>
  <c r="R50" i="27"/>
  <c r="Y50" i="27"/>
  <c r="AA42" i="27"/>
  <c r="Z42" i="27"/>
  <c r="S42" i="27"/>
  <c r="R42" i="27"/>
  <c r="Y42" i="27"/>
  <c r="AC42" i="27"/>
  <c r="V42" i="27"/>
  <c r="U42" i="27"/>
  <c r="W42" i="27"/>
  <c r="AA38" i="27"/>
  <c r="S38" i="27"/>
  <c r="Z38" i="27"/>
  <c r="Y38" i="27"/>
  <c r="R38" i="27"/>
  <c r="AB38" i="27"/>
  <c r="T38" i="27"/>
  <c r="AC38" i="27"/>
  <c r="R29" i="27"/>
  <c r="Z29" i="27"/>
  <c r="T29" i="27"/>
  <c r="AB29" i="27"/>
  <c r="S29" i="27"/>
  <c r="AA29" i="27"/>
  <c r="S24" i="27"/>
  <c r="AA24" i="27"/>
  <c r="U24" i="27"/>
  <c r="AC24" i="27"/>
  <c r="T24" i="27"/>
  <c r="AB24" i="27"/>
  <c r="Y18" i="27"/>
  <c r="S18" i="27"/>
  <c r="AA18" i="27"/>
  <c r="R18" i="27"/>
  <c r="U18" i="27"/>
  <c r="Z18" i="27"/>
  <c r="T18" i="27"/>
  <c r="W18" i="27"/>
  <c r="X15" i="27"/>
  <c r="S15" i="27"/>
  <c r="V15" i="27"/>
  <c r="AA15" i="27"/>
  <c r="R15" i="27"/>
  <c r="Z15" i="27"/>
  <c r="T15" i="27"/>
  <c r="W15" i="27"/>
  <c r="V9" i="27"/>
  <c r="Y9" i="27"/>
  <c r="S9" i="27"/>
  <c r="X9" i="27"/>
  <c r="R9" i="27"/>
  <c r="W9" i="27"/>
  <c r="Z9" i="27"/>
  <c r="AC9" i="27"/>
  <c r="Y66" i="27"/>
  <c r="R45" i="27"/>
  <c r="Z32" i="27"/>
  <c r="X26" i="27"/>
  <c r="AA19" i="27"/>
  <c r="T14" i="27"/>
  <c r="X61" i="27"/>
  <c r="U38" i="27"/>
  <c r="X21" i="27"/>
  <c r="V122" i="27"/>
  <c r="S56" i="27"/>
  <c r="Y27" i="27"/>
  <c r="AB20" i="27"/>
  <c r="W13" i="27"/>
  <c r="AC74" i="27"/>
  <c r="AB31" i="27"/>
  <c r="U29" i="27"/>
  <c r="X140" i="27"/>
  <c r="V27" i="27"/>
  <c r="Z95" i="27"/>
  <c r="R26" i="27"/>
  <c r="X58" i="27"/>
  <c r="Z97" i="27"/>
  <c r="V70" i="27"/>
  <c r="Y60" i="27"/>
  <c r="X62" i="27"/>
  <c r="AC130" i="27"/>
  <c r="S76" i="27"/>
  <c r="U63" i="27"/>
  <c r="X132" i="27"/>
  <c r="Z94" i="27"/>
  <c r="Y134" i="27"/>
  <c r="U84" i="27"/>
  <c r="U109" i="27"/>
  <c r="AB144" i="27"/>
  <c r="Z93" i="27"/>
  <c r="S77" i="27"/>
  <c r="Y110" i="27"/>
  <c r="Y120" i="27"/>
  <c r="R120" i="27"/>
  <c r="X120" i="27"/>
  <c r="W120" i="27"/>
  <c r="AC120" i="27"/>
  <c r="AA120" i="27"/>
  <c r="Z120" i="27"/>
  <c r="S120" i="27"/>
  <c r="T120" i="27"/>
  <c r="T106" i="27"/>
  <c r="X106" i="27"/>
  <c r="Z106" i="27"/>
  <c r="Y106" i="27"/>
  <c r="R106" i="27"/>
  <c r="AC106" i="27"/>
  <c r="AB106" i="27"/>
  <c r="W106" i="27"/>
  <c r="S106" i="27"/>
  <c r="V33" i="27"/>
  <c r="R33" i="27"/>
  <c r="W33" i="27"/>
  <c r="Z33" i="27"/>
  <c r="Y33" i="27"/>
  <c r="S33" i="27"/>
  <c r="Y152" i="27"/>
  <c r="X152" i="27"/>
  <c r="W152" i="27"/>
  <c r="S152" i="27"/>
  <c r="Z152" i="27"/>
  <c r="R152" i="27"/>
  <c r="V152" i="27"/>
  <c r="T152" i="27"/>
  <c r="AC152" i="27"/>
  <c r="AA152" i="27"/>
  <c r="U152" i="27"/>
  <c r="AB152" i="27"/>
  <c r="S123" i="27"/>
  <c r="AB123" i="27"/>
  <c r="AC123" i="27"/>
  <c r="V123" i="27"/>
  <c r="R123" i="27"/>
  <c r="X123" i="27"/>
  <c r="Y123" i="27"/>
  <c r="AA123" i="27"/>
  <c r="W123" i="27"/>
  <c r="Z123" i="27"/>
  <c r="T123" i="27"/>
  <c r="X116" i="27"/>
  <c r="W116" i="27"/>
  <c r="V116" i="27"/>
  <c r="AA116" i="27"/>
  <c r="AC116" i="27"/>
  <c r="U116" i="27"/>
  <c r="T116" i="27"/>
  <c r="Y116" i="27"/>
  <c r="Z116" i="27"/>
  <c r="AB116" i="27"/>
  <c r="S116" i="27"/>
  <c r="R90" i="27"/>
  <c r="Y90" i="27"/>
  <c r="AB90" i="27"/>
  <c r="U90" i="27"/>
  <c r="T90" i="27"/>
  <c r="AC90" i="27"/>
  <c r="Z90" i="27"/>
  <c r="X90" i="27"/>
  <c r="V90" i="27"/>
  <c r="W90" i="27"/>
  <c r="S90" i="27"/>
  <c r="T57" i="27"/>
  <c r="U57" i="27"/>
  <c r="X57" i="27"/>
  <c r="W57" i="27"/>
  <c r="AB57" i="27"/>
  <c r="V57" i="27"/>
  <c r="Z160" i="27"/>
  <c r="AC160" i="27"/>
  <c r="AB160" i="27"/>
  <c r="R160" i="27"/>
  <c r="S160" i="27"/>
  <c r="U160" i="27"/>
  <c r="Y160" i="27"/>
  <c r="X160" i="27"/>
  <c r="AA160" i="27"/>
  <c r="T160" i="27"/>
  <c r="Y149" i="27"/>
  <c r="AC149" i="27"/>
  <c r="X149" i="27"/>
  <c r="Z149" i="27"/>
  <c r="AB149" i="27"/>
  <c r="T149" i="27"/>
  <c r="AA149" i="27"/>
  <c r="U143" i="27"/>
  <c r="W143" i="27"/>
  <c r="Y143" i="27"/>
  <c r="R143" i="27"/>
  <c r="V143" i="27"/>
  <c r="AB143" i="27"/>
  <c r="AC143" i="27"/>
  <c r="AA143" i="27"/>
  <c r="X143" i="27"/>
  <c r="Z143" i="27"/>
  <c r="V39" i="27"/>
  <c r="AC39" i="27"/>
  <c r="AB39" i="27"/>
  <c r="U39" i="27"/>
  <c r="T39" i="27"/>
  <c r="W39" i="27"/>
  <c r="S39" i="27"/>
  <c r="Z39" i="27"/>
  <c r="Y39" i="27"/>
  <c r="X39" i="27"/>
  <c r="X156" i="27"/>
  <c r="T156" i="27"/>
  <c r="AC156" i="27"/>
  <c r="U156" i="27"/>
  <c r="AA156" i="27"/>
  <c r="Z156" i="27"/>
  <c r="V156" i="27"/>
  <c r="S156" i="27"/>
  <c r="Y156" i="27"/>
  <c r="AB156" i="27"/>
  <c r="W156" i="27"/>
  <c r="R156" i="27"/>
  <c r="T153" i="27"/>
  <c r="W153" i="27"/>
  <c r="V153" i="27"/>
  <c r="Z153" i="27"/>
  <c r="AC153" i="27"/>
  <c r="U153" i="27"/>
  <c r="S153" i="27"/>
  <c r="AB153" i="27"/>
  <c r="X153" i="27"/>
  <c r="AA153" i="27"/>
  <c r="R153" i="27"/>
  <c r="AC135" i="27"/>
  <c r="V135" i="27"/>
  <c r="W135" i="27"/>
  <c r="Z135" i="27"/>
  <c r="X135" i="27"/>
  <c r="Y135" i="27"/>
  <c r="U135" i="27"/>
  <c r="R135" i="27"/>
  <c r="AB135" i="27"/>
  <c r="S135" i="27"/>
  <c r="AA135" i="27"/>
  <c r="Z131" i="27"/>
  <c r="T131" i="27"/>
  <c r="R131" i="27"/>
  <c r="U131" i="27"/>
  <c r="AA131" i="27"/>
  <c r="AC131" i="27"/>
  <c r="V131" i="27"/>
  <c r="W131" i="27"/>
  <c r="AB131" i="27"/>
  <c r="Y131" i="27"/>
  <c r="X131" i="27"/>
  <c r="Z128" i="27"/>
  <c r="R128" i="27"/>
  <c r="X128" i="27"/>
  <c r="AA128" i="27"/>
  <c r="Y128" i="27"/>
  <c r="U128" i="27"/>
  <c r="AB128" i="27"/>
  <c r="S128" i="27"/>
  <c r="T128" i="27"/>
  <c r="W128" i="27"/>
  <c r="V108" i="27"/>
  <c r="X108" i="27"/>
  <c r="W108" i="27"/>
  <c r="Z108" i="27"/>
  <c r="S108" i="27"/>
  <c r="Y108" i="27"/>
  <c r="T108" i="27"/>
  <c r="U108" i="27"/>
  <c r="AC108" i="27"/>
  <c r="AB108" i="27"/>
  <c r="AB99" i="27"/>
  <c r="T99" i="27"/>
  <c r="AA99" i="27"/>
  <c r="S99" i="27"/>
  <c r="Y99" i="27"/>
  <c r="X99" i="27"/>
  <c r="W99" i="27"/>
  <c r="AC99" i="27"/>
  <c r="U99" i="27"/>
  <c r="R99" i="27"/>
  <c r="X92" i="27"/>
  <c r="W92" i="27"/>
  <c r="AA92" i="27"/>
  <c r="V92" i="27"/>
  <c r="AC92" i="27"/>
  <c r="AB92" i="27"/>
  <c r="U92" i="27"/>
  <c r="T92" i="27"/>
  <c r="AC83" i="27"/>
  <c r="R83" i="27"/>
  <c r="U83" i="27"/>
  <c r="AB83" i="27"/>
  <c r="T83" i="27"/>
  <c r="W83" i="27"/>
  <c r="V83" i="27"/>
  <c r="Y83" i="27"/>
  <c r="X83" i="27"/>
  <c r="V81" i="27"/>
  <c r="AC81" i="27"/>
  <c r="AA81" i="27"/>
  <c r="U81" i="27"/>
  <c r="AB81" i="27"/>
  <c r="W81" i="27"/>
  <c r="T81" i="27"/>
  <c r="R81" i="27"/>
  <c r="S81" i="27"/>
  <c r="X81" i="27"/>
  <c r="Z81" i="27"/>
  <c r="W73" i="27"/>
  <c r="R73" i="27"/>
  <c r="X73" i="27"/>
  <c r="S73" i="27"/>
  <c r="Y73" i="27"/>
  <c r="AA73" i="27"/>
  <c r="V73" i="27"/>
  <c r="AC73" i="27"/>
  <c r="Z73" i="27"/>
  <c r="R67" i="27"/>
  <c r="Y67" i="27"/>
  <c r="AA67" i="27"/>
  <c r="S67" i="27"/>
  <c r="T67" i="27"/>
  <c r="AC67" i="27"/>
  <c r="V67" i="27"/>
  <c r="U67" i="27"/>
  <c r="Z59" i="27"/>
  <c r="X59" i="27"/>
  <c r="W59" i="27"/>
  <c r="Y59" i="27"/>
  <c r="AA59" i="27"/>
  <c r="S59" i="27"/>
  <c r="AA54" i="27"/>
  <c r="X54" i="27"/>
  <c r="Z54" i="27"/>
  <c r="Y54" i="27"/>
  <c r="R54" i="27"/>
  <c r="AB54" i="27"/>
  <c r="AC54" i="27"/>
  <c r="T54" i="27"/>
  <c r="AB49" i="27"/>
  <c r="AA49" i="27"/>
  <c r="Z49" i="27"/>
  <c r="Y49" i="27"/>
  <c r="S49" i="27"/>
  <c r="R49" i="27"/>
  <c r="AC49" i="27"/>
  <c r="U49" i="27"/>
  <c r="U41" i="27"/>
  <c r="X41" i="27"/>
  <c r="W41" i="27"/>
  <c r="R37" i="27"/>
  <c r="AB37" i="27"/>
  <c r="S37" i="27"/>
  <c r="T37" i="27"/>
  <c r="X37" i="27"/>
  <c r="V37" i="27"/>
  <c r="U37" i="27"/>
  <c r="AC37" i="27"/>
  <c r="W37" i="27"/>
  <c r="AC34" i="27"/>
  <c r="T34" i="27"/>
  <c r="V34" i="27"/>
  <c r="U34" i="27"/>
  <c r="X34" i="27"/>
  <c r="R34" i="27"/>
  <c r="Y34" i="27"/>
  <c r="AA34" i="27"/>
  <c r="Z34" i="27"/>
  <c r="S34" i="27"/>
  <c r="W34" i="27"/>
  <c r="W28" i="27"/>
  <c r="S28" i="27"/>
  <c r="X28" i="27"/>
  <c r="AA28" i="27"/>
  <c r="R28" i="27"/>
  <c r="Z28" i="27"/>
  <c r="T28" i="27"/>
  <c r="AC28" i="27"/>
  <c r="X23" i="27"/>
  <c r="Z23" i="27"/>
  <c r="T23" i="27"/>
  <c r="Y23" i="27"/>
  <c r="AB23" i="27"/>
  <c r="S23" i="27"/>
  <c r="V23" i="27"/>
  <c r="V17" i="27"/>
  <c r="R17" i="27"/>
  <c r="W17" i="27"/>
  <c r="Z17" i="27"/>
  <c r="Y17" i="27"/>
  <c r="S17" i="27"/>
  <c r="S8" i="27"/>
  <c r="AA8" i="27"/>
  <c r="U8" i="27"/>
  <c r="AC8" i="27"/>
  <c r="T8" i="27"/>
  <c r="AB8" i="27"/>
  <c r="S64" i="27"/>
  <c r="W43" i="27"/>
  <c r="R32" i="27"/>
  <c r="U25" i="27"/>
  <c r="S19" i="27"/>
  <c r="Y13" i="27"/>
  <c r="Y153" i="27"/>
  <c r="R59" i="27"/>
  <c r="Z36" i="27"/>
  <c r="U20" i="27"/>
  <c r="X13" i="27"/>
  <c r="W101" i="27"/>
  <c r="T51" i="27"/>
  <c r="AA33" i="27"/>
  <c r="V26" i="27"/>
  <c r="Y19" i="27"/>
  <c r="AB12" i="27"/>
  <c r="V63" i="27"/>
  <c r="V29" i="27"/>
  <c r="AB15" i="27"/>
  <c r="X55" i="27"/>
  <c r="V24" i="27"/>
  <c r="Z67" i="27"/>
  <c r="R23" i="27"/>
  <c r="U62" i="27"/>
  <c r="S21" i="27"/>
  <c r="AC41" i="27"/>
  <c r="W63" i="27"/>
  <c r="V43" i="27"/>
  <c r="S157" i="27"/>
  <c r="W67" i="27"/>
  <c r="X35" i="27"/>
  <c r="R57" i="27"/>
  <c r="X89" i="27"/>
  <c r="Z46" i="27"/>
  <c r="T68" i="27"/>
  <c r="R76" i="27"/>
  <c r="Y97" i="27"/>
  <c r="V99" i="27"/>
  <c r="AB147" i="27"/>
  <c r="T89" i="27"/>
  <c r="Y121" i="27"/>
  <c r="U100" i="27"/>
  <c r="U101" i="27"/>
  <c r="V86" i="27"/>
  <c r="Y126" i="27"/>
  <c r="W147" i="27"/>
  <c r="U149" i="27"/>
  <c r="AB111" i="27"/>
  <c r="T111" i="27"/>
  <c r="X111" i="27"/>
  <c r="Y111" i="27"/>
  <c r="W111" i="27"/>
  <c r="V111" i="27"/>
  <c r="U111" i="27"/>
  <c r="R111" i="27"/>
  <c r="AA111" i="27"/>
  <c r="Z111" i="27"/>
  <c r="U52" i="27"/>
  <c r="X52" i="27"/>
  <c r="AC52" i="27"/>
  <c r="Y52" i="27"/>
  <c r="W52" i="27"/>
  <c r="AA52" i="27"/>
  <c r="Z52" i="27"/>
  <c r="T105" i="27"/>
  <c r="R145" i="27"/>
  <c r="S145" i="27"/>
  <c r="V145" i="27"/>
  <c r="AB145" i="27"/>
  <c r="AC145" i="27"/>
  <c r="AA145" i="27"/>
  <c r="U145" i="27"/>
  <c r="W145" i="27"/>
  <c r="Z145" i="27"/>
  <c r="T137" i="27"/>
  <c r="Z137" i="27"/>
  <c r="AC137" i="27"/>
  <c r="AA137" i="27"/>
  <c r="U137" i="27"/>
  <c r="R137" i="27"/>
  <c r="AB137" i="27"/>
  <c r="Y137" i="27"/>
  <c r="S137" i="27"/>
  <c r="V137" i="27"/>
  <c r="W137" i="27"/>
  <c r="X137" i="27"/>
  <c r="T93" i="27"/>
  <c r="S158" i="27"/>
  <c r="AB158" i="27"/>
  <c r="W158" i="27"/>
  <c r="V158" i="27"/>
  <c r="Y158" i="27"/>
  <c r="T158" i="27"/>
  <c r="AC158" i="27"/>
  <c r="AA158" i="27"/>
  <c r="R158" i="27"/>
  <c r="U158" i="27"/>
  <c r="Z158" i="27"/>
  <c r="X158" i="27"/>
  <c r="AA104" i="27"/>
  <c r="AB104" i="27"/>
  <c r="S104" i="27"/>
  <c r="Z104" i="27"/>
  <c r="R104" i="27"/>
  <c r="W104" i="27"/>
  <c r="Y104" i="27"/>
  <c r="AC104" i="27"/>
  <c r="X104" i="27"/>
  <c r="U104" i="27"/>
  <c r="U75" i="27"/>
  <c r="W75" i="27"/>
  <c r="AB75" i="27"/>
  <c r="AA75" i="27"/>
  <c r="Y75" i="27"/>
  <c r="X75" i="27"/>
  <c r="T75" i="27"/>
  <c r="S75" i="27"/>
  <c r="Z75" i="27"/>
  <c r="R75" i="27"/>
  <c r="W44" i="27"/>
  <c r="AA44" i="27"/>
  <c r="AB44" i="27"/>
  <c r="S44" i="27"/>
  <c r="U44" i="27"/>
  <c r="T44" i="27"/>
  <c r="V44" i="27"/>
  <c r="X44" i="27"/>
  <c r="Z44" i="27"/>
  <c r="AB162" i="27"/>
  <c r="AC162" i="27"/>
  <c r="W162" i="27"/>
  <c r="T162" i="27"/>
  <c r="X162" i="27"/>
  <c r="U162" i="27"/>
  <c r="Y162" i="27"/>
  <c r="V162" i="27"/>
  <c r="AA162" i="27"/>
  <c r="Z162" i="27"/>
  <c r="S139" i="27"/>
  <c r="W139" i="27"/>
  <c r="AB139" i="27"/>
  <c r="R139" i="27"/>
  <c r="U139" i="27"/>
  <c r="AA139" i="27"/>
  <c r="V139" i="27"/>
  <c r="AC139" i="27"/>
  <c r="Y139" i="27"/>
  <c r="X139" i="27"/>
  <c r="T134" i="27"/>
  <c r="AA134" i="27"/>
  <c r="V134" i="27"/>
  <c r="X134" i="27"/>
  <c r="W134" i="27"/>
  <c r="AB134" i="27"/>
  <c r="S134" i="27"/>
  <c r="AC134" i="27"/>
  <c r="R134" i="27"/>
  <c r="W127" i="27"/>
  <c r="T127" i="27"/>
  <c r="AC127" i="27"/>
  <c r="R127" i="27"/>
  <c r="V127" i="27"/>
  <c r="S127" i="27"/>
  <c r="X127" i="27"/>
  <c r="Z127" i="27"/>
  <c r="AB127" i="27"/>
  <c r="Y127" i="27"/>
  <c r="AA127" i="27"/>
  <c r="AA107" i="27"/>
  <c r="U107" i="27"/>
  <c r="T107" i="27"/>
  <c r="X107" i="27"/>
  <c r="S107" i="27"/>
  <c r="Z107" i="27"/>
  <c r="W107" i="27"/>
  <c r="V107" i="27"/>
  <c r="R107" i="27"/>
  <c r="AC107" i="27"/>
  <c r="Y107" i="27"/>
  <c r="AB102" i="27"/>
  <c r="AC102" i="27"/>
  <c r="R102" i="27"/>
  <c r="W102" i="27"/>
  <c r="U102" i="27"/>
  <c r="X102" i="27"/>
  <c r="Z102" i="27"/>
  <c r="Y102" i="27"/>
  <c r="T102" i="27"/>
  <c r="AA102" i="27"/>
  <c r="AC98" i="27"/>
  <c r="S98" i="27"/>
  <c r="X98" i="27"/>
  <c r="W98" i="27"/>
  <c r="V98" i="27"/>
  <c r="T98" i="27"/>
  <c r="AB98" i="27"/>
  <c r="AA98" i="27"/>
  <c r="Z98" i="27"/>
  <c r="Y98" i="27"/>
  <c r="R98" i="27"/>
  <c r="AC94" i="27"/>
  <c r="V94" i="27"/>
  <c r="X94" i="27"/>
  <c r="U94" i="27"/>
  <c r="U91" i="27"/>
  <c r="T91" i="27"/>
  <c r="AB91" i="27"/>
  <c r="W91" i="27"/>
  <c r="AA91" i="27"/>
  <c r="AC91" i="27"/>
  <c r="S91" i="27"/>
  <c r="Z91" i="27"/>
  <c r="Y91" i="27"/>
  <c r="V91" i="27"/>
  <c r="R91" i="27"/>
  <c r="AB80" i="27"/>
  <c r="S80" i="27"/>
  <c r="V80" i="27"/>
  <c r="Z80" i="27"/>
  <c r="AC80" i="27"/>
  <c r="T80" i="27"/>
  <c r="AA80" i="27"/>
  <c r="R80" i="27"/>
  <c r="Y80" i="27"/>
  <c r="R78" i="27"/>
  <c r="V78" i="27"/>
  <c r="Z78" i="27"/>
  <c r="X78" i="27"/>
  <c r="Y78" i="27"/>
  <c r="Y64" i="27"/>
  <c r="U64" i="27"/>
  <c r="T64" i="27"/>
  <c r="AA64" i="27"/>
  <c r="V64" i="27"/>
  <c r="X64" i="27"/>
  <c r="W64" i="27"/>
  <c r="Z64" i="27"/>
  <c r="AB53" i="27"/>
  <c r="S53" i="27"/>
  <c r="T53" i="27"/>
  <c r="Z53" i="27"/>
  <c r="AC53" i="27"/>
  <c r="V53" i="27"/>
  <c r="U53" i="27"/>
  <c r="X53" i="27"/>
  <c r="W53" i="27"/>
  <c r="U48" i="27"/>
  <c r="T48" i="27"/>
  <c r="Y48" i="27"/>
  <c r="V48" i="27"/>
  <c r="X48" i="27"/>
  <c r="W48" i="27"/>
  <c r="S48" i="27"/>
  <c r="Z48" i="27"/>
  <c r="T27" i="27"/>
  <c r="AB27" i="27"/>
  <c r="U27" i="27"/>
  <c r="X27" i="27"/>
  <c r="AC27" i="27"/>
  <c r="W27" i="27"/>
  <c r="S16" i="27"/>
  <c r="AA16" i="27"/>
  <c r="AB16" i="27"/>
  <c r="V16" i="27"/>
  <c r="U16" i="27"/>
  <c r="U14" i="27"/>
  <c r="AC14" i="27"/>
  <c r="X14" i="27"/>
  <c r="Z14" i="27"/>
  <c r="W14" i="27"/>
  <c r="Y14" i="27"/>
  <c r="V14" i="27"/>
  <c r="U155" i="27"/>
  <c r="Z61" i="27"/>
  <c r="AB41" i="27"/>
  <c r="AB30" i="27"/>
  <c r="Z24" i="27"/>
  <c r="X18" i="27"/>
  <c r="V12" i="27"/>
  <c r="U127" i="27"/>
  <c r="Y56" i="27"/>
  <c r="AB33" i="27"/>
  <c r="R27" i="27"/>
  <c r="Z19" i="27"/>
  <c r="U12" i="27"/>
  <c r="AA90" i="27"/>
  <c r="AA48" i="27"/>
  <c r="X32" i="27"/>
  <c r="AA25" i="27"/>
  <c r="V18" i="27"/>
  <c r="Y11" i="27"/>
  <c r="AC60" i="27"/>
  <c r="AC26" i="27"/>
  <c r="V13" i="27"/>
  <c r="R53" i="27"/>
  <c r="AA23" i="27"/>
  <c r="T65" i="27"/>
  <c r="W22" i="27"/>
  <c r="AB59" i="27"/>
  <c r="X20" i="27"/>
  <c r="X42" i="27"/>
  <c r="R64" i="27"/>
  <c r="AA140" i="27"/>
  <c r="V54" i="27"/>
  <c r="S82" i="27"/>
  <c r="Y44" i="27"/>
  <c r="X65" i="27"/>
  <c r="X46" i="27"/>
  <c r="R68" i="27"/>
  <c r="S36" i="27"/>
  <c r="Z57" i="27"/>
  <c r="W94" i="27"/>
  <c r="U47" i="27"/>
  <c r="AB68" i="27"/>
  <c r="Z76" i="27"/>
  <c r="U98" i="27"/>
  <c r="U147" i="27"/>
  <c r="S100" i="27"/>
  <c r="V149" i="27"/>
  <c r="AB89" i="27"/>
  <c r="U123" i="27"/>
  <c r="AB78" i="27"/>
  <c r="T101" i="27"/>
  <c r="AA72" i="27"/>
  <c r="S103" i="27"/>
  <c r="T88" i="27"/>
  <c r="R129" i="27"/>
  <c r="S149" i="27"/>
  <c r="W157" i="27"/>
  <c r="W7" i="27"/>
  <c r="V7" i="27"/>
  <c r="AC7" i="27"/>
  <c r="U7" i="27"/>
  <c r="AB7" i="27"/>
  <c r="T7" i="27"/>
  <c r="AA7" i="27"/>
  <c r="S7" i="27"/>
  <c r="Z7" i="27"/>
  <c r="R7" i="27"/>
  <c r="Y7" i="27"/>
  <c r="X7" i="27"/>
  <c r="D48" i="32"/>
  <c r="C7" i="23"/>
  <c r="AC704" i="23"/>
  <c r="AC705" i="23"/>
  <c r="AC706" i="23"/>
  <c r="AC707" i="23"/>
  <c r="AC708" i="23"/>
  <c r="AC709" i="23"/>
  <c r="AC710" i="23"/>
  <c r="AC711" i="23"/>
  <c r="AC712" i="23"/>
  <c r="AC713" i="23"/>
  <c r="AC714" i="23"/>
  <c r="AC715" i="23"/>
  <c r="AC716" i="23"/>
  <c r="AC717" i="23"/>
  <c r="AC718" i="23"/>
  <c r="AC719" i="23"/>
  <c r="AC720" i="23"/>
  <c r="AC721" i="23"/>
  <c r="AC722" i="23"/>
  <c r="AC723" i="23"/>
  <c r="AC724" i="23"/>
  <c r="AC725" i="23"/>
  <c r="AC726" i="23"/>
  <c r="AC727" i="23"/>
  <c r="AC728" i="23"/>
  <c r="AC729" i="23"/>
  <c r="AC730" i="23"/>
  <c r="AC731" i="23"/>
  <c r="AC732" i="23"/>
  <c r="AC733" i="23"/>
  <c r="AC734" i="23"/>
  <c r="AC735" i="23"/>
  <c r="AC736" i="23"/>
  <c r="AC737" i="23"/>
  <c r="AC738" i="23"/>
  <c r="AC739" i="23"/>
  <c r="AC740" i="23"/>
  <c r="AC741" i="23"/>
  <c r="AC742" i="23"/>
  <c r="AC743" i="23"/>
  <c r="AC744" i="23"/>
  <c r="AC745" i="23"/>
  <c r="AC746" i="23"/>
  <c r="AC747" i="23"/>
  <c r="AC748" i="23"/>
  <c r="AC749" i="23"/>
  <c r="AC750" i="23"/>
  <c r="AC751" i="23"/>
  <c r="AC752" i="23"/>
  <c r="AC753" i="23"/>
  <c r="AC754" i="23"/>
  <c r="AC755" i="23"/>
  <c r="AC756" i="23"/>
  <c r="AC757" i="23"/>
  <c r="AC758" i="23"/>
  <c r="AC759" i="23"/>
  <c r="AC760" i="23"/>
  <c r="AC761" i="23"/>
  <c r="AC762" i="23"/>
  <c r="AC763" i="23"/>
  <c r="AC764" i="23"/>
  <c r="AC765" i="23"/>
  <c r="AC766" i="23"/>
  <c r="AC767" i="23"/>
  <c r="AC768" i="23"/>
  <c r="AC769" i="23"/>
  <c r="AC770" i="23"/>
  <c r="AC771" i="23"/>
  <c r="AC772" i="23"/>
  <c r="AC773" i="23"/>
  <c r="AC774" i="23"/>
  <c r="AC775" i="23"/>
  <c r="AC776" i="23"/>
  <c r="AC777" i="23"/>
  <c r="AC778" i="23"/>
  <c r="AC779" i="23"/>
  <c r="AC780" i="23"/>
  <c r="AC781" i="23"/>
  <c r="AC782" i="23"/>
  <c r="AC783" i="23"/>
  <c r="AC784" i="23"/>
  <c r="AC785" i="23"/>
  <c r="AC786" i="23"/>
  <c r="AC787" i="23"/>
  <c r="AC788" i="23"/>
  <c r="AC789" i="23"/>
  <c r="AC790" i="23"/>
  <c r="AC791" i="23"/>
  <c r="AC792" i="23"/>
  <c r="AC793" i="23"/>
  <c r="AC794" i="23"/>
  <c r="AC795" i="23"/>
  <c r="AC796" i="23"/>
  <c r="AC797" i="23"/>
  <c r="AC798" i="23"/>
  <c r="AC799" i="23"/>
  <c r="AC800" i="23"/>
  <c r="AC801" i="23"/>
  <c r="AC802" i="23"/>
  <c r="AC803" i="23"/>
  <c r="AC804" i="23"/>
  <c r="AC805" i="23"/>
  <c r="AC806" i="23"/>
  <c r="AC807" i="23"/>
  <c r="AC808" i="23"/>
  <c r="AC809" i="23"/>
  <c r="AC810" i="23"/>
  <c r="AC811" i="23"/>
  <c r="AC812" i="23"/>
  <c r="AC813" i="23"/>
  <c r="AC814" i="23"/>
  <c r="AC815" i="23"/>
  <c r="AC816" i="23"/>
  <c r="AC817" i="23"/>
  <c r="AC818" i="23"/>
  <c r="AC819" i="23"/>
  <c r="AC820" i="23"/>
  <c r="AC821" i="23"/>
  <c r="AC822" i="23"/>
  <c r="AC823" i="23"/>
  <c r="AC824" i="23"/>
  <c r="AC825" i="23"/>
  <c r="AC826" i="23"/>
  <c r="AC827" i="23"/>
  <c r="AC828" i="23"/>
  <c r="AC829" i="23"/>
  <c r="AC830" i="23"/>
  <c r="AC831" i="23"/>
  <c r="AC832" i="23"/>
  <c r="AC833" i="23"/>
  <c r="AC834" i="23"/>
  <c r="AC835" i="23"/>
  <c r="AC836" i="23"/>
  <c r="AC837" i="23"/>
  <c r="AC838" i="23"/>
  <c r="AC839" i="23"/>
  <c r="AC840" i="23"/>
  <c r="AC841" i="23"/>
  <c r="AC842" i="23"/>
  <c r="AC843" i="23"/>
  <c r="AC844" i="23"/>
  <c r="AC845" i="23"/>
  <c r="AC846" i="23"/>
  <c r="AC847" i="23"/>
  <c r="AC848" i="23"/>
  <c r="AC849" i="23"/>
  <c r="AC850" i="23"/>
  <c r="AC851" i="23"/>
  <c r="AC852" i="23"/>
  <c r="AC853" i="23"/>
  <c r="AC854" i="23"/>
  <c r="AC855" i="23"/>
  <c r="AC856" i="23"/>
  <c r="AC857" i="23"/>
  <c r="AC858" i="23"/>
  <c r="AC859" i="23"/>
  <c r="AC860" i="23"/>
  <c r="AC861" i="23"/>
  <c r="AC862" i="23"/>
  <c r="AC863" i="23"/>
  <c r="AC864" i="23"/>
  <c r="AC865" i="23"/>
  <c r="AC866" i="23"/>
  <c r="AC867" i="23"/>
  <c r="AC868" i="23"/>
  <c r="AC869" i="23"/>
  <c r="AC870" i="23"/>
  <c r="AC871" i="23"/>
  <c r="AC872" i="23"/>
  <c r="AC873" i="23"/>
  <c r="AC874" i="23"/>
  <c r="AC875" i="23"/>
  <c r="AC876" i="23"/>
  <c r="AC877" i="23"/>
  <c r="AC878" i="23"/>
  <c r="AC879" i="23"/>
  <c r="AC880" i="23"/>
  <c r="AC881" i="23"/>
  <c r="AC882" i="23"/>
  <c r="AC883" i="23"/>
  <c r="AC884" i="23"/>
  <c r="AC885" i="23"/>
  <c r="AC886" i="23"/>
  <c r="AC887" i="23"/>
  <c r="AC888" i="23"/>
  <c r="AC889" i="23"/>
  <c r="AC890" i="23"/>
  <c r="AC891" i="23"/>
  <c r="AC892" i="23"/>
  <c r="AC893" i="23"/>
  <c r="AC894" i="23"/>
  <c r="AC895" i="23"/>
  <c r="AC896" i="23"/>
  <c r="AC897" i="23"/>
  <c r="AC898" i="23"/>
  <c r="AC899" i="23"/>
  <c r="AC900" i="23"/>
  <c r="AC901" i="23"/>
  <c r="AC902" i="23"/>
  <c r="AC903" i="23"/>
  <c r="AC904" i="23"/>
  <c r="AC905" i="23"/>
  <c r="AC906" i="23"/>
  <c r="AC907" i="23"/>
  <c r="AC908" i="23"/>
  <c r="AC909" i="23"/>
  <c r="AC910" i="23"/>
  <c r="AC911" i="23"/>
  <c r="AC912" i="23"/>
  <c r="AC913" i="23"/>
  <c r="AC914" i="23"/>
  <c r="AC915" i="23"/>
  <c r="AC916" i="23"/>
  <c r="AC917" i="23"/>
  <c r="AC918" i="23"/>
  <c r="AC919" i="23"/>
  <c r="AC920" i="23"/>
  <c r="AC921" i="23"/>
  <c r="AC922" i="23"/>
  <c r="AC923" i="23"/>
  <c r="AC924" i="23"/>
  <c r="AC925" i="23"/>
  <c r="AC926" i="23"/>
  <c r="AC927" i="23"/>
  <c r="AC928" i="23"/>
  <c r="AC929" i="23"/>
  <c r="AC930" i="23"/>
  <c r="AC931" i="23"/>
  <c r="AC932" i="23"/>
  <c r="AC933" i="23"/>
  <c r="AC934" i="23"/>
  <c r="AC935" i="23"/>
  <c r="AC936" i="23"/>
  <c r="AC937" i="23"/>
  <c r="AC938" i="23"/>
  <c r="AC939" i="23"/>
  <c r="AC940" i="23"/>
  <c r="AC941" i="23"/>
  <c r="AC942" i="23"/>
  <c r="AC943" i="23"/>
  <c r="AC944" i="23"/>
  <c r="AC945" i="23"/>
  <c r="AC946" i="23"/>
  <c r="AC947" i="23"/>
  <c r="AC948" i="23"/>
  <c r="AC949" i="23"/>
  <c r="AC950" i="23"/>
  <c r="AC951" i="23"/>
  <c r="AC952" i="23"/>
  <c r="AC953" i="23"/>
  <c r="AC954" i="23"/>
  <c r="AC955" i="23"/>
  <c r="AC956" i="23"/>
  <c r="AC957" i="23"/>
  <c r="AC958" i="23"/>
  <c r="AC959" i="23"/>
  <c r="AC960" i="23"/>
  <c r="AC961" i="23"/>
  <c r="AC962" i="23"/>
  <c r="AC963" i="23"/>
  <c r="AC964" i="23"/>
  <c r="AC965" i="23"/>
  <c r="AC966" i="23"/>
  <c r="AC967" i="23"/>
  <c r="AC968" i="23"/>
  <c r="AC969" i="23"/>
  <c r="AC970" i="23"/>
  <c r="AC971" i="23"/>
  <c r="AC972" i="23"/>
  <c r="AC973" i="23"/>
  <c r="AC974" i="23"/>
  <c r="AC975" i="23"/>
  <c r="AC976" i="23"/>
  <c r="AC977" i="23"/>
  <c r="AC978" i="23"/>
  <c r="AC979" i="23"/>
  <c r="AC980" i="23"/>
  <c r="AC981" i="23"/>
  <c r="AC982" i="23"/>
  <c r="AC983" i="23"/>
  <c r="AC984" i="23"/>
  <c r="AC985" i="23"/>
  <c r="AC986" i="23"/>
  <c r="AC987" i="23"/>
  <c r="AC988" i="23"/>
  <c r="AC989" i="23"/>
  <c r="AC990" i="23"/>
  <c r="AC991" i="23"/>
  <c r="AC992" i="23"/>
  <c r="AC993" i="23"/>
  <c r="AC994" i="23"/>
  <c r="AC995" i="23"/>
  <c r="AC996" i="23"/>
  <c r="AC997" i="23"/>
  <c r="AC998" i="23"/>
  <c r="AC999" i="23"/>
  <c r="AC1000" i="23"/>
  <c r="AC1001" i="23"/>
  <c r="AC1002" i="23"/>
  <c r="AC1003" i="23"/>
  <c r="AC1004" i="23"/>
  <c r="AC1005" i="23"/>
  <c r="AC1006" i="23"/>
  <c r="AC1007" i="23"/>
  <c r="AC1008" i="23"/>
  <c r="AC1009" i="23"/>
  <c r="AC1010" i="23"/>
  <c r="AC1011" i="23"/>
  <c r="AC1012" i="23"/>
  <c r="AC1013" i="23"/>
  <c r="AC1014" i="23"/>
  <c r="AC1015" i="23"/>
  <c r="AC1016" i="23"/>
  <c r="AC1017" i="23"/>
  <c r="AC1018" i="23"/>
  <c r="AC1019" i="23"/>
  <c r="AC1020" i="23"/>
  <c r="AC1021" i="23"/>
  <c r="AC1022" i="23"/>
  <c r="AC1023" i="23"/>
  <c r="AC1024" i="23"/>
  <c r="AC1025" i="23"/>
  <c r="AC1026" i="23"/>
  <c r="AC1027" i="23"/>
  <c r="AC1028" i="23"/>
  <c r="AC1029" i="23"/>
  <c r="AC1030" i="23"/>
  <c r="AC1031" i="23"/>
  <c r="AC1032" i="23"/>
  <c r="AC1033" i="23"/>
  <c r="AC1034" i="23"/>
  <c r="AC1035" i="23"/>
  <c r="AC1036" i="23"/>
  <c r="AC1037" i="23"/>
  <c r="AC1038" i="23"/>
  <c r="AC1039" i="23"/>
  <c r="AC1040" i="23"/>
  <c r="AC1041" i="23"/>
  <c r="AC1042" i="23"/>
  <c r="AC1043" i="23"/>
  <c r="AC1044" i="23"/>
  <c r="AC1045" i="23"/>
  <c r="AC1046" i="23"/>
  <c r="AC1047" i="23"/>
  <c r="AC1048" i="23"/>
  <c r="AC1049" i="23"/>
  <c r="AC1050" i="23"/>
  <c r="AC1051" i="23"/>
  <c r="AC1052" i="23"/>
  <c r="AC1053" i="23"/>
  <c r="AC1054" i="23"/>
  <c r="AC1055" i="23"/>
  <c r="AC1056" i="23"/>
  <c r="AC1057" i="23"/>
  <c r="AC1058" i="23"/>
  <c r="AC1059" i="23"/>
  <c r="AC1060" i="23"/>
  <c r="AC1061" i="23"/>
  <c r="AC1062" i="23"/>
  <c r="AC1063" i="23"/>
  <c r="AC1064" i="23"/>
  <c r="AC1065" i="23"/>
  <c r="AC1066" i="23"/>
  <c r="AC1067" i="23"/>
  <c r="AC1068" i="23"/>
  <c r="AC1069" i="23"/>
  <c r="AC1070" i="23"/>
  <c r="AC1071" i="23"/>
  <c r="AC1072" i="23"/>
  <c r="AC1073" i="23"/>
  <c r="AC1074" i="23"/>
  <c r="AC1075" i="23"/>
  <c r="AC1076" i="23"/>
  <c r="AC1077" i="23"/>
  <c r="AC1078" i="23"/>
  <c r="AC1079" i="23"/>
  <c r="AC1080" i="23"/>
  <c r="AC1081" i="23"/>
  <c r="AC1082" i="23"/>
  <c r="AC1083" i="23"/>
  <c r="AC1084" i="23"/>
  <c r="AC1085" i="23"/>
  <c r="AC1086" i="23"/>
  <c r="AC1087" i="23"/>
  <c r="AC1088" i="23"/>
  <c r="AC1089" i="23"/>
  <c r="AC1090" i="23"/>
  <c r="AC1091" i="23"/>
  <c r="AC1092" i="23"/>
  <c r="AC1093" i="23"/>
  <c r="AC1094" i="23"/>
  <c r="AC1095" i="23"/>
  <c r="AC1096" i="23"/>
  <c r="AC1097" i="23"/>
  <c r="AC1098" i="23"/>
  <c r="AC1099" i="23"/>
  <c r="AC1100" i="23"/>
  <c r="AC1101" i="23"/>
  <c r="AC1102" i="23"/>
  <c r="AC1103" i="23"/>
  <c r="AC1104" i="23"/>
  <c r="AC1105" i="23"/>
  <c r="AC1106" i="23"/>
  <c r="AC1107" i="23"/>
  <c r="AC1108" i="23"/>
  <c r="AC1109" i="23"/>
  <c r="AC1110" i="23"/>
  <c r="AC1111" i="23"/>
  <c r="AC1112" i="23"/>
  <c r="AC1113" i="23"/>
  <c r="AC1114" i="23"/>
  <c r="AC1115" i="23"/>
  <c r="AC1116" i="23"/>
  <c r="AC1117" i="23"/>
  <c r="AC1118" i="23"/>
  <c r="AC1119" i="23"/>
  <c r="AC1120" i="23"/>
  <c r="AC1121" i="23"/>
  <c r="AC1122" i="23"/>
  <c r="AC1123" i="23"/>
  <c r="AC1124" i="23"/>
  <c r="AC1125" i="23"/>
  <c r="AC1126" i="23"/>
  <c r="AC1127" i="23"/>
  <c r="AC1128" i="23"/>
  <c r="AC1129" i="23"/>
  <c r="AC1130" i="23"/>
  <c r="AC1131" i="23"/>
  <c r="AC1132" i="23"/>
  <c r="AC1133" i="23"/>
  <c r="AC1134" i="23"/>
  <c r="AC1135" i="23"/>
  <c r="AC1136" i="23"/>
  <c r="AC1137" i="23"/>
  <c r="AC1138" i="23"/>
  <c r="AC1139" i="23"/>
  <c r="AC1140" i="23"/>
  <c r="AC1141" i="23"/>
  <c r="AC1142" i="23"/>
  <c r="AC1143" i="23"/>
  <c r="AC1144" i="23"/>
  <c r="AC1145" i="23"/>
  <c r="AC1146" i="23"/>
  <c r="AC1147" i="23"/>
  <c r="AC1148" i="23"/>
  <c r="AC1149" i="23"/>
  <c r="AC1150" i="23"/>
  <c r="AC1151" i="23"/>
  <c r="AC1152" i="23"/>
  <c r="AC1153" i="23"/>
  <c r="AC1154" i="23"/>
  <c r="AC1155" i="23"/>
  <c r="AC1156" i="23"/>
  <c r="AC1157" i="23"/>
  <c r="AC1158" i="23"/>
  <c r="AC1159" i="23"/>
  <c r="AC1160" i="23"/>
  <c r="AC1161" i="23"/>
  <c r="AC1162" i="23"/>
  <c r="AC1163" i="23"/>
  <c r="AC1164" i="23"/>
  <c r="AC1165" i="23"/>
  <c r="AC1166" i="23"/>
  <c r="AC1167" i="23"/>
  <c r="AC1168" i="23"/>
  <c r="AC1169" i="23"/>
  <c r="AC1170" i="23"/>
  <c r="AC1171" i="23"/>
  <c r="AC1172" i="23"/>
  <c r="AC1173" i="23"/>
  <c r="AC1174" i="23"/>
  <c r="AC1175" i="23"/>
  <c r="AC1176" i="23"/>
  <c r="AC1177" i="23"/>
  <c r="AC1178" i="23"/>
  <c r="AC1179" i="23"/>
  <c r="AC1180" i="23"/>
  <c r="AC1181" i="23"/>
  <c r="AC1182" i="23"/>
  <c r="AC1183" i="23"/>
  <c r="AC1184" i="23"/>
  <c r="AC1185" i="23"/>
  <c r="AC1186" i="23"/>
  <c r="AC1187" i="23"/>
  <c r="AC1188" i="23"/>
  <c r="AC1189" i="23"/>
  <c r="AC1190" i="23"/>
  <c r="AC1191" i="23"/>
  <c r="AC1192" i="23"/>
  <c r="AC1193" i="23"/>
  <c r="AC1194" i="23"/>
  <c r="AC1195" i="23"/>
  <c r="AC1196" i="23"/>
  <c r="AC1197" i="23"/>
  <c r="AC1198" i="23"/>
  <c r="AC1199" i="23"/>
  <c r="AC1200" i="23"/>
  <c r="AC1201" i="23"/>
  <c r="AC1202" i="23"/>
  <c r="AC1203" i="23"/>
  <c r="AC1204" i="23"/>
  <c r="AC1205" i="23"/>
  <c r="AC1206" i="23"/>
  <c r="AC1207" i="23"/>
  <c r="AC1208" i="23"/>
  <c r="AC1209" i="23"/>
  <c r="AC1210" i="23"/>
  <c r="AC1211" i="23"/>
  <c r="AC1212" i="23"/>
  <c r="AC1213" i="23"/>
  <c r="AC1214" i="23"/>
  <c r="AC1215" i="23"/>
  <c r="AC1216" i="23"/>
  <c r="AC1217" i="23"/>
  <c r="AC1218" i="23"/>
  <c r="AC1219" i="23"/>
  <c r="AC1220" i="23"/>
  <c r="AC1221" i="23"/>
  <c r="AC1222" i="23"/>
  <c r="AC1223" i="23"/>
  <c r="AC1224" i="23"/>
  <c r="AC1225" i="23"/>
  <c r="AC1226" i="23"/>
  <c r="AC1227" i="23"/>
  <c r="AC1228" i="23"/>
  <c r="AC1229" i="23"/>
  <c r="AC1230" i="23"/>
  <c r="AC1231" i="23"/>
  <c r="AC1232" i="23"/>
  <c r="AC1233" i="23"/>
  <c r="AC1234" i="23"/>
  <c r="AC1235" i="23"/>
  <c r="AC1236" i="23"/>
  <c r="AC1237" i="23"/>
  <c r="AC1238" i="23"/>
  <c r="AC1239" i="23"/>
  <c r="AC1240" i="23"/>
  <c r="AC1241" i="23"/>
  <c r="AC1242" i="23"/>
  <c r="AC1243" i="23"/>
  <c r="AC1244" i="23"/>
  <c r="AC1245" i="23"/>
  <c r="AC1246" i="23"/>
  <c r="AC1247" i="23"/>
  <c r="AC1248" i="23"/>
  <c r="AC1249" i="23"/>
  <c r="AC1250" i="23"/>
  <c r="AC1251" i="23"/>
  <c r="AC1252" i="23"/>
  <c r="AC1253" i="23"/>
  <c r="AC1254" i="23"/>
  <c r="AC1255" i="23"/>
  <c r="AC1256" i="23"/>
  <c r="AC1257" i="23"/>
  <c r="AC1258" i="23"/>
  <c r="AC1259" i="23"/>
  <c r="AC1260" i="23"/>
  <c r="AC1261" i="23"/>
  <c r="AC1262" i="23"/>
  <c r="AC1263" i="23"/>
  <c r="AC1264" i="23"/>
  <c r="AC1265" i="23"/>
  <c r="AC1266" i="23"/>
  <c r="AC1267" i="23"/>
  <c r="AC1268" i="23"/>
  <c r="AC1269" i="23"/>
  <c r="AC1270" i="23"/>
  <c r="AC1271" i="23"/>
  <c r="AC1272" i="23"/>
  <c r="AC1273" i="23"/>
  <c r="AC1274" i="23"/>
  <c r="AC1275" i="23"/>
  <c r="AC1276" i="23"/>
  <c r="AC1277" i="23"/>
  <c r="AC1278" i="23"/>
  <c r="AC1279" i="23"/>
  <c r="AC1280" i="23"/>
  <c r="AC1281" i="23"/>
  <c r="AC1282" i="23"/>
  <c r="AC1283" i="23"/>
  <c r="AC1284" i="23"/>
  <c r="AC1285" i="23"/>
  <c r="AC1286" i="23"/>
  <c r="AC1287" i="23"/>
  <c r="AC1288" i="23"/>
  <c r="AC1289" i="23"/>
  <c r="AC1290" i="23"/>
  <c r="AC1291" i="23"/>
  <c r="AC1292" i="23"/>
  <c r="AC1293" i="23"/>
  <c r="AC1294" i="23"/>
  <c r="AC1295" i="23"/>
  <c r="AC1296" i="23"/>
  <c r="AC1297" i="23"/>
  <c r="AC1298" i="23"/>
  <c r="AC1299" i="23"/>
  <c r="AC1300" i="23"/>
  <c r="AC1301" i="23"/>
  <c r="AC1302" i="23"/>
  <c r="AC1303" i="23"/>
  <c r="AC1304" i="23"/>
  <c r="AC1305" i="23"/>
  <c r="AC1306" i="23"/>
  <c r="AC1307" i="23"/>
  <c r="AC1308" i="23"/>
  <c r="AC1309" i="23"/>
  <c r="AC1310" i="23"/>
  <c r="AC1311" i="23"/>
  <c r="AC1312" i="23"/>
  <c r="AC1313" i="23"/>
  <c r="AC1314" i="23"/>
  <c r="AC1315" i="23"/>
  <c r="AC1316" i="23"/>
  <c r="AC1317" i="23"/>
  <c r="AC1318" i="23"/>
  <c r="AC1319" i="23"/>
  <c r="AC1320" i="23"/>
  <c r="AC1321" i="23"/>
  <c r="AC1322" i="23"/>
  <c r="AC1323" i="23"/>
  <c r="AC1324" i="23"/>
  <c r="AC1325" i="23"/>
  <c r="AC1326" i="23"/>
  <c r="AC1327" i="23"/>
  <c r="AC1328" i="23"/>
  <c r="AC1329" i="23"/>
  <c r="AC1330" i="23"/>
  <c r="AC1331" i="23"/>
  <c r="AC1332" i="23"/>
  <c r="AC1333" i="23"/>
  <c r="AC1334" i="23"/>
  <c r="AC1335" i="23"/>
  <c r="AC1336" i="23"/>
  <c r="AC1337" i="23"/>
  <c r="AC1338" i="23"/>
  <c r="AC1339" i="23"/>
  <c r="AC1340" i="23"/>
  <c r="AC1341" i="23"/>
  <c r="AC1342" i="23"/>
  <c r="AC1343" i="23"/>
  <c r="AC1344" i="23"/>
  <c r="AC1345" i="23"/>
  <c r="AC1346" i="23"/>
  <c r="AC1347" i="23"/>
  <c r="AC1348" i="23"/>
  <c r="AC1349" i="23"/>
  <c r="AC1350" i="23"/>
  <c r="AC1351" i="23"/>
  <c r="AC1352" i="23"/>
  <c r="AC1353" i="23"/>
  <c r="AC1354" i="23"/>
  <c r="AC1355" i="23"/>
  <c r="AC1356" i="23"/>
  <c r="AC1357" i="23"/>
  <c r="AC1358" i="23"/>
  <c r="AC1359" i="23"/>
  <c r="AC1360" i="23"/>
  <c r="AC1361" i="23"/>
  <c r="AC1362" i="23"/>
  <c r="AC1363" i="23"/>
  <c r="AC1364" i="23"/>
  <c r="AC1365" i="23"/>
  <c r="AC1366" i="23"/>
  <c r="AC1367" i="23"/>
  <c r="AC1368" i="23"/>
  <c r="AC1369" i="23"/>
  <c r="AC1370" i="23"/>
  <c r="AC1371" i="23"/>
  <c r="AC1372" i="23"/>
  <c r="AC1373" i="23"/>
  <c r="AC1374" i="23"/>
  <c r="AC1375" i="23"/>
  <c r="AC1376" i="23"/>
  <c r="AC1377" i="23"/>
  <c r="AC1378" i="23"/>
  <c r="AC1379" i="23"/>
  <c r="AC1380" i="23"/>
  <c r="AC1381" i="23"/>
  <c r="AC1382" i="23"/>
  <c r="AC1383" i="23"/>
  <c r="AC1384" i="23"/>
  <c r="AC1385" i="23"/>
  <c r="AC1386" i="23"/>
  <c r="AC1387" i="23"/>
  <c r="AC1388" i="23"/>
  <c r="AC1389" i="23"/>
  <c r="AC1390" i="23"/>
  <c r="AC1391" i="23"/>
  <c r="AC1392" i="23"/>
  <c r="AC1393" i="23"/>
  <c r="AC1394" i="23"/>
  <c r="AC1395" i="23"/>
  <c r="AC1396" i="23"/>
  <c r="AC1397" i="23"/>
  <c r="AC1398" i="23"/>
  <c r="AC1399" i="23"/>
  <c r="AC1400" i="23"/>
  <c r="AC1401" i="23"/>
  <c r="AC1402" i="23"/>
  <c r="AC1403" i="23"/>
  <c r="AC1404" i="23"/>
  <c r="AC1405" i="23"/>
  <c r="AC1406" i="23"/>
  <c r="AC1407" i="23"/>
  <c r="AC1408" i="23"/>
  <c r="AC1409" i="23"/>
  <c r="AC1410" i="23"/>
  <c r="AC1411" i="23"/>
  <c r="AC1412" i="23"/>
  <c r="AC1413" i="23"/>
  <c r="AC1414" i="23"/>
  <c r="AC1415" i="23"/>
  <c r="AC1416" i="23"/>
  <c r="AC1417" i="23"/>
  <c r="AC1418" i="23"/>
  <c r="AC1419" i="23"/>
  <c r="AC1420" i="23"/>
  <c r="AC1421" i="23"/>
  <c r="AC1422" i="23"/>
  <c r="AC1423" i="23"/>
  <c r="AC1424" i="23"/>
  <c r="AC1425" i="23"/>
  <c r="AC1426" i="23"/>
  <c r="AC1427" i="23"/>
  <c r="AC1428" i="23"/>
  <c r="AC1429" i="23"/>
  <c r="AC1430" i="23"/>
  <c r="AC1431" i="23"/>
  <c r="AC1432" i="23"/>
  <c r="AC1433" i="23"/>
  <c r="AC1434" i="23"/>
  <c r="AC1435" i="23"/>
  <c r="AC1436" i="23"/>
  <c r="AC1437" i="23"/>
  <c r="AC1438" i="23"/>
  <c r="AC1439" i="23"/>
  <c r="AC1440" i="23"/>
  <c r="AC1441" i="23"/>
  <c r="AC1442" i="23"/>
  <c r="AC1443" i="23"/>
  <c r="AC1444" i="23"/>
  <c r="AC1445" i="23"/>
  <c r="AC1446" i="23"/>
  <c r="AC1447" i="23"/>
  <c r="AC1448" i="23"/>
  <c r="AC1449" i="23"/>
  <c r="AC1450" i="23"/>
  <c r="AC1451" i="23"/>
  <c r="AC1452" i="23"/>
  <c r="AC1453" i="23"/>
  <c r="AC1454" i="23"/>
  <c r="AC1455" i="23"/>
  <c r="AC1456" i="23"/>
  <c r="AC1457" i="23"/>
  <c r="AC1458" i="23"/>
  <c r="AC1459" i="23"/>
  <c r="AC1460" i="23"/>
  <c r="AC1461" i="23"/>
  <c r="AC1462" i="23"/>
  <c r="AC1463" i="23"/>
  <c r="AC1464" i="23"/>
  <c r="AC1465" i="23"/>
  <c r="AC1466" i="23"/>
  <c r="AC1467" i="23"/>
  <c r="AC1468" i="23"/>
  <c r="AC1469" i="23"/>
  <c r="AC1470" i="23"/>
  <c r="AC1471" i="23"/>
  <c r="AC1472" i="23"/>
  <c r="AC1473" i="23"/>
  <c r="AC1474" i="23"/>
  <c r="AC1475" i="23"/>
  <c r="AC1476" i="23"/>
  <c r="AC1477" i="23"/>
  <c r="AC1478" i="23"/>
  <c r="AC1479" i="23"/>
  <c r="AC1480" i="23"/>
  <c r="AC1481" i="23"/>
  <c r="AC1482" i="23"/>
  <c r="AC1483" i="23"/>
  <c r="AC1484" i="23"/>
  <c r="AC1485" i="23"/>
  <c r="AC1486" i="23"/>
  <c r="AC1487" i="23"/>
  <c r="AC1488" i="23"/>
  <c r="AC1489" i="23"/>
  <c r="AC1490" i="23"/>
  <c r="AC1491" i="23"/>
  <c r="AC1492" i="23"/>
  <c r="AC1493" i="23"/>
  <c r="AC1494" i="23"/>
  <c r="AC1495" i="23"/>
  <c r="AC1496" i="23"/>
  <c r="AC1497" i="23"/>
  <c r="AC1498" i="23"/>
  <c r="AC1499" i="23"/>
  <c r="AC1500" i="23"/>
  <c r="AC1501" i="23"/>
  <c r="AC1502" i="23"/>
  <c r="AC1503" i="23"/>
  <c r="AC1504" i="23"/>
  <c r="AC1505" i="23"/>
  <c r="AC1506" i="23"/>
  <c r="AC1507" i="23"/>
  <c r="AC1508" i="23"/>
  <c r="AC1509" i="23"/>
  <c r="AC1510" i="23"/>
  <c r="AC1511" i="23"/>
  <c r="AC1512" i="23"/>
  <c r="AC1513" i="23"/>
  <c r="AC1514" i="23"/>
  <c r="AC1515" i="23"/>
  <c r="AC1516" i="23"/>
  <c r="AC1517" i="23"/>
  <c r="AC1518" i="23"/>
  <c r="AC1519" i="23"/>
  <c r="AC1520" i="23"/>
  <c r="AC1521" i="23"/>
  <c r="AC1522" i="23"/>
  <c r="AC1523" i="23"/>
  <c r="AC1524" i="23"/>
  <c r="AC1525" i="23"/>
  <c r="AC1526" i="23"/>
  <c r="AC1527" i="23"/>
  <c r="AC1528" i="23"/>
  <c r="AC1529" i="23"/>
  <c r="AC1530" i="23"/>
  <c r="AC1531" i="23"/>
  <c r="AC1532" i="23"/>
  <c r="AC1533" i="23"/>
  <c r="AC1534" i="23"/>
  <c r="AC1535" i="23"/>
  <c r="AC1536" i="23"/>
  <c r="AC1537" i="23"/>
  <c r="AC1538" i="23"/>
  <c r="AC1539" i="23"/>
  <c r="AC1540" i="23"/>
  <c r="AC1541" i="23"/>
  <c r="AC1542" i="23"/>
  <c r="AC1543" i="23"/>
  <c r="AC1544" i="23"/>
  <c r="AC1545" i="23"/>
  <c r="AC1546" i="23"/>
  <c r="AC1547" i="23"/>
  <c r="AC1548" i="23"/>
  <c r="AC1549" i="23"/>
  <c r="AC1550" i="23"/>
  <c r="AC1551" i="23"/>
  <c r="AC1552" i="23"/>
  <c r="AC1553" i="23"/>
  <c r="AC1554" i="23"/>
  <c r="AC1555" i="23"/>
  <c r="AC1556" i="23"/>
  <c r="AC1557" i="23"/>
  <c r="AC1558" i="23"/>
  <c r="AC1559" i="23"/>
  <c r="AC1560" i="23"/>
  <c r="AC1561" i="23"/>
  <c r="AC1562" i="23"/>
  <c r="AC1563" i="23"/>
  <c r="AC1564" i="23"/>
  <c r="AC1565" i="23"/>
  <c r="AC1566" i="23"/>
  <c r="AC1567" i="23"/>
  <c r="AC1568" i="23"/>
  <c r="AC1569" i="23"/>
  <c r="AC1570" i="23"/>
  <c r="AC1571" i="23"/>
  <c r="AC1572" i="23"/>
  <c r="AC1573" i="23"/>
  <c r="AC1574" i="23"/>
  <c r="AC1575" i="23"/>
  <c r="AC1576" i="23"/>
  <c r="AC1577" i="23"/>
  <c r="AC1578" i="23"/>
  <c r="AC1579" i="23"/>
  <c r="AC1580" i="23"/>
  <c r="AC1581" i="23"/>
  <c r="AC1582" i="23"/>
  <c r="AC1583" i="23"/>
  <c r="AC1584" i="23"/>
  <c r="AC1585" i="23"/>
  <c r="AC1586" i="23"/>
  <c r="AC1587" i="23"/>
  <c r="AC1588" i="23"/>
  <c r="AC1589" i="23"/>
  <c r="AC1590" i="23"/>
  <c r="AC1591" i="23"/>
  <c r="AC1592" i="23"/>
  <c r="AC1593" i="23"/>
  <c r="AC1594" i="23"/>
  <c r="AC1595" i="23"/>
  <c r="AC1596" i="23"/>
  <c r="AC1597" i="23"/>
  <c r="AC1598" i="23"/>
  <c r="AC1599" i="23"/>
  <c r="AC1600" i="23"/>
  <c r="AC1601" i="23"/>
  <c r="AC1602" i="23"/>
  <c r="AC1603" i="23"/>
  <c r="AC1604" i="23"/>
  <c r="AC1605" i="23"/>
  <c r="AC1606" i="23"/>
  <c r="AC1607" i="23"/>
  <c r="AC1608" i="23"/>
  <c r="AC1609" i="23"/>
  <c r="AC1610" i="23"/>
  <c r="AC1611" i="23"/>
  <c r="AC1612" i="23"/>
  <c r="AC1613" i="23"/>
  <c r="AC1614" i="23"/>
  <c r="AC1615" i="23"/>
  <c r="AC1616" i="23"/>
  <c r="AC1617" i="23"/>
  <c r="AC1618" i="23"/>
  <c r="AC1619" i="23"/>
  <c r="AC1620" i="23"/>
  <c r="AC1621" i="23"/>
  <c r="AC1622" i="23"/>
  <c r="AC1623" i="23"/>
  <c r="AC1624" i="23"/>
  <c r="AC1625" i="23"/>
  <c r="AC1626" i="23"/>
  <c r="AC1627" i="23"/>
  <c r="AC1628" i="23"/>
  <c r="AC1629" i="23"/>
  <c r="AC1630" i="23"/>
  <c r="AC1631" i="23"/>
  <c r="AC1632" i="23"/>
  <c r="AC1633" i="23"/>
  <c r="AC1634" i="23"/>
  <c r="AC1635" i="23"/>
  <c r="AC1636" i="23"/>
  <c r="AC1637" i="23"/>
  <c r="AC1638" i="23"/>
  <c r="AC1639" i="23"/>
  <c r="AC1640" i="23"/>
  <c r="AC1641" i="23"/>
  <c r="AC1642" i="23"/>
  <c r="AC1643" i="23"/>
  <c r="AC1644" i="23"/>
  <c r="AC1645" i="23"/>
  <c r="AC1646" i="23"/>
  <c r="AC1647" i="23"/>
  <c r="AC1648" i="23"/>
  <c r="AC1649" i="23"/>
  <c r="AC1650" i="23"/>
  <c r="AC1651" i="23"/>
  <c r="AC1652" i="23"/>
  <c r="AC1653" i="23"/>
  <c r="AC1654" i="23"/>
  <c r="AC1655" i="23"/>
  <c r="AC1656" i="23"/>
  <c r="AC1657" i="23"/>
  <c r="AC1658" i="23"/>
  <c r="AC1659" i="23"/>
  <c r="AC1660" i="23"/>
  <c r="AC1661" i="23"/>
  <c r="AC1662" i="23"/>
  <c r="AC1663" i="23"/>
  <c r="AC1664" i="23"/>
  <c r="AC1665" i="23"/>
  <c r="AC1666" i="23"/>
  <c r="AC1667" i="23"/>
  <c r="AC1668" i="23"/>
  <c r="AC1669" i="23"/>
  <c r="AC1670" i="23"/>
  <c r="AC1671" i="23"/>
  <c r="AC1672" i="23"/>
  <c r="AC1673" i="23"/>
  <c r="AC1674" i="23"/>
  <c r="AC1675" i="23"/>
  <c r="AC1676" i="23"/>
  <c r="AC1677" i="23"/>
  <c r="AC1678" i="23"/>
  <c r="AC1679" i="23"/>
  <c r="AC1680" i="23"/>
  <c r="AC1681" i="23"/>
  <c r="AC1682" i="23"/>
  <c r="AC1683" i="23"/>
  <c r="AC1684" i="23"/>
  <c r="AC1685" i="23"/>
  <c r="AC1686" i="23"/>
  <c r="AC1687" i="23"/>
  <c r="AC1688" i="23"/>
  <c r="AC1689" i="23"/>
  <c r="AC1690" i="23"/>
  <c r="AC1691" i="23"/>
  <c r="AC1692" i="23"/>
  <c r="AC1693" i="23"/>
  <c r="AC1694" i="23"/>
  <c r="AC1695" i="23"/>
  <c r="AC1696" i="23"/>
  <c r="AC1697" i="23"/>
  <c r="AC1698" i="23"/>
  <c r="AC1699" i="23"/>
  <c r="AC1700" i="23"/>
  <c r="AC1701" i="23"/>
  <c r="AC1702" i="23"/>
  <c r="AC1703" i="23"/>
  <c r="AC1704" i="23"/>
  <c r="AC1705" i="23"/>
  <c r="AC1706" i="23"/>
  <c r="AC1707" i="23"/>
  <c r="AC1708" i="23"/>
  <c r="AC1709" i="23"/>
  <c r="AC1710" i="23"/>
  <c r="AC1711" i="23"/>
  <c r="AC1712" i="23"/>
  <c r="AC1713" i="23"/>
  <c r="AC1714" i="23"/>
  <c r="AC1715" i="23"/>
  <c r="AC1716" i="23"/>
  <c r="AC1717" i="23"/>
  <c r="AC1718" i="23"/>
  <c r="AC1719" i="23"/>
  <c r="AC1720" i="23"/>
  <c r="AC1721" i="23"/>
  <c r="AC1722" i="23"/>
  <c r="AC1723" i="23"/>
  <c r="AC1724" i="23"/>
  <c r="AC1725" i="23"/>
  <c r="AC1726" i="23"/>
  <c r="AC1727" i="23"/>
  <c r="AC1728" i="23"/>
  <c r="AC1729" i="23"/>
  <c r="AC1730" i="23"/>
  <c r="AC1731" i="23"/>
  <c r="AC1732" i="23"/>
  <c r="AC1733" i="23"/>
  <c r="AC1734" i="23"/>
  <c r="AC1735" i="23"/>
  <c r="AC1736" i="23"/>
  <c r="AC1737" i="23"/>
  <c r="AC1738" i="23"/>
  <c r="AC1739" i="23"/>
  <c r="AC1740" i="23"/>
  <c r="AC1741" i="23"/>
  <c r="AC1742" i="23"/>
  <c r="AC1743" i="23"/>
  <c r="AC1744" i="23"/>
  <c r="AC1745" i="23"/>
  <c r="AC1746" i="23"/>
  <c r="AC1747" i="23"/>
  <c r="AC1748" i="23"/>
  <c r="AC1749" i="23"/>
  <c r="AC1750" i="23"/>
  <c r="AC1751" i="23"/>
  <c r="AC1752" i="23"/>
  <c r="AC1753" i="23"/>
  <c r="AC1754" i="23"/>
  <c r="AC1755" i="23"/>
  <c r="AC1756" i="23"/>
  <c r="AC1757" i="23"/>
  <c r="AC1758" i="23"/>
  <c r="AC1759" i="23"/>
  <c r="AC1760" i="23"/>
  <c r="AC1761" i="23"/>
  <c r="AC1762" i="23"/>
  <c r="AC1763" i="23"/>
  <c r="AC1764" i="23"/>
  <c r="AC1765" i="23"/>
  <c r="AC1766" i="23"/>
  <c r="AC1767" i="23"/>
  <c r="AC1768" i="23"/>
  <c r="AC1769" i="23"/>
  <c r="AC1770" i="23"/>
  <c r="AC1771" i="23"/>
  <c r="AC1772" i="23"/>
  <c r="AC1773" i="23"/>
  <c r="AC1774" i="23"/>
  <c r="AC1775" i="23"/>
  <c r="AC1776" i="23"/>
  <c r="AC1777" i="23"/>
  <c r="AC1778" i="23"/>
  <c r="AC1779" i="23"/>
  <c r="AC1780" i="23"/>
  <c r="AC1781" i="23"/>
  <c r="AC1782" i="23"/>
  <c r="AC1783" i="23"/>
  <c r="AC1784" i="23"/>
  <c r="AC1785" i="23"/>
  <c r="AC1786" i="23"/>
  <c r="AC1787" i="23"/>
  <c r="AC1788" i="23"/>
  <c r="AC1789" i="23"/>
  <c r="AC1790" i="23"/>
  <c r="AC1791" i="23"/>
  <c r="AC1792" i="23"/>
  <c r="AC1793" i="23"/>
  <c r="AC1794" i="23"/>
  <c r="AC1795" i="23"/>
  <c r="AC1796" i="23"/>
  <c r="AC1797" i="23"/>
  <c r="AC1798" i="23"/>
  <c r="AC1799" i="23"/>
  <c r="AC1800" i="23"/>
  <c r="AC1801" i="23"/>
  <c r="AC1802" i="23"/>
  <c r="AC1803" i="23"/>
  <c r="AC1804" i="23"/>
  <c r="AC1805" i="23"/>
  <c r="AC1806" i="23"/>
  <c r="AC1807" i="23"/>
  <c r="AC1808" i="23"/>
  <c r="AC1809" i="23"/>
  <c r="AC1810" i="23"/>
  <c r="AC1811" i="23"/>
  <c r="AC1812" i="23"/>
  <c r="AC1813" i="23"/>
  <c r="AC1814" i="23"/>
  <c r="AC1815" i="23"/>
  <c r="AC1816" i="23"/>
  <c r="AC1817" i="23"/>
  <c r="AC1818" i="23"/>
  <c r="AC1819" i="23"/>
  <c r="AC1820" i="23"/>
  <c r="AC1821" i="23"/>
  <c r="AC1822" i="23"/>
  <c r="AC1823" i="23"/>
  <c r="AC1824" i="23"/>
  <c r="AC1825" i="23"/>
  <c r="AC1826" i="23"/>
  <c r="AC1827" i="23"/>
  <c r="AC1828" i="23"/>
  <c r="AC1829" i="23"/>
  <c r="AC1830" i="23"/>
  <c r="AC1831" i="23"/>
  <c r="AC1832" i="23"/>
  <c r="AC1833" i="23"/>
  <c r="AC1834" i="23"/>
  <c r="AC1835" i="23"/>
  <c r="AC1836" i="23"/>
  <c r="AC1837" i="23"/>
  <c r="AC1838" i="23"/>
  <c r="AC1839" i="23"/>
  <c r="AC1840" i="23"/>
  <c r="AC1841" i="23"/>
  <c r="AC1842" i="23"/>
  <c r="AC1843" i="23"/>
  <c r="AC1844" i="23"/>
  <c r="AC1845" i="23"/>
  <c r="AC1846" i="23"/>
  <c r="AC1847" i="23"/>
  <c r="AC1848" i="23"/>
  <c r="AC1849" i="23"/>
  <c r="AC1850" i="23"/>
  <c r="AC1851" i="23"/>
  <c r="AC1852" i="23"/>
  <c r="AC1853" i="23"/>
  <c r="AC1854" i="23"/>
  <c r="AC1855" i="23"/>
  <c r="AC1856" i="23"/>
  <c r="AC1857" i="23"/>
  <c r="AC1858" i="23"/>
  <c r="AC1859" i="23"/>
  <c r="AC1860" i="23"/>
  <c r="AC1861" i="23"/>
  <c r="AC1862" i="23"/>
  <c r="AC1863" i="23"/>
  <c r="AC1864" i="23"/>
  <c r="AC1865" i="23"/>
  <c r="AC1866" i="23"/>
  <c r="AC1867" i="23"/>
  <c r="AC1868" i="23"/>
  <c r="AC1869" i="23"/>
  <c r="AC1870" i="23"/>
  <c r="AC1871" i="23"/>
  <c r="AC1872" i="23"/>
  <c r="AC1873" i="23"/>
  <c r="AC1874" i="23"/>
  <c r="AC1875" i="23"/>
  <c r="AC1876" i="23"/>
  <c r="AC1877" i="23"/>
  <c r="AC1878" i="23"/>
  <c r="AC1879" i="23"/>
  <c r="AC1880" i="23"/>
  <c r="AC1881" i="23"/>
  <c r="AC1882" i="23"/>
  <c r="AC1883" i="23"/>
  <c r="AC1884" i="23"/>
  <c r="AC1885" i="23"/>
  <c r="AC1886" i="23"/>
  <c r="AC1887" i="23"/>
  <c r="AC1888" i="23"/>
  <c r="AC1889" i="23"/>
  <c r="AC1890" i="23"/>
  <c r="AC1891" i="23"/>
  <c r="AC1892" i="23"/>
  <c r="AC1893" i="23"/>
  <c r="AC1894" i="23"/>
  <c r="AC1895" i="23"/>
  <c r="AC1896" i="23"/>
  <c r="AC1897" i="23"/>
  <c r="AC1898" i="23"/>
  <c r="AC1899" i="23"/>
  <c r="AC1900" i="23"/>
  <c r="AC1901" i="23"/>
  <c r="AC1902" i="23"/>
  <c r="AC1903" i="23"/>
  <c r="AC1904" i="23"/>
  <c r="AC1905" i="23"/>
  <c r="AC1906" i="23"/>
  <c r="AC1907" i="23"/>
  <c r="AC1908" i="23"/>
  <c r="AC1909" i="23"/>
  <c r="AC1910" i="23"/>
  <c r="AC1911" i="23"/>
  <c r="AC1912" i="23"/>
  <c r="AC1913" i="23"/>
  <c r="AC1914" i="23"/>
  <c r="AC1915" i="23"/>
  <c r="AC1916" i="23"/>
  <c r="AC1917" i="23"/>
  <c r="AC1918" i="23"/>
  <c r="AC1919" i="23"/>
  <c r="AC1920" i="23"/>
  <c r="AC1921" i="23"/>
  <c r="AC1922" i="23"/>
  <c r="AC1923" i="23"/>
  <c r="AC1924" i="23"/>
  <c r="AC1925" i="23"/>
  <c r="AC1926" i="23"/>
  <c r="AC1927" i="23"/>
  <c r="AC1928" i="23"/>
  <c r="AC1929" i="23"/>
  <c r="AC1930" i="23"/>
  <c r="AC1931" i="23"/>
  <c r="AC1932" i="23"/>
  <c r="AC1933" i="23"/>
  <c r="AC1934" i="23"/>
  <c r="AC1935" i="23"/>
  <c r="AC1936" i="23"/>
  <c r="AC1937" i="23"/>
  <c r="AC1938" i="23"/>
  <c r="AC1939" i="23"/>
  <c r="AC1940" i="23"/>
  <c r="AC1941" i="23"/>
  <c r="AC1942" i="23"/>
  <c r="AC1943" i="23"/>
  <c r="AC1944" i="23"/>
  <c r="AC1945" i="23"/>
  <c r="AC1946" i="23"/>
  <c r="AC1947" i="23"/>
  <c r="AC1948" i="23"/>
  <c r="AC1949" i="23"/>
  <c r="AC1950" i="23"/>
  <c r="AC1951" i="23"/>
  <c r="AC1952" i="23"/>
  <c r="AC1953" i="23"/>
  <c r="AC1954" i="23"/>
  <c r="AC1955" i="23"/>
  <c r="AC1956" i="23"/>
  <c r="AC1957" i="23"/>
  <c r="AC1958" i="23"/>
  <c r="AC1959" i="23"/>
  <c r="AC1960" i="23"/>
  <c r="AC1961" i="23"/>
  <c r="AC1962" i="23"/>
  <c r="AC1963" i="23"/>
  <c r="AC1964" i="23"/>
  <c r="AC1965" i="23"/>
  <c r="AC1966" i="23"/>
  <c r="AC1967" i="23"/>
  <c r="AC1968" i="23"/>
  <c r="AC1969" i="23"/>
  <c r="AC1970" i="23"/>
  <c r="AC1971" i="23"/>
  <c r="AC1972" i="23"/>
  <c r="AC1973" i="23"/>
  <c r="AC1974" i="23"/>
  <c r="AC1975" i="23"/>
  <c r="AC1976" i="23"/>
  <c r="AC1977" i="23"/>
  <c r="AC1978" i="23"/>
  <c r="AC1979" i="23"/>
  <c r="AC1980" i="23"/>
  <c r="AC1981" i="23"/>
  <c r="AC1982" i="23"/>
  <c r="AC1983" i="23"/>
  <c r="AC1984" i="23"/>
  <c r="AC1985" i="23"/>
  <c r="AC1986" i="23"/>
  <c r="AC1987" i="23"/>
  <c r="AC1988" i="23"/>
  <c r="AC1989" i="23"/>
  <c r="AC1990" i="23"/>
  <c r="AC1991" i="23"/>
  <c r="AC1992" i="23"/>
  <c r="AC1993" i="23"/>
  <c r="AC1994" i="23"/>
  <c r="AC1995" i="23"/>
  <c r="AC1996" i="23"/>
  <c r="AC1997" i="23"/>
  <c r="AC1998" i="23"/>
  <c r="AC1999" i="23"/>
  <c r="AC2000" i="23"/>
  <c r="AC2001" i="23"/>
  <c r="AC2002" i="23"/>
  <c r="AC2003" i="23"/>
  <c r="AC2004" i="23"/>
  <c r="AC2005" i="23"/>
  <c r="AC2006" i="23"/>
  <c r="AC2007" i="23"/>
  <c r="AC2008" i="23"/>
  <c r="AC2009" i="23"/>
  <c r="AC2010" i="23"/>
  <c r="AC2011" i="23"/>
  <c r="AC2012" i="23"/>
  <c r="AC2013" i="23"/>
  <c r="AC2014" i="23"/>
  <c r="AC2015" i="23"/>
  <c r="AC2016" i="23"/>
  <c r="AC2017" i="23"/>
  <c r="AC2018" i="23"/>
  <c r="AC2019" i="23"/>
  <c r="AC2020" i="23"/>
  <c r="AC2021" i="23"/>
  <c r="AC2022" i="23"/>
  <c r="AC2023" i="23"/>
  <c r="AC2024" i="23"/>
  <c r="AC2025" i="23"/>
  <c r="AC2026" i="23"/>
  <c r="AC2027" i="23"/>
  <c r="AC2028" i="23"/>
  <c r="AC2029" i="23"/>
  <c r="AC2030" i="23"/>
  <c r="AC2031" i="23"/>
  <c r="AC2032" i="23"/>
  <c r="AC2033" i="23"/>
  <c r="AC2034" i="23"/>
  <c r="AC2035" i="23"/>
  <c r="AC2036" i="23"/>
  <c r="AC2037" i="23"/>
  <c r="AC2038" i="23"/>
  <c r="AC2039" i="23"/>
  <c r="AC2040" i="23"/>
  <c r="AC2041" i="23"/>
  <c r="AC2042" i="23"/>
  <c r="AC2043" i="23"/>
  <c r="AC2044" i="23"/>
  <c r="AC2045" i="23"/>
  <c r="AC2046" i="23"/>
  <c r="AC2047" i="23"/>
  <c r="AC2048" i="23"/>
  <c r="AC2049" i="23"/>
  <c r="AC2050" i="23"/>
  <c r="AC2051" i="23"/>
  <c r="AC2052" i="23"/>
  <c r="AC2053" i="23"/>
  <c r="AC2054" i="23"/>
  <c r="AC2055" i="23"/>
  <c r="AC2056" i="23"/>
  <c r="AC2057" i="23"/>
  <c r="AC2058" i="23"/>
  <c r="AC2059" i="23"/>
  <c r="AC2060" i="23"/>
  <c r="AC2061" i="23"/>
  <c r="AC2062" i="23"/>
  <c r="AC2063" i="23"/>
  <c r="AC2064" i="23"/>
  <c r="AC2065" i="23"/>
  <c r="AC2066" i="23"/>
  <c r="AC2067" i="23"/>
  <c r="AC2068" i="23"/>
  <c r="AC2069" i="23"/>
  <c r="AC2070" i="23"/>
  <c r="AC2071" i="23"/>
  <c r="AC2072" i="23"/>
  <c r="AC2073" i="23"/>
  <c r="AC2074" i="23"/>
  <c r="AC2075" i="23"/>
  <c r="AC2076" i="23"/>
  <c r="AC2077" i="23"/>
  <c r="AC2078" i="23"/>
  <c r="AC2079" i="23"/>
  <c r="AC2080" i="23"/>
  <c r="AC2081" i="23"/>
  <c r="AC2082" i="23"/>
  <c r="AC2083" i="23"/>
  <c r="AC2084" i="23"/>
  <c r="AC2085" i="23"/>
  <c r="AC2086" i="23"/>
  <c r="AC2087" i="23"/>
  <c r="AC2088" i="23"/>
  <c r="AC2089" i="23"/>
  <c r="AC2090" i="23"/>
  <c r="AC2091" i="23"/>
  <c r="AC2092" i="23"/>
  <c r="AC2093" i="23"/>
  <c r="AC2094" i="23"/>
  <c r="AC2095" i="23"/>
  <c r="AC2096" i="23"/>
  <c r="AC2097" i="23"/>
  <c r="AC2098" i="23"/>
  <c r="AC2099" i="23"/>
  <c r="AC2100" i="23"/>
  <c r="AC2101" i="23"/>
  <c r="AC2102" i="23"/>
  <c r="AC2103" i="23"/>
  <c r="AC2104" i="23"/>
  <c r="AC2105" i="23"/>
  <c r="AC2106" i="23"/>
  <c r="AC2107" i="23"/>
  <c r="AC2108" i="23"/>
  <c r="AC2109" i="23"/>
  <c r="AC2110" i="23"/>
  <c r="AC2111" i="23"/>
  <c r="AC2112" i="23"/>
  <c r="AC2113" i="23"/>
  <c r="AC2114" i="23"/>
  <c r="AC2115" i="23"/>
  <c r="AC2116" i="23"/>
  <c r="AC2117" i="23"/>
  <c r="AC2118" i="23"/>
  <c r="AC2119" i="23"/>
  <c r="AC2120" i="23"/>
  <c r="AC2121" i="23"/>
  <c r="AC2122" i="23"/>
  <c r="AC2123" i="23"/>
  <c r="AC2124" i="23"/>
  <c r="AC2125" i="23"/>
  <c r="AC2126" i="23"/>
  <c r="AC2127" i="23"/>
  <c r="AC2128" i="23"/>
  <c r="AC2129" i="23"/>
  <c r="AC2130" i="23"/>
  <c r="AC2131" i="23"/>
  <c r="AC2132" i="23"/>
  <c r="AC2133" i="23"/>
  <c r="AC2134" i="23"/>
  <c r="AC2135" i="23"/>
  <c r="AC2136" i="23"/>
  <c r="AC2137" i="23"/>
  <c r="AC2138" i="23"/>
  <c r="AC2139" i="23"/>
  <c r="AC2140" i="23"/>
  <c r="AC2141" i="23"/>
  <c r="AC2142" i="23"/>
  <c r="AC2143" i="23"/>
  <c r="AC2144" i="23"/>
  <c r="AC2145" i="23"/>
  <c r="AC2146" i="23"/>
  <c r="AC2147" i="23"/>
  <c r="AC2148" i="23"/>
  <c r="AC2149" i="23"/>
  <c r="AC2150" i="23"/>
  <c r="AC2151" i="23"/>
  <c r="AC2152" i="23"/>
  <c r="AC2153" i="23"/>
  <c r="AC2154" i="23"/>
  <c r="AC2155" i="23"/>
  <c r="AC2156" i="23"/>
  <c r="AC2157" i="23"/>
  <c r="AC2158" i="23"/>
  <c r="AC2159" i="23"/>
  <c r="AC2160" i="23"/>
  <c r="AC2161" i="23"/>
  <c r="AC2162" i="23"/>
  <c r="AC2163" i="23"/>
  <c r="AC2164" i="23"/>
  <c r="AC2165" i="23"/>
  <c r="AC2166" i="23"/>
  <c r="AC2167" i="23"/>
  <c r="AC2168" i="23"/>
  <c r="AC2169" i="23"/>
  <c r="AC2170" i="23"/>
  <c r="AC2171" i="23"/>
  <c r="AC2172" i="23"/>
  <c r="AC2173" i="23"/>
  <c r="AC2174" i="23"/>
  <c r="AC2175" i="23"/>
  <c r="AC2176" i="23"/>
  <c r="AC2177" i="23"/>
  <c r="AC2178" i="23"/>
  <c r="AC2179" i="23"/>
  <c r="AC2180" i="23"/>
  <c r="AC2181" i="23"/>
  <c r="AC2182" i="23"/>
  <c r="AC2183" i="23"/>
  <c r="AC2184" i="23"/>
  <c r="AC2185" i="23"/>
  <c r="AC2186" i="23"/>
  <c r="AC2187" i="23"/>
  <c r="AC2188" i="23"/>
  <c r="AC2189" i="23"/>
  <c r="AC2190" i="23"/>
  <c r="AC2191" i="23"/>
  <c r="AC2192" i="23"/>
  <c r="AC2193" i="23"/>
  <c r="AC2194" i="23"/>
  <c r="AC2195" i="23"/>
  <c r="AC2196" i="23"/>
  <c r="AC2197" i="23"/>
  <c r="AC2198" i="23"/>
  <c r="AC2199" i="23"/>
  <c r="AC2200" i="23"/>
  <c r="AC2201" i="23"/>
  <c r="AC2202" i="23"/>
  <c r="AC2203" i="23"/>
  <c r="AC2204" i="23"/>
  <c r="AC2205" i="23"/>
  <c r="AC2206" i="23"/>
  <c r="AC2207" i="23"/>
  <c r="AC2208" i="23"/>
  <c r="AC2209" i="23"/>
  <c r="AC2210" i="23"/>
  <c r="AC2211" i="23"/>
  <c r="AC2212" i="23"/>
  <c r="AC2213" i="23"/>
  <c r="AC2214" i="23"/>
  <c r="AC2215" i="23"/>
  <c r="AC2216" i="23"/>
  <c r="AC2217" i="23"/>
  <c r="AC2218" i="23"/>
  <c r="AC2219" i="23"/>
  <c r="AC2220" i="23"/>
  <c r="AC2221" i="23"/>
  <c r="AC2222" i="23"/>
  <c r="AC2223" i="23"/>
  <c r="AC2224" i="23"/>
  <c r="AC2225" i="23"/>
  <c r="AC2226" i="23"/>
  <c r="AC2227" i="23"/>
  <c r="AC2228" i="23"/>
  <c r="AC2229" i="23"/>
  <c r="AC2230" i="23"/>
  <c r="AC2231" i="23"/>
  <c r="AC2232" i="23"/>
  <c r="AC2233" i="23"/>
  <c r="AC2234" i="23"/>
  <c r="AC2235" i="23"/>
  <c r="AC2236" i="23"/>
  <c r="AC2237" i="23"/>
  <c r="AC2238" i="23"/>
  <c r="AC2239" i="23"/>
  <c r="AC2240" i="23"/>
  <c r="AC2241" i="23"/>
  <c r="AC2242" i="23"/>
  <c r="AC2243" i="23"/>
  <c r="AC2244" i="23"/>
  <c r="AC2245" i="23"/>
  <c r="AC2246" i="23"/>
  <c r="AC2247" i="23"/>
  <c r="AC2248" i="23"/>
  <c r="AC2249" i="23"/>
  <c r="AC2250" i="23"/>
  <c r="AC2251" i="23"/>
  <c r="AC2252" i="23"/>
  <c r="AC2253" i="23"/>
  <c r="AC2254" i="23"/>
  <c r="AC2255" i="23"/>
  <c r="AC2256" i="23"/>
  <c r="AC2257" i="23"/>
  <c r="AC2258" i="23"/>
  <c r="AC2259" i="23"/>
  <c r="AC2260" i="23"/>
  <c r="AC2261" i="23"/>
  <c r="AC2262" i="23"/>
  <c r="AC2263" i="23"/>
  <c r="AC2264" i="23"/>
  <c r="AC2265" i="23"/>
  <c r="AC2266" i="23"/>
  <c r="AC2267" i="23"/>
  <c r="AC2268" i="23"/>
  <c r="AC2269" i="23"/>
  <c r="AC2270" i="23"/>
  <c r="AC2271" i="23"/>
  <c r="AC2272" i="23"/>
  <c r="AC2273" i="23"/>
  <c r="AC2274" i="23"/>
  <c r="AC2275" i="23"/>
  <c r="AC2276" i="23"/>
  <c r="AC2277" i="23"/>
  <c r="AC2278" i="23"/>
  <c r="AC2279" i="23"/>
  <c r="AC2280" i="23"/>
  <c r="AC2281" i="23"/>
  <c r="AC2282" i="23"/>
  <c r="AC2283" i="23"/>
  <c r="AC2284" i="23"/>
  <c r="AC2285" i="23"/>
  <c r="AC2286" i="23"/>
  <c r="AC2287" i="23"/>
  <c r="AC2288" i="23"/>
  <c r="AC2289" i="23"/>
  <c r="AC2290" i="23"/>
  <c r="AC2291" i="23"/>
  <c r="AC2292" i="23"/>
  <c r="AC2293" i="23"/>
  <c r="AC2294" i="23"/>
  <c r="AC2295" i="23"/>
  <c r="AC2296" i="23"/>
  <c r="AC2297" i="23"/>
  <c r="AC2298" i="23"/>
  <c r="AC2299" i="23"/>
  <c r="AC2300" i="23"/>
  <c r="AC2301" i="23"/>
  <c r="AC2302" i="23"/>
  <c r="AC2303" i="23"/>
  <c r="AC2304" i="23"/>
  <c r="AC2305" i="23"/>
  <c r="AC2306" i="23"/>
  <c r="AC2307" i="23"/>
  <c r="AC2308" i="23"/>
  <c r="AC2309" i="23"/>
  <c r="AC2310" i="23"/>
  <c r="AC2311" i="23"/>
  <c r="AC2312" i="23"/>
  <c r="AC2313" i="23"/>
  <c r="AC2314" i="23"/>
  <c r="AC2315" i="23"/>
  <c r="AC2316" i="23"/>
  <c r="AC2317" i="23"/>
  <c r="AC2318" i="23"/>
  <c r="AC2319" i="23"/>
  <c r="AC2320" i="23"/>
  <c r="AC2321" i="23"/>
  <c r="AC2322" i="23"/>
  <c r="AC2323" i="23"/>
  <c r="AC2324" i="23"/>
  <c r="AC2325" i="23"/>
  <c r="AC2326" i="23"/>
  <c r="AC2327" i="23"/>
  <c r="AC2328" i="23"/>
  <c r="AC2329" i="23"/>
  <c r="AC2330" i="23"/>
  <c r="AC2331" i="23"/>
  <c r="AC2332" i="23"/>
  <c r="AC2333" i="23"/>
  <c r="AC2334" i="23"/>
  <c r="AC2335" i="23"/>
  <c r="AC2336" i="23"/>
  <c r="AC2337" i="23"/>
  <c r="AC2338" i="23"/>
  <c r="AC2339" i="23"/>
  <c r="AC2340" i="23"/>
  <c r="AC2341" i="23"/>
  <c r="AC2342" i="23"/>
  <c r="AC2343" i="23"/>
  <c r="AC2344" i="23"/>
  <c r="AC2345" i="23"/>
  <c r="AC2346" i="23"/>
  <c r="AC2347" i="23"/>
  <c r="AC2348" i="23"/>
  <c r="AC2349" i="23"/>
  <c r="AC2350" i="23"/>
  <c r="AC2351" i="23"/>
  <c r="AC2352" i="23"/>
  <c r="AC2353" i="23"/>
  <c r="AC2354" i="23"/>
  <c r="AC2355" i="23"/>
  <c r="AC2356" i="23"/>
  <c r="AC2357" i="23"/>
  <c r="AC2358" i="23"/>
  <c r="AC2359" i="23"/>
  <c r="AC2360" i="23"/>
  <c r="AC2361" i="23"/>
  <c r="AC2362" i="23"/>
  <c r="AC2363" i="23"/>
  <c r="AC2364" i="23"/>
  <c r="AC2365" i="23"/>
  <c r="AC2366" i="23"/>
  <c r="AC2367" i="23"/>
  <c r="AC2368" i="23"/>
  <c r="AC2369" i="23"/>
  <c r="AC2370" i="23"/>
  <c r="AC2371" i="23"/>
  <c r="AC2372" i="23"/>
  <c r="AC2373" i="23"/>
  <c r="AC2374" i="23"/>
  <c r="AC2375" i="23"/>
  <c r="AC2376" i="23"/>
  <c r="AC2377" i="23"/>
  <c r="AC2378" i="23"/>
  <c r="AC2379" i="23"/>
  <c r="AC2380" i="23"/>
  <c r="AC2381" i="23"/>
  <c r="AC2382" i="23"/>
  <c r="AC2383" i="23"/>
  <c r="AC2384" i="23"/>
  <c r="AC2385" i="23"/>
  <c r="AC2386" i="23"/>
  <c r="AC2387" i="23"/>
  <c r="AC2388" i="23"/>
  <c r="AC2389" i="23"/>
  <c r="AC2390" i="23"/>
  <c r="AC2391" i="23"/>
  <c r="AC2392" i="23"/>
  <c r="AC2393" i="23"/>
  <c r="AC2394" i="23"/>
  <c r="AC2395" i="23"/>
  <c r="AC2396" i="23"/>
  <c r="AC2397" i="23"/>
  <c r="AC2398" i="23"/>
  <c r="AC2399" i="23"/>
  <c r="AC2400" i="23"/>
  <c r="AC2401" i="23"/>
  <c r="AC2402" i="23"/>
  <c r="AC2403" i="23"/>
  <c r="AC2404" i="23"/>
  <c r="AC2405" i="23"/>
  <c r="AC2406" i="23"/>
  <c r="AC2407" i="23"/>
  <c r="AC2408" i="23"/>
  <c r="AC2409" i="23"/>
  <c r="AC2410" i="23"/>
  <c r="AC2411" i="23"/>
  <c r="AC2412" i="23"/>
  <c r="AC2413" i="23"/>
  <c r="AC2414" i="23"/>
  <c r="AC2415" i="23"/>
  <c r="AC2416" i="23"/>
  <c r="AC2417" i="23"/>
  <c r="AC2418" i="23"/>
  <c r="AC2419" i="23"/>
  <c r="AC2420" i="23"/>
  <c r="AC2421" i="23"/>
  <c r="AC2422" i="23"/>
  <c r="AC2423" i="23"/>
  <c r="AC2424" i="23"/>
  <c r="AC2425" i="23"/>
  <c r="AC2426" i="23"/>
  <c r="AC2427" i="23"/>
  <c r="AC2428" i="23"/>
  <c r="AC2429" i="23"/>
  <c r="AC2430" i="23"/>
  <c r="AC2431" i="23"/>
  <c r="AC2432" i="23"/>
  <c r="AC2433" i="23"/>
  <c r="AC2434" i="23"/>
  <c r="AC2435" i="23"/>
  <c r="AC2436" i="23"/>
  <c r="AC2437" i="23"/>
  <c r="AC2438" i="23"/>
  <c r="AC2439" i="23"/>
  <c r="AC2440" i="23"/>
  <c r="AC2441" i="23"/>
  <c r="AC2442" i="23"/>
  <c r="AC2443" i="23"/>
  <c r="AC2444" i="23"/>
  <c r="AC2445" i="23"/>
  <c r="AC2446" i="23"/>
  <c r="AC2447" i="23"/>
  <c r="AC2448" i="23"/>
  <c r="AC2449" i="23"/>
  <c r="AC2450" i="23"/>
  <c r="AC2451" i="23"/>
  <c r="AC2452" i="23"/>
  <c r="AC2453" i="23"/>
  <c r="AC2454" i="23"/>
  <c r="AC2455" i="23"/>
  <c r="AC2456" i="23"/>
  <c r="AC2457" i="23"/>
  <c r="AC2458" i="23"/>
  <c r="AC2459" i="23"/>
  <c r="AC2460" i="23"/>
  <c r="AC2461" i="23"/>
  <c r="AC2462" i="23"/>
  <c r="AC2463" i="23"/>
  <c r="AC2464" i="23"/>
  <c r="AC2465" i="23"/>
  <c r="AC2466" i="23"/>
  <c r="AC2467" i="23"/>
  <c r="AC2468" i="23"/>
  <c r="AC2469" i="23"/>
  <c r="AC2470" i="23"/>
  <c r="AC2471" i="23"/>
  <c r="AC2472" i="23"/>
  <c r="AC2473" i="23"/>
  <c r="AC2474" i="23"/>
  <c r="AC2475" i="23"/>
  <c r="AC2476" i="23"/>
  <c r="AC2477" i="23"/>
  <c r="AC2478" i="23"/>
  <c r="AC2479" i="23"/>
  <c r="AC2480" i="23"/>
  <c r="AC2481" i="23"/>
  <c r="AC2482" i="23"/>
  <c r="AC2483" i="23"/>
  <c r="AC2484" i="23"/>
  <c r="AC2485" i="23"/>
  <c r="AC2486" i="23"/>
  <c r="AC2487" i="23"/>
  <c r="AC2488" i="23"/>
  <c r="AC2489" i="23"/>
  <c r="AC2490" i="23"/>
  <c r="AC2491" i="23"/>
  <c r="AC2492" i="23"/>
  <c r="AC2493" i="23"/>
  <c r="AC2494" i="23"/>
  <c r="AC2495" i="23"/>
  <c r="AC2496" i="23"/>
  <c r="AC2497" i="23"/>
  <c r="AC2498" i="23"/>
  <c r="AC2499" i="23"/>
  <c r="AC2500" i="23"/>
  <c r="AC2501" i="23"/>
  <c r="AC2502" i="23"/>
  <c r="AC2503" i="23"/>
  <c r="AC2504" i="23"/>
  <c r="AC2505" i="23"/>
  <c r="AC2506" i="23"/>
  <c r="AC2507" i="23"/>
  <c r="AC2508" i="23"/>
  <c r="AC2509" i="23"/>
  <c r="AC2510" i="23"/>
  <c r="AC2511" i="23"/>
  <c r="AC2512" i="23"/>
  <c r="AC2513" i="23"/>
  <c r="AC2514" i="23"/>
  <c r="AC2515" i="23"/>
  <c r="AC2516" i="23"/>
  <c r="AC2517" i="23"/>
  <c r="AC2518" i="23"/>
  <c r="AC2519" i="23"/>
  <c r="AC2520" i="23"/>
  <c r="AC2521" i="23"/>
  <c r="AC2522" i="23"/>
  <c r="AC2523" i="23"/>
  <c r="AC2524" i="23"/>
  <c r="AC2525" i="23"/>
  <c r="AC2526" i="23"/>
  <c r="AC2527" i="23"/>
  <c r="AC2528" i="23"/>
  <c r="AC2529" i="23"/>
  <c r="AC2530" i="23"/>
  <c r="AC2531" i="23"/>
  <c r="AC2532" i="23"/>
  <c r="AC2533" i="23"/>
  <c r="AC2534" i="23"/>
  <c r="AC2535" i="23"/>
  <c r="AC2536" i="23"/>
  <c r="AC2537" i="23"/>
  <c r="AC2538" i="23"/>
  <c r="AC2539" i="23"/>
  <c r="AC2540" i="23"/>
  <c r="AC2541" i="23"/>
  <c r="AC2542" i="23"/>
  <c r="AC2543" i="23"/>
  <c r="AC2544" i="23"/>
  <c r="AC2545" i="23"/>
  <c r="AC2546" i="23"/>
  <c r="AC2547" i="23"/>
  <c r="AC2548" i="23"/>
  <c r="AC2549" i="23"/>
  <c r="AC2550" i="23"/>
  <c r="AC2551" i="23"/>
  <c r="AC2552" i="23"/>
  <c r="AC2553" i="23"/>
  <c r="AC2554" i="23"/>
  <c r="AC2555" i="23"/>
  <c r="AC2556" i="23"/>
  <c r="AC2557" i="23"/>
  <c r="AC2558" i="23"/>
  <c r="AC2559" i="23"/>
  <c r="AC2560" i="23"/>
  <c r="AC2561" i="23"/>
  <c r="AC2562" i="23"/>
  <c r="AC2563" i="23"/>
  <c r="AC2564" i="23"/>
  <c r="AC2565" i="23"/>
  <c r="AC2566" i="23"/>
  <c r="AC2567" i="23"/>
  <c r="AC2568" i="23"/>
  <c r="AC2569" i="23"/>
  <c r="AC2570" i="23"/>
  <c r="AC2571" i="23"/>
  <c r="AC2572" i="23"/>
  <c r="AC2573" i="23"/>
  <c r="AC2574" i="23"/>
  <c r="AC2575" i="23"/>
  <c r="AC2576" i="23"/>
  <c r="AC2577" i="23"/>
  <c r="AC2578" i="23"/>
  <c r="AC2579" i="23"/>
  <c r="AC2580" i="23"/>
  <c r="AC2581" i="23"/>
  <c r="AC2582" i="23"/>
  <c r="AC2583" i="23"/>
  <c r="AC2584" i="23"/>
  <c r="AC2585" i="23"/>
  <c r="AC2586" i="23"/>
  <c r="AC2587" i="23"/>
  <c r="AC2588" i="23"/>
  <c r="AC2589" i="23"/>
  <c r="AC2590" i="23"/>
  <c r="AC2591" i="23"/>
  <c r="AC2592" i="23"/>
  <c r="AC2593" i="23"/>
  <c r="AC2594" i="23"/>
  <c r="AC2595" i="23"/>
  <c r="AC2596" i="23"/>
  <c r="AC2597" i="23"/>
  <c r="AC2598" i="23"/>
  <c r="AC2599" i="23"/>
  <c r="AC2600" i="23"/>
  <c r="AC2601" i="23"/>
  <c r="AC2602" i="23"/>
  <c r="AC2603" i="23"/>
  <c r="AC2604" i="23"/>
  <c r="AC2605" i="23"/>
  <c r="AC2606" i="23"/>
  <c r="AC2607" i="23"/>
  <c r="AC2608" i="23"/>
  <c r="AC2609" i="23"/>
  <c r="AC2610" i="23"/>
  <c r="AC2611" i="23"/>
  <c r="AC2612" i="23"/>
  <c r="AC2613" i="23"/>
  <c r="AC2614" i="23"/>
  <c r="AC2615" i="23"/>
  <c r="AC2616" i="23"/>
  <c r="AC2617" i="23"/>
  <c r="AC2618" i="23"/>
  <c r="AC2619" i="23"/>
  <c r="AC2620" i="23"/>
  <c r="AC2621" i="23"/>
  <c r="AC2622" i="23"/>
  <c r="AC2623" i="23"/>
  <c r="AC2624" i="23"/>
  <c r="AC2625" i="23"/>
  <c r="AC2626" i="23"/>
  <c r="AC2627" i="23"/>
  <c r="AC2628" i="23"/>
  <c r="AC2629" i="23"/>
  <c r="AC2630" i="23"/>
  <c r="AC2631" i="23"/>
  <c r="AC2632" i="23"/>
  <c r="AC2633" i="23"/>
  <c r="AC2634" i="23"/>
  <c r="AC2635" i="23"/>
  <c r="AC2636" i="23"/>
  <c r="AC2637" i="23"/>
  <c r="AC2638" i="23"/>
  <c r="AC2639" i="23"/>
  <c r="AC2640" i="23"/>
  <c r="AC2641" i="23"/>
  <c r="AC2642" i="23"/>
  <c r="AC2643" i="23"/>
  <c r="AC2644" i="23"/>
  <c r="AC2645" i="23"/>
  <c r="AC2646" i="23"/>
  <c r="AC2647" i="23"/>
  <c r="AC2648" i="23"/>
  <c r="AC2649" i="23"/>
  <c r="AC2650" i="23"/>
  <c r="AC2651" i="23"/>
  <c r="AC2652" i="23"/>
  <c r="AC2653" i="23"/>
  <c r="AC2654" i="23"/>
  <c r="AC2655" i="23"/>
  <c r="AC2656" i="23"/>
  <c r="AC2657" i="23"/>
  <c r="AC2658" i="23"/>
  <c r="AC2659" i="23"/>
  <c r="AC2660" i="23"/>
  <c r="AC2661" i="23"/>
  <c r="AC2662" i="23"/>
  <c r="AC2663" i="23"/>
  <c r="AC2664" i="23"/>
  <c r="AC2665" i="23"/>
  <c r="AC2666" i="23"/>
  <c r="AC2667" i="23"/>
  <c r="AC2668" i="23"/>
  <c r="AC2669" i="23"/>
  <c r="AC2670" i="23"/>
  <c r="AC2671" i="23"/>
  <c r="AC2672" i="23"/>
  <c r="AC2673" i="23"/>
  <c r="AC2674" i="23"/>
  <c r="AC2675" i="23"/>
  <c r="AC2676" i="23"/>
  <c r="AC2677" i="23"/>
  <c r="AC2678" i="23"/>
  <c r="AC2679" i="23"/>
  <c r="AC2680" i="23"/>
  <c r="AC2681" i="23"/>
  <c r="AC2682" i="23"/>
  <c r="AC2683" i="23"/>
  <c r="AC2684" i="23"/>
  <c r="AC2685" i="23"/>
  <c r="AC2686" i="23"/>
  <c r="AC2687" i="23"/>
  <c r="AC2688" i="23"/>
  <c r="AC2689" i="23"/>
  <c r="AC2690" i="23"/>
  <c r="AC2691" i="23"/>
  <c r="AC2692" i="23"/>
  <c r="AC2693" i="23"/>
  <c r="AC2694" i="23"/>
  <c r="AC2695" i="23"/>
  <c r="AC2696" i="23"/>
  <c r="AC2697" i="23"/>
  <c r="AC2698" i="23"/>
  <c r="AC2699" i="23"/>
  <c r="AC2700" i="23"/>
  <c r="AC2701" i="23"/>
  <c r="AC2702" i="23"/>
  <c r="AC2703" i="23"/>
  <c r="AC2704" i="23"/>
  <c r="AC2705" i="23"/>
  <c r="AC2706" i="23"/>
  <c r="AC2707" i="23"/>
  <c r="AC2708" i="23"/>
  <c r="AC2709" i="23"/>
  <c r="AC2710" i="23"/>
  <c r="AC2711" i="23"/>
  <c r="AC2712" i="23"/>
  <c r="AC2713" i="23"/>
  <c r="AC2714" i="23"/>
  <c r="AC2715" i="23"/>
  <c r="AC2716" i="23"/>
  <c r="AC2717" i="23"/>
  <c r="AC2718" i="23"/>
  <c r="AC2719" i="23"/>
  <c r="AC2720" i="23"/>
  <c r="AC2721" i="23"/>
  <c r="AC2722" i="23"/>
  <c r="AC2723" i="23"/>
  <c r="AC2724" i="23"/>
  <c r="AC2725" i="23"/>
  <c r="AC2726" i="23"/>
  <c r="AC2727" i="23"/>
  <c r="AC2728" i="23"/>
  <c r="AC2729" i="23"/>
  <c r="AC2730" i="23"/>
  <c r="AC2731" i="23"/>
  <c r="AC2732" i="23"/>
  <c r="AC2733" i="23"/>
  <c r="AC2734" i="23"/>
  <c r="AC2735" i="23"/>
  <c r="AC2736" i="23"/>
  <c r="AC2737" i="23"/>
  <c r="AC2738" i="23"/>
  <c r="AC2739" i="23"/>
  <c r="AC2740" i="23"/>
  <c r="AC2741" i="23"/>
  <c r="AC2742" i="23"/>
  <c r="AC2743" i="23"/>
  <c r="AC2744" i="23"/>
  <c r="AC2745" i="23"/>
  <c r="AC2746" i="23"/>
  <c r="AC2747" i="23"/>
  <c r="AC2748" i="23"/>
  <c r="AC2749" i="23"/>
  <c r="AC2750" i="23"/>
  <c r="AC2751" i="23"/>
  <c r="AC2752" i="23"/>
  <c r="AC2753" i="23"/>
  <c r="AC2754" i="23"/>
  <c r="AC2755" i="23"/>
  <c r="AC2756" i="23"/>
  <c r="AC2757" i="23"/>
  <c r="AC2758" i="23"/>
  <c r="AC2759" i="23"/>
  <c r="AC2760" i="23"/>
  <c r="AC2761" i="23"/>
  <c r="AC2762" i="23"/>
  <c r="AC2763" i="23"/>
  <c r="AC2764" i="23"/>
  <c r="AC2765" i="23"/>
  <c r="AC2766" i="23"/>
  <c r="AC2767" i="23"/>
  <c r="AC2768" i="23"/>
  <c r="AC2769" i="23"/>
  <c r="AC2770" i="23"/>
  <c r="AC2771" i="23"/>
  <c r="AC2772" i="23"/>
  <c r="AC2773" i="23"/>
  <c r="AC2774" i="23"/>
  <c r="AC2775" i="23"/>
  <c r="AC2776" i="23"/>
  <c r="AC2777" i="23"/>
  <c r="AC2778" i="23"/>
  <c r="AC2779" i="23"/>
  <c r="AC2780" i="23"/>
  <c r="AC2781" i="23"/>
  <c r="AC2782" i="23"/>
  <c r="AC2783" i="23"/>
  <c r="AC2784" i="23"/>
  <c r="AC2785" i="23"/>
  <c r="AC2786" i="23"/>
  <c r="AC2787" i="23"/>
  <c r="AC2788" i="23"/>
  <c r="AC2789" i="23"/>
  <c r="AC2790" i="23"/>
  <c r="AC2791" i="23"/>
  <c r="AC2792" i="23"/>
  <c r="AC2793" i="23"/>
  <c r="AC2794" i="23"/>
  <c r="AC2795" i="23"/>
  <c r="AC2796" i="23"/>
  <c r="AC2797" i="23"/>
  <c r="AC2798" i="23"/>
  <c r="AC2799" i="23"/>
  <c r="AC2800" i="23"/>
  <c r="AC2801" i="23"/>
  <c r="AC2802" i="23"/>
  <c r="AC2803" i="23"/>
  <c r="AC2804" i="23"/>
  <c r="AC2805" i="23"/>
  <c r="AC2806" i="23"/>
  <c r="AC2807" i="23"/>
  <c r="AC2808" i="23"/>
  <c r="AC2809" i="23"/>
  <c r="AC2810" i="23"/>
  <c r="AC2811" i="23"/>
  <c r="AC2812" i="23"/>
  <c r="AC2813" i="23"/>
  <c r="AC2814" i="23"/>
  <c r="AC2815" i="23"/>
  <c r="AC2816" i="23"/>
  <c r="AC2817" i="23"/>
  <c r="AC2818" i="23"/>
  <c r="AC2819" i="23"/>
  <c r="AC2820" i="23"/>
  <c r="AC2821" i="23"/>
  <c r="AC2822" i="23"/>
  <c r="AC2823" i="23"/>
  <c r="AC2824" i="23"/>
  <c r="AC2825" i="23"/>
  <c r="AC2826" i="23"/>
  <c r="AC2827" i="23"/>
  <c r="AC2828" i="23"/>
  <c r="AC2829" i="23"/>
  <c r="AC2830" i="23"/>
  <c r="AC2831" i="23"/>
  <c r="AC2832" i="23"/>
  <c r="AC2833" i="23"/>
  <c r="AC2834" i="23"/>
  <c r="AC2835" i="23"/>
  <c r="AC2836" i="23"/>
  <c r="AC2837" i="23"/>
  <c r="AC2838" i="23"/>
  <c r="AC2839" i="23"/>
  <c r="AC2840" i="23"/>
  <c r="AC2841" i="23"/>
  <c r="AC2842" i="23"/>
  <c r="AC2843" i="23"/>
  <c r="AC2844" i="23"/>
  <c r="AC2845" i="23"/>
  <c r="AC2846" i="23"/>
  <c r="AC2847" i="23"/>
  <c r="AC2848" i="23"/>
  <c r="AC2849" i="23"/>
  <c r="AC2850" i="23"/>
  <c r="AC2851" i="23"/>
  <c r="AC2852" i="23"/>
  <c r="AC2853" i="23"/>
  <c r="AC2854" i="23"/>
  <c r="AC2855" i="23"/>
  <c r="AC2856" i="23"/>
  <c r="AC2857" i="23"/>
  <c r="AC2858" i="23"/>
  <c r="AC2859" i="23"/>
  <c r="AC2860" i="23"/>
  <c r="AC2861" i="23"/>
  <c r="AC2862" i="23"/>
  <c r="AC2863" i="23"/>
  <c r="AC2864" i="23"/>
  <c r="AC2865" i="23"/>
  <c r="AC2866" i="23"/>
  <c r="AC2867" i="23"/>
  <c r="AC2868" i="23"/>
  <c r="AC2869" i="23"/>
  <c r="AC2870" i="23"/>
  <c r="AC2871" i="23"/>
  <c r="AC2872" i="23"/>
  <c r="AC2873" i="23"/>
  <c r="AC2874" i="23"/>
  <c r="AC2875" i="23"/>
  <c r="AC2876" i="23"/>
  <c r="AC2877" i="23"/>
  <c r="AC2878" i="23"/>
  <c r="AC2879" i="23"/>
  <c r="AC2880" i="23"/>
  <c r="AC2881" i="23"/>
  <c r="AC2882" i="23"/>
  <c r="AC2883" i="23"/>
  <c r="AC2884" i="23"/>
  <c r="AC2885" i="23"/>
  <c r="AC2886" i="23"/>
  <c r="AC2887" i="23"/>
  <c r="AC2888" i="23"/>
  <c r="AC2889" i="23"/>
  <c r="AC2890" i="23"/>
  <c r="AC2891" i="23"/>
  <c r="AC2892" i="23"/>
  <c r="AC2893" i="23"/>
  <c r="AC2894" i="23"/>
  <c r="AC2895" i="23"/>
  <c r="AC2896" i="23"/>
  <c r="AC2897" i="23"/>
  <c r="AC2898" i="23"/>
  <c r="AC2899" i="23"/>
  <c r="AC2900" i="23"/>
  <c r="AC2901" i="23"/>
  <c r="AC2902" i="23"/>
  <c r="AC2903" i="23"/>
  <c r="AC2904" i="23"/>
  <c r="AC2905" i="23"/>
  <c r="AC2906" i="23"/>
  <c r="AC2907" i="23"/>
  <c r="AC2908" i="23"/>
  <c r="AC2909" i="23"/>
  <c r="AC2910" i="23"/>
  <c r="AC2911" i="23"/>
  <c r="AC2912" i="23"/>
  <c r="AC2913" i="23"/>
  <c r="AC2914" i="23"/>
  <c r="AC2915" i="23"/>
  <c r="AC2916" i="23"/>
  <c r="AC2917" i="23"/>
  <c r="AC2918" i="23"/>
  <c r="AC2919" i="23"/>
  <c r="AC2920" i="23"/>
  <c r="AC2921" i="23"/>
  <c r="AC2922" i="23"/>
  <c r="AC2923" i="23"/>
  <c r="AC2924" i="23"/>
  <c r="AC2925" i="23"/>
  <c r="AC2926" i="23"/>
  <c r="AC2927" i="23"/>
  <c r="AC2928" i="23"/>
  <c r="AC2929" i="23"/>
  <c r="AC2930" i="23"/>
  <c r="AC2931" i="23"/>
  <c r="AC2932" i="23"/>
  <c r="AC2933" i="23"/>
  <c r="AC2934" i="23"/>
  <c r="AC2935" i="23"/>
  <c r="AC2936" i="23"/>
  <c r="AC2937" i="23"/>
  <c r="AC2938" i="23"/>
  <c r="AC2939" i="23"/>
  <c r="AC2940" i="23"/>
  <c r="AC2941" i="23"/>
  <c r="AC2942" i="23"/>
  <c r="AC2943" i="23"/>
  <c r="AC2944" i="23"/>
  <c r="AC2945" i="23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26" i="35"/>
  <c r="C227" i="35"/>
  <c r="C228" i="35"/>
  <c r="C229" i="35"/>
  <c r="C230" i="35"/>
  <c r="C231" i="35"/>
  <c r="C232" i="35"/>
  <c r="C233" i="35"/>
  <c r="C234" i="35"/>
  <c r="C235" i="35"/>
  <c r="C236" i="35"/>
  <c r="C237" i="35"/>
  <c r="C238" i="35"/>
  <c r="C239" i="35"/>
  <c r="C240" i="35"/>
  <c r="C241" i="35"/>
  <c r="C242" i="35"/>
  <c r="C243" i="35"/>
  <c r="C244" i="35"/>
  <c r="C245" i="35"/>
  <c r="C246" i="35"/>
  <c r="C247" i="35"/>
  <c r="C248" i="35"/>
  <c r="C249" i="35"/>
  <c r="C250" i="35"/>
  <c r="C251" i="35"/>
  <c r="C252" i="35"/>
  <c r="C253" i="35"/>
  <c r="C254" i="35"/>
  <c r="C255" i="35"/>
  <c r="C256" i="35"/>
  <c r="C257" i="35"/>
  <c r="C258" i="35"/>
  <c r="C259" i="35"/>
  <c r="C260" i="35"/>
  <c r="C261" i="35"/>
  <c r="C262" i="35"/>
  <c r="C263" i="35"/>
  <c r="C264" i="35"/>
  <c r="C265" i="35"/>
  <c r="C266" i="35"/>
  <c r="C267" i="35"/>
  <c r="C268" i="35"/>
  <c r="C269" i="35"/>
  <c r="C270" i="35"/>
  <c r="C271" i="35"/>
  <c r="C272" i="35"/>
  <c r="C273" i="35"/>
  <c r="C274" i="35"/>
  <c r="C275" i="35"/>
  <c r="C276" i="35"/>
  <c r="C277" i="35"/>
  <c r="C278" i="35"/>
  <c r="C279" i="35"/>
  <c r="C280" i="35"/>
  <c r="C281" i="35"/>
  <c r="C282" i="35"/>
  <c r="C283" i="35"/>
  <c r="C284" i="35"/>
  <c r="C285" i="35"/>
  <c r="C286" i="35"/>
  <c r="C287" i="35"/>
  <c r="C288" i="35"/>
  <c r="C289" i="35"/>
  <c r="C290" i="35"/>
  <c r="C291" i="35"/>
  <c r="C292" i="35"/>
  <c r="C293" i="35"/>
  <c r="C294" i="35"/>
  <c r="C295" i="35"/>
  <c r="C296" i="35"/>
  <c r="C297" i="35"/>
  <c r="C298" i="35"/>
  <c r="C299" i="35"/>
  <c r="C300" i="35"/>
  <c r="C301" i="35"/>
  <c r="C302" i="35"/>
  <c r="C303" i="35"/>
  <c r="C304" i="35"/>
  <c r="C305" i="35"/>
  <c r="C306" i="35"/>
  <c r="C307" i="35"/>
  <c r="C308" i="35"/>
  <c r="C309" i="35"/>
  <c r="C310" i="35"/>
  <c r="C311" i="35"/>
  <c r="C312" i="35"/>
  <c r="C313" i="35"/>
  <c r="C314" i="35"/>
  <c r="C315" i="35"/>
  <c r="C316" i="35"/>
  <c r="C317" i="35"/>
  <c r="C318" i="35"/>
  <c r="C319" i="35"/>
  <c r="C320" i="35"/>
  <c r="C321" i="35"/>
  <c r="C322" i="35"/>
  <c r="C323" i="35"/>
  <c r="C324" i="35"/>
  <c r="C325" i="35"/>
  <c r="C326" i="35"/>
  <c r="C327" i="35"/>
  <c r="C328" i="35"/>
  <c r="C329" i="35"/>
  <c r="C330" i="35"/>
  <c r="C331" i="35"/>
  <c r="C332" i="35"/>
  <c r="C333" i="35"/>
  <c r="C334" i="35"/>
  <c r="C335" i="35"/>
  <c r="C336" i="35"/>
  <c r="C337" i="35"/>
  <c r="C338" i="35"/>
  <c r="C339" i="35"/>
  <c r="C340" i="35"/>
  <c r="C341" i="35"/>
  <c r="C342" i="35"/>
  <c r="C343" i="35"/>
  <c r="C344" i="35"/>
  <c r="C345" i="35"/>
  <c r="C346" i="35"/>
  <c r="C347" i="35"/>
  <c r="C348" i="35"/>
  <c r="C349" i="35"/>
  <c r="C350" i="35"/>
  <c r="C351" i="35"/>
  <c r="C352" i="35"/>
  <c r="C353" i="35"/>
  <c r="C354" i="35"/>
  <c r="C355" i="35"/>
  <c r="C356" i="35"/>
  <c r="C357" i="35"/>
  <c r="C358" i="35"/>
  <c r="C359" i="35"/>
  <c r="C360" i="35"/>
  <c r="C361" i="35"/>
  <c r="C362" i="35"/>
  <c r="C363" i="35"/>
  <c r="C364" i="35"/>
  <c r="C365" i="35"/>
  <c r="C366" i="35"/>
  <c r="C367" i="35"/>
  <c r="C368" i="35"/>
  <c r="C369" i="35"/>
  <c r="C370" i="35"/>
  <c r="C371" i="35"/>
  <c r="C372" i="35"/>
  <c r="C373" i="35"/>
  <c r="C374" i="35"/>
  <c r="C375" i="35"/>
  <c r="C376" i="35"/>
  <c r="C377" i="35"/>
  <c r="C378" i="35"/>
  <c r="C379" i="35"/>
  <c r="C380" i="35"/>
  <c r="C381" i="35"/>
  <c r="C382" i="35"/>
  <c r="C383" i="35"/>
  <c r="C384" i="35"/>
  <c r="C385" i="35"/>
  <c r="C386" i="35"/>
  <c r="C387" i="35"/>
  <c r="C388" i="35"/>
  <c r="C389" i="35"/>
  <c r="C390" i="35"/>
  <c r="C391" i="35"/>
  <c r="C392" i="35"/>
  <c r="C393" i="35"/>
  <c r="C394" i="35"/>
  <c r="C395" i="35"/>
  <c r="C396" i="35"/>
  <c r="C397" i="35"/>
  <c r="C398" i="35"/>
  <c r="C399" i="35"/>
  <c r="C400" i="35"/>
  <c r="C401" i="35"/>
  <c r="C402" i="35"/>
  <c r="C403" i="35"/>
  <c r="C404" i="35"/>
  <c r="C405" i="35"/>
  <c r="C406" i="35"/>
  <c r="C407" i="35"/>
  <c r="C408" i="35"/>
  <c r="C409" i="35"/>
  <c r="C410" i="35"/>
  <c r="C411" i="35"/>
  <c r="C412" i="35"/>
  <c r="C413" i="35"/>
  <c r="C414" i="35"/>
  <c r="C415" i="35"/>
  <c r="C416" i="35"/>
  <c r="C417" i="35"/>
  <c r="C418" i="35"/>
  <c r="C419" i="35"/>
  <c r="C420" i="35"/>
  <c r="C421" i="35"/>
  <c r="C422" i="35"/>
  <c r="C423" i="35"/>
  <c r="C424" i="35"/>
  <c r="C425" i="35"/>
  <c r="C426" i="35"/>
  <c r="C427" i="35"/>
  <c r="C428" i="35"/>
  <c r="C429" i="35"/>
  <c r="C430" i="35"/>
  <c r="C431" i="35"/>
  <c r="C432" i="35"/>
  <c r="C433" i="35"/>
  <c r="C434" i="35"/>
  <c r="C435" i="35"/>
  <c r="C436" i="35"/>
  <c r="C437" i="35"/>
  <c r="C438" i="35"/>
  <c r="C439" i="35"/>
  <c r="C440" i="35"/>
  <c r="C441" i="35"/>
  <c r="C442" i="35"/>
  <c r="C443" i="35"/>
  <c r="C444" i="35"/>
  <c r="C445" i="35"/>
  <c r="C446" i="35"/>
  <c r="C447" i="35"/>
  <c r="C448" i="35"/>
  <c r="C449" i="35"/>
  <c r="C450" i="35"/>
  <c r="C451" i="35"/>
  <c r="C452" i="35"/>
  <c r="C453" i="35"/>
  <c r="C454" i="35"/>
  <c r="C455" i="35"/>
  <c r="C456" i="35"/>
  <c r="C457" i="35"/>
  <c r="C458" i="35"/>
  <c r="C459" i="35"/>
  <c r="C460" i="35"/>
  <c r="C461" i="35"/>
  <c r="C462" i="35"/>
  <c r="C463" i="35"/>
  <c r="C464" i="35"/>
  <c r="C465" i="35"/>
  <c r="C466" i="35"/>
  <c r="C467" i="35"/>
  <c r="C468" i="35"/>
  <c r="C469" i="35"/>
  <c r="C470" i="35"/>
  <c r="C471" i="35"/>
  <c r="C472" i="35"/>
  <c r="C473" i="35"/>
  <c r="C474" i="35"/>
  <c r="C475" i="35"/>
  <c r="C476" i="35"/>
  <c r="C477" i="35"/>
  <c r="C478" i="35"/>
  <c r="C479" i="35"/>
  <c r="C480" i="35"/>
  <c r="C481" i="35"/>
  <c r="C482" i="35"/>
  <c r="C483" i="35"/>
  <c r="C484" i="35"/>
  <c r="C485" i="35"/>
  <c r="C486" i="35"/>
  <c r="C487" i="35"/>
  <c r="C488" i="35"/>
  <c r="C489" i="35"/>
  <c r="C490" i="35"/>
  <c r="C491" i="35"/>
  <c r="C492" i="35"/>
  <c r="C493" i="35"/>
  <c r="C494" i="35"/>
  <c r="C495" i="35"/>
  <c r="C496" i="35"/>
  <c r="C497" i="35"/>
  <c r="C498" i="35"/>
  <c r="C499" i="35"/>
  <c r="C500" i="35"/>
  <c r="C501" i="35"/>
  <c r="C502" i="35"/>
  <c r="C503" i="35"/>
  <c r="C504" i="35"/>
  <c r="C505" i="35"/>
  <c r="C506" i="35"/>
  <c r="C507" i="35"/>
  <c r="C508" i="35"/>
  <c r="C509" i="35"/>
  <c r="C510" i="35"/>
  <c r="C511" i="35"/>
  <c r="C512" i="35"/>
  <c r="C513" i="35"/>
  <c r="C514" i="35"/>
  <c r="C515" i="35"/>
  <c r="C516" i="35"/>
  <c r="C517" i="35"/>
  <c r="C518" i="35"/>
  <c r="C519" i="35"/>
  <c r="C520" i="35"/>
  <c r="C521" i="35"/>
  <c r="C522" i="35"/>
  <c r="C523" i="35"/>
  <c r="C524" i="35"/>
  <c r="C525" i="35"/>
  <c r="C526" i="35"/>
  <c r="C527" i="35"/>
  <c r="C528" i="35"/>
  <c r="C529" i="35"/>
  <c r="C530" i="35"/>
  <c r="C531" i="35"/>
  <c r="C532" i="35"/>
  <c r="C533" i="35"/>
  <c r="C534" i="35"/>
  <c r="C535" i="35"/>
  <c r="C536" i="35"/>
  <c r="C537" i="35"/>
  <c r="C538" i="35"/>
  <c r="C539" i="35"/>
  <c r="C540" i="35"/>
  <c r="C541" i="35"/>
  <c r="C542" i="35"/>
  <c r="C543" i="35"/>
  <c r="C544" i="35"/>
  <c r="C545" i="35"/>
  <c r="C546" i="35"/>
  <c r="C547" i="35"/>
  <c r="C548" i="35"/>
  <c r="C549" i="35"/>
  <c r="C550" i="35"/>
  <c r="C551" i="35"/>
  <c r="C552" i="35"/>
  <c r="C553" i="35"/>
  <c r="C554" i="35"/>
  <c r="C555" i="35"/>
  <c r="C556" i="35"/>
  <c r="C557" i="35"/>
  <c r="C558" i="35"/>
  <c r="C559" i="35"/>
  <c r="C560" i="35"/>
  <c r="C561" i="35"/>
  <c r="C562" i="35"/>
  <c r="C563" i="35"/>
  <c r="C564" i="35"/>
  <c r="C565" i="35"/>
  <c r="C566" i="35"/>
  <c r="C567" i="35"/>
  <c r="C568" i="35"/>
  <c r="C569" i="35"/>
  <c r="C570" i="35"/>
  <c r="C571" i="35"/>
  <c r="C572" i="35"/>
  <c r="C573" i="35"/>
  <c r="C574" i="35"/>
  <c r="C575" i="35"/>
  <c r="C576" i="35"/>
  <c r="C577" i="35"/>
  <c r="C578" i="35"/>
  <c r="C579" i="35"/>
  <c r="C580" i="35"/>
  <c r="C581" i="35"/>
  <c r="C582" i="35"/>
  <c r="C583" i="35"/>
  <c r="C584" i="35"/>
  <c r="C585" i="35"/>
  <c r="C586" i="35"/>
  <c r="C587" i="35"/>
  <c r="C588" i="35"/>
  <c r="C589" i="35"/>
  <c r="C590" i="35"/>
  <c r="C591" i="35"/>
  <c r="C592" i="35"/>
  <c r="C593" i="35"/>
  <c r="C594" i="35"/>
  <c r="C595" i="35"/>
  <c r="C596" i="35"/>
  <c r="C597" i="35"/>
  <c r="C598" i="35"/>
  <c r="C599" i="35"/>
  <c r="C600" i="35"/>
  <c r="C601" i="35"/>
  <c r="C602" i="35"/>
  <c r="C603" i="35"/>
  <c r="C604" i="35"/>
  <c r="C605" i="35"/>
  <c r="C606" i="35"/>
  <c r="C607" i="35"/>
  <c r="C608" i="35"/>
  <c r="C609" i="35"/>
  <c r="C610" i="35"/>
  <c r="C611" i="35"/>
  <c r="C612" i="35"/>
  <c r="C613" i="35"/>
  <c r="C614" i="35"/>
  <c r="C615" i="35"/>
  <c r="C616" i="35"/>
  <c r="C617" i="35"/>
  <c r="C618" i="35"/>
  <c r="C619" i="35"/>
  <c r="C620" i="35"/>
  <c r="C621" i="35"/>
  <c r="C622" i="35"/>
  <c r="C623" i="35"/>
  <c r="C624" i="35"/>
  <c r="C625" i="35"/>
  <c r="C626" i="35"/>
  <c r="C627" i="35"/>
  <c r="C628" i="35"/>
  <c r="C629" i="35"/>
  <c r="C630" i="35"/>
  <c r="C631" i="35"/>
  <c r="C632" i="35"/>
  <c r="C633" i="35"/>
  <c r="C634" i="35"/>
  <c r="C635" i="35"/>
  <c r="C636" i="35"/>
  <c r="C637" i="35"/>
  <c r="C638" i="35"/>
  <c r="C639" i="35"/>
  <c r="C640" i="35"/>
  <c r="C641" i="35"/>
  <c r="C642" i="35"/>
  <c r="C643" i="35"/>
  <c r="C644" i="35"/>
  <c r="C645" i="35"/>
  <c r="C646" i="35"/>
  <c r="C647" i="35"/>
  <c r="C648" i="35"/>
  <c r="C649" i="35"/>
  <c r="C650" i="35"/>
  <c r="C651" i="35"/>
  <c r="C652" i="35"/>
  <c r="C653" i="35"/>
  <c r="C654" i="35"/>
  <c r="C655" i="35"/>
  <c r="C656" i="35"/>
  <c r="C657" i="35"/>
  <c r="C658" i="35"/>
  <c r="C659" i="35"/>
  <c r="C660" i="35"/>
  <c r="C661" i="35"/>
  <c r="C662" i="35"/>
  <c r="C663" i="35"/>
  <c r="C664" i="35"/>
  <c r="C665" i="35"/>
  <c r="C666" i="35"/>
  <c r="C667" i="35"/>
  <c r="C668" i="35"/>
  <c r="C669" i="35"/>
  <c r="C670" i="35"/>
  <c r="C671" i="35"/>
  <c r="C672" i="35"/>
  <c r="C673" i="35"/>
  <c r="C674" i="35"/>
  <c r="C675" i="35"/>
  <c r="C676" i="35"/>
  <c r="C677" i="35"/>
  <c r="C678" i="35"/>
  <c r="C679" i="35"/>
  <c r="C680" i="35"/>
  <c r="C681" i="35"/>
  <c r="C682" i="35"/>
  <c r="C683" i="35"/>
  <c r="C684" i="35"/>
  <c r="C685" i="35"/>
  <c r="C686" i="35"/>
  <c r="C687" i="35"/>
  <c r="C688" i="35"/>
  <c r="C689" i="35"/>
  <c r="C690" i="35"/>
  <c r="C691" i="35"/>
  <c r="C692" i="35"/>
  <c r="C693" i="35"/>
  <c r="C694" i="35"/>
  <c r="C695" i="35"/>
  <c r="C696" i="35"/>
  <c r="C697" i="35"/>
  <c r="C698" i="35"/>
  <c r="C699" i="35"/>
  <c r="C700" i="35"/>
  <c r="C701" i="35"/>
  <c r="C702" i="35"/>
  <c r="C703" i="35"/>
  <c r="C704" i="35"/>
  <c r="C705" i="35"/>
  <c r="C706" i="35"/>
  <c r="C707" i="35"/>
  <c r="C708" i="35"/>
  <c r="C709" i="35"/>
  <c r="C710" i="35"/>
  <c r="C711" i="35"/>
  <c r="C712" i="35"/>
  <c r="C713" i="35"/>
  <c r="C714" i="35"/>
  <c r="C715" i="35"/>
  <c r="C716" i="35"/>
  <c r="C717" i="35"/>
  <c r="C718" i="35"/>
  <c r="C719" i="35"/>
  <c r="C720" i="35"/>
  <c r="C721" i="35"/>
  <c r="C722" i="35"/>
  <c r="C723" i="35"/>
  <c r="C724" i="35"/>
  <c r="C725" i="35"/>
  <c r="C726" i="35"/>
  <c r="C727" i="35"/>
  <c r="C728" i="35"/>
  <c r="C729" i="35"/>
  <c r="C730" i="35"/>
  <c r="C731" i="35"/>
  <c r="C732" i="35"/>
  <c r="C733" i="35"/>
  <c r="C734" i="35"/>
  <c r="C735" i="35"/>
  <c r="C736" i="35"/>
  <c r="C737" i="35"/>
  <c r="C738" i="35"/>
  <c r="C739" i="35"/>
  <c r="C740" i="35"/>
  <c r="C741" i="35"/>
  <c r="C742" i="35"/>
  <c r="C743" i="35"/>
  <c r="C744" i="35"/>
  <c r="C745" i="35"/>
  <c r="C746" i="35"/>
  <c r="C747" i="35"/>
  <c r="C748" i="35"/>
  <c r="C749" i="35"/>
  <c r="C750" i="35"/>
  <c r="C751" i="35"/>
  <c r="C752" i="35"/>
  <c r="C753" i="35"/>
  <c r="C754" i="35"/>
  <c r="C755" i="35"/>
  <c r="C756" i="35"/>
  <c r="C757" i="35"/>
  <c r="C758" i="35"/>
  <c r="C759" i="35"/>
  <c r="C760" i="35"/>
  <c r="C761" i="35"/>
  <c r="C762" i="35"/>
  <c r="C763" i="35"/>
  <c r="C764" i="35"/>
  <c r="C765" i="35"/>
  <c r="C766" i="35"/>
  <c r="C767" i="35"/>
  <c r="C768" i="35"/>
  <c r="C769" i="35"/>
  <c r="C770" i="35"/>
  <c r="C771" i="35"/>
  <c r="C772" i="35"/>
  <c r="C773" i="35"/>
  <c r="C774" i="35"/>
  <c r="C775" i="35"/>
  <c r="C776" i="35"/>
  <c r="C777" i="35"/>
  <c r="C778" i="35"/>
  <c r="C779" i="35"/>
  <c r="C780" i="35"/>
  <c r="C781" i="35"/>
  <c r="C782" i="35"/>
  <c r="C783" i="35"/>
  <c r="C784" i="35"/>
  <c r="C785" i="35"/>
  <c r="C786" i="35"/>
  <c r="C787" i="35"/>
  <c r="C788" i="35"/>
  <c r="C789" i="35"/>
  <c r="C790" i="35"/>
  <c r="C791" i="35"/>
  <c r="C792" i="35"/>
  <c r="C793" i="35"/>
  <c r="C794" i="35"/>
  <c r="C795" i="35"/>
  <c r="C796" i="35"/>
  <c r="C797" i="35"/>
  <c r="C798" i="35"/>
  <c r="C799" i="35"/>
  <c r="C800" i="35"/>
  <c r="C801" i="35"/>
  <c r="C802" i="35"/>
  <c r="C803" i="35"/>
  <c r="C804" i="35"/>
  <c r="C805" i="35"/>
  <c r="C806" i="35"/>
  <c r="C807" i="35"/>
  <c r="C808" i="35"/>
  <c r="C809" i="35"/>
  <c r="C810" i="35"/>
  <c r="C811" i="35"/>
  <c r="C812" i="35"/>
  <c r="C813" i="35"/>
  <c r="C814" i="35"/>
  <c r="C815" i="35"/>
  <c r="C816" i="35"/>
  <c r="C817" i="35"/>
  <c r="C818" i="35"/>
  <c r="C819" i="35"/>
  <c r="C820" i="35"/>
  <c r="C821" i="35"/>
  <c r="C822" i="35"/>
  <c r="C823" i="35"/>
  <c r="C824" i="35"/>
  <c r="C825" i="35"/>
  <c r="C826" i="35"/>
  <c r="C827" i="35"/>
  <c r="C828" i="35"/>
  <c r="C829" i="35"/>
  <c r="C830" i="35"/>
  <c r="C831" i="35"/>
  <c r="C832" i="35"/>
  <c r="C833" i="35"/>
  <c r="C834" i="35"/>
  <c r="C835" i="35"/>
  <c r="C836" i="35"/>
  <c r="C837" i="35"/>
  <c r="C838" i="35"/>
  <c r="C839" i="35"/>
  <c r="C840" i="35"/>
  <c r="C841" i="35"/>
  <c r="C842" i="35"/>
  <c r="C843" i="35"/>
  <c r="C844" i="35"/>
  <c r="C845" i="35"/>
  <c r="C846" i="35"/>
  <c r="C847" i="35"/>
  <c r="C848" i="35"/>
  <c r="C849" i="35"/>
  <c r="C850" i="35"/>
  <c r="C851" i="35"/>
  <c r="C852" i="35"/>
  <c r="C853" i="35"/>
  <c r="C854" i="35"/>
  <c r="C855" i="35"/>
  <c r="C856" i="35"/>
  <c r="C857" i="35"/>
  <c r="C858" i="35"/>
  <c r="C859" i="35"/>
  <c r="C860" i="35"/>
  <c r="C861" i="35"/>
  <c r="C862" i="35"/>
  <c r="C863" i="35"/>
  <c r="C864" i="35"/>
  <c r="C865" i="35"/>
  <c r="C866" i="35"/>
  <c r="C867" i="35"/>
  <c r="C868" i="35"/>
  <c r="C869" i="35"/>
  <c r="C870" i="35"/>
  <c r="C871" i="35"/>
  <c r="C872" i="35"/>
  <c r="C873" i="35"/>
  <c r="C874" i="35"/>
  <c r="C875" i="35"/>
  <c r="C876" i="35"/>
  <c r="C877" i="35"/>
  <c r="C878" i="35"/>
  <c r="C879" i="35"/>
  <c r="C880" i="35"/>
  <c r="C881" i="35"/>
  <c r="C882" i="35"/>
  <c r="C883" i="35"/>
  <c r="C884" i="35"/>
  <c r="C885" i="35"/>
  <c r="C886" i="35"/>
  <c r="C887" i="35"/>
  <c r="C888" i="35"/>
  <c r="C889" i="35"/>
  <c r="C890" i="35"/>
  <c r="C891" i="35"/>
  <c r="C892" i="35"/>
  <c r="C893" i="35"/>
  <c r="C894" i="35"/>
  <c r="C895" i="35"/>
  <c r="C896" i="35"/>
  <c r="C897" i="35"/>
  <c r="C898" i="35"/>
  <c r="C899" i="35"/>
  <c r="C900" i="35"/>
  <c r="C901" i="35"/>
  <c r="C902" i="35"/>
  <c r="C903" i="35"/>
  <c r="C904" i="35"/>
  <c r="C905" i="35"/>
  <c r="C906" i="35"/>
  <c r="C907" i="35"/>
  <c r="C908" i="35"/>
  <c r="C909" i="35"/>
  <c r="C910" i="35"/>
  <c r="C911" i="35"/>
  <c r="C912" i="35"/>
  <c r="C913" i="35"/>
  <c r="C914" i="35"/>
  <c r="C915" i="35"/>
  <c r="C916" i="35"/>
  <c r="C917" i="35"/>
  <c r="C918" i="35"/>
  <c r="C919" i="35"/>
  <c r="C920" i="35"/>
  <c r="C921" i="35"/>
  <c r="C922" i="35"/>
  <c r="C923" i="35"/>
  <c r="C924" i="35"/>
  <c r="C925" i="35"/>
  <c r="C926" i="35"/>
  <c r="C927" i="35"/>
  <c r="C928" i="35"/>
  <c r="C929" i="35"/>
  <c r="C930" i="35"/>
  <c r="C931" i="35"/>
  <c r="C932" i="35"/>
  <c r="C933" i="35"/>
  <c r="C934" i="35"/>
  <c r="C935" i="35"/>
  <c r="C936" i="35"/>
  <c r="C937" i="35"/>
  <c r="C938" i="35"/>
  <c r="C939" i="35"/>
  <c r="C940" i="35"/>
  <c r="C941" i="35"/>
  <c r="C942" i="35"/>
  <c r="C943" i="35"/>
  <c r="C944" i="35"/>
  <c r="C945" i="35"/>
  <c r="C946" i="35"/>
  <c r="C947" i="35"/>
  <c r="C948" i="35"/>
  <c r="C949" i="35"/>
  <c r="C950" i="35"/>
  <c r="C951" i="35"/>
  <c r="C952" i="35"/>
  <c r="C953" i="35"/>
  <c r="C954" i="35"/>
  <c r="C955" i="35"/>
  <c r="C956" i="35"/>
  <c r="C957" i="35"/>
  <c r="C958" i="35"/>
  <c r="C959" i="35"/>
  <c r="C960" i="35"/>
  <c r="C961" i="35"/>
  <c r="C962" i="35"/>
  <c r="C963" i="35"/>
  <c r="C964" i="35"/>
  <c r="C965" i="35"/>
  <c r="C966" i="35"/>
  <c r="C967" i="35"/>
  <c r="C968" i="35"/>
  <c r="C969" i="35"/>
  <c r="C970" i="35"/>
  <c r="C971" i="35"/>
  <c r="C972" i="35"/>
  <c r="C973" i="35"/>
  <c r="C974" i="35"/>
  <c r="C975" i="35"/>
  <c r="C976" i="35"/>
  <c r="C977" i="35"/>
  <c r="C978" i="35"/>
  <c r="C979" i="35"/>
  <c r="C980" i="35"/>
  <c r="C981" i="35"/>
  <c r="C982" i="35"/>
  <c r="C983" i="35"/>
  <c r="C984" i="35"/>
  <c r="C985" i="35"/>
  <c r="C986" i="35"/>
  <c r="C987" i="35"/>
  <c r="C988" i="35"/>
  <c r="C989" i="35"/>
  <c r="C990" i="35"/>
  <c r="C991" i="35"/>
  <c r="C992" i="35"/>
  <c r="C993" i="35"/>
  <c r="C994" i="35"/>
  <c r="C995" i="35"/>
  <c r="C996" i="35"/>
  <c r="C997" i="35"/>
  <c r="C998" i="35"/>
  <c r="C999" i="35"/>
  <c r="C1000" i="35"/>
  <c r="C1001" i="35"/>
  <c r="C1002" i="35"/>
  <c r="C1003" i="35"/>
  <c r="C1004" i="35"/>
  <c r="C1005" i="35"/>
  <c r="C1006" i="35"/>
  <c r="C1007" i="35"/>
  <c r="C1008" i="35"/>
  <c r="C1009" i="35"/>
  <c r="C1010" i="35"/>
  <c r="C1011" i="35"/>
  <c r="C1012" i="35"/>
  <c r="C1013" i="35"/>
  <c r="C1014" i="35"/>
  <c r="C1015" i="35"/>
  <c r="C1016" i="35"/>
  <c r="C1017" i="35"/>
  <c r="C1018" i="35"/>
  <c r="C1019" i="35"/>
  <c r="C1020" i="35"/>
  <c r="C1021" i="35"/>
  <c r="C1022" i="35"/>
  <c r="C1023" i="35"/>
  <c r="C1024" i="35"/>
  <c r="C1025" i="35"/>
  <c r="C1026" i="35"/>
  <c r="C1027" i="35"/>
  <c r="C1028" i="35"/>
  <c r="C1029" i="35"/>
  <c r="C1030" i="35"/>
  <c r="C1031" i="35"/>
  <c r="C1032" i="35"/>
  <c r="C1033" i="35"/>
  <c r="C1034" i="35"/>
  <c r="C1035" i="35"/>
  <c r="C1036" i="35"/>
  <c r="C1037" i="35"/>
  <c r="C1038" i="35"/>
  <c r="C1039" i="35"/>
  <c r="C1040" i="35"/>
  <c r="C1041" i="35"/>
  <c r="C1042" i="35"/>
  <c r="C1043" i="35"/>
  <c r="C1044" i="35"/>
  <c r="C1045" i="35"/>
  <c r="C1046" i="35"/>
  <c r="C1047" i="35"/>
  <c r="C1048" i="35"/>
  <c r="C1049" i="35"/>
  <c r="C1050" i="35"/>
  <c r="C1051" i="35"/>
  <c r="C1052" i="35"/>
  <c r="C1053" i="35"/>
  <c r="C1054" i="35"/>
  <c r="C1055" i="35"/>
  <c r="C1056" i="35"/>
  <c r="C1057" i="35"/>
  <c r="C1058" i="35"/>
  <c r="C1059" i="35"/>
  <c r="C1060" i="35"/>
  <c r="C1061" i="35"/>
  <c r="C1062" i="35"/>
  <c r="C1063" i="35"/>
  <c r="C1064" i="35"/>
  <c r="C1065" i="35"/>
  <c r="C1066" i="35"/>
  <c r="C1067" i="35"/>
  <c r="C1068" i="35"/>
  <c r="C1069" i="35"/>
  <c r="C1070" i="35"/>
  <c r="C1071" i="35"/>
  <c r="C1072" i="35"/>
  <c r="C1073" i="35"/>
  <c r="C1074" i="35"/>
  <c r="C1075" i="35"/>
  <c r="C1076" i="35"/>
  <c r="C1077" i="35"/>
  <c r="C1078" i="35"/>
  <c r="C1079" i="35"/>
  <c r="C1080" i="35"/>
  <c r="C1081" i="35"/>
  <c r="C1082" i="35"/>
  <c r="C1083" i="35"/>
  <c r="C1084" i="35"/>
  <c r="C1085" i="35"/>
  <c r="C1086" i="35"/>
  <c r="C1087" i="35"/>
  <c r="C1088" i="35"/>
  <c r="C1089" i="35"/>
  <c r="C1090" i="35"/>
  <c r="C1091" i="35"/>
  <c r="C1092" i="35"/>
  <c r="C1093" i="35"/>
  <c r="C1094" i="35"/>
  <c r="C1095" i="35"/>
  <c r="C1096" i="35"/>
  <c r="C1097" i="35"/>
  <c r="C1098" i="35"/>
  <c r="C1099" i="35"/>
  <c r="C1100" i="35"/>
  <c r="C1101" i="35"/>
  <c r="C1102" i="35"/>
  <c r="C1103" i="35"/>
  <c r="C1104" i="35"/>
  <c r="C1105" i="35"/>
  <c r="C1106" i="35"/>
  <c r="C1107" i="35"/>
  <c r="C1108" i="35"/>
  <c r="C1109" i="35"/>
  <c r="C1110" i="35"/>
  <c r="C1111" i="35"/>
  <c r="C1112" i="35"/>
  <c r="C1113" i="35"/>
  <c r="C1114" i="35"/>
  <c r="C1115" i="35"/>
  <c r="C1116" i="35"/>
  <c r="C1117" i="35"/>
  <c r="C1118" i="35"/>
  <c r="C1119" i="35"/>
  <c r="C1120" i="35"/>
  <c r="C1121" i="35"/>
  <c r="C1122" i="35"/>
  <c r="C1123" i="35"/>
  <c r="C1124" i="35"/>
  <c r="C1125" i="35"/>
  <c r="C1126" i="35"/>
  <c r="C1127" i="35"/>
  <c r="C1128" i="35"/>
  <c r="C1129" i="35"/>
  <c r="C1130" i="35"/>
  <c r="C1131" i="35"/>
  <c r="C1132" i="35"/>
  <c r="C1133" i="35"/>
  <c r="C1134" i="35"/>
  <c r="C1135" i="35"/>
  <c r="C1136" i="35"/>
  <c r="C1137" i="35"/>
  <c r="C1138" i="35"/>
  <c r="C1139" i="35"/>
  <c r="C1140" i="35"/>
  <c r="C1141" i="35"/>
  <c r="C1142" i="35"/>
  <c r="C1143" i="35"/>
  <c r="C1144" i="35"/>
  <c r="C1145" i="35"/>
  <c r="C1146" i="35"/>
  <c r="C1147" i="35"/>
  <c r="C1148" i="35"/>
  <c r="C1149" i="35"/>
  <c r="C1150" i="35"/>
  <c r="C1151" i="35"/>
  <c r="C1152" i="35"/>
  <c r="C1153" i="35"/>
  <c r="C1154" i="35"/>
  <c r="C1155" i="35"/>
  <c r="C1156" i="35"/>
  <c r="C1157" i="35"/>
  <c r="C1158" i="35"/>
  <c r="C1159" i="35"/>
  <c r="C1160" i="35"/>
  <c r="C1161" i="35"/>
  <c r="C1162" i="35"/>
  <c r="C1163" i="35"/>
  <c r="C1164" i="35"/>
  <c r="C1165" i="35"/>
  <c r="C1166" i="35"/>
  <c r="C1167" i="35"/>
  <c r="C1168" i="35"/>
  <c r="C116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B180" i="35"/>
  <c r="B181" i="35"/>
  <c r="B182" i="35"/>
  <c r="B183" i="35"/>
  <c r="B184" i="35"/>
  <c r="B185" i="35"/>
  <c r="B186" i="35"/>
  <c r="B187" i="35"/>
  <c r="B188" i="35"/>
  <c r="B189" i="35"/>
  <c r="B190" i="35"/>
  <c r="B191" i="35"/>
  <c r="B192" i="35"/>
  <c r="B193" i="35"/>
  <c r="B194" i="35"/>
  <c r="B195" i="35"/>
  <c r="B196" i="35"/>
  <c r="B197" i="35"/>
  <c r="B198" i="35"/>
  <c r="B199" i="35"/>
  <c r="B200" i="35"/>
  <c r="B201" i="35"/>
  <c r="B202" i="35"/>
  <c r="B203" i="35"/>
  <c r="B204" i="35"/>
  <c r="B205" i="35"/>
  <c r="B206" i="35"/>
  <c r="B207" i="35"/>
  <c r="B208" i="35"/>
  <c r="B209" i="35"/>
  <c r="B210" i="35"/>
  <c r="B211" i="35"/>
  <c r="B212" i="35"/>
  <c r="B213" i="35"/>
  <c r="B214" i="35"/>
  <c r="B215" i="35"/>
  <c r="B216" i="35"/>
  <c r="B217" i="35"/>
  <c r="B218" i="35"/>
  <c r="B219" i="35"/>
  <c r="B220" i="35"/>
  <c r="B221" i="35"/>
  <c r="B222" i="35"/>
  <c r="B223" i="35"/>
  <c r="B224" i="35"/>
  <c r="B225" i="35"/>
  <c r="B226" i="35"/>
  <c r="B227" i="35"/>
  <c r="B228" i="35"/>
  <c r="B229" i="35"/>
  <c r="B230" i="35"/>
  <c r="B231" i="35"/>
  <c r="B232" i="35"/>
  <c r="B233" i="35"/>
  <c r="B234" i="35"/>
  <c r="B235" i="35"/>
  <c r="B236" i="35"/>
  <c r="B237" i="35"/>
  <c r="B238" i="35"/>
  <c r="B239" i="35"/>
  <c r="B240" i="35"/>
  <c r="B241" i="35"/>
  <c r="B242" i="35"/>
  <c r="B243" i="35"/>
  <c r="B244" i="35"/>
  <c r="B245" i="35"/>
  <c r="B246" i="35"/>
  <c r="B247" i="35"/>
  <c r="B248" i="35"/>
  <c r="B249" i="35"/>
  <c r="B250" i="35"/>
  <c r="B251" i="35"/>
  <c r="B252" i="35"/>
  <c r="B253" i="35"/>
  <c r="B254" i="35"/>
  <c r="B255" i="35"/>
  <c r="B256" i="35"/>
  <c r="B257" i="35"/>
  <c r="B258" i="35"/>
  <c r="B259" i="35"/>
  <c r="B260" i="35"/>
  <c r="B261" i="35"/>
  <c r="B262" i="35"/>
  <c r="B263" i="35"/>
  <c r="B264" i="35"/>
  <c r="B265" i="35"/>
  <c r="B266" i="35"/>
  <c r="B267" i="35"/>
  <c r="B268" i="35"/>
  <c r="B269" i="35"/>
  <c r="B270" i="35"/>
  <c r="B271" i="35"/>
  <c r="B272" i="35"/>
  <c r="B273" i="35"/>
  <c r="B274" i="35"/>
  <c r="B275" i="35"/>
  <c r="B276" i="35"/>
  <c r="B277" i="35"/>
  <c r="B278" i="35"/>
  <c r="B279" i="35"/>
  <c r="B280" i="35"/>
  <c r="B281" i="35"/>
  <c r="B282" i="35"/>
  <c r="B283" i="35"/>
  <c r="B284" i="35"/>
  <c r="B285" i="35"/>
  <c r="B286" i="35"/>
  <c r="B287" i="35"/>
  <c r="B288" i="35"/>
  <c r="B289" i="35"/>
  <c r="B290" i="35"/>
  <c r="B291" i="35"/>
  <c r="B292" i="35"/>
  <c r="B293" i="35"/>
  <c r="B294" i="35"/>
  <c r="B295" i="35"/>
  <c r="B296" i="35"/>
  <c r="B297" i="35"/>
  <c r="B298" i="35"/>
  <c r="B299" i="35"/>
  <c r="B300" i="35"/>
  <c r="B301" i="35"/>
  <c r="B302" i="35"/>
  <c r="B303" i="35"/>
  <c r="B304" i="35"/>
  <c r="B305" i="35"/>
  <c r="B306" i="35"/>
  <c r="B307" i="35"/>
  <c r="B308" i="35"/>
  <c r="B309" i="35"/>
  <c r="B310" i="35"/>
  <c r="B311" i="35"/>
  <c r="B312" i="35"/>
  <c r="B313" i="35"/>
  <c r="B314" i="35"/>
  <c r="B315" i="35"/>
  <c r="B316" i="35"/>
  <c r="B317" i="35"/>
  <c r="B318" i="35"/>
  <c r="B319" i="35"/>
  <c r="B320" i="35"/>
  <c r="B321" i="35"/>
  <c r="B322" i="35"/>
  <c r="B323" i="35"/>
  <c r="B324" i="35"/>
  <c r="B325" i="35"/>
  <c r="B326" i="35"/>
  <c r="B327" i="35"/>
  <c r="B328" i="35"/>
  <c r="B329" i="35"/>
  <c r="B330" i="35"/>
  <c r="B331" i="35"/>
  <c r="B332" i="35"/>
  <c r="B333" i="35"/>
  <c r="B334" i="35"/>
  <c r="B335" i="35"/>
  <c r="B336" i="35"/>
  <c r="B337" i="35"/>
  <c r="B338" i="35"/>
  <c r="B339" i="35"/>
  <c r="B340" i="35"/>
  <c r="B341" i="35"/>
  <c r="B342" i="35"/>
  <c r="B343" i="35"/>
  <c r="B344" i="35"/>
  <c r="B345" i="35"/>
  <c r="B346" i="35"/>
  <c r="B347" i="35"/>
  <c r="B348" i="35"/>
  <c r="B349" i="35"/>
  <c r="B350" i="35"/>
  <c r="B351" i="35"/>
  <c r="B352" i="35"/>
  <c r="B353" i="35"/>
  <c r="B354" i="35"/>
  <c r="B355" i="35"/>
  <c r="B356" i="35"/>
  <c r="B357" i="35"/>
  <c r="B358" i="35"/>
  <c r="B359" i="35"/>
  <c r="B360" i="35"/>
  <c r="B361" i="35"/>
  <c r="B362" i="35"/>
  <c r="B363" i="35"/>
  <c r="B364" i="35"/>
  <c r="B365" i="35"/>
  <c r="B366" i="35"/>
  <c r="B367" i="35"/>
  <c r="B368" i="35"/>
  <c r="B369" i="35"/>
  <c r="B370" i="35"/>
  <c r="B371" i="35"/>
  <c r="B372" i="35"/>
  <c r="B373" i="35"/>
  <c r="B374" i="35"/>
  <c r="B375" i="35"/>
  <c r="B376" i="35"/>
  <c r="B377" i="35"/>
  <c r="B378" i="35"/>
  <c r="B379" i="35"/>
  <c r="B380" i="35"/>
  <c r="B381" i="35"/>
  <c r="B382" i="35"/>
  <c r="B383" i="35"/>
  <c r="B384" i="35"/>
  <c r="B385" i="35"/>
  <c r="B386" i="35"/>
  <c r="B387" i="35"/>
  <c r="B388" i="35"/>
  <c r="B389" i="35"/>
  <c r="B390" i="35"/>
  <c r="B391" i="35"/>
  <c r="B392" i="35"/>
  <c r="B393" i="35"/>
  <c r="B394" i="35"/>
  <c r="B395" i="35"/>
  <c r="B396" i="35"/>
  <c r="B397" i="35"/>
  <c r="B398" i="35"/>
  <c r="B399" i="35"/>
  <c r="B400" i="35"/>
  <c r="B401" i="35"/>
  <c r="B402" i="35"/>
  <c r="B403" i="35"/>
  <c r="B404" i="35"/>
  <c r="B405" i="35"/>
  <c r="B406" i="35"/>
  <c r="B407" i="35"/>
  <c r="B408" i="35"/>
  <c r="B409" i="35"/>
  <c r="B410" i="35"/>
  <c r="B411" i="35"/>
  <c r="B412" i="35"/>
  <c r="B413" i="35"/>
  <c r="B414" i="35"/>
  <c r="B415" i="35"/>
  <c r="B416" i="35"/>
  <c r="B417" i="35"/>
  <c r="B418" i="35"/>
  <c r="B419" i="35"/>
  <c r="B420" i="35"/>
  <c r="B421" i="35"/>
  <c r="B422" i="35"/>
  <c r="B423" i="35"/>
  <c r="B424" i="35"/>
  <c r="B425" i="35"/>
  <c r="B426" i="35"/>
  <c r="B427" i="35"/>
  <c r="B428" i="35"/>
  <c r="B429" i="35"/>
  <c r="B430" i="35"/>
  <c r="B431" i="35"/>
  <c r="B432" i="35"/>
  <c r="B433" i="35"/>
  <c r="B434" i="35"/>
  <c r="B435" i="35"/>
  <c r="B436" i="35"/>
  <c r="B437" i="35"/>
  <c r="B438" i="35"/>
  <c r="B439" i="35"/>
  <c r="B440" i="35"/>
  <c r="B441" i="35"/>
  <c r="B442" i="35"/>
  <c r="B443" i="35"/>
  <c r="B444" i="35"/>
  <c r="B445" i="35"/>
  <c r="B446" i="35"/>
  <c r="B447" i="35"/>
  <c r="B448" i="35"/>
  <c r="B449" i="35"/>
  <c r="B450" i="35"/>
  <c r="B451" i="35"/>
  <c r="B452" i="35"/>
  <c r="B453" i="35"/>
  <c r="B454" i="35"/>
  <c r="B455" i="35"/>
  <c r="B456" i="35"/>
  <c r="B457" i="35"/>
  <c r="B458" i="35"/>
  <c r="B459" i="35"/>
  <c r="B460" i="35"/>
  <c r="B461" i="35"/>
  <c r="B462" i="35"/>
  <c r="B463" i="35"/>
  <c r="B464" i="35"/>
  <c r="B465" i="35"/>
  <c r="B466" i="35"/>
  <c r="B467" i="35"/>
  <c r="B468" i="35"/>
  <c r="B469" i="35"/>
  <c r="B470" i="35"/>
  <c r="B471" i="35"/>
  <c r="B472" i="35"/>
  <c r="B473" i="35"/>
  <c r="B474" i="35"/>
  <c r="B475" i="35"/>
  <c r="B476" i="35"/>
  <c r="B477" i="35"/>
  <c r="B478" i="35"/>
  <c r="B479" i="35"/>
  <c r="B480" i="35"/>
  <c r="B481" i="35"/>
  <c r="B482" i="35"/>
  <c r="B483" i="35"/>
  <c r="B484" i="35"/>
  <c r="B485" i="35"/>
  <c r="B486" i="35"/>
  <c r="B487" i="35"/>
  <c r="B488" i="35"/>
  <c r="B489" i="35"/>
  <c r="B490" i="35"/>
  <c r="B491" i="35"/>
  <c r="B492" i="35"/>
  <c r="B493" i="35"/>
  <c r="B494" i="35"/>
  <c r="B495" i="35"/>
  <c r="B496" i="35"/>
  <c r="B497" i="35"/>
  <c r="B498" i="35"/>
  <c r="B499" i="35"/>
  <c r="B500" i="35"/>
  <c r="B501" i="35"/>
  <c r="B502" i="35"/>
  <c r="B503" i="35"/>
  <c r="B504" i="35"/>
  <c r="B505" i="35"/>
  <c r="B506" i="35"/>
  <c r="B507" i="35"/>
  <c r="B508" i="35"/>
  <c r="B509" i="35"/>
  <c r="B510" i="35"/>
  <c r="B511" i="35"/>
  <c r="B512" i="35"/>
  <c r="B513" i="35"/>
  <c r="B514" i="35"/>
  <c r="B515" i="35"/>
  <c r="B516" i="35"/>
  <c r="B517" i="35"/>
  <c r="B518" i="35"/>
  <c r="B519" i="35"/>
  <c r="B520" i="35"/>
  <c r="B521" i="35"/>
  <c r="B522" i="35"/>
  <c r="B523" i="35"/>
  <c r="B524" i="35"/>
  <c r="B525" i="35"/>
  <c r="B526" i="35"/>
  <c r="B527" i="35"/>
  <c r="B528" i="35"/>
  <c r="B529" i="35"/>
  <c r="B530" i="35"/>
  <c r="B531" i="35"/>
  <c r="B532" i="35"/>
  <c r="B533" i="35"/>
  <c r="B534" i="35"/>
  <c r="B535" i="35"/>
  <c r="B536" i="35"/>
  <c r="B537" i="35"/>
  <c r="B538" i="35"/>
  <c r="B539" i="35"/>
  <c r="B540" i="35"/>
  <c r="B541" i="35"/>
  <c r="B542" i="35"/>
  <c r="B543" i="35"/>
  <c r="B544" i="35"/>
  <c r="B545" i="35"/>
  <c r="B546" i="35"/>
  <c r="B547" i="35"/>
  <c r="B548" i="35"/>
  <c r="B549" i="35"/>
  <c r="B550" i="35"/>
  <c r="B551" i="35"/>
  <c r="B552" i="35"/>
  <c r="B553" i="35"/>
  <c r="B554" i="35"/>
  <c r="B555" i="35"/>
  <c r="B556" i="35"/>
  <c r="B557" i="35"/>
  <c r="B558" i="35"/>
  <c r="B559" i="35"/>
  <c r="B560" i="35"/>
  <c r="B561" i="35"/>
  <c r="B562" i="35"/>
  <c r="B563" i="35"/>
  <c r="B564" i="35"/>
  <c r="B565" i="35"/>
  <c r="B566" i="35"/>
  <c r="B567" i="35"/>
  <c r="B568" i="35"/>
  <c r="B569" i="35"/>
  <c r="B570" i="35"/>
  <c r="B571" i="35"/>
  <c r="B572" i="35"/>
  <c r="B573" i="35"/>
  <c r="B574" i="35"/>
  <c r="B575" i="35"/>
  <c r="B576" i="35"/>
  <c r="B577" i="35"/>
  <c r="B578" i="35"/>
  <c r="B579" i="35"/>
  <c r="B580" i="35"/>
  <c r="B581" i="35"/>
  <c r="B582" i="35"/>
  <c r="B583" i="35"/>
  <c r="B584" i="35"/>
  <c r="B585" i="35"/>
  <c r="B586" i="35"/>
  <c r="B587" i="35"/>
  <c r="B588" i="35"/>
  <c r="B589" i="35"/>
  <c r="B590" i="35"/>
  <c r="B591" i="35"/>
  <c r="B592" i="35"/>
  <c r="B593" i="35"/>
  <c r="B594" i="35"/>
  <c r="B595" i="35"/>
  <c r="B596" i="35"/>
  <c r="B597" i="35"/>
  <c r="B598" i="35"/>
  <c r="B599" i="35"/>
  <c r="B600" i="35"/>
  <c r="B601" i="35"/>
  <c r="B602" i="35"/>
  <c r="B603" i="35"/>
  <c r="B604" i="35"/>
  <c r="B605" i="35"/>
  <c r="B606" i="35"/>
  <c r="B607" i="35"/>
  <c r="B608" i="35"/>
  <c r="B609" i="35"/>
  <c r="B610" i="35"/>
  <c r="B611" i="35"/>
  <c r="B612" i="35"/>
  <c r="B613" i="35"/>
  <c r="B614" i="35"/>
  <c r="B615" i="35"/>
  <c r="B616" i="35"/>
  <c r="B617" i="35"/>
  <c r="B618" i="35"/>
  <c r="B619" i="35"/>
  <c r="B620" i="35"/>
  <c r="B621" i="35"/>
  <c r="B622" i="35"/>
  <c r="B623" i="35"/>
  <c r="B624" i="35"/>
  <c r="B625" i="35"/>
  <c r="B626" i="35"/>
  <c r="B627" i="35"/>
  <c r="B628" i="35"/>
  <c r="B629" i="35"/>
  <c r="B630" i="35"/>
  <c r="B631" i="35"/>
  <c r="B632" i="35"/>
  <c r="B633" i="35"/>
  <c r="B634" i="35"/>
  <c r="B635" i="35"/>
  <c r="B636" i="35"/>
  <c r="B637" i="35"/>
  <c r="B638" i="35"/>
  <c r="B639" i="35"/>
  <c r="B640" i="35"/>
  <c r="B641" i="35"/>
  <c r="B642" i="35"/>
  <c r="B643" i="35"/>
  <c r="B644" i="35"/>
  <c r="B645" i="35"/>
  <c r="B646" i="35"/>
  <c r="B647" i="35"/>
  <c r="B648" i="35"/>
  <c r="B649" i="35"/>
  <c r="B650" i="35"/>
  <c r="B651" i="35"/>
  <c r="B652" i="35"/>
  <c r="B653" i="35"/>
  <c r="B654" i="35"/>
  <c r="B655" i="35"/>
  <c r="B656" i="35"/>
  <c r="B657" i="35"/>
  <c r="B658" i="35"/>
  <c r="B659" i="35"/>
  <c r="B660" i="35"/>
  <c r="B661" i="35"/>
  <c r="B662" i="35"/>
  <c r="B663" i="35"/>
  <c r="B664" i="35"/>
  <c r="B665" i="35"/>
  <c r="B666" i="35"/>
  <c r="B667" i="35"/>
  <c r="B668" i="35"/>
  <c r="B669" i="35"/>
  <c r="B670" i="35"/>
  <c r="B671" i="35"/>
  <c r="B672" i="35"/>
  <c r="B673" i="35"/>
  <c r="B674" i="35"/>
  <c r="B675" i="35"/>
  <c r="B676" i="35"/>
  <c r="B677" i="35"/>
  <c r="B678" i="35"/>
  <c r="B679" i="35"/>
  <c r="B680" i="35"/>
  <c r="B681" i="35"/>
  <c r="B682" i="35"/>
  <c r="B683" i="35"/>
  <c r="B684" i="35"/>
  <c r="B685" i="35"/>
  <c r="B686" i="35"/>
  <c r="B687" i="35"/>
  <c r="B688" i="35"/>
  <c r="B689" i="35"/>
  <c r="B690" i="35"/>
  <c r="B691" i="35"/>
  <c r="B692" i="35"/>
  <c r="B693" i="35"/>
  <c r="B694" i="35"/>
  <c r="B695" i="35"/>
  <c r="B696" i="35"/>
  <c r="B697" i="35"/>
  <c r="B698" i="35"/>
  <c r="B699" i="35"/>
  <c r="B700" i="35"/>
  <c r="B701" i="35"/>
  <c r="B702" i="35"/>
  <c r="B703" i="35"/>
  <c r="B704" i="35"/>
  <c r="B705" i="35"/>
  <c r="B706" i="35"/>
  <c r="B707" i="35"/>
  <c r="B708" i="35"/>
  <c r="B709" i="35"/>
  <c r="B710" i="35"/>
  <c r="B711" i="35"/>
  <c r="B712" i="35"/>
  <c r="B713" i="35"/>
  <c r="B714" i="35"/>
  <c r="B715" i="35"/>
  <c r="B716" i="35"/>
  <c r="B717" i="35"/>
  <c r="B718" i="35"/>
  <c r="B719" i="35"/>
  <c r="B720" i="35"/>
  <c r="B721" i="35"/>
  <c r="B722" i="35"/>
  <c r="B723" i="35"/>
  <c r="B724" i="35"/>
  <c r="B725" i="35"/>
  <c r="B726" i="35"/>
  <c r="B727" i="35"/>
  <c r="B728" i="35"/>
  <c r="B729" i="35"/>
  <c r="B730" i="35"/>
  <c r="B731" i="35"/>
  <c r="B732" i="35"/>
  <c r="B733" i="35"/>
  <c r="B734" i="35"/>
  <c r="B735" i="35"/>
  <c r="B736" i="35"/>
  <c r="B737" i="35"/>
  <c r="B738" i="35"/>
  <c r="B739" i="35"/>
  <c r="B740" i="35"/>
  <c r="B741" i="35"/>
  <c r="B742" i="35"/>
  <c r="B743" i="35"/>
  <c r="B744" i="35"/>
  <c r="B745" i="35"/>
  <c r="B746" i="35"/>
  <c r="B747" i="35"/>
  <c r="B748" i="35"/>
  <c r="B749" i="35"/>
  <c r="B750" i="35"/>
  <c r="B751" i="35"/>
  <c r="B752" i="35"/>
  <c r="B753" i="35"/>
  <c r="B754" i="35"/>
  <c r="B755" i="35"/>
  <c r="B756" i="35"/>
  <c r="B757" i="35"/>
  <c r="B758" i="35"/>
  <c r="B759" i="35"/>
  <c r="B760" i="35"/>
  <c r="B761" i="35"/>
  <c r="B762" i="35"/>
  <c r="B763" i="35"/>
  <c r="B764" i="35"/>
  <c r="B765" i="35"/>
  <c r="B766" i="35"/>
  <c r="B767" i="35"/>
  <c r="B768" i="35"/>
  <c r="B769" i="35"/>
  <c r="B770" i="35"/>
  <c r="B771" i="35"/>
  <c r="B772" i="35"/>
  <c r="B773" i="35"/>
  <c r="B774" i="35"/>
  <c r="B775" i="35"/>
  <c r="B776" i="35"/>
  <c r="B777" i="35"/>
  <c r="B778" i="35"/>
  <c r="B779" i="35"/>
  <c r="B780" i="35"/>
  <c r="B781" i="35"/>
  <c r="B782" i="35"/>
  <c r="B783" i="35"/>
  <c r="B784" i="35"/>
  <c r="B785" i="35"/>
  <c r="B786" i="35"/>
  <c r="B787" i="35"/>
  <c r="B788" i="35"/>
  <c r="B789" i="35"/>
  <c r="B790" i="35"/>
  <c r="B791" i="35"/>
  <c r="B792" i="35"/>
  <c r="B793" i="35"/>
  <c r="B794" i="35"/>
  <c r="B795" i="35"/>
  <c r="B796" i="35"/>
  <c r="B797" i="35"/>
  <c r="B798" i="35"/>
  <c r="B799" i="35"/>
  <c r="B800" i="35"/>
  <c r="B801" i="35"/>
  <c r="B802" i="35"/>
  <c r="B803" i="35"/>
  <c r="B804" i="35"/>
  <c r="B805" i="35"/>
  <c r="B806" i="35"/>
  <c r="B807" i="35"/>
  <c r="B808" i="35"/>
  <c r="B809" i="35"/>
  <c r="B810" i="35"/>
  <c r="B811" i="35"/>
  <c r="B812" i="35"/>
  <c r="B813" i="35"/>
  <c r="B814" i="35"/>
  <c r="B815" i="35"/>
  <c r="B816" i="35"/>
  <c r="B817" i="35"/>
  <c r="B818" i="35"/>
  <c r="B819" i="35"/>
  <c r="B820" i="35"/>
  <c r="B821" i="35"/>
  <c r="B822" i="35"/>
  <c r="B823" i="35"/>
  <c r="B824" i="35"/>
  <c r="B825" i="35"/>
  <c r="B826" i="35"/>
  <c r="B827" i="35"/>
  <c r="B828" i="35"/>
  <c r="B829" i="35"/>
  <c r="B830" i="35"/>
  <c r="B831" i="35"/>
  <c r="B832" i="35"/>
  <c r="B833" i="35"/>
  <c r="B834" i="35"/>
  <c r="B835" i="35"/>
  <c r="B836" i="35"/>
  <c r="B837" i="35"/>
  <c r="B838" i="35"/>
  <c r="B839" i="35"/>
  <c r="B840" i="35"/>
  <c r="B841" i="35"/>
  <c r="B842" i="35"/>
  <c r="B843" i="35"/>
  <c r="B844" i="35"/>
  <c r="B845" i="35"/>
  <c r="B846" i="35"/>
  <c r="B847" i="35"/>
  <c r="B848" i="35"/>
  <c r="B849" i="35"/>
  <c r="B850" i="35"/>
  <c r="B851" i="35"/>
  <c r="B852" i="35"/>
  <c r="B853" i="35"/>
  <c r="B854" i="35"/>
  <c r="B855" i="35"/>
  <c r="B856" i="35"/>
  <c r="B857" i="35"/>
  <c r="B858" i="35"/>
  <c r="B859" i="35"/>
  <c r="B860" i="35"/>
  <c r="B861" i="35"/>
  <c r="B862" i="35"/>
  <c r="B863" i="35"/>
  <c r="B864" i="35"/>
  <c r="B865" i="35"/>
  <c r="B866" i="35"/>
  <c r="B867" i="35"/>
  <c r="B868" i="35"/>
  <c r="B869" i="35"/>
  <c r="B870" i="35"/>
  <c r="B871" i="35"/>
  <c r="B872" i="35"/>
  <c r="B873" i="35"/>
  <c r="B874" i="35"/>
  <c r="B875" i="35"/>
  <c r="B876" i="35"/>
  <c r="B877" i="35"/>
  <c r="B878" i="35"/>
  <c r="B879" i="35"/>
  <c r="B880" i="35"/>
  <c r="B881" i="35"/>
  <c r="B882" i="35"/>
  <c r="B883" i="35"/>
  <c r="B884" i="35"/>
  <c r="B885" i="35"/>
  <c r="B886" i="35"/>
  <c r="B887" i="35"/>
  <c r="B888" i="35"/>
  <c r="B889" i="35"/>
  <c r="B890" i="35"/>
  <c r="B891" i="35"/>
  <c r="B892" i="35"/>
  <c r="B893" i="35"/>
  <c r="B894" i="35"/>
  <c r="B895" i="35"/>
  <c r="B896" i="35"/>
  <c r="B897" i="35"/>
  <c r="B898" i="35"/>
  <c r="B899" i="35"/>
  <c r="B900" i="35"/>
  <c r="B901" i="35"/>
  <c r="B902" i="35"/>
  <c r="B903" i="35"/>
  <c r="B904" i="35"/>
  <c r="B905" i="35"/>
  <c r="B906" i="35"/>
  <c r="B907" i="35"/>
  <c r="B908" i="35"/>
  <c r="B909" i="35"/>
  <c r="B910" i="35"/>
  <c r="B911" i="35"/>
  <c r="B912" i="35"/>
  <c r="B913" i="35"/>
  <c r="B914" i="35"/>
  <c r="B915" i="35"/>
  <c r="B916" i="35"/>
  <c r="B917" i="35"/>
  <c r="B918" i="35"/>
  <c r="B919" i="35"/>
  <c r="B920" i="35"/>
  <c r="B921" i="35"/>
  <c r="B922" i="35"/>
  <c r="B923" i="35"/>
  <c r="B924" i="35"/>
  <c r="B925" i="35"/>
  <c r="B926" i="35"/>
  <c r="B927" i="35"/>
  <c r="B928" i="35"/>
  <c r="B929" i="35"/>
  <c r="B930" i="35"/>
  <c r="B931" i="35"/>
  <c r="B932" i="35"/>
  <c r="B933" i="35"/>
  <c r="B934" i="35"/>
  <c r="B935" i="35"/>
  <c r="B936" i="35"/>
  <c r="B937" i="35"/>
  <c r="B938" i="35"/>
  <c r="B939" i="35"/>
  <c r="B940" i="35"/>
  <c r="B941" i="35"/>
  <c r="B942" i="35"/>
  <c r="B943" i="35"/>
  <c r="B944" i="35"/>
  <c r="B945" i="35"/>
  <c r="B946" i="35"/>
  <c r="B947" i="35"/>
  <c r="B948" i="35"/>
  <c r="B949" i="35"/>
  <c r="B950" i="35"/>
  <c r="B951" i="35"/>
  <c r="B952" i="35"/>
  <c r="B953" i="35"/>
  <c r="B954" i="35"/>
  <c r="B955" i="35"/>
  <c r="B956" i="35"/>
  <c r="B957" i="35"/>
  <c r="B958" i="35"/>
  <c r="B959" i="35"/>
  <c r="B960" i="35"/>
  <c r="B961" i="35"/>
  <c r="B962" i="35"/>
  <c r="B963" i="35"/>
  <c r="B964" i="35"/>
  <c r="B965" i="35"/>
  <c r="B966" i="35"/>
  <c r="B967" i="35"/>
  <c r="B968" i="35"/>
  <c r="B969" i="35"/>
  <c r="B970" i="35"/>
  <c r="B971" i="35"/>
  <c r="B972" i="35"/>
  <c r="B973" i="35"/>
  <c r="B974" i="35"/>
  <c r="B975" i="35"/>
  <c r="B976" i="35"/>
  <c r="B977" i="35"/>
  <c r="B978" i="35"/>
  <c r="B979" i="35"/>
  <c r="B980" i="35"/>
  <c r="B981" i="35"/>
  <c r="B982" i="35"/>
  <c r="B983" i="35"/>
  <c r="B984" i="35"/>
  <c r="B985" i="35"/>
  <c r="B986" i="35"/>
  <c r="B987" i="35"/>
  <c r="B988" i="35"/>
  <c r="B989" i="35"/>
  <c r="B990" i="35"/>
  <c r="B991" i="35"/>
  <c r="B992" i="35"/>
  <c r="B993" i="35"/>
  <c r="B994" i="35"/>
  <c r="B995" i="35"/>
  <c r="B996" i="35"/>
  <c r="B997" i="35"/>
  <c r="B998" i="35"/>
  <c r="B999" i="35"/>
  <c r="B1000" i="35"/>
  <c r="B1001" i="35"/>
  <c r="B1002" i="35"/>
  <c r="B1003" i="35"/>
  <c r="B1004" i="35"/>
  <c r="B1005" i="35"/>
  <c r="B1006" i="35"/>
  <c r="B1007" i="35"/>
  <c r="B1008" i="35"/>
  <c r="B1009" i="35"/>
  <c r="B1010" i="35"/>
  <c r="B1011" i="35"/>
  <c r="B1012" i="35"/>
  <c r="B1013" i="35"/>
  <c r="B1014" i="35"/>
  <c r="B1015" i="35"/>
  <c r="B1016" i="35"/>
  <c r="B1017" i="35"/>
  <c r="B1018" i="35"/>
  <c r="B1019" i="35"/>
  <c r="B1020" i="35"/>
  <c r="B1021" i="35"/>
  <c r="B1022" i="35"/>
  <c r="B1023" i="35"/>
  <c r="B1024" i="35"/>
  <c r="B1025" i="35"/>
  <c r="B1026" i="35"/>
  <c r="B1027" i="35"/>
  <c r="B1028" i="35"/>
  <c r="B1029" i="35"/>
  <c r="B1030" i="35"/>
  <c r="B1031" i="35"/>
  <c r="B1032" i="35"/>
  <c r="B1033" i="35"/>
  <c r="B1034" i="35"/>
  <c r="B1035" i="35"/>
  <c r="B1036" i="35"/>
  <c r="B1037" i="35"/>
  <c r="B1038" i="35"/>
  <c r="B1039" i="35"/>
  <c r="B1040" i="35"/>
  <c r="B1041" i="35"/>
  <c r="B1042" i="35"/>
  <c r="B1043" i="35"/>
  <c r="B1044" i="35"/>
  <c r="B1045" i="35"/>
  <c r="B1046" i="35"/>
  <c r="B1047" i="35"/>
  <c r="B1048" i="35"/>
  <c r="B1049" i="35"/>
  <c r="B1050" i="35"/>
  <c r="B1051" i="35"/>
  <c r="B1052" i="35"/>
  <c r="B1053" i="35"/>
  <c r="B1054" i="35"/>
  <c r="B1055" i="35"/>
  <c r="B1056" i="35"/>
  <c r="B1057" i="35"/>
  <c r="B1058" i="35"/>
  <c r="B1059" i="35"/>
  <c r="B1060" i="35"/>
  <c r="B1061" i="35"/>
  <c r="B1062" i="35"/>
  <c r="B1063" i="35"/>
  <c r="B1064" i="35"/>
  <c r="B1065" i="35"/>
  <c r="B1066" i="35"/>
  <c r="B1067" i="35"/>
  <c r="B1068" i="35"/>
  <c r="B1069" i="35"/>
  <c r="B1070" i="35"/>
  <c r="B1071" i="35"/>
  <c r="B1072" i="35"/>
  <c r="B1073" i="35"/>
  <c r="B1074" i="35"/>
  <c r="B1075" i="35"/>
  <c r="B1076" i="35"/>
  <c r="B1077" i="35"/>
  <c r="B1078" i="35"/>
  <c r="B1079" i="35"/>
  <c r="B1080" i="35"/>
  <c r="B1081" i="35"/>
  <c r="B1082" i="35"/>
  <c r="B1083" i="35"/>
  <c r="B1084" i="35"/>
  <c r="B1085" i="35"/>
  <c r="B1086" i="35"/>
  <c r="B1087" i="35"/>
  <c r="B1088" i="35"/>
  <c r="B1089" i="35"/>
  <c r="B1090" i="35"/>
  <c r="B1091" i="35"/>
  <c r="B1092" i="35"/>
  <c r="B1093" i="35"/>
  <c r="B1094" i="35"/>
  <c r="B1095" i="35"/>
  <c r="B1096" i="35"/>
  <c r="B1097" i="35"/>
  <c r="B1098" i="35"/>
  <c r="B1099" i="35"/>
  <c r="B1100" i="35"/>
  <c r="B1101" i="35"/>
  <c r="B1102" i="35"/>
  <c r="B1103" i="35"/>
  <c r="B1104" i="35"/>
  <c r="B1105" i="35"/>
  <c r="B1106" i="35"/>
  <c r="B1107" i="35"/>
  <c r="B1108" i="35"/>
  <c r="B1109" i="35"/>
  <c r="B1110" i="35"/>
  <c r="B1111" i="35"/>
  <c r="B1112" i="35"/>
  <c r="B1113" i="35"/>
  <c r="B1114" i="35"/>
  <c r="B1115" i="35"/>
  <c r="B1116" i="35"/>
  <c r="B1117" i="35"/>
  <c r="B1118" i="35"/>
  <c r="B1119" i="35"/>
  <c r="B1120" i="35"/>
  <c r="B1121" i="35"/>
  <c r="B1122" i="35"/>
  <c r="B1123" i="35"/>
  <c r="B1124" i="35"/>
  <c r="B1125" i="35"/>
  <c r="B1126" i="35"/>
  <c r="B1127" i="35"/>
  <c r="B1128" i="35"/>
  <c r="B1129" i="35"/>
  <c r="B1130" i="35"/>
  <c r="B1131" i="35"/>
  <c r="B1132" i="35"/>
  <c r="B1133" i="35"/>
  <c r="B1134" i="35"/>
  <c r="B1135" i="35"/>
  <c r="B1136" i="35"/>
  <c r="B1137" i="35"/>
  <c r="B1138" i="35"/>
  <c r="B1139" i="35"/>
  <c r="B1140" i="35"/>
  <c r="B1141" i="35"/>
  <c r="B1142" i="35"/>
  <c r="B1143" i="35"/>
  <c r="B1144" i="35"/>
  <c r="B1145" i="35"/>
  <c r="B1146" i="35"/>
  <c r="B1147" i="35"/>
  <c r="B1148" i="35"/>
  <c r="B1149" i="35"/>
  <c r="B1150" i="35"/>
  <c r="B1151" i="35"/>
  <c r="B1152" i="35"/>
  <c r="B1153" i="35"/>
  <c r="B1154" i="35"/>
  <c r="B1155" i="35"/>
  <c r="B1156" i="35"/>
  <c r="B1157" i="35"/>
  <c r="B1158" i="35"/>
  <c r="B1159" i="35"/>
  <c r="B1160" i="35"/>
  <c r="B1161" i="35"/>
  <c r="B1162" i="35"/>
  <c r="B1163" i="35"/>
  <c r="B1164" i="35"/>
  <c r="B1165" i="35"/>
  <c r="B1166" i="35"/>
  <c r="B1167" i="35"/>
  <c r="B1168" i="35"/>
  <c r="B1169" i="35"/>
  <c r="B21" i="35"/>
  <c r="B22" i="35"/>
  <c r="B23" i="35"/>
  <c r="B24" i="35"/>
  <c r="B25" i="35"/>
  <c r="B26" i="35"/>
  <c r="B27" i="35"/>
  <c r="B28" i="35"/>
  <c r="B29" i="35"/>
  <c r="I9" i="27"/>
  <c r="K9" i="27" s="1"/>
  <c r="N9" i="27" s="1"/>
  <c r="I10" i="27"/>
  <c r="K10" i="27" s="1"/>
  <c r="N10" i="27" s="1"/>
  <c r="I11" i="27"/>
  <c r="K11" i="27" s="1"/>
  <c r="N11" i="27" s="1"/>
  <c r="I12" i="27"/>
  <c r="K12" i="27" s="1"/>
  <c r="N12" i="27" s="1"/>
  <c r="I13" i="27"/>
  <c r="K13" i="27" s="1"/>
  <c r="N13" i="27" s="1"/>
  <c r="I14" i="27"/>
  <c r="K14" i="27" s="1"/>
  <c r="N14" i="27" s="1"/>
  <c r="I15" i="27"/>
  <c r="K15" i="27" s="1"/>
  <c r="N15" i="27" s="1"/>
  <c r="I16" i="27"/>
  <c r="K16" i="27" s="1"/>
  <c r="N16" i="27" s="1"/>
  <c r="I17" i="27"/>
  <c r="K17" i="27" s="1"/>
  <c r="N17" i="27" s="1"/>
  <c r="I18" i="27"/>
  <c r="K18" i="27" s="1"/>
  <c r="N18" i="27" s="1"/>
  <c r="I19" i="27"/>
  <c r="K19" i="27" s="1"/>
  <c r="N19" i="27" s="1"/>
  <c r="I20" i="27"/>
  <c r="K20" i="27" s="1"/>
  <c r="N20" i="27" s="1"/>
  <c r="I21" i="27"/>
  <c r="K21" i="27" s="1"/>
  <c r="N21" i="27" s="1"/>
  <c r="I22" i="27"/>
  <c r="K22" i="27" s="1"/>
  <c r="N22" i="27" s="1"/>
  <c r="I23" i="27"/>
  <c r="K23" i="27" s="1"/>
  <c r="N23" i="27" s="1"/>
  <c r="I24" i="27"/>
  <c r="K24" i="27" s="1"/>
  <c r="N24" i="27" s="1"/>
  <c r="I25" i="27"/>
  <c r="K25" i="27" s="1"/>
  <c r="N25" i="27" s="1"/>
  <c r="I26" i="27"/>
  <c r="K26" i="27" s="1"/>
  <c r="N26" i="27" s="1"/>
  <c r="I27" i="27"/>
  <c r="K27" i="27" s="1"/>
  <c r="N27" i="27" s="1"/>
  <c r="I28" i="27"/>
  <c r="K28" i="27" s="1"/>
  <c r="N28" i="27" s="1"/>
  <c r="I29" i="27"/>
  <c r="K29" i="27" s="1"/>
  <c r="N29" i="27" s="1"/>
  <c r="I30" i="27"/>
  <c r="K30" i="27" s="1"/>
  <c r="N30" i="27" s="1"/>
  <c r="I31" i="27"/>
  <c r="K31" i="27" s="1"/>
  <c r="N31" i="27" s="1"/>
  <c r="I32" i="27"/>
  <c r="K32" i="27" s="1"/>
  <c r="N32" i="27" s="1"/>
  <c r="I33" i="27"/>
  <c r="K33" i="27" s="1"/>
  <c r="N33" i="27" s="1"/>
  <c r="I34" i="27"/>
  <c r="K34" i="27" s="1"/>
  <c r="N34" i="27" s="1"/>
  <c r="I35" i="27"/>
  <c r="K35" i="27" s="1"/>
  <c r="N35" i="27" s="1"/>
  <c r="I36" i="27"/>
  <c r="K36" i="27" s="1"/>
  <c r="N36" i="27" s="1"/>
  <c r="I37" i="27"/>
  <c r="K37" i="27" s="1"/>
  <c r="N37" i="27" s="1"/>
  <c r="I38" i="27"/>
  <c r="K38" i="27" s="1"/>
  <c r="N38" i="27" s="1"/>
  <c r="I39" i="27"/>
  <c r="K39" i="27" s="1"/>
  <c r="N39" i="27" s="1"/>
  <c r="I40" i="27"/>
  <c r="K40" i="27" s="1"/>
  <c r="N40" i="27" s="1"/>
  <c r="I41" i="27"/>
  <c r="K41" i="27" s="1"/>
  <c r="N41" i="27" s="1"/>
  <c r="I42" i="27"/>
  <c r="K42" i="27" s="1"/>
  <c r="N42" i="27" s="1"/>
  <c r="I43" i="27"/>
  <c r="K43" i="27" s="1"/>
  <c r="N43" i="27" s="1"/>
  <c r="I44" i="27"/>
  <c r="K44" i="27" s="1"/>
  <c r="N44" i="27" s="1"/>
  <c r="I45" i="27"/>
  <c r="K45" i="27" s="1"/>
  <c r="N45" i="27" s="1"/>
  <c r="I46" i="27"/>
  <c r="K46" i="27" s="1"/>
  <c r="N46" i="27" s="1"/>
  <c r="I47" i="27"/>
  <c r="K47" i="27" s="1"/>
  <c r="N47" i="27" s="1"/>
  <c r="I48" i="27"/>
  <c r="K48" i="27" s="1"/>
  <c r="N48" i="27" s="1"/>
  <c r="I49" i="27"/>
  <c r="K49" i="27" s="1"/>
  <c r="N49" i="27" s="1"/>
  <c r="I50" i="27"/>
  <c r="K50" i="27" s="1"/>
  <c r="N50" i="27" s="1"/>
  <c r="I51" i="27"/>
  <c r="K51" i="27" s="1"/>
  <c r="N51" i="27" s="1"/>
  <c r="I52" i="27"/>
  <c r="K52" i="27" s="1"/>
  <c r="N52" i="27" s="1"/>
  <c r="I53" i="27"/>
  <c r="K53" i="27" s="1"/>
  <c r="N53" i="27" s="1"/>
  <c r="I54" i="27"/>
  <c r="K54" i="27" s="1"/>
  <c r="N54" i="27" s="1"/>
  <c r="I55" i="27"/>
  <c r="K55" i="27" s="1"/>
  <c r="N55" i="27" s="1"/>
  <c r="I56" i="27"/>
  <c r="K56" i="27" s="1"/>
  <c r="N56" i="27" s="1"/>
  <c r="I57" i="27"/>
  <c r="K57" i="27" s="1"/>
  <c r="N57" i="27" s="1"/>
  <c r="I58" i="27"/>
  <c r="K58" i="27" s="1"/>
  <c r="N58" i="27" s="1"/>
  <c r="I59" i="27"/>
  <c r="K59" i="27" s="1"/>
  <c r="N59" i="27" s="1"/>
  <c r="I60" i="27"/>
  <c r="K60" i="27" s="1"/>
  <c r="N60" i="27" s="1"/>
  <c r="I61" i="27"/>
  <c r="K61" i="27" s="1"/>
  <c r="N61" i="27" s="1"/>
  <c r="I62" i="27"/>
  <c r="K62" i="27" s="1"/>
  <c r="N62" i="27" s="1"/>
  <c r="I63" i="27"/>
  <c r="K63" i="27" s="1"/>
  <c r="N63" i="27" s="1"/>
  <c r="I64" i="27"/>
  <c r="K64" i="27" s="1"/>
  <c r="N64" i="27" s="1"/>
  <c r="I65" i="27"/>
  <c r="K65" i="27" s="1"/>
  <c r="N65" i="27" s="1"/>
  <c r="I66" i="27"/>
  <c r="K66" i="27" s="1"/>
  <c r="N66" i="27" s="1"/>
  <c r="I67" i="27"/>
  <c r="K67" i="27" s="1"/>
  <c r="N67" i="27" s="1"/>
  <c r="I68" i="27"/>
  <c r="K68" i="27" s="1"/>
  <c r="N68" i="27" s="1"/>
  <c r="I69" i="27"/>
  <c r="K69" i="27" s="1"/>
  <c r="N69" i="27" s="1"/>
  <c r="I70" i="27"/>
  <c r="K70" i="27" s="1"/>
  <c r="N70" i="27" s="1"/>
  <c r="I71" i="27"/>
  <c r="K71" i="27" s="1"/>
  <c r="N71" i="27" s="1"/>
  <c r="I72" i="27"/>
  <c r="K72" i="27" s="1"/>
  <c r="N72" i="27" s="1"/>
  <c r="I73" i="27"/>
  <c r="K73" i="27" s="1"/>
  <c r="N73" i="27" s="1"/>
  <c r="I74" i="27"/>
  <c r="K74" i="27" s="1"/>
  <c r="N74" i="27" s="1"/>
  <c r="I75" i="27"/>
  <c r="K75" i="27" s="1"/>
  <c r="N75" i="27" s="1"/>
  <c r="I76" i="27"/>
  <c r="K76" i="27" s="1"/>
  <c r="N76" i="27" s="1"/>
  <c r="I77" i="27"/>
  <c r="K77" i="27" s="1"/>
  <c r="N77" i="27" s="1"/>
  <c r="I78" i="27"/>
  <c r="K78" i="27" s="1"/>
  <c r="N78" i="27" s="1"/>
  <c r="I79" i="27"/>
  <c r="K79" i="27" s="1"/>
  <c r="N79" i="27" s="1"/>
  <c r="I80" i="27"/>
  <c r="K80" i="27" s="1"/>
  <c r="N80" i="27" s="1"/>
  <c r="I81" i="27"/>
  <c r="K81" i="27" s="1"/>
  <c r="N81" i="27" s="1"/>
  <c r="I82" i="27"/>
  <c r="K82" i="27" s="1"/>
  <c r="N82" i="27" s="1"/>
  <c r="I83" i="27"/>
  <c r="K83" i="27" s="1"/>
  <c r="N83" i="27" s="1"/>
  <c r="I84" i="27"/>
  <c r="K84" i="27" s="1"/>
  <c r="N84" i="27" s="1"/>
  <c r="I85" i="27"/>
  <c r="K85" i="27" s="1"/>
  <c r="N85" i="27" s="1"/>
  <c r="I86" i="27"/>
  <c r="K86" i="27" s="1"/>
  <c r="N86" i="27" s="1"/>
  <c r="I87" i="27"/>
  <c r="K87" i="27" s="1"/>
  <c r="N87" i="27" s="1"/>
  <c r="I88" i="27"/>
  <c r="K88" i="27" s="1"/>
  <c r="N88" i="27" s="1"/>
  <c r="I89" i="27"/>
  <c r="K89" i="27" s="1"/>
  <c r="N89" i="27" s="1"/>
  <c r="I90" i="27"/>
  <c r="K90" i="27" s="1"/>
  <c r="N90" i="27" s="1"/>
  <c r="I91" i="27"/>
  <c r="K91" i="27" s="1"/>
  <c r="N91" i="27" s="1"/>
  <c r="I92" i="27"/>
  <c r="K92" i="27" s="1"/>
  <c r="N92" i="27" s="1"/>
  <c r="I93" i="27"/>
  <c r="K93" i="27" s="1"/>
  <c r="N93" i="27" s="1"/>
  <c r="I94" i="27"/>
  <c r="K94" i="27" s="1"/>
  <c r="N94" i="27" s="1"/>
  <c r="I95" i="27"/>
  <c r="K95" i="27" s="1"/>
  <c r="N95" i="27" s="1"/>
  <c r="I96" i="27"/>
  <c r="K96" i="27" s="1"/>
  <c r="N96" i="27" s="1"/>
  <c r="I97" i="27"/>
  <c r="K97" i="27" s="1"/>
  <c r="N97" i="27" s="1"/>
  <c r="I98" i="27"/>
  <c r="K98" i="27" s="1"/>
  <c r="N98" i="27" s="1"/>
  <c r="I99" i="27"/>
  <c r="K99" i="27" s="1"/>
  <c r="N99" i="27" s="1"/>
  <c r="I100" i="27"/>
  <c r="K100" i="27" s="1"/>
  <c r="N100" i="27" s="1"/>
  <c r="I101" i="27"/>
  <c r="K101" i="27" s="1"/>
  <c r="N101" i="27" s="1"/>
  <c r="I102" i="27"/>
  <c r="K102" i="27" s="1"/>
  <c r="N102" i="27" s="1"/>
  <c r="I103" i="27"/>
  <c r="K103" i="27" s="1"/>
  <c r="N103" i="27" s="1"/>
  <c r="I104" i="27"/>
  <c r="K104" i="27" s="1"/>
  <c r="N104" i="27" s="1"/>
  <c r="I105" i="27"/>
  <c r="K105" i="27" s="1"/>
  <c r="N105" i="27" s="1"/>
  <c r="I106" i="27"/>
  <c r="K106" i="27" s="1"/>
  <c r="N106" i="27" s="1"/>
  <c r="I107" i="27"/>
  <c r="K107" i="27" s="1"/>
  <c r="N107" i="27" s="1"/>
  <c r="I108" i="27"/>
  <c r="K108" i="27" s="1"/>
  <c r="N108" i="27" s="1"/>
  <c r="I109" i="27"/>
  <c r="K109" i="27" s="1"/>
  <c r="N109" i="27" s="1"/>
  <c r="I110" i="27"/>
  <c r="K110" i="27" s="1"/>
  <c r="N110" i="27" s="1"/>
  <c r="I111" i="27"/>
  <c r="K111" i="27" s="1"/>
  <c r="N111" i="27" s="1"/>
  <c r="I112" i="27"/>
  <c r="K112" i="27" s="1"/>
  <c r="N112" i="27" s="1"/>
  <c r="I113" i="27"/>
  <c r="K113" i="27" s="1"/>
  <c r="N113" i="27" s="1"/>
  <c r="I114" i="27"/>
  <c r="K114" i="27" s="1"/>
  <c r="N114" i="27" s="1"/>
  <c r="I115" i="27"/>
  <c r="K115" i="27" s="1"/>
  <c r="N115" i="27" s="1"/>
  <c r="I116" i="27"/>
  <c r="K116" i="27" s="1"/>
  <c r="N116" i="27" s="1"/>
  <c r="I117" i="27"/>
  <c r="K117" i="27" s="1"/>
  <c r="N117" i="27" s="1"/>
  <c r="I118" i="27"/>
  <c r="K118" i="27" s="1"/>
  <c r="N118" i="27" s="1"/>
  <c r="I119" i="27"/>
  <c r="K119" i="27" s="1"/>
  <c r="N119" i="27" s="1"/>
  <c r="I120" i="27"/>
  <c r="K120" i="27" s="1"/>
  <c r="N120" i="27" s="1"/>
  <c r="I121" i="27"/>
  <c r="K121" i="27" s="1"/>
  <c r="N121" i="27" s="1"/>
  <c r="I122" i="27"/>
  <c r="K122" i="27" s="1"/>
  <c r="N122" i="27" s="1"/>
  <c r="I123" i="27"/>
  <c r="K123" i="27" s="1"/>
  <c r="N123" i="27" s="1"/>
  <c r="I124" i="27"/>
  <c r="K124" i="27" s="1"/>
  <c r="N124" i="27" s="1"/>
  <c r="I125" i="27"/>
  <c r="K125" i="27" s="1"/>
  <c r="N125" i="27" s="1"/>
  <c r="I126" i="27"/>
  <c r="K126" i="27" s="1"/>
  <c r="N126" i="27" s="1"/>
  <c r="I127" i="27"/>
  <c r="K127" i="27" s="1"/>
  <c r="N127" i="27" s="1"/>
  <c r="I128" i="27"/>
  <c r="K128" i="27" s="1"/>
  <c r="N128" i="27" s="1"/>
  <c r="I129" i="27"/>
  <c r="K129" i="27" s="1"/>
  <c r="N129" i="27" s="1"/>
  <c r="I130" i="27"/>
  <c r="K130" i="27" s="1"/>
  <c r="N130" i="27" s="1"/>
  <c r="I131" i="27"/>
  <c r="K131" i="27" s="1"/>
  <c r="N131" i="27" s="1"/>
  <c r="I132" i="27"/>
  <c r="K132" i="27" s="1"/>
  <c r="N132" i="27" s="1"/>
  <c r="I133" i="27"/>
  <c r="K133" i="27" s="1"/>
  <c r="N133" i="27" s="1"/>
  <c r="I134" i="27"/>
  <c r="K134" i="27" s="1"/>
  <c r="N134" i="27" s="1"/>
  <c r="I135" i="27"/>
  <c r="K135" i="27" s="1"/>
  <c r="N135" i="27" s="1"/>
  <c r="I136" i="27"/>
  <c r="K136" i="27" s="1"/>
  <c r="N136" i="27" s="1"/>
  <c r="I137" i="27"/>
  <c r="K137" i="27" s="1"/>
  <c r="N137" i="27" s="1"/>
  <c r="I138" i="27"/>
  <c r="K138" i="27" s="1"/>
  <c r="N138" i="27" s="1"/>
  <c r="I139" i="27"/>
  <c r="K139" i="27" s="1"/>
  <c r="N139" i="27" s="1"/>
  <c r="I140" i="27"/>
  <c r="K140" i="27" s="1"/>
  <c r="N140" i="27" s="1"/>
  <c r="I141" i="27"/>
  <c r="K141" i="27" s="1"/>
  <c r="N141" i="27" s="1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55" i="27"/>
  <c r="I156" i="27"/>
  <c r="I157" i="27"/>
  <c r="I158" i="27"/>
  <c r="I159" i="27"/>
  <c r="I160" i="27"/>
  <c r="I161" i="27"/>
  <c r="I162" i="27"/>
  <c r="I163" i="27"/>
  <c r="I164" i="27"/>
  <c r="I165" i="27"/>
  <c r="I166" i="27"/>
  <c r="I167" i="27"/>
  <c r="I168" i="27"/>
  <c r="I169" i="27"/>
  <c r="K169" i="27" s="1"/>
  <c r="N169" i="27" s="1"/>
  <c r="I170" i="27"/>
  <c r="K170" i="27" s="1"/>
  <c r="N170" i="27" s="1"/>
  <c r="I171" i="27"/>
  <c r="K171" i="27" s="1"/>
  <c r="N171" i="27" s="1"/>
  <c r="I172" i="27"/>
  <c r="K172" i="27" s="1"/>
  <c r="N172" i="27" s="1"/>
  <c r="I173" i="27"/>
  <c r="K173" i="27" s="1"/>
  <c r="N173" i="27" s="1"/>
  <c r="I174" i="27"/>
  <c r="K174" i="27" s="1"/>
  <c r="N174" i="27" s="1"/>
  <c r="I175" i="27"/>
  <c r="K175" i="27" s="1"/>
  <c r="N175" i="27" s="1"/>
  <c r="I176" i="27"/>
  <c r="K176" i="27" s="1"/>
  <c r="N176" i="27" s="1"/>
  <c r="I177" i="27"/>
  <c r="K177" i="27" s="1"/>
  <c r="N177" i="27" s="1"/>
  <c r="I178" i="27"/>
  <c r="K178" i="27" s="1"/>
  <c r="N178" i="27" s="1"/>
  <c r="I179" i="27"/>
  <c r="K179" i="27" s="1"/>
  <c r="N179" i="27" s="1"/>
  <c r="I180" i="27"/>
  <c r="K180" i="27" s="1"/>
  <c r="N180" i="27" s="1"/>
  <c r="I181" i="27"/>
  <c r="K181" i="27" s="1"/>
  <c r="N181" i="27" s="1"/>
  <c r="I182" i="27"/>
  <c r="K182" i="27" s="1"/>
  <c r="N182" i="27" s="1"/>
  <c r="I183" i="27"/>
  <c r="K183" i="27" s="1"/>
  <c r="N183" i="27" s="1"/>
  <c r="I184" i="27"/>
  <c r="K184" i="27" s="1"/>
  <c r="N184" i="27" s="1"/>
  <c r="I185" i="27"/>
  <c r="K185" i="27" s="1"/>
  <c r="N185" i="27" s="1"/>
  <c r="I186" i="27"/>
  <c r="K186" i="27" s="1"/>
  <c r="N186" i="27" s="1"/>
  <c r="I187" i="27"/>
  <c r="K187" i="27" s="1"/>
  <c r="N187" i="27" s="1"/>
  <c r="I188" i="27"/>
  <c r="K188" i="27" s="1"/>
  <c r="N188" i="27" s="1"/>
  <c r="I189" i="27"/>
  <c r="K189" i="27" s="1"/>
  <c r="N189" i="27" s="1"/>
  <c r="I190" i="27"/>
  <c r="K190" i="27" s="1"/>
  <c r="N190" i="27" s="1"/>
  <c r="I191" i="27"/>
  <c r="K191" i="27" s="1"/>
  <c r="N191" i="27" s="1"/>
  <c r="I192" i="27"/>
  <c r="K192" i="27" s="1"/>
  <c r="N192" i="27" s="1"/>
  <c r="I193" i="27"/>
  <c r="K193" i="27" s="1"/>
  <c r="N193" i="27" s="1"/>
  <c r="I194" i="27"/>
  <c r="K194" i="27" s="1"/>
  <c r="N194" i="27" s="1"/>
  <c r="I195" i="27"/>
  <c r="K195" i="27" s="1"/>
  <c r="N195" i="27" s="1"/>
  <c r="I196" i="27"/>
  <c r="K196" i="27" s="1"/>
  <c r="N196" i="27" s="1"/>
  <c r="I197" i="27"/>
  <c r="K197" i="27" s="1"/>
  <c r="N197" i="27" s="1"/>
  <c r="I198" i="27"/>
  <c r="K198" i="27" s="1"/>
  <c r="N198" i="27" s="1"/>
  <c r="I199" i="27"/>
  <c r="K199" i="27" s="1"/>
  <c r="N199" i="27" s="1"/>
  <c r="I200" i="27"/>
  <c r="K200" i="27" s="1"/>
  <c r="N200" i="27" s="1"/>
  <c r="I201" i="27"/>
  <c r="K201" i="27" s="1"/>
  <c r="N201" i="27" s="1"/>
  <c r="I202" i="27"/>
  <c r="K202" i="27" s="1"/>
  <c r="N202" i="27" s="1"/>
  <c r="I203" i="27"/>
  <c r="K203" i="27" s="1"/>
  <c r="N203" i="27" s="1"/>
  <c r="I204" i="27"/>
  <c r="K204" i="27" s="1"/>
  <c r="N204" i="27" s="1"/>
  <c r="I205" i="27"/>
  <c r="K205" i="27" s="1"/>
  <c r="N205" i="27" s="1"/>
  <c r="I206" i="27"/>
  <c r="K206" i="27" s="1"/>
  <c r="N206" i="27" s="1"/>
  <c r="I207" i="27"/>
  <c r="K207" i="27" s="1"/>
  <c r="N207" i="27" s="1"/>
  <c r="I208" i="27"/>
  <c r="K208" i="27" s="1"/>
  <c r="N208" i="27" s="1"/>
  <c r="I209" i="27"/>
  <c r="K209" i="27" s="1"/>
  <c r="N209" i="27" s="1"/>
  <c r="I210" i="27"/>
  <c r="K210" i="27" s="1"/>
  <c r="N210" i="27" s="1"/>
  <c r="I211" i="27"/>
  <c r="K211" i="27" s="1"/>
  <c r="N211" i="27" s="1"/>
  <c r="I212" i="27"/>
  <c r="K212" i="27" s="1"/>
  <c r="N212" i="27" s="1"/>
  <c r="I213" i="27"/>
  <c r="K213" i="27" s="1"/>
  <c r="N213" i="27" s="1"/>
  <c r="I214" i="27"/>
  <c r="K214" i="27" s="1"/>
  <c r="N214" i="27" s="1"/>
  <c r="I215" i="27"/>
  <c r="K215" i="27" s="1"/>
  <c r="N215" i="27" s="1"/>
  <c r="I216" i="27"/>
  <c r="K216" i="27" s="1"/>
  <c r="N216" i="27" s="1"/>
  <c r="I217" i="27"/>
  <c r="K217" i="27" s="1"/>
  <c r="N217" i="27" s="1"/>
  <c r="I218" i="27"/>
  <c r="K218" i="27" s="1"/>
  <c r="N218" i="27" s="1"/>
  <c r="I219" i="27"/>
  <c r="K219" i="27" s="1"/>
  <c r="N219" i="27" s="1"/>
  <c r="I220" i="27"/>
  <c r="K220" i="27" s="1"/>
  <c r="N220" i="27" s="1"/>
  <c r="I221" i="27"/>
  <c r="K221" i="27" s="1"/>
  <c r="N221" i="27" s="1"/>
  <c r="I222" i="27"/>
  <c r="K222" i="27" s="1"/>
  <c r="N222" i="27" s="1"/>
  <c r="I223" i="27"/>
  <c r="K223" i="27" s="1"/>
  <c r="N223" i="27" s="1"/>
  <c r="I224" i="27"/>
  <c r="K224" i="27" s="1"/>
  <c r="N224" i="27" s="1"/>
  <c r="I225" i="27"/>
  <c r="K225" i="27" s="1"/>
  <c r="N225" i="27" s="1"/>
  <c r="I226" i="27"/>
  <c r="K226" i="27" s="1"/>
  <c r="N226" i="27" s="1"/>
  <c r="I227" i="27"/>
  <c r="K227" i="27" s="1"/>
  <c r="N227" i="27" s="1"/>
  <c r="I228" i="27"/>
  <c r="K228" i="27" s="1"/>
  <c r="N228" i="27" s="1"/>
  <c r="I229" i="27"/>
  <c r="K229" i="27" s="1"/>
  <c r="N229" i="27" s="1"/>
  <c r="I230" i="27"/>
  <c r="K230" i="27" s="1"/>
  <c r="N230" i="27" s="1"/>
  <c r="I231" i="27"/>
  <c r="K231" i="27" s="1"/>
  <c r="N231" i="27" s="1"/>
  <c r="I232" i="27"/>
  <c r="K232" i="27" s="1"/>
  <c r="N232" i="27" s="1"/>
  <c r="I233" i="27"/>
  <c r="K233" i="27" s="1"/>
  <c r="N233" i="27" s="1"/>
  <c r="I234" i="27"/>
  <c r="K234" i="27" s="1"/>
  <c r="N234" i="27" s="1"/>
  <c r="I235" i="27"/>
  <c r="K235" i="27" s="1"/>
  <c r="N235" i="27" s="1"/>
  <c r="I236" i="27"/>
  <c r="K236" i="27" s="1"/>
  <c r="N236" i="27" s="1"/>
  <c r="I237" i="27"/>
  <c r="K237" i="27" s="1"/>
  <c r="N237" i="27" s="1"/>
  <c r="I238" i="27"/>
  <c r="I239" i="27"/>
  <c r="I240" i="27"/>
  <c r="I241" i="27"/>
  <c r="I242" i="27"/>
  <c r="I243" i="27"/>
  <c r="I244" i="27"/>
  <c r="I245" i="27"/>
  <c r="I246" i="27"/>
  <c r="I247" i="27"/>
  <c r="I248" i="27"/>
  <c r="I249" i="27"/>
  <c r="I250" i="27"/>
  <c r="I251" i="27"/>
  <c r="I252" i="27"/>
  <c r="I253" i="27"/>
  <c r="I254" i="27"/>
  <c r="I255" i="27"/>
  <c r="I256" i="27"/>
  <c r="I257" i="27"/>
  <c r="I258" i="27"/>
  <c r="I259" i="27"/>
  <c r="I260" i="27"/>
  <c r="I261" i="27"/>
  <c r="I262" i="27"/>
  <c r="I263" i="27"/>
  <c r="I264" i="27"/>
  <c r="I265" i="27"/>
  <c r="I266" i="27"/>
  <c r="I267" i="27"/>
  <c r="I268" i="27"/>
  <c r="I269" i="27"/>
  <c r="I270" i="27"/>
  <c r="I271" i="27"/>
  <c r="I272" i="27"/>
  <c r="I273" i="27"/>
  <c r="I274" i="27"/>
  <c r="I275" i="27"/>
  <c r="I276" i="27"/>
  <c r="I277" i="27"/>
  <c r="I278" i="27"/>
  <c r="I279" i="27"/>
  <c r="I280" i="27"/>
  <c r="I281" i="27"/>
  <c r="I282" i="27"/>
  <c r="I283" i="27"/>
  <c r="I284" i="27"/>
  <c r="I285" i="27"/>
  <c r="I286" i="27"/>
  <c r="I287" i="27"/>
  <c r="I288" i="27"/>
  <c r="I289" i="27"/>
  <c r="I290" i="27"/>
  <c r="I291" i="27"/>
  <c r="I292" i="27"/>
  <c r="I293" i="27"/>
  <c r="I294" i="27"/>
  <c r="I295" i="27"/>
  <c r="I296" i="27"/>
  <c r="I297" i="27"/>
  <c r="I298" i="27"/>
  <c r="I299" i="27"/>
  <c r="I300" i="27"/>
  <c r="I301" i="27"/>
  <c r="I302" i="27"/>
  <c r="I303" i="27"/>
  <c r="I304" i="27"/>
  <c r="I305" i="27"/>
  <c r="I306" i="27"/>
  <c r="I307" i="27"/>
  <c r="I308" i="27"/>
  <c r="I309" i="27"/>
  <c r="I310" i="27"/>
  <c r="I311" i="27"/>
  <c r="I312" i="27"/>
  <c r="I313" i="27"/>
  <c r="I314" i="27"/>
  <c r="I315" i="27"/>
  <c r="I316" i="27"/>
  <c r="I317" i="27"/>
  <c r="I318" i="27"/>
  <c r="I319" i="27"/>
  <c r="I320" i="27"/>
  <c r="I321" i="27"/>
  <c r="I322" i="27"/>
  <c r="I323" i="27"/>
  <c r="I324" i="27"/>
  <c r="I325" i="27"/>
  <c r="I326" i="27"/>
  <c r="I327" i="27"/>
  <c r="I328" i="27"/>
  <c r="I329" i="27"/>
  <c r="I330" i="27"/>
  <c r="I331" i="27"/>
  <c r="I332" i="27"/>
  <c r="I333" i="27"/>
  <c r="I334" i="27"/>
  <c r="I335" i="27"/>
  <c r="I336" i="27"/>
  <c r="I337" i="27"/>
  <c r="I338" i="27"/>
  <c r="I339" i="27"/>
  <c r="I340" i="27"/>
  <c r="I341" i="27"/>
  <c r="I342" i="27"/>
  <c r="I343" i="27"/>
  <c r="I344" i="27"/>
  <c r="I345" i="27"/>
  <c r="I346" i="27"/>
  <c r="I347" i="27"/>
  <c r="I348" i="27"/>
  <c r="I349" i="27"/>
  <c r="I350" i="27"/>
  <c r="I351" i="27"/>
  <c r="I352" i="27"/>
  <c r="I353" i="27"/>
  <c r="I354" i="27"/>
  <c r="I355" i="27"/>
  <c r="I356" i="27"/>
  <c r="I357" i="27"/>
  <c r="I358" i="27"/>
  <c r="I359" i="27"/>
  <c r="I360" i="27"/>
  <c r="I361" i="27"/>
  <c r="I362" i="27"/>
  <c r="I363" i="27"/>
  <c r="I364" i="27"/>
  <c r="I365" i="27"/>
  <c r="I366" i="27"/>
  <c r="I367" i="27"/>
  <c r="I368" i="27"/>
  <c r="I369" i="27"/>
  <c r="I370" i="27"/>
  <c r="I371" i="27"/>
  <c r="I372" i="27"/>
  <c r="I373" i="27"/>
  <c r="I374" i="27"/>
  <c r="I375" i="27"/>
  <c r="I376" i="27"/>
  <c r="I377" i="27"/>
  <c r="I378" i="27"/>
  <c r="I379" i="27"/>
  <c r="I380" i="27"/>
  <c r="I381" i="27"/>
  <c r="I382" i="27"/>
  <c r="I383" i="27"/>
  <c r="I384" i="27"/>
  <c r="I385" i="27"/>
  <c r="I386" i="27"/>
  <c r="I387" i="27"/>
  <c r="I388" i="27"/>
  <c r="I389" i="27"/>
  <c r="I390" i="27"/>
  <c r="I391" i="27"/>
  <c r="I392" i="27"/>
  <c r="I393" i="27"/>
  <c r="I394" i="27"/>
  <c r="I395" i="27"/>
  <c r="I396" i="27"/>
  <c r="I397" i="27"/>
  <c r="I398" i="27"/>
  <c r="I399" i="27"/>
  <c r="I400" i="27"/>
  <c r="I401" i="27"/>
  <c r="I402" i="27"/>
  <c r="I403" i="27"/>
  <c r="I404" i="27"/>
  <c r="I405" i="27"/>
  <c r="I406" i="27"/>
  <c r="I407" i="27"/>
  <c r="I408" i="27"/>
  <c r="I409" i="27"/>
  <c r="I410" i="27"/>
  <c r="I411" i="27"/>
  <c r="I412" i="27"/>
  <c r="I413" i="27"/>
  <c r="I414" i="27"/>
  <c r="I415" i="27"/>
  <c r="I416" i="27"/>
  <c r="I417" i="27"/>
  <c r="I418" i="27"/>
  <c r="I419" i="27"/>
  <c r="I420" i="27"/>
  <c r="I421" i="27"/>
  <c r="I422" i="27"/>
  <c r="I423" i="27"/>
  <c r="I424" i="27"/>
  <c r="I425" i="27"/>
  <c r="I426" i="27"/>
  <c r="I427" i="27"/>
  <c r="I428" i="27"/>
  <c r="I429" i="27"/>
  <c r="I430" i="27"/>
  <c r="I431" i="27"/>
  <c r="I432" i="27"/>
  <c r="I433" i="27"/>
  <c r="I434" i="27"/>
  <c r="I435" i="27"/>
  <c r="I436" i="27"/>
  <c r="I437" i="27"/>
  <c r="I438" i="27"/>
  <c r="I439" i="27"/>
  <c r="I440" i="27"/>
  <c r="I441" i="27"/>
  <c r="I442" i="27"/>
  <c r="I443" i="27"/>
  <c r="I444" i="27"/>
  <c r="I445" i="27"/>
  <c r="I446" i="27"/>
  <c r="I447" i="27"/>
  <c r="I448" i="27"/>
  <c r="I449" i="27"/>
  <c r="I450" i="27"/>
  <c r="I451" i="27"/>
  <c r="I452" i="27"/>
  <c r="I453" i="27"/>
  <c r="I454" i="27"/>
  <c r="I455" i="27"/>
  <c r="I456" i="27"/>
  <c r="I457" i="27"/>
  <c r="I458" i="27"/>
  <c r="I459" i="27"/>
  <c r="I460" i="27"/>
  <c r="I461" i="27"/>
  <c r="I462" i="27"/>
  <c r="I463" i="27"/>
  <c r="I464" i="27"/>
  <c r="I465" i="27"/>
  <c r="I466" i="27"/>
  <c r="I467" i="27"/>
  <c r="I468" i="27"/>
  <c r="I469" i="27"/>
  <c r="I470" i="27"/>
  <c r="I471" i="27"/>
  <c r="I472" i="27"/>
  <c r="I473" i="27"/>
  <c r="I474" i="27"/>
  <c r="I475" i="27"/>
  <c r="I476" i="27"/>
  <c r="I477" i="27"/>
  <c r="I478" i="27"/>
  <c r="I479" i="27"/>
  <c r="I480" i="27"/>
  <c r="I481" i="27"/>
  <c r="I482" i="27"/>
  <c r="I483" i="27"/>
  <c r="I484" i="27"/>
  <c r="I485" i="27"/>
  <c r="I486" i="27"/>
  <c r="I487" i="27"/>
  <c r="I488" i="27"/>
  <c r="I489" i="27"/>
  <c r="I490" i="27"/>
  <c r="I491" i="27"/>
  <c r="I492" i="27"/>
  <c r="I493" i="27"/>
  <c r="I494" i="27"/>
  <c r="I495" i="27"/>
  <c r="I496" i="27"/>
  <c r="I497" i="27"/>
  <c r="I498" i="27"/>
  <c r="I499" i="27"/>
  <c r="I500" i="27"/>
  <c r="I501" i="27"/>
  <c r="I502" i="27"/>
  <c r="I503" i="27"/>
  <c r="I504" i="27"/>
  <c r="I505" i="27"/>
  <c r="I506" i="27"/>
  <c r="I507" i="27"/>
  <c r="I508" i="27"/>
  <c r="I509" i="27"/>
  <c r="I510" i="27"/>
  <c r="I511" i="27"/>
  <c r="I512" i="27"/>
  <c r="I513" i="27"/>
  <c r="I514" i="27"/>
  <c r="I515" i="27"/>
  <c r="I516" i="27"/>
  <c r="I517" i="27"/>
  <c r="I518" i="27"/>
  <c r="I519" i="27"/>
  <c r="I520" i="27"/>
  <c r="I521" i="27"/>
  <c r="I522" i="27"/>
  <c r="I523" i="27"/>
  <c r="I524" i="27"/>
  <c r="I525" i="27"/>
  <c r="I526" i="27"/>
  <c r="I527" i="27"/>
  <c r="I528" i="27"/>
  <c r="I529" i="27"/>
  <c r="I530" i="27"/>
  <c r="I531" i="27"/>
  <c r="I532" i="27"/>
  <c r="I533" i="27"/>
  <c r="I534" i="27"/>
  <c r="I535" i="27"/>
  <c r="I536" i="27"/>
  <c r="I537" i="27"/>
  <c r="I538" i="27"/>
  <c r="I539" i="27"/>
  <c r="I540" i="27"/>
  <c r="I541" i="27"/>
  <c r="I542" i="27"/>
  <c r="I543" i="27"/>
  <c r="I544" i="27"/>
  <c r="I545" i="27"/>
  <c r="I546" i="27"/>
  <c r="I547" i="27"/>
  <c r="I548" i="27"/>
  <c r="I549" i="27"/>
  <c r="I550" i="27"/>
  <c r="I551" i="27"/>
  <c r="I552" i="27"/>
  <c r="I553" i="27"/>
  <c r="I554" i="27"/>
  <c r="I555" i="27"/>
  <c r="I556" i="27"/>
  <c r="I557" i="27"/>
  <c r="I558" i="27"/>
  <c r="I559" i="27"/>
  <c r="I560" i="27"/>
  <c r="I561" i="27"/>
  <c r="I562" i="27"/>
  <c r="I563" i="27"/>
  <c r="I564" i="27"/>
  <c r="I565" i="27"/>
  <c r="I566" i="27"/>
  <c r="I567" i="27"/>
  <c r="I568" i="27"/>
  <c r="I569" i="27"/>
  <c r="I570" i="27"/>
  <c r="I571" i="27"/>
  <c r="I572" i="27"/>
  <c r="I573" i="27"/>
  <c r="I574" i="27"/>
  <c r="I575" i="27"/>
  <c r="I576" i="27"/>
  <c r="I577" i="27"/>
  <c r="I578" i="27"/>
  <c r="I579" i="27"/>
  <c r="I580" i="27"/>
  <c r="I581" i="27"/>
  <c r="I582" i="27"/>
  <c r="I583" i="27"/>
  <c r="I584" i="27"/>
  <c r="I585" i="27"/>
  <c r="I586" i="27"/>
  <c r="I587" i="27"/>
  <c r="I588" i="27"/>
  <c r="I589" i="27"/>
  <c r="I590" i="27"/>
  <c r="I591" i="27"/>
  <c r="I592" i="27"/>
  <c r="I593" i="27"/>
  <c r="I594" i="27"/>
  <c r="I595" i="27"/>
  <c r="I596" i="27"/>
  <c r="I597" i="27"/>
  <c r="I598" i="27"/>
  <c r="I599" i="27"/>
  <c r="I600" i="27"/>
  <c r="I601" i="27"/>
  <c r="I602" i="27"/>
  <c r="I603" i="27"/>
  <c r="I604" i="27"/>
  <c r="I605" i="27"/>
  <c r="I606" i="27"/>
  <c r="I607" i="27"/>
  <c r="I608" i="27"/>
  <c r="I609" i="27"/>
  <c r="I610" i="27"/>
  <c r="I611" i="27"/>
  <c r="I612" i="27"/>
  <c r="I613" i="27"/>
  <c r="I614" i="27"/>
  <c r="I615" i="27"/>
  <c r="I616" i="27"/>
  <c r="I617" i="27"/>
  <c r="I618" i="27"/>
  <c r="I619" i="27"/>
  <c r="I620" i="27"/>
  <c r="I621" i="27"/>
  <c r="I622" i="27"/>
  <c r="I623" i="27"/>
  <c r="I624" i="27"/>
  <c r="I625" i="27"/>
  <c r="I626" i="27"/>
  <c r="I627" i="27"/>
  <c r="I628" i="27"/>
  <c r="I629" i="27"/>
  <c r="I630" i="27"/>
  <c r="I631" i="27"/>
  <c r="I632" i="27"/>
  <c r="I633" i="27"/>
  <c r="I634" i="27"/>
  <c r="I635" i="27"/>
  <c r="I636" i="27"/>
  <c r="I637" i="27"/>
  <c r="I638" i="27"/>
  <c r="I639" i="27"/>
  <c r="I640" i="27"/>
  <c r="I641" i="27"/>
  <c r="I642" i="27"/>
  <c r="I643" i="27"/>
  <c r="I644" i="27"/>
  <c r="I645" i="27"/>
  <c r="I646" i="27"/>
  <c r="I647" i="27"/>
  <c r="I648" i="27"/>
  <c r="I649" i="27"/>
  <c r="I650" i="27"/>
  <c r="I651" i="27"/>
  <c r="I652" i="27"/>
  <c r="I653" i="27"/>
  <c r="I654" i="27"/>
  <c r="I655" i="27"/>
  <c r="I656" i="27"/>
  <c r="I657" i="27"/>
  <c r="I658" i="27"/>
  <c r="I659" i="27"/>
  <c r="I660" i="27"/>
  <c r="I661" i="27"/>
  <c r="I662" i="27"/>
  <c r="I663" i="27"/>
  <c r="I664" i="27"/>
  <c r="I665" i="27"/>
  <c r="I666" i="27"/>
  <c r="I667" i="27"/>
  <c r="I668" i="27"/>
  <c r="I669" i="27"/>
  <c r="I670" i="27"/>
  <c r="I671" i="27"/>
  <c r="I672" i="27"/>
  <c r="I673" i="27"/>
  <c r="I674" i="27"/>
  <c r="I675" i="27"/>
  <c r="I676" i="27"/>
  <c r="I677" i="27"/>
  <c r="I678" i="27"/>
  <c r="I679" i="27"/>
  <c r="I680" i="27"/>
  <c r="I681" i="27"/>
  <c r="I682" i="27"/>
  <c r="I683" i="27"/>
  <c r="I684" i="27"/>
  <c r="I685" i="27"/>
  <c r="I686" i="27"/>
  <c r="I687" i="27"/>
  <c r="I688" i="27"/>
  <c r="I689" i="27"/>
  <c r="I690" i="27"/>
  <c r="I691" i="27"/>
  <c r="I692" i="27"/>
  <c r="I693" i="27"/>
  <c r="I694" i="27"/>
  <c r="I695" i="27"/>
  <c r="I696" i="27"/>
  <c r="I697" i="27"/>
  <c r="I698" i="27"/>
  <c r="I699" i="27"/>
  <c r="I700" i="27"/>
  <c r="I701" i="27"/>
  <c r="I702" i="27"/>
  <c r="I703" i="27"/>
  <c r="I704" i="27"/>
  <c r="I705" i="27"/>
  <c r="I706" i="27"/>
  <c r="I707" i="27"/>
  <c r="I708" i="27"/>
  <c r="I709" i="27"/>
  <c r="I710" i="27"/>
  <c r="I711" i="27"/>
  <c r="I712" i="27"/>
  <c r="I713" i="27"/>
  <c r="I714" i="27"/>
  <c r="I715" i="27"/>
  <c r="I716" i="27"/>
  <c r="I717" i="27"/>
  <c r="I718" i="27"/>
  <c r="I719" i="27"/>
  <c r="I720" i="27"/>
  <c r="I721" i="27"/>
  <c r="I722" i="27"/>
  <c r="I723" i="27"/>
  <c r="I724" i="27"/>
  <c r="I725" i="27"/>
  <c r="I726" i="27"/>
  <c r="I727" i="27"/>
  <c r="I728" i="27"/>
  <c r="I729" i="27"/>
  <c r="I730" i="27"/>
  <c r="I731" i="27"/>
  <c r="I732" i="27"/>
  <c r="I733" i="27"/>
  <c r="I734" i="27"/>
  <c r="I735" i="27"/>
  <c r="I736" i="27"/>
  <c r="I737" i="27"/>
  <c r="I738" i="27"/>
  <c r="I739" i="27"/>
  <c r="I740" i="27"/>
  <c r="I741" i="27"/>
  <c r="I742" i="27"/>
  <c r="I743" i="27"/>
  <c r="I744" i="27"/>
  <c r="I745" i="27"/>
  <c r="I746" i="27"/>
  <c r="I747" i="27"/>
  <c r="I748" i="27"/>
  <c r="I749" i="27"/>
  <c r="I750" i="27"/>
  <c r="I751" i="27"/>
  <c r="I752" i="27"/>
  <c r="I753" i="27"/>
  <c r="I754" i="27"/>
  <c r="I755" i="27"/>
  <c r="I756" i="27"/>
  <c r="I757" i="27"/>
  <c r="I758" i="27"/>
  <c r="I759" i="27"/>
  <c r="I760" i="27"/>
  <c r="I761" i="27"/>
  <c r="I762" i="27"/>
  <c r="I763" i="27"/>
  <c r="I764" i="27"/>
  <c r="I765" i="27"/>
  <c r="I766" i="27"/>
  <c r="I767" i="27"/>
  <c r="I768" i="27"/>
  <c r="I769" i="27"/>
  <c r="I770" i="27"/>
  <c r="I771" i="27"/>
  <c r="I772" i="27"/>
  <c r="I773" i="27"/>
  <c r="I774" i="27"/>
  <c r="I775" i="27"/>
  <c r="I776" i="27"/>
  <c r="I777" i="27"/>
  <c r="I778" i="27"/>
  <c r="I779" i="27"/>
  <c r="I780" i="27"/>
  <c r="I781" i="27"/>
  <c r="I782" i="27"/>
  <c r="I783" i="27"/>
  <c r="I784" i="27"/>
  <c r="I785" i="27"/>
  <c r="I786" i="27"/>
  <c r="I787" i="27"/>
  <c r="I788" i="27"/>
  <c r="I789" i="27"/>
  <c r="I790" i="27"/>
  <c r="I791" i="27"/>
  <c r="I792" i="27"/>
  <c r="I793" i="27"/>
  <c r="I794" i="27"/>
  <c r="I795" i="27"/>
  <c r="I796" i="27"/>
  <c r="I797" i="27"/>
  <c r="I798" i="27"/>
  <c r="I799" i="27"/>
  <c r="I800" i="27"/>
  <c r="I801" i="27"/>
  <c r="I802" i="27"/>
  <c r="I803" i="27"/>
  <c r="I804" i="27"/>
  <c r="I805" i="27"/>
  <c r="I806" i="27"/>
  <c r="I807" i="27"/>
  <c r="I808" i="27"/>
  <c r="I809" i="27"/>
  <c r="I810" i="27"/>
  <c r="I811" i="27"/>
  <c r="I812" i="27"/>
  <c r="I813" i="27"/>
  <c r="I814" i="27"/>
  <c r="I815" i="27"/>
  <c r="I816" i="27"/>
  <c r="I817" i="27"/>
  <c r="I818" i="27"/>
  <c r="I819" i="27"/>
  <c r="I820" i="27"/>
  <c r="I821" i="27"/>
  <c r="I822" i="27"/>
  <c r="I823" i="27"/>
  <c r="I824" i="27"/>
  <c r="I825" i="27"/>
  <c r="I826" i="27"/>
  <c r="I827" i="27"/>
  <c r="I828" i="27"/>
  <c r="I829" i="27"/>
  <c r="I830" i="27"/>
  <c r="I831" i="27"/>
  <c r="I832" i="27"/>
  <c r="I833" i="27"/>
  <c r="I834" i="27"/>
  <c r="I835" i="27"/>
  <c r="I836" i="27"/>
  <c r="I837" i="27"/>
  <c r="I838" i="27"/>
  <c r="I839" i="27"/>
  <c r="I840" i="27"/>
  <c r="I841" i="27"/>
  <c r="I842" i="27"/>
  <c r="I843" i="27"/>
  <c r="I844" i="27"/>
  <c r="I845" i="27"/>
  <c r="I846" i="27"/>
  <c r="I847" i="27"/>
  <c r="I848" i="27"/>
  <c r="I849" i="27"/>
  <c r="I850" i="27"/>
  <c r="I851" i="27"/>
  <c r="I852" i="27"/>
  <c r="I853" i="27"/>
  <c r="I854" i="27"/>
  <c r="I855" i="27"/>
  <c r="I856" i="27"/>
  <c r="I857" i="27"/>
  <c r="I858" i="27"/>
  <c r="I859" i="27"/>
  <c r="I860" i="27"/>
  <c r="I861" i="27"/>
  <c r="I862" i="27"/>
  <c r="I863" i="27"/>
  <c r="I864" i="27"/>
  <c r="I865" i="27"/>
  <c r="I866" i="27"/>
  <c r="I867" i="27"/>
  <c r="I868" i="27"/>
  <c r="I869" i="27"/>
  <c r="I870" i="27"/>
  <c r="I871" i="27"/>
  <c r="I872" i="27"/>
  <c r="I873" i="27"/>
  <c r="I874" i="27"/>
  <c r="I875" i="27"/>
  <c r="I876" i="27"/>
  <c r="I877" i="27"/>
  <c r="I878" i="27"/>
  <c r="I879" i="27"/>
  <c r="I880" i="27"/>
  <c r="I881" i="27"/>
  <c r="I882" i="27"/>
  <c r="I883" i="27"/>
  <c r="I884" i="27"/>
  <c r="I885" i="27"/>
  <c r="I886" i="27"/>
  <c r="I887" i="27"/>
  <c r="I888" i="27"/>
  <c r="I889" i="27"/>
  <c r="I890" i="27"/>
  <c r="I891" i="27"/>
  <c r="I892" i="27"/>
  <c r="I893" i="27"/>
  <c r="I894" i="27"/>
  <c r="I895" i="27"/>
  <c r="I896" i="27"/>
  <c r="I897" i="27"/>
  <c r="I898" i="27"/>
  <c r="I899" i="27"/>
  <c r="I900" i="27"/>
  <c r="I901" i="27"/>
  <c r="I902" i="27"/>
  <c r="I903" i="27"/>
  <c r="I904" i="27"/>
  <c r="I905" i="27"/>
  <c r="I906" i="27"/>
  <c r="I907" i="27"/>
  <c r="I908" i="27"/>
  <c r="I909" i="27"/>
  <c r="I910" i="27"/>
  <c r="I911" i="27"/>
  <c r="I912" i="27"/>
  <c r="I913" i="27"/>
  <c r="I914" i="27"/>
  <c r="I915" i="27"/>
  <c r="I916" i="27"/>
  <c r="I917" i="27"/>
  <c r="I918" i="27"/>
  <c r="I919" i="27"/>
  <c r="I920" i="27"/>
  <c r="I921" i="27"/>
  <c r="I922" i="27"/>
  <c r="I923" i="27"/>
  <c r="I924" i="27"/>
  <c r="I925" i="27"/>
  <c r="I926" i="27"/>
  <c r="I927" i="27"/>
  <c r="I928" i="27"/>
  <c r="I929" i="27"/>
  <c r="I930" i="27"/>
  <c r="I931" i="27"/>
  <c r="I932" i="27"/>
  <c r="I933" i="27"/>
  <c r="I934" i="27"/>
  <c r="I935" i="27"/>
  <c r="I936" i="27"/>
  <c r="I937" i="27"/>
  <c r="I938" i="27"/>
  <c r="I939" i="27"/>
  <c r="I940" i="27"/>
  <c r="I941" i="27"/>
  <c r="I942" i="27"/>
  <c r="I943" i="27"/>
  <c r="I944" i="27"/>
  <c r="I945" i="27"/>
  <c r="I946" i="27"/>
  <c r="I947" i="27"/>
  <c r="I948" i="27"/>
  <c r="I949" i="27"/>
  <c r="I950" i="27"/>
  <c r="I951" i="27"/>
  <c r="I952" i="27"/>
  <c r="I953" i="27"/>
  <c r="I954" i="27"/>
  <c r="I955" i="27"/>
  <c r="I956" i="27"/>
  <c r="I957" i="27"/>
  <c r="I958" i="27"/>
  <c r="I959" i="27"/>
  <c r="I960" i="27"/>
  <c r="I961" i="27"/>
  <c r="I962" i="27"/>
  <c r="I963" i="27"/>
  <c r="I964" i="27"/>
  <c r="I965" i="27"/>
  <c r="I966" i="27"/>
  <c r="I967" i="27"/>
  <c r="I968" i="27"/>
  <c r="I969" i="27"/>
  <c r="I970" i="27"/>
  <c r="I971" i="27"/>
  <c r="I972" i="27"/>
  <c r="I973" i="27"/>
  <c r="I974" i="27"/>
  <c r="I975" i="27"/>
  <c r="I976" i="27"/>
  <c r="I977" i="27"/>
  <c r="I978" i="27"/>
  <c r="I979" i="27"/>
  <c r="I980" i="27"/>
  <c r="I981" i="27"/>
  <c r="I982" i="27"/>
  <c r="I983" i="27"/>
  <c r="I984" i="27"/>
  <c r="I985" i="27"/>
  <c r="I986" i="27"/>
  <c r="I987" i="27"/>
  <c r="I988" i="27"/>
  <c r="I989" i="27"/>
  <c r="I990" i="27"/>
  <c r="I991" i="27"/>
  <c r="I992" i="27"/>
  <c r="I993" i="27"/>
  <c r="I994" i="27"/>
  <c r="I995" i="27"/>
  <c r="I996" i="27"/>
  <c r="I997" i="27"/>
  <c r="I998" i="27"/>
  <c r="I999" i="27"/>
  <c r="I1000" i="27"/>
  <c r="I1001" i="27"/>
  <c r="I1002" i="27"/>
  <c r="I1003" i="27"/>
  <c r="I1004" i="27"/>
  <c r="I1005" i="27"/>
  <c r="I1006" i="27"/>
  <c r="I1007" i="27"/>
  <c r="I1008" i="27"/>
  <c r="I1009" i="27"/>
  <c r="I1010" i="27"/>
  <c r="I1011" i="27"/>
  <c r="I1012" i="27"/>
  <c r="I1013" i="27"/>
  <c r="I1014" i="27"/>
  <c r="I1015" i="27"/>
  <c r="I1016" i="27"/>
  <c r="I1017" i="27"/>
  <c r="I1018" i="27"/>
  <c r="I1019" i="27"/>
  <c r="I1020" i="27"/>
  <c r="I1021" i="27"/>
  <c r="I1022" i="27"/>
  <c r="I1023" i="27"/>
  <c r="I1024" i="27"/>
  <c r="I1025" i="27"/>
  <c r="I1026" i="27"/>
  <c r="I1027" i="27"/>
  <c r="I1028" i="27"/>
  <c r="I1029" i="27"/>
  <c r="I1030" i="27"/>
  <c r="I1031" i="27"/>
  <c r="I1032" i="27"/>
  <c r="I1033" i="27"/>
  <c r="I1034" i="27"/>
  <c r="I1035" i="27"/>
  <c r="I1036" i="27"/>
  <c r="I1037" i="27"/>
  <c r="I1038" i="27"/>
  <c r="I1039" i="27"/>
  <c r="I1040" i="27"/>
  <c r="I1041" i="27"/>
  <c r="I1042" i="27"/>
  <c r="I1043" i="27"/>
  <c r="I1044" i="27"/>
  <c r="I1045" i="27"/>
  <c r="I1046" i="27"/>
  <c r="I1047" i="27"/>
  <c r="I1048" i="27"/>
  <c r="I1049" i="27"/>
  <c r="I1050" i="27"/>
  <c r="I1051" i="27"/>
  <c r="I1052" i="27"/>
  <c r="I1053" i="27"/>
  <c r="I1054" i="27"/>
  <c r="I1055" i="27"/>
  <c r="I1056" i="27"/>
  <c r="I1057" i="27"/>
  <c r="I1058" i="27"/>
  <c r="I1059" i="27"/>
  <c r="I1060" i="27"/>
  <c r="I1061" i="27"/>
  <c r="I1062" i="27"/>
  <c r="I1063" i="27"/>
  <c r="I1064" i="27"/>
  <c r="I1065" i="27"/>
  <c r="I1066" i="27"/>
  <c r="I1067" i="27"/>
  <c r="I1068" i="27"/>
  <c r="I1069" i="27"/>
  <c r="I1070" i="27"/>
  <c r="I1071" i="27"/>
  <c r="I1072" i="27"/>
  <c r="I1073" i="27"/>
  <c r="I1074" i="27"/>
  <c r="I1075" i="27"/>
  <c r="I1076" i="27"/>
  <c r="I1077" i="27"/>
  <c r="I1078" i="27"/>
  <c r="I1079" i="27"/>
  <c r="I1080" i="27"/>
  <c r="I1081" i="27"/>
  <c r="I1082" i="27"/>
  <c r="I1083" i="27"/>
  <c r="I1084" i="27"/>
  <c r="I1085" i="27"/>
  <c r="I1086" i="27"/>
  <c r="I1087" i="27"/>
  <c r="I1088" i="27"/>
  <c r="I1089" i="27"/>
  <c r="I1090" i="27"/>
  <c r="I1091" i="27"/>
  <c r="I1092" i="27"/>
  <c r="I1093" i="27"/>
  <c r="I1094" i="27"/>
  <c r="I1095" i="27"/>
  <c r="I1096" i="27"/>
  <c r="I1097" i="27"/>
  <c r="I1098" i="27"/>
  <c r="I1099" i="27"/>
  <c r="I1100" i="27"/>
  <c r="I1101" i="27"/>
  <c r="I1102" i="27"/>
  <c r="I1103" i="27"/>
  <c r="I1104" i="27"/>
  <c r="I1105" i="27"/>
  <c r="I1106" i="27"/>
  <c r="I1107" i="27"/>
  <c r="I1108" i="27"/>
  <c r="I1109" i="27"/>
  <c r="I1110" i="27"/>
  <c r="I1111" i="27"/>
  <c r="I1112" i="27"/>
  <c r="I1113" i="27"/>
  <c r="I1114" i="27"/>
  <c r="I1115" i="27"/>
  <c r="I1116" i="27"/>
  <c r="I1117" i="27"/>
  <c r="I8" i="27"/>
  <c r="K8" i="27" s="1"/>
  <c r="N8" i="27" s="1"/>
  <c r="J169" i="27"/>
  <c r="L169" i="27" s="1"/>
  <c r="J170" i="27"/>
  <c r="L170" i="27" s="1"/>
  <c r="J171" i="27"/>
  <c r="L171" i="27" s="1"/>
  <c r="J172" i="27"/>
  <c r="L172" i="27" s="1"/>
  <c r="J173" i="27"/>
  <c r="L173" i="27" s="1"/>
  <c r="J174" i="27"/>
  <c r="L174" i="27" s="1"/>
  <c r="J175" i="27"/>
  <c r="L175" i="27" s="1"/>
  <c r="J176" i="27"/>
  <c r="L176" i="27" s="1"/>
  <c r="J177" i="27"/>
  <c r="L177" i="27" s="1"/>
  <c r="J178" i="27"/>
  <c r="L178" i="27" s="1"/>
  <c r="J179" i="27"/>
  <c r="L179" i="27" s="1"/>
  <c r="J180" i="27"/>
  <c r="L180" i="27" s="1"/>
  <c r="J181" i="27"/>
  <c r="L181" i="27" s="1"/>
  <c r="J182" i="27"/>
  <c r="L182" i="27" s="1"/>
  <c r="J183" i="27"/>
  <c r="L183" i="27" s="1"/>
  <c r="J184" i="27"/>
  <c r="L184" i="27" s="1"/>
  <c r="J185" i="27"/>
  <c r="L185" i="27" s="1"/>
  <c r="J186" i="27"/>
  <c r="L186" i="27" s="1"/>
  <c r="J187" i="27"/>
  <c r="L187" i="27" s="1"/>
  <c r="J188" i="27"/>
  <c r="L188" i="27" s="1"/>
  <c r="J189" i="27"/>
  <c r="L189" i="27" s="1"/>
  <c r="J190" i="27"/>
  <c r="L190" i="27" s="1"/>
  <c r="J191" i="27"/>
  <c r="L191" i="27" s="1"/>
  <c r="J192" i="27"/>
  <c r="L192" i="27" s="1"/>
  <c r="J193" i="27"/>
  <c r="L193" i="27" s="1"/>
  <c r="J194" i="27"/>
  <c r="L194" i="27" s="1"/>
  <c r="J195" i="27"/>
  <c r="L195" i="27" s="1"/>
  <c r="J196" i="27"/>
  <c r="L196" i="27" s="1"/>
  <c r="J197" i="27"/>
  <c r="L197" i="27" s="1"/>
  <c r="J198" i="27"/>
  <c r="L198" i="27" s="1"/>
  <c r="J199" i="27"/>
  <c r="L199" i="27" s="1"/>
  <c r="J200" i="27"/>
  <c r="L200" i="27" s="1"/>
  <c r="J201" i="27"/>
  <c r="L201" i="27" s="1"/>
  <c r="J202" i="27"/>
  <c r="L202" i="27" s="1"/>
  <c r="J203" i="27"/>
  <c r="L203" i="27" s="1"/>
  <c r="J204" i="27"/>
  <c r="L204" i="27" s="1"/>
  <c r="J205" i="27"/>
  <c r="L205" i="27" s="1"/>
  <c r="J206" i="27"/>
  <c r="L206" i="27" s="1"/>
  <c r="J207" i="27"/>
  <c r="L207" i="27" s="1"/>
  <c r="J208" i="27"/>
  <c r="L208" i="27" s="1"/>
  <c r="J209" i="27"/>
  <c r="L209" i="27" s="1"/>
  <c r="J210" i="27"/>
  <c r="L210" i="27" s="1"/>
  <c r="J211" i="27"/>
  <c r="L211" i="27" s="1"/>
  <c r="J212" i="27"/>
  <c r="L212" i="27" s="1"/>
  <c r="J213" i="27"/>
  <c r="L213" i="27" s="1"/>
  <c r="J214" i="27"/>
  <c r="L214" i="27" s="1"/>
  <c r="J215" i="27"/>
  <c r="L215" i="27" s="1"/>
  <c r="J216" i="27"/>
  <c r="L216" i="27" s="1"/>
  <c r="J217" i="27"/>
  <c r="L217" i="27" s="1"/>
  <c r="J218" i="27"/>
  <c r="L218" i="27" s="1"/>
  <c r="J219" i="27"/>
  <c r="L219" i="27" s="1"/>
  <c r="J220" i="27"/>
  <c r="L220" i="27" s="1"/>
  <c r="J221" i="27"/>
  <c r="L221" i="27" s="1"/>
  <c r="J222" i="27"/>
  <c r="L222" i="27" s="1"/>
  <c r="J223" i="27"/>
  <c r="L223" i="27" s="1"/>
  <c r="J224" i="27"/>
  <c r="L224" i="27" s="1"/>
  <c r="J225" i="27"/>
  <c r="L225" i="27" s="1"/>
  <c r="J226" i="27"/>
  <c r="L226" i="27" s="1"/>
  <c r="J227" i="27"/>
  <c r="L227" i="27" s="1"/>
  <c r="J228" i="27"/>
  <c r="L228" i="27" s="1"/>
  <c r="J229" i="27"/>
  <c r="L229" i="27" s="1"/>
  <c r="J230" i="27"/>
  <c r="L230" i="27" s="1"/>
  <c r="J231" i="27"/>
  <c r="L231" i="27" s="1"/>
  <c r="J232" i="27"/>
  <c r="L232" i="27" s="1"/>
  <c r="J233" i="27"/>
  <c r="L233" i="27" s="1"/>
  <c r="J234" i="27"/>
  <c r="L234" i="27" s="1"/>
  <c r="J235" i="27"/>
  <c r="L235" i="27" s="1"/>
  <c r="J236" i="27"/>
  <c r="L236" i="27" s="1"/>
  <c r="J237" i="27"/>
  <c r="L237" i="27" s="1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3" i="27"/>
  <c r="J374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16" i="27"/>
  <c r="J417" i="27"/>
  <c r="J418" i="27"/>
  <c r="J419" i="27"/>
  <c r="J420" i="27"/>
  <c r="J421" i="27"/>
  <c r="J422" i="27"/>
  <c r="J423" i="27"/>
  <c r="J424" i="27"/>
  <c r="J425" i="27"/>
  <c r="J426" i="27"/>
  <c r="J427" i="27"/>
  <c r="J428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4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7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J631" i="27"/>
  <c r="J632" i="27"/>
  <c r="J633" i="27"/>
  <c r="J634" i="27"/>
  <c r="J635" i="27"/>
  <c r="J636" i="27"/>
  <c r="J637" i="27"/>
  <c r="J638" i="27"/>
  <c r="J639" i="27"/>
  <c r="J640" i="27"/>
  <c r="J641" i="27"/>
  <c r="J642" i="27"/>
  <c r="J643" i="27"/>
  <c r="J644" i="27"/>
  <c r="J645" i="27"/>
  <c r="J646" i="27"/>
  <c r="J647" i="27"/>
  <c r="J648" i="27"/>
  <c r="J649" i="27"/>
  <c r="J650" i="27"/>
  <c r="J651" i="27"/>
  <c r="J652" i="27"/>
  <c r="J653" i="27"/>
  <c r="J654" i="27"/>
  <c r="J655" i="27"/>
  <c r="J656" i="27"/>
  <c r="J657" i="27"/>
  <c r="J658" i="27"/>
  <c r="J659" i="27"/>
  <c r="J660" i="27"/>
  <c r="J661" i="27"/>
  <c r="J662" i="27"/>
  <c r="J663" i="27"/>
  <c r="J664" i="27"/>
  <c r="J665" i="27"/>
  <c r="J666" i="27"/>
  <c r="J667" i="27"/>
  <c r="J668" i="27"/>
  <c r="J669" i="27"/>
  <c r="J670" i="27"/>
  <c r="J671" i="27"/>
  <c r="J672" i="27"/>
  <c r="J673" i="27"/>
  <c r="J674" i="27"/>
  <c r="J675" i="27"/>
  <c r="J676" i="27"/>
  <c r="J677" i="27"/>
  <c r="J678" i="27"/>
  <c r="J679" i="27"/>
  <c r="J680" i="27"/>
  <c r="J681" i="27"/>
  <c r="J682" i="27"/>
  <c r="J683" i="27"/>
  <c r="J684" i="27"/>
  <c r="J685" i="27"/>
  <c r="J686" i="27"/>
  <c r="J687" i="27"/>
  <c r="J688" i="27"/>
  <c r="J689" i="27"/>
  <c r="J690" i="27"/>
  <c r="J691" i="27"/>
  <c r="J692" i="27"/>
  <c r="J693" i="27"/>
  <c r="J694" i="27"/>
  <c r="J695" i="27"/>
  <c r="J696" i="27"/>
  <c r="J697" i="27"/>
  <c r="J698" i="27"/>
  <c r="J699" i="27"/>
  <c r="J700" i="27"/>
  <c r="J701" i="27"/>
  <c r="J702" i="27"/>
  <c r="J703" i="27"/>
  <c r="J704" i="27"/>
  <c r="J705" i="27"/>
  <c r="J706" i="27"/>
  <c r="J707" i="27"/>
  <c r="J708" i="27"/>
  <c r="J709" i="27"/>
  <c r="J710" i="27"/>
  <c r="J711" i="27"/>
  <c r="J712" i="27"/>
  <c r="J713" i="27"/>
  <c r="J714" i="27"/>
  <c r="J715" i="27"/>
  <c r="J716" i="27"/>
  <c r="J717" i="27"/>
  <c r="J718" i="27"/>
  <c r="J719" i="27"/>
  <c r="J720" i="27"/>
  <c r="J721" i="27"/>
  <c r="J722" i="27"/>
  <c r="J723" i="27"/>
  <c r="J724" i="27"/>
  <c r="J725" i="27"/>
  <c r="J726" i="27"/>
  <c r="J727" i="27"/>
  <c r="J728" i="27"/>
  <c r="J729" i="27"/>
  <c r="J730" i="27"/>
  <c r="J731" i="27"/>
  <c r="J732" i="27"/>
  <c r="J733" i="27"/>
  <c r="J734" i="27"/>
  <c r="J735" i="27"/>
  <c r="J736" i="27"/>
  <c r="J737" i="27"/>
  <c r="J738" i="27"/>
  <c r="J739" i="27"/>
  <c r="J740" i="27"/>
  <c r="J741" i="27"/>
  <c r="J742" i="27"/>
  <c r="J743" i="27"/>
  <c r="J744" i="27"/>
  <c r="J745" i="27"/>
  <c r="J746" i="27"/>
  <c r="J747" i="27"/>
  <c r="J748" i="27"/>
  <c r="J749" i="27"/>
  <c r="J750" i="27"/>
  <c r="J751" i="27"/>
  <c r="J752" i="27"/>
  <c r="J753" i="27"/>
  <c r="J754" i="27"/>
  <c r="J755" i="27"/>
  <c r="J756" i="27"/>
  <c r="J757" i="27"/>
  <c r="J758" i="27"/>
  <c r="J759" i="27"/>
  <c r="J760" i="27"/>
  <c r="J761" i="27"/>
  <c r="J762" i="27"/>
  <c r="J763" i="27"/>
  <c r="J764" i="27"/>
  <c r="J765" i="27"/>
  <c r="J766" i="27"/>
  <c r="J767" i="27"/>
  <c r="J768" i="27"/>
  <c r="J769" i="27"/>
  <c r="J770" i="27"/>
  <c r="J771" i="27"/>
  <c r="J772" i="27"/>
  <c r="J773" i="27"/>
  <c r="J774" i="27"/>
  <c r="J775" i="27"/>
  <c r="J776" i="27"/>
  <c r="J777" i="27"/>
  <c r="J778" i="27"/>
  <c r="J779" i="27"/>
  <c r="J780" i="27"/>
  <c r="J781" i="27"/>
  <c r="J782" i="27"/>
  <c r="J783" i="27"/>
  <c r="J784" i="27"/>
  <c r="J785" i="27"/>
  <c r="J786" i="27"/>
  <c r="J787" i="27"/>
  <c r="J788" i="27"/>
  <c r="J789" i="27"/>
  <c r="J790" i="27"/>
  <c r="J791" i="27"/>
  <c r="J792" i="27"/>
  <c r="J793" i="27"/>
  <c r="J794" i="27"/>
  <c r="J795" i="27"/>
  <c r="J796" i="27"/>
  <c r="J797" i="27"/>
  <c r="J798" i="27"/>
  <c r="J799" i="27"/>
  <c r="J800" i="27"/>
  <c r="J801" i="27"/>
  <c r="J802" i="27"/>
  <c r="J803" i="27"/>
  <c r="J804" i="27"/>
  <c r="J805" i="27"/>
  <c r="J806" i="27"/>
  <c r="J807" i="27"/>
  <c r="J808" i="27"/>
  <c r="J809" i="27"/>
  <c r="J810" i="27"/>
  <c r="J811" i="27"/>
  <c r="J812" i="27"/>
  <c r="J813" i="27"/>
  <c r="J814" i="27"/>
  <c r="J815" i="27"/>
  <c r="J816" i="27"/>
  <c r="J817" i="27"/>
  <c r="J818" i="27"/>
  <c r="J819" i="27"/>
  <c r="J820" i="27"/>
  <c r="J821" i="27"/>
  <c r="J822" i="27"/>
  <c r="J823" i="27"/>
  <c r="J824" i="27"/>
  <c r="J825" i="27"/>
  <c r="J826" i="27"/>
  <c r="J827" i="27"/>
  <c r="J828" i="27"/>
  <c r="J829" i="27"/>
  <c r="J830" i="27"/>
  <c r="J831" i="27"/>
  <c r="J832" i="27"/>
  <c r="J833" i="27"/>
  <c r="J834" i="27"/>
  <c r="J835" i="27"/>
  <c r="J836" i="27"/>
  <c r="J837" i="27"/>
  <c r="J838" i="27"/>
  <c r="J839" i="27"/>
  <c r="J840" i="27"/>
  <c r="J841" i="27"/>
  <c r="J842" i="27"/>
  <c r="J843" i="27"/>
  <c r="J844" i="27"/>
  <c r="J845" i="27"/>
  <c r="J846" i="27"/>
  <c r="J847" i="27"/>
  <c r="J848" i="27"/>
  <c r="J849" i="27"/>
  <c r="J850" i="27"/>
  <c r="J851" i="27"/>
  <c r="J852" i="27"/>
  <c r="J853" i="27"/>
  <c r="J854" i="27"/>
  <c r="J855" i="27"/>
  <c r="J856" i="27"/>
  <c r="J857" i="27"/>
  <c r="J858" i="27"/>
  <c r="J859" i="27"/>
  <c r="J860" i="27"/>
  <c r="J861" i="27"/>
  <c r="J862" i="27"/>
  <c r="J863" i="27"/>
  <c r="J864" i="27"/>
  <c r="J865" i="27"/>
  <c r="J866" i="27"/>
  <c r="J867" i="27"/>
  <c r="J868" i="27"/>
  <c r="J869" i="27"/>
  <c r="J870" i="27"/>
  <c r="J871" i="27"/>
  <c r="J872" i="27"/>
  <c r="J873" i="27"/>
  <c r="J874" i="27"/>
  <c r="J875" i="27"/>
  <c r="J876" i="27"/>
  <c r="J877" i="27"/>
  <c r="J878" i="27"/>
  <c r="J879" i="27"/>
  <c r="J880" i="27"/>
  <c r="J881" i="27"/>
  <c r="J882" i="27"/>
  <c r="J883" i="27"/>
  <c r="J884" i="27"/>
  <c r="J885" i="27"/>
  <c r="J886" i="27"/>
  <c r="J887" i="27"/>
  <c r="J888" i="27"/>
  <c r="J889" i="27"/>
  <c r="J890" i="27"/>
  <c r="J891" i="27"/>
  <c r="J892" i="27"/>
  <c r="J893" i="27"/>
  <c r="J894" i="27"/>
  <c r="J895" i="27"/>
  <c r="J896" i="27"/>
  <c r="J897" i="27"/>
  <c r="J898" i="27"/>
  <c r="J899" i="27"/>
  <c r="J900" i="27"/>
  <c r="J901" i="27"/>
  <c r="J902" i="27"/>
  <c r="J903" i="27"/>
  <c r="J904" i="27"/>
  <c r="J905" i="27"/>
  <c r="J906" i="27"/>
  <c r="J907" i="27"/>
  <c r="J908" i="27"/>
  <c r="J909" i="27"/>
  <c r="J910" i="27"/>
  <c r="J911" i="27"/>
  <c r="J912" i="27"/>
  <c r="J913" i="27"/>
  <c r="J914" i="27"/>
  <c r="J915" i="27"/>
  <c r="J916" i="27"/>
  <c r="J917" i="27"/>
  <c r="J918" i="27"/>
  <c r="J919" i="27"/>
  <c r="J920" i="27"/>
  <c r="J921" i="27"/>
  <c r="J922" i="27"/>
  <c r="J923" i="27"/>
  <c r="J924" i="27"/>
  <c r="J925" i="27"/>
  <c r="J926" i="27"/>
  <c r="J927" i="27"/>
  <c r="J928" i="27"/>
  <c r="J929" i="27"/>
  <c r="J930" i="27"/>
  <c r="J931" i="27"/>
  <c r="J932" i="27"/>
  <c r="J933" i="27"/>
  <c r="J934" i="27"/>
  <c r="J935" i="27"/>
  <c r="J936" i="27"/>
  <c r="J937" i="27"/>
  <c r="J938" i="27"/>
  <c r="J939" i="27"/>
  <c r="J940" i="27"/>
  <c r="J941" i="27"/>
  <c r="J942" i="27"/>
  <c r="J943" i="27"/>
  <c r="J944" i="27"/>
  <c r="J945" i="27"/>
  <c r="J946" i="27"/>
  <c r="J947" i="27"/>
  <c r="J948" i="27"/>
  <c r="J949" i="27"/>
  <c r="J950" i="27"/>
  <c r="J951" i="27"/>
  <c r="J952" i="27"/>
  <c r="J953" i="27"/>
  <c r="J954" i="27"/>
  <c r="J955" i="27"/>
  <c r="J956" i="27"/>
  <c r="J957" i="27"/>
  <c r="J958" i="27"/>
  <c r="J959" i="27"/>
  <c r="J960" i="27"/>
  <c r="J961" i="27"/>
  <c r="J962" i="27"/>
  <c r="J963" i="27"/>
  <c r="J964" i="27"/>
  <c r="J965" i="27"/>
  <c r="J966" i="27"/>
  <c r="J967" i="27"/>
  <c r="J968" i="27"/>
  <c r="J969" i="27"/>
  <c r="J970" i="27"/>
  <c r="J971" i="27"/>
  <c r="J972" i="27"/>
  <c r="J973" i="27"/>
  <c r="J974" i="27"/>
  <c r="J975" i="27"/>
  <c r="J976" i="27"/>
  <c r="J977" i="27"/>
  <c r="J978" i="27"/>
  <c r="J979" i="27"/>
  <c r="J980" i="27"/>
  <c r="J981" i="27"/>
  <c r="J982" i="27"/>
  <c r="J983" i="27"/>
  <c r="J984" i="27"/>
  <c r="J985" i="27"/>
  <c r="J986" i="27"/>
  <c r="J987" i="27"/>
  <c r="J988" i="27"/>
  <c r="J989" i="27"/>
  <c r="J990" i="27"/>
  <c r="J991" i="27"/>
  <c r="J992" i="27"/>
  <c r="J993" i="27"/>
  <c r="J994" i="27"/>
  <c r="J995" i="27"/>
  <c r="J996" i="27"/>
  <c r="J997" i="27"/>
  <c r="J998" i="27"/>
  <c r="J999" i="27"/>
  <c r="J1000" i="27"/>
  <c r="J1001" i="27"/>
  <c r="J1002" i="27"/>
  <c r="J1003" i="27"/>
  <c r="J1004" i="27"/>
  <c r="J1005" i="27"/>
  <c r="J1006" i="27"/>
  <c r="J1007" i="27"/>
  <c r="J1008" i="27"/>
  <c r="J1009" i="27"/>
  <c r="J1010" i="27"/>
  <c r="J1011" i="27"/>
  <c r="J1012" i="27"/>
  <c r="J1013" i="27"/>
  <c r="J1014" i="27"/>
  <c r="J1015" i="27"/>
  <c r="J1016" i="27"/>
  <c r="J1017" i="27"/>
  <c r="J1018" i="27"/>
  <c r="J1019" i="27"/>
  <c r="J1020" i="27"/>
  <c r="J1021" i="27"/>
  <c r="J1022" i="27"/>
  <c r="J1023" i="27"/>
  <c r="J1024" i="27"/>
  <c r="J1025" i="27"/>
  <c r="J1026" i="27"/>
  <c r="J1027" i="27"/>
  <c r="J1028" i="27"/>
  <c r="J1029" i="27"/>
  <c r="J1030" i="27"/>
  <c r="J1031" i="27"/>
  <c r="J1032" i="27"/>
  <c r="J1033" i="27"/>
  <c r="J1034" i="27"/>
  <c r="J1035" i="27"/>
  <c r="J1036" i="27"/>
  <c r="J1037" i="27"/>
  <c r="J1038" i="27"/>
  <c r="J1039" i="27"/>
  <c r="J1040" i="27"/>
  <c r="J1041" i="27"/>
  <c r="J1042" i="27"/>
  <c r="J1043" i="27"/>
  <c r="J1044" i="27"/>
  <c r="J1045" i="27"/>
  <c r="J1046" i="27"/>
  <c r="J1047" i="27"/>
  <c r="J1048" i="27"/>
  <c r="J1049" i="27"/>
  <c r="J1050" i="27"/>
  <c r="J1051" i="27"/>
  <c r="J1052" i="27"/>
  <c r="J1053" i="27"/>
  <c r="J1054" i="27"/>
  <c r="J1055" i="27"/>
  <c r="J1056" i="27"/>
  <c r="J1057" i="27"/>
  <c r="J1058" i="27"/>
  <c r="J1059" i="27"/>
  <c r="J1060" i="27"/>
  <c r="J1061" i="27"/>
  <c r="J1062" i="27"/>
  <c r="J1063" i="27"/>
  <c r="J1064" i="27"/>
  <c r="J1065" i="27"/>
  <c r="J1066" i="27"/>
  <c r="J1067" i="27"/>
  <c r="J1068" i="27"/>
  <c r="J1069" i="27"/>
  <c r="J1070" i="27"/>
  <c r="J1071" i="27"/>
  <c r="J1072" i="27"/>
  <c r="J1073" i="27"/>
  <c r="J1074" i="27"/>
  <c r="J1075" i="27"/>
  <c r="J1076" i="27"/>
  <c r="J1077" i="27"/>
  <c r="J1078" i="27"/>
  <c r="J1079" i="27"/>
  <c r="J1080" i="27"/>
  <c r="J1081" i="27"/>
  <c r="J1082" i="27"/>
  <c r="J1083" i="27"/>
  <c r="J1084" i="27"/>
  <c r="J1085" i="27"/>
  <c r="J1086" i="27"/>
  <c r="J1087" i="27"/>
  <c r="J1088" i="27"/>
  <c r="J1089" i="27"/>
  <c r="J1090" i="27"/>
  <c r="J1091" i="27"/>
  <c r="J1092" i="27"/>
  <c r="J1093" i="27"/>
  <c r="J1094" i="27"/>
  <c r="J1095" i="27"/>
  <c r="J1096" i="27"/>
  <c r="J1097" i="27"/>
  <c r="J1098" i="27"/>
  <c r="J1099" i="27"/>
  <c r="J1100" i="27"/>
  <c r="J1101" i="27"/>
  <c r="J1102" i="27"/>
  <c r="J1103" i="27"/>
  <c r="J1104" i="27"/>
  <c r="J1105" i="27"/>
  <c r="J1106" i="27"/>
  <c r="J1107" i="27"/>
  <c r="J1108" i="27"/>
  <c r="J1109" i="27"/>
  <c r="J1110" i="27"/>
  <c r="J1111" i="27"/>
  <c r="J1112" i="27"/>
  <c r="J1113" i="27"/>
  <c r="J1114" i="27"/>
  <c r="J1115" i="27"/>
  <c r="J1116" i="27"/>
  <c r="J111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406" i="27"/>
  <c r="G407" i="27"/>
  <c r="G408" i="27"/>
  <c r="G409" i="27"/>
  <c r="G410" i="27"/>
  <c r="G411" i="27"/>
  <c r="G412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454" i="27"/>
  <c r="G455" i="27"/>
  <c r="G456" i="27"/>
  <c r="G457" i="27"/>
  <c r="G458" i="27"/>
  <c r="G459" i="27"/>
  <c r="G460" i="27"/>
  <c r="G461" i="27"/>
  <c r="G462" i="27"/>
  <c r="G463" i="27"/>
  <c r="G464" i="27"/>
  <c r="G465" i="27"/>
  <c r="G466" i="27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485" i="27"/>
  <c r="G486" i="27"/>
  <c r="G487" i="27"/>
  <c r="G488" i="27"/>
  <c r="G489" i="27"/>
  <c r="G490" i="27"/>
  <c r="G491" i="27"/>
  <c r="G492" i="27"/>
  <c r="G493" i="27"/>
  <c r="G494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512" i="27"/>
  <c r="G513" i="27"/>
  <c r="G514" i="27"/>
  <c r="G515" i="27"/>
  <c r="G516" i="27"/>
  <c r="G517" i="27"/>
  <c r="G518" i="27"/>
  <c r="G519" i="27"/>
  <c r="G520" i="27"/>
  <c r="G521" i="27"/>
  <c r="G522" i="27"/>
  <c r="G523" i="27"/>
  <c r="G524" i="27"/>
  <c r="G525" i="27"/>
  <c r="G526" i="27"/>
  <c r="G527" i="27"/>
  <c r="G528" i="27"/>
  <c r="G529" i="27"/>
  <c r="G530" i="27"/>
  <c r="G531" i="27"/>
  <c r="G532" i="27"/>
  <c r="G533" i="27"/>
  <c r="G534" i="27"/>
  <c r="G535" i="27"/>
  <c r="G536" i="27"/>
  <c r="G537" i="27"/>
  <c r="G538" i="27"/>
  <c r="G539" i="27"/>
  <c r="G540" i="27"/>
  <c r="G541" i="27"/>
  <c r="G542" i="27"/>
  <c r="G543" i="27"/>
  <c r="G544" i="27"/>
  <c r="G545" i="27"/>
  <c r="G546" i="27"/>
  <c r="G547" i="27"/>
  <c r="G548" i="27"/>
  <c r="G549" i="27"/>
  <c r="G550" i="27"/>
  <c r="G551" i="27"/>
  <c r="G552" i="27"/>
  <c r="G553" i="27"/>
  <c r="G554" i="27"/>
  <c r="G555" i="27"/>
  <c r="G556" i="27"/>
  <c r="G557" i="27"/>
  <c r="G558" i="27"/>
  <c r="G559" i="27"/>
  <c r="G560" i="27"/>
  <c r="G561" i="27"/>
  <c r="G562" i="27"/>
  <c r="G563" i="27"/>
  <c r="G564" i="27"/>
  <c r="G565" i="27"/>
  <c r="G566" i="27"/>
  <c r="G567" i="27"/>
  <c r="G568" i="27"/>
  <c r="G569" i="27"/>
  <c r="G570" i="27"/>
  <c r="G571" i="27"/>
  <c r="G572" i="27"/>
  <c r="G573" i="27"/>
  <c r="G574" i="27"/>
  <c r="G575" i="27"/>
  <c r="G576" i="27"/>
  <c r="G577" i="27"/>
  <c r="G578" i="27"/>
  <c r="G579" i="27"/>
  <c r="G580" i="27"/>
  <c r="G581" i="27"/>
  <c r="G582" i="27"/>
  <c r="G583" i="27"/>
  <c r="G584" i="27"/>
  <c r="G585" i="27"/>
  <c r="G586" i="27"/>
  <c r="G587" i="27"/>
  <c r="G588" i="27"/>
  <c r="G589" i="27"/>
  <c r="G590" i="27"/>
  <c r="G591" i="27"/>
  <c r="G592" i="27"/>
  <c r="G593" i="27"/>
  <c r="G594" i="27"/>
  <c r="G595" i="27"/>
  <c r="G596" i="27"/>
  <c r="G597" i="27"/>
  <c r="G598" i="27"/>
  <c r="G599" i="27"/>
  <c r="G600" i="27"/>
  <c r="G601" i="27"/>
  <c r="G602" i="27"/>
  <c r="G603" i="27"/>
  <c r="G604" i="27"/>
  <c r="G605" i="27"/>
  <c r="G606" i="27"/>
  <c r="G607" i="27"/>
  <c r="G608" i="27"/>
  <c r="G609" i="27"/>
  <c r="G610" i="27"/>
  <c r="G611" i="27"/>
  <c r="G612" i="27"/>
  <c r="G613" i="27"/>
  <c r="G614" i="27"/>
  <c r="G615" i="27"/>
  <c r="G616" i="27"/>
  <c r="G617" i="27"/>
  <c r="G618" i="27"/>
  <c r="G619" i="27"/>
  <c r="G620" i="27"/>
  <c r="G621" i="27"/>
  <c r="G622" i="27"/>
  <c r="G623" i="27"/>
  <c r="G624" i="27"/>
  <c r="G625" i="27"/>
  <c r="G626" i="27"/>
  <c r="G627" i="27"/>
  <c r="G628" i="27"/>
  <c r="G629" i="27"/>
  <c r="G630" i="27"/>
  <c r="G631" i="27"/>
  <c r="G632" i="27"/>
  <c r="G633" i="27"/>
  <c r="G634" i="27"/>
  <c r="G635" i="27"/>
  <c r="G636" i="27"/>
  <c r="G637" i="27"/>
  <c r="G638" i="27"/>
  <c r="G639" i="27"/>
  <c r="G640" i="27"/>
  <c r="G641" i="27"/>
  <c r="G642" i="27"/>
  <c r="G643" i="27"/>
  <c r="G644" i="27"/>
  <c r="G645" i="27"/>
  <c r="G646" i="27"/>
  <c r="G647" i="27"/>
  <c r="G648" i="27"/>
  <c r="G649" i="27"/>
  <c r="G650" i="27"/>
  <c r="G651" i="27"/>
  <c r="G652" i="27"/>
  <c r="G653" i="27"/>
  <c r="G654" i="27"/>
  <c r="G655" i="27"/>
  <c r="G656" i="27"/>
  <c r="G657" i="27"/>
  <c r="G658" i="27"/>
  <c r="G659" i="27"/>
  <c r="G660" i="27"/>
  <c r="G661" i="27"/>
  <c r="G662" i="27"/>
  <c r="G663" i="27"/>
  <c r="G664" i="27"/>
  <c r="G665" i="27"/>
  <c r="G666" i="27"/>
  <c r="G667" i="27"/>
  <c r="G668" i="27"/>
  <c r="G669" i="27"/>
  <c r="G670" i="27"/>
  <c r="G671" i="27"/>
  <c r="G672" i="27"/>
  <c r="G673" i="27"/>
  <c r="G674" i="27"/>
  <c r="G675" i="27"/>
  <c r="G676" i="27"/>
  <c r="G677" i="27"/>
  <c r="G678" i="27"/>
  <c r="G679" i="27"/>
  <c r="G680" i="27"/>
  <c r="G681" i="27"/>
  <c r="G682" i="27"/>
  <c r="G683" i="27"/>
  <c r="G684" i="27"/>
  <c r="G685" i="27"/>
  <c r="G686" i="27"/>
  <c r="G687" i="27"/>
  <c r="G688" i="27"/>
  <c r="G689" i="27"/>
  <c r="G690" i="27"/>
  <c r="G691" i="27"/>
  <c r="G692" i="27"/>
  <c r="G693" i="27"/>
  <c r="G694" i="27"/>
  <c r="G695" i="27"/>
  <c r="G696" i="27"/>
  <c r="G697" i="27"/>
  <c r="G698" i="27"/>
  <c r="G699" i="27"/>
  <c r="G700" i="27"/>
  <c r="G701" i="27"/>
  <c r="G702" i="27"/>
  <c r="G703" i="27"/>
  <c r="G704" i="27"/>
  <c r="G705" i="27"/>
  <c r="G706" i="27"/>
  <c r="G707" i="27"/>
  <c r="G708" i="27"/>
  <c r="G709" i="27"/>
  <c r="G710" i="27"/>
  <c r="G711" i="27"/>
  <c r="G712" i="27"/>
  <c r="G713" i="27"/>
  <c r="G714" i="27"/>
  <c r="G715" i="27"/>
  <c r="G716" i="27"/>
  <c r="G717" i="27"/>
  <c r="G718" i="27"/>
  <c r="G719" i="27"/>
  <c r="G720" i="27"/>
  <c r="G721" i="27"/>
  <c r="G722" i="27"/>
  <c r="G723" i="27"/>
  <c r="G724" i="27"/>
  <c r="G725" i="27"/>
  <c r="G726" i="27"/>
  <c r="G727" i="27"/>
  <c r="G728" i="27"/>
  <c r="G729" i="27"/>
  <c r="G730" i="27"/>
  <c r="G731" i="27"/>
  <c r="G732" i="27"/>
  <c r="G733" i="27"/>
  <c r="G734" i="27"/>
  <c r="G735" i="27"/>
  <c r="G736" i="27"/>
  <c r="G737" i="27"/>
  <c r="G738" i="27"/>
  <c r="G739" i="27"/>
  <c r="G740" i="27"/>
  <c r="G741" i="27"/>
  <c r="G742" i="27"/>
  <c r="G743" i="27"/>
  <c r="G744" i="27"/>
  <c r="G745" i="27"/>
  <c r="G746" i="27"/>
  <c r="G747" i="27"/>
  <c r="G748" i="27"/>
  <c r="G749" i="27"/>
  <c r="G750" i="27"/>
  <c r="G751" i="27"/>
  <c r="G752" i="27"/>
  <c r="G753" i="27"/>
  <c r="G754" i="27"/>
  <c r="G755" i="27"/>
  <c r="G756" i="27"/>
  <c r="G757" i="27"/>
  <c r="G758" i="27"/>
  <c r="G759" i="27"/>
  <c r="G760" i="27"/>
  <c r="G761" i="27"/>
  <c r="G762" i="27"/>
  <c r="G763" i="27"/>
  <c r="G764" i="27"/>
  <c r="G765" i="27"/>
  <c r="G766" i="27"/>
  <c r="G767" i="27"/>
  <c r="G768" i="27"/>
  <c r="G769" i="27"/>
  <c r="G770" i="27"/>
  <c r="G771" i="27"/>
  <c r="G772" i="27"/>
  <c r="G773" i="27"/>
  <c r="G774" i="27"/>
  <c r="G775" i="27"/>
  <c r="G776" i="27"/>
  <c r="G777" i="27"/>
  <c r="G778" i="27"/>
  <c r="G779" i="27"/>
  <c r="G780" i="27"/>
  <c r="G781" i="27"/>
  <c r="G782" i="27"/>
  <c r="G783" i="27"/>
  <c r="G784" i="27"/>
  <c r="G785" i="27"/>
  <c r="G786" i="27"/>
  <c r="G787" i="27"/>
  <c r="G788" i="27"/>
  <c r="G789" i="27"/>
  <c r="G790" i="27"/>
  <c r="G791" i="27"/>
  <c r="G792" i="27"/>
  <c r="G793" i="27"/>
  <c r="G794" i="27"/>
  <c r="G795" i="27"/>
  <c r="G796" i="27"/>
  <c r="G797" i="27"/>
  <c r="G798" i="27"/>
  <c r="G799" i="27"/>
  <c r="G800" i="27"/>
  <c r="G801" i="27"/>
  <c r="G802" i="27"/>
  <c r="G803" i="27"/>
  <c r="G804" i="27"/>
  <c r="G805" i="27"/>
  <c r="G806" i="27"/>
  <c r="G807" i="27"/>
  <c r="G808" i="27"/>
  <c r="G809" i="27"/>
  <c r="G810" i="27"/>
  <c r="G811" i="27"/>
  <c r="G812" i="27"/>
  <c r="G813" i="27"/>
  <c r="G814" i="27"/>
  <c r="G815" i="27"/>
  <c r="G816" i="27"/>
  <c r="G817" i="27"/>
  <c r="G818" i="27"/>
  <c r="G819" i="27"/>
  <c r="G820" i="27"/>
  <c r="G821" i="27"/>
  <c r="G822" i="27"/>
  <c r="G823" i="27"/>
  <c r="G824" i="27"/>
  <c r="G825" i="27"/>
  <c r="G826" i="27"/>
  <c r="G827" i="27"/>
  <c r="G828" i="27"/>
  <c r="G829" i="27"/>
  <c r="G830" i="27"/>
  <c r="G831" i="27"/>
  <c r="G832" i="27"/>
  <c r="G833" i="27"/>
  <c r="G834" i="27"/>
  <c r="G835" i="27"/>
  <c r="G836" i="27"/>
  <c r="G837" i="27"/>
  <c r="G838" i="27"/>
  <c r="G839" i="27"/>
  <c r="G840" i="27"/>
  <c r="G841" i="27"/>
  <c r="G842" i="27"/>
  <c r="G843" i="27"/>
  <c r="G844" i="27"/>
  <c r="G845" i="27"/>
  <c r="G846" i="27"/>
  <c r="G847" i="27"/>
  <c r="G848" i="27"/>
  <c r="G849" i="27"/>
  <c r="G850" i="27"/>
  <c r="G851" i="27"/>
  <c r="G852" i="27"/>
  <c r="G853" i="27"/>
  <c r="G854" i="27"/>
  <c r="G855" i="27"/>
  <c r="G856" i="27"/>
  <c r="G857" i="27"/>
  <c r="G858" i="27"/>
  <c r="G859" i="27"/>
  <c r="G860" i="27"/>
  <c r="G861" i="27"/>
  <c r="G862" i="27"/>
  <c r="G863" i="27"/>
  <c r="G864" i="27"/>
  <c r="G865" i="27"/>
  <c r="G866" i="27"/>
  <c r="G867" i="27"/>
  <c r="G868" i="27"/>
  <c r="G869" i="27"/>
  <c r="G870" i="27"/>
  <c r="G871" i="27"/>
  <c r="G872" i="27"/>
  <c r="G873" i="27"/>
  <c r="G874" i="27"/>
  <c r="G875" i="27"/>
  <c r="G876" i="27"/>
  <c r="G877" i="27"/>
  <c r="G878" i="27"/>
  <c r="G879" i="27"/>
  <c r="G880" i="27"/>
  <c r="G881" i="27"/>
  <c r="G882" i="27"/>
  <c r="G883" i="27"/>
  <c r="G884" i="27"/>
  <c r="G885" i="27"/>
  <c r="G886" i="27"/>
  <c r="G887" i="27"/>
  <c r="G888" i="27"/>
  <c r="G889" i="27"/>
  <c r="G890" i="27"/>
  <c r="G891" i="27"/>
  <c r="G892" i="27"/>
  <c r="G893" i="27"/>
  <c r="G894" i="27"/>
  <c r="G895" i="27"/>
  <c r="G896" i="27"/>
  <c r="G897" i="27"/>
  <c r="G898" i="27"/>
  <c r="G899" i="27"/>
  <c r="G900" i="27"/>
  <c r="G901" i="27"/>
  <c r="G902" i="27"/>
  <c r="G903" i="27"/>
  <c r="G904" i="27"/>
  <c r="G905" i="27"/>
  <c r="G906" i="27"/>
  <c r="G907" i="27"/>
  <c r="G908" i="27"/>
  <c r="G909" i="27"/>
  <c r="G910" i="27"/>
  <c r="G911" i="27"/>
  <c r="G912" i="27"/>
  <c r="G913" i="27"/>
  <c r="G914" i="27"/>
  <c r="G915" i="27"/>
  <c r="G916" i="27"/>
  <c r="G917" i="27"/>
  <c r="G918" i="27"/>
  <c r="G919" i="27"/>
  <c r="G920" i="27"/>
  <c r="G921" i="27"/>
  <c r="G922" i="27"/>
  <c r="G923" i="27"/>
  <c r="G924" i="27"/>
  <c r="G925" i="27"/>
  <c r="G926" i="27"/>
  <c r="G927" i="27"/>
  <c r="G928" i="27"/>
  <c r="G929" i="27"/>
  <c r="G930" i="27"/>
  <c r="G931" i="27"/>
  <c r="G932" i="27"/>
  <c r="G933" i="27"/>
  <c r="G934" i="27"/>
  <c r="G935" i="27"/>
  <c r="G936" i="27"/>
  <c r="G937" i="27"/>
  <c r="G938" i="27"/>
  <c r="G939" i="27"/>
  <c r="G940" i="27"/>
  <c r="G941" i="27"/>
  <c r="G942" i="27"/>
  <c r="G943" i="27"/>
  <c r="G944" i="27"/>
  <c r="G945" i="27"/>
  <c r="G946" i="27"/>
  <c r="G947" i="27"/>
  <c r="G948" i="27"/>
  <c r="G949" i="27"/>
  <c r="G950" i="27"/>
  <c r="G951" i="27"/>
  <c r="G952" i="27"/>
  <c r="G953" i="27"/>
  <c r="G954" i="27"/>
  <c r="G955" i="27"/>
  <c r="G956" i="27"/>
  <c r="G957" i="27"/>
  <c r="G958" i="27"/>
  <c r="G959" i="27"/>
  <c r="G960" i="27"/>
  <c r="G961" i="27"/>
  <c r="G962" i="27"/>
  <c r="G963" i="27"/>
  <c r="G964" i="27"/>
  <c r="G965" i="27"/>
  <c r="G966" i="27"/>
  <c r="G967" i="27"/>
  <c r="G968" i="27"/>
  <c r="G969" i="27"/>
  <c r="G970" i="27"/>
  <c r="G971" i="27"/>
  <c r="G972" i="27"/>
  <c r="G973" i="27"/>
  <c r="G974" i="27"/>
  <c r="G975" i="27"/>
  <c r="G976" i="27"/>
  <c r="G977" i="27"/>
  <c r="G978" i="27"/>
  <c r="G979" i="27"/>
  <c r="G980" i="27"/>
  <c r="G981" i="27"/>
  <c r="G982" i="27"/>
  <c r="G983" i="27"/>
  <c r="G984" i="27"/>
  <c r="G985" i="27"/>
  <c r="G986" i="27"/>
  <c r="G987" i="27"/>
  <c r="G988" i="27"/>
  <c r="G989" i="27"/>
  <c r="G990" i="27"/>
  <c r="G991" i="27"/>
  <c r="G992" i="27"/>
  <c r="G993" i="27"/>
  <c r="G994" i="27"/>
  <c r="G995" i="27"/>
  <c r="G996" i="27"/>
  <c r="G997" i="27"/>
  <c r="G998" i="27"/>
  <c r="G999" i="27"/>
  <c r="G1000" i="27"/>
  <c r="G1001" i="27"/>
  <c r="G1002" i="27"/>
  <c r="G1003" i="27"/>
  <c r="G1004" i="27"/>
  <c r="G1005" i="27"/>
  <c r="G1006" i="27"/>
  <c r="G1007" i="27"/>
  <c r="G1008" i="27"/>
  <c r="G1009" i="27"/>
  <c r="G1010" i="27"/>
  <c r="G1011" i="27"/>
  <c r="G1012" i="27"/>
  <c r="G1013" i="27"/>
  <c r="G1014" i="27"/>
  <c r="G1015" i="27"/>
  <c r="G1016" i="27"/>
  <c r="G1017" i="27"/>
  <c r="G1018" i="27"/>
  <c r="G1019" i="27"/>
  <c r="G1020" i="27"/>
  <c r="G1021" i="27"/>
  <c r="G1022" i="27"/>
  <c r="G1023" i="27"/>
  <c r="G1024" i="27"/>
  <c r="G1025" i="27"/>
  <c r="G1026" i="27"/>
  <c r="G1027" i="27"/>
  <c r="G1028" i="27"/>
  <c r="G1029" i="27"/>
  <c r="G1030" i="27"/>
  <c r="G1031" i="27"/>
  <c r="G1032" i="27"/>
  <c r="G1033" i="27"/>
  <c r="G1034" i="27"/>
  <c r="G1035" i="27"/>
  <c r="G1036" i="27"/>
  <c r="G1037" i="27"/>
  <c r="G1038" i="27"/>
  <c r="G1039" i="27"/>
  <c r="G1040" i="27"/>
  <c r="G1041" i="27"/>
  <c r="G1042" i="27"/>
  <c r="G1043" i="27"/>
  <c r="G1044" i="27"/>
  <c r="G1045" i="27"/>
  <c r="G1046" i="27"/>
  <c r="G1047" i="27"/>
  <c r="G1048" i="27"/>
  <c r="G1049" i="27"/>
  <c r="G1050" i="27"/>
  <c r="G1051" i="27"/>
  <c r="G1052" i="27"/>
  <c r="G1053" i="27"/>
  <c r="G1054" i="27"/>
  <c r="G1055" i="27"/>
  <c r="G1056" i="27"/>
  <c r="G1057" i="27"/>
  <c r="G1058" i="27"/>
  <c r="G1059" i="27"/>
  <c r="G1060" i="27"/>
  <c r="G1061" i="27"/>
  <c r="G1062" i="27"/>
  <c r="G1063" i="27"/>
  <c r="G1064" i="27"/>
  <c r="G1065" i="27"/>
  <c r="G1066" i="27"/>
  <c r="G1067" i="27"/>
  <c r="G1068" i="27"/>
  <c r="G1069" i="27"/>
  <c r="G1070" i="27"/>
  <c r="G1071" i="27"/>
  <c r="G1072" i="27"/>
  <c r="G1073" i="27"/>
  <c r="G1074" i="27"/>
  <c r="G1075" i="27"/>
  <c r="G1076" i="27"/>
  <c r="G1077" i="27"/>
  <c r="G1078" i="27"/>
  <c r="G1079" i="27"/>
  <c r="G1080" i="27"/>
  <c r="G1081" i="27"/>
  <c r="G1082" i="27"/>
  <c r="G1083" i="27"/>
  <c r="G1084" i="27"/>
  <c r="G1085" i="27"/>
  <c r="G1086" i="27"/>
  <c r="G1087" i="27"/>
  <c r="G1088" i="27"/>
  <c r="G1089" i="27"/>
  <c r="G1090" i="27"/>
  <c r="G1091" i="27"/>
  <c r="G1092" i="27"/>
  <c r="G1093" i="27"/>
  <c r="G1094" i="27"/>
  <c r="G1095" i="27"/>
  <c r="G1096" i="27"/>
  <c r="G1097" i="27"/>
  <c r="G1098" i="27"/>
  <c r="G1099" i="27"/>
  <c r="G1100" i="27"/>
  <c r="G1101" i="27"/>
  <c r="G1102" i="27"/>
  <c r="G1103" i="27"/>
  <c r="G1104" i="27"/>
  <c r="G1105" i="27"/>
  <c r="G1106" i="27"/>
  <c r="G1107" i="27"/>
  <c r="G1108" i="27"/>
  <c r="G1109" i="27"/>
  <c r="G1110" i="27"/>
  <c r="G1111" i="27"/>
  <c r="G1112" i="27"/>
  <c r="G1113" i="27"/>
  <c r="G1114" i="27"/>
  <c r="G1115" i="27"/>
  <c r="G1116" i="27"/>
  <c r="G1117" i="27"/>
  <c r="H238" i="27"/>
  <c r="L238" i="27" s="1"/>
  <c r="H239" i="27"/>
  <c r="L239" i="27" s="1"/>
  <c r="H240" i="27"/>
  <c r="L240" i="27" s="1"/>
  <c r="H241" i="27"/>
  <c r="L241" i="27" s="1"/>
  <c r="H242" i="27"/>
  <c r="L242" i="27" s="1"/>
  <c r="H243" i="27"/>
  <c r="L243" i="27" s="1"/>
  <c r="H244" i="27"/>
  <c r="L244" i="27" s="1"/>
  <c r="H245" i="27"/>
  <c r="L245" i="27" s="1"/>
  <c r="H246" i="27"/>
  <c r="L246" i="27" s="1"/>
  <c r="H247" i="27"/>
  <c r="L247" i="27" s="1"/>
  <c r="H248" i="27"/>
  <c r="L248" i="27" s="1"/>
  <c r="H249" i="27"/>
  <c r="L249" i="27" s="1"/>
  <c r="H250" i="27"/>
  <c r="L250" i="27" s="1"/>
  <c r="H251" i="27"/>
  <c r="L251" i="27" s="1"/>
  <c r="H252" i="27"/>
  <c r="L252" i="27" s="1"/>
  <c r="H253" i="27"/>
  <c r="L253" i="27" s="1"/>
  <c r="H254" i="27"/>
  <c r="L254" i="27" s="1"/>
  <c r="H255" i="27"/>
  <c r="L255" i="27" s="1"/>
  <c r="H256" i="27"/>
  <c r="L256" i="27" s="1"/>
  <c r="H257" i="27"/>
  <c r="L257" i="27" s="1"/>
  <c r="H258" i="27"/>
  <c r="L258" i="27" s="1"/>
  <c r="H259" i="27"/>
  <c r="L259" i="27" s="1"/>
  <c r="H260" i="27"/>
  <c r="L260" i="27" s="1"/>
  <c r="H261" i="27"/>
  <c r="L261" i="27" s="1"/>
  <c r="H262" i="27"/>
  <c r="L262" i="27" s="1"/>
  <c r="H263" i="27"/>
  <c r="L263" i="27" s="1"/>
  <c r="H264" i="27"/>
  <c r="L264" i="27" s="1"/>
  <c r="H265" i="27"/>
  <c r="L265" i="27" s="1"/>
  <c r="H266" i="27"/>
  <c r="L266" i="27" s="1"/>
  <c r="H267" i="27"/>
  <c r="L267" i="27" s="1"/>
  <c r="H268" i="27"/>
  <c r="L268" i="27" s="1"/>
  <c r="H269" i="27"/>
  <c r="L269" i="27" s="1"/>
  <c r="H270" i="27"/>
  <c r="L270" i="27" s="1"/>
  <c r="H271" i="27"/>
  <c r="L271" i="27" s="1"/>
  <c r="H272" i="27"/>
  <c r="L272" i="27" s="1"/>
  <c r="H273" i="27"/>
  <c r="L273" i="27" s="1"/>
  <c r="H274" i="27"/>
  <c r="L274" i="27" s="1"/>
  <c r="H275" i="27"/>
  <c r="L275" i="27" s="1"/>
  <c r="H276" i="27"/>
  <c r="L276" i="27" s="1"/>
  <c r="H277" i="27"/>
  <c r="L277" i="27" s="1"/>
  <c r="H278" i="27"/>
  <c r="L278" i="27" s="1"/>
  <c r="H279" i="27"/>
  <c r="L279" i="27" s="1"/>
  <c r="H280" i="27"/>
  <c r="L280" i="27" s="1"/>
  <c r="H281" i="27"/>
  <c r="L281" i="27" s="1"/>
  <c r="H282" i="27"/>
  <c r="L282" i="27" s="1"/>
  <c r="H283" i="27"/>
  <c r="L283" i="27" s="1"/>
  <c r="H284" i="27"/>
  <c r="L284" i="27" s="1"/>
  <c r="H285" i="27"/>
  <c r="L285" i="27" s="1"/>
  <c r="H286" i="27"/>
  <c r="L286" i="27" s="1"/>
  <c r="H287" i="27"/>
  <c r="L287" i="27" s="1"/>
  <c r="H288" i="27"/>
  <c r="L288" i="27" s="1"/>
  <c r="H289" i="27"/>
  <c r="L289" i="27" s="1"/>
  <c r="H290" i="27"/>
  <c r="L290" i="27" s="1"/>
  <c r="H291" i="27"/>
  <c r="L291" i="27" s="1"/>
  <c r="H292" i="27"/>
  <c r="L292" i="27" s="1"/>
  <c r="H293" i="27"/>
  <c r="L293" i="27" s="1"/>
  <c r="H294" i="27"/>
  <c r="L294" i="27" s="1"/>
  <c r="H295" i="27"/>
  <c r="L295" i="27" s="1"/>
  <c r="H296" i="27"/>
  <c r="L296" i="27" s="1"/>
  <c r="H297" i="27"/>
  <c r="L297" i="27" s="1"/>
  <c r="H298" i="27"/>
  <c r="L298" i="27" s="1"/>
  <c r="H299" i="27"/>
  <c r="L299" i="27" s="1"/>
  <c r="H300" i="27"/>
  <c r="L300" i="27" s="1"/>
  <c r="H301" i="27"/>
  <c r="L301" i="27" s="1"/>
  <c r="H302" i="27"/>
  <c r="L302" i="27" s="1"/>
  <c r="H303" i="27"/>
  <c r="L303" i="27" s="1"/>
  <c r="H304" i="27"/>
  <c r="L304" i="27" s="1"/>
  <c r="H305" i="27"/>
  <c r="L305" i="27" s="1"/>
  <c r="H306" i="27"/>
  <c r="L306" i="27" s="1"/>
  <c r="H307" i="27"/>
  <c r="L307" i="27" s="1"/>
  <c r="H308" i="27"/>
  <c r="L308" i="27" s="1"/>
  <c r="H309" i="27"/>
  <c r="L309" i="27" s="1"/>
  <c r="H310" i="27"/>
  <c r="L310" i="27" s="1"/>
  <c r="H311" i="27"/>
  <c r="L311" i="27" s="1"/>
  <c r="H312" i="27"/>
  <c r="L312" i="27" s="1"/>
  <c r="H313" i="27"/>
  <c r="L313" i="27" s="1"/>
  <c r="H314" i="27"/>
  <c r="L314" i="27" s="1"/>
  <c r="H315" i="27"/>
  <c r="L315" i="27" s="1"/>
  <c r="H316" i="27"/>
  <c r="L316" i="27" s="1"/>
  <c r="H317" i="27"/>
  <c r="L317" i="27" s="1"/>
  <c r="H318" i="27"/>
  <c r="L318" i="27" s="1"/>
  <c r="H319" i="27"/>
  <c r="L319" i="27" s="1"/>
  <c r="H320" i="27"/>
  <c r="L320" i="27" s="1"/>
  <c r="H321" i="27"/>
  <c r="L321" i="27" s="1"/>
  <c r="H322" i="27"/>
  <c r="L322" i="27" s="1"/>
  <c r="H323" i="27"/>
  <c r="L323" i="27" s="1"/>
  <c r="H324" i="27"/>
  <c r="L324" i="27" s="1"/>
  <c r="H325" i="27"/>
  <c r="L325" i="27" s="1"/>
  <c r="H326" i="27"/>
  <c r="L326" i="27" s="1"/>
  <c r="H327" i="27"/>
  <c r="L327" i="27" s="1"/>
  <c r="H328" i="27"/>
  <c r="L328" i="27" s="1"/>
  <c r="H329" i="27"/>
  <c r="L329" i="27" s="1"/>
  <c r="H330" i="27"/>
  <c r="L330" i="27" s="1"/>
  <c r="H331" i="27"/>
  <c r="L331" i="27" s="1"/>
  <c r="H332" i="27"/>
  <c r="L332" i="27" s="1"/>
  <c r="H333" i="27"/>
  <c r="L333" i="27" s="1"/>
  <c r="H334" i="27"/>
  <c r="L334" i="27" s="1"/>
  <c r="H335" i="27"/>
  <c r="L335" i="27" s="1"/>
  <c r="H336" i="27"/>
  <c r="L336" i="27" s="1"/>
  <c r="H337" i="27"/>
  <c r="L337" i="27" s="1"/>
  <c r="H338" i="27"/>
  <c r="L338" i="27" s="1"/>
  <c r="H339" i="27"/>
  <c r="L339" i="27" s="1"/>
  <c r="H340" i="27"/>
  <c r="L340" i="27" s="1"/>
  <c r="H341" i="27"/>
  <c r="L341" i="27" s="1"/>
  <c r="H342" i="27"/>
  <c r="L342" i="27" s="1"/>
  <c r="H343" i="27"/>
  <c r="L343" i="27" s="1"/>
  <c r="H344" i="27"/>
  <c r="L344" i="27" s="1"/>
  <c r="H345" i="27"/>
  <c r="L345" i="27" s="1"/>
  <c r="H346" i="27"/>
  <c r="L346" i="27" s="1"/>
  <c r="H347" i="27"/>
  <c r="L347" i="27" s="1"/>
  <c r="H348" i="27"/>
  <c r="L348" i="27" s="1"/>
  <c r="H349" i="27"/>
  <c r="L349" i="27" s="1"/>
  <c r="H350" i="27"/>
  <c r="L350" i="27" s="1"/>
  <c r="H351" i="27"/>
  <c r="L351" i="27" s="1"/>
  <c r="H352" i="27"/>
  <c r="L352" i="27" s="1"/>
  <c r="H353" i="27"/>
  <c r="L353" i="27" s="1"/>
  <c r="H354" i="27"/>
  <c r="L354" i="27" s="1"/>
  <c r="H355" i="27"/>
  <c r="L355" i="27" s="1"/>
  <c r="H356" i="27"/>
  <c r="L356" i="27" s="1"/>
  <c r="H357" i="27"/>
  <c r="L357" i="27" s="1"/>
  <c r="H358" i="27"/>
  <c r="L358" i="27" s="1"/>
  <c r="H359" i="27"/>
  <c r="L359" i="27" s="1"/>
  <c r="H360" i="27"/>
  <c r="L360" i="27" s="1"/>
  <c r="H361" i="27"/>
  <c r="L361" i="27" s="1"/>
  <c r="H362" i="27"/>
  <c r="L362" i="27" s="1"/>
  <c r="H363" i="27"/>
  <c r="L363" i="27" s="1"/>
  <c r="H364" i="27"/>
  <c r="L364" i="27" s="1"/>
  <c r="H365" i="27"/>
  <c r="L365" i="27" s="1"/>
  <c r="H366" i="27"/>
  <c r="L366" i="27" s="1"/>
  <c r="H367" i="27"/>
  <c r="L367" i="27" s="1"/>
  <c r="H368" i="27"/>
  <c r="L368" i="27" s="1"/>
  <c r="H369" i="27"/>
  <c r="L369" i="27" s="1"/>
  <c r="H370" i="27"/>
  <c r="L370" i="27" s="1"/>
  <c r="H371" i="27"/>
  <c r="L371" i="27" s="1"/>
  <c r="H372" i="27"/>
  <c r="L372" i="27" s="1"/>
  <c r="H373" i="27"/>
  <c r="L373" i="27" s="1"/>
  <c r="H374" i="27"/>
  <c r="L374" i="27" s="1"/>
  <c r="H375" i="27"/>
  <c r="L375" i="27" s="1"/>
  <c r="H376" i="27"/>
  <c r="L376" i="27" s="1"/>
  <c r="H377" i="27"/>
  <c r="L377" i="27" s="1"/>
  <c r="H378" i="27"/>
  <c r="L378" i="27" s="1"/>
  <c r="H379" i="27"/>
  <c r="L379" i="27" s="1"/>
  <c r="H380" i="27"/>
  <c r="L380" i="27" s="1"/>
  <c r="H381" i="27"/>
  <c r="L381" i="27" s="1"/>
  <c r="H382" i="27"/>
  <c r="L382" i="27" s="1"/>
  <c r="H383" i="27"/>
  <c r="L383" i="27" s="1"/>
  <c r="H384" i="27"/>
  <c r="L384" i="27" s="1"/>
  <c r="H385" i="27"/>
  <c r="L385" i="27" s="1"/>
  <c r="H386" i="27"/>
  <c r="L386" i="27" s="1"/>
  <c r="H387" i="27"/>
  <c r="L387" i="27" s="1"/>
  <c r="H388" i="27"/>
  <c r="L388" i="27" s="1"/>
  <c r="H389" i="27"/>
  <c r="L389" i="27" s="1"/>
  <c r="H390" i="27"/>
  <c r="L390" i="27" s="1"/>
  <c r="H391" i="27"/>
  <c r="L391" i="27" s="1"/>
  <c r="H392" i="27"/>
  <c r="L392" i="27" s="1"/>
  <c r="H393" i="27"/>
  <c r="L393" i="27" s="1"/>
  <c r="H394" i="27"/>
  <c r="L394" i="27" s="1"/>
  <c r="H395" i="27"/>
  <c r="L395" i="27" s="1"/>
  <c r="H396" i="27"/>
  <c r="L396" i="27" s="1"/>
  <c r="H397" i="27"/>
  <c r="L397" i="27" s="1"/>
  <c r="H398" i="27"/>
  <c r="L398" i="27" s="1"/>
  <c r="H399" i="27"/>
  <c r="L399" i="27" s="1"/>
  <c r="H400" i="27"/>
  <c r="L400" i="27" s="1"/>
  <c r="H401" i="27"/>
  <c r="L401" i="27" s="1"/>
  <c r="H402" i="27"/>
  <c r="L402" i="27" s="1"/>
  <c r="H403" i="27"/>
  <c r="L403" i="27" s="1"/>
  <c r="H404" i="27"/>
  <c r="L404" i="27" s="1"/>
  <c r="H405" i="27"/>
  <c r="L405" i="27" s="1"/>
  <c r="H406" i="27"/>
  <c r="L406" i="27" s="1"/>
  <c r="H407" i="27"/>
  <c r="L407" i="27" s="1"/>
  <c r="H408" i="27"/>
  <c r="L408" i="27" s="1"/>
  <c r="H409" i="27"/>
  <c r="L409" i="27" s="1"/>
  <c r="H410" i="27"/>
  <c r="L410" i="27" s="1"/>
  <c r="H411" i="27"/>
  <c r="L411" i="27" s="1"/>
  <c r="H412" i="27"/>
  <c r="L412" i="27" s="1"/>
  <c r="H413" i="27"/>
  <c r="L413" i="27" s="1"/>
  <c r="H414" i="27"/>
  <c r="L414" i="27" s="1"/>
  <c r="H415" i="27"/>
  <c r="L415" i="27" s="1"/>
  <c r="H416" i="27"/>
  <c r="L416" i="27" s="1"/>
  <c r="H417" i="27"/>
  <c r="L417" i="27" s="1"/>
  <c r="H418" i="27"/>
  <c r="L418" i="27" s="1"/>
  <c r="H419" i="27"/>
  <c r="L419" i="27" s="1"/>
  <c r="H420" i="27"/>
  <c r="L420" i="27" s="1"/>
  <c r="H421" i="27"/>
  <c r="L421" i="27" s="1"/>
  <c r="H422" i="27"/>
  <c r="L422" i="27" s="1"/>
  <c r="H423" i="27"/>
  <c r="L423" i="27" s="1"/>
  <c r="H424" i="27"/>
  <c r="L424" i="27" s="1"/>
  <c r="H425" i="27"/>
  <c r="L425" i="27" s="1"/>
  <c r="H426" i="27"/>
  <c r="L426" i="27" s="1"/>
  <c r="H427" i="27"/>
  <c r="L427" i="27" s="1"/>
  <c r="H428" i="27"/>
  <c r="L428" i="27" s="1"/>
  <c r="H429" i="27"/>
  <c r="L429" i="27" s="1"/>
  <c r="H430" i="27"/>
  <c r="L430" i="27" s="1"/>
  <c r="H431" i="27"/>
  <c r="L431" i="27" s="1"/>
  <c r="H432" i="27"/>
  <c r="L432" i="27" s="1"/>
  <c r="H433" i="27"/>
  <c r="L433" i="27" s="1"/>
  <c r="H434" i="27"/>
  <c r="L434" i="27" s="1"/>
  <c r="H435" i="27"/>
  <c r="L435" i="27" s="1"/>
  <c r="H436" i="27"/>
  <c r="L436" i="27" s="1"/>
  <c r="H437" i="27"/>
  <c r="L437" i="27" s="1"/>
  <c r="H438" i="27"/>
  <c r="L438" i="27" s="1"/>
  <c r="H439" i="27"/>
  <c r="L439" i="27" s="1"/>
  <c r="H440" i="27"/>
  <c r="L440" i="27" s="1"/>
  <c r="H441" i="27"/>
  <c r="L441" i="27" s="1"/>
  <c r="H442" i="27"/>
  <c r="L442" i="27" s="1"/>
  <c r="H443" i="27"/>
  <c r="L443" i="27" s="1"/>
  <c r="H444" i="27"/>
  <c r="L444" i="27" s="1"/>
  <c r="H445" i="27"/>
  <c r="L445" i="27" s="1"/>
  <c r="H446" i="27"/>
  <c r="L446" i="27" s="1"/>
  <c r="H447" i="27"/>
  <c r="L447" i="27" s="1"/>
  <c r="H448" i="27"/>
  <c r="L448" i="27" s="1"/>
  <c r="H449" i="27"/>
  <c r="L449" i="27" s="1"/>
  <c r="H450" i="27"/>
  <c r="L450" i="27" s="1"/>
  <c r="H451" i="27"/>
  <c r="L451" i="27" s="1"/>
  <c r="H452" i="27"/>
  <c r="L452" i="27" s="1"/>
  <c r="H453" i="27"/>
  <c r="L453" i="27" s="1"/>
  <c r="H454" i="27"/>
  <c r="L454" i="27" s="1"/>
  <c r="H455" i="27"/>
  <c r="L455" i="27" s="1"/>
  <c r="H456" i="27"/>
  <c r="L456" i="27" s="1"/>
  <c r="H457" i="27"/>
  <c r="L457" i="27" s="1"/>
  <c r="H458" i="27"/>
  <c r="L458" i="27" s="1"/>
  <c r="H459" i="27"/>
  <c r="L459" i="27" s="1"/>
  <c r="H460" i="27"/>
  <c r="L460" i="27" s="1"/>
  <c r="H461" i="27"/>
  <c r="L461" i="27" s="1"/>
  <c r="H462" i="27"/>
  <c r="L462" i="27" s="1"/>
  <c r="H463" i="27"/>
  <c r="L463" i="27" s="1"/>
  <c r="H464" i="27"/>
  <c r="L464" i="27" s="1"/>
  <c r="H465" i="27"/>
  <c r="L465" i="27" s="1"/>
  <c r="H466" i="27"/>
  <c r="L466" i="27" s="1"/>
  <c r="H467" i="27"/>
  <c r="L467" i="27" s="1"/>
  <c r="H468" i="27"/>
  <c r="L468" i="27" s="1"/>
  <c r="H469" i="27"/>
  <c r="L469" i="27" s="1"/>
  <c r="H470" i="27"/>
  <c r="L470" i="27" s="1"/>
  <c r="H471" i="27"/>
  <c r="L471" i="27" s="1"/>
  <c r="H472" i="27"/>
  <c r="L472" i="27" s="1"/>
  <c r="H473" i="27"/>
  <c r="L473" i="27" s="1"/>
  <c r="H474" i="27"/>
  <c r="L474" i="27" s="1"/>
  <c r="H475" i="27"/>
  <c r="L475" i="27" s="1"/>
  <c r="H476" i="27"/>
  <c r="L476" i="27" s="1"/>
  <c r="H477" i="27"/>
  <c r="L477" i="27" s="1"/>
  <c r="H478" i="27"/>
  <c r="L478" i="27" s="1"/>
  <c r="H479" i="27"/>
  <c r="L479" i="27" s="1"/>
  <c r="H480" i="27"/>
  <c r="L480" i="27" s="1"/>
  <c r="H481" i="27"/>
  <c r="L481" i="27" s="1"/>
  <c r="H482" i="27"/>
  <c r="L482" i="27" s="1"/>
  <c r="H483" i="27"/>
  <c r="L483" i="27" s="1"/>
  <c r="H484" i="27"/>
  <c r="L484" i="27" s="1"/>
  <c r="H485" i="27"/>
  <c r="L485" i="27" s="1"/>
  <c r="H486" i="27"/>
  <c r="L486" i="27" s="1"/>
  <c r="H487" i="27"/>
  <c r="L487" i="27" s="1"/>
  <c r="H488" i="27"/>
  <c r="L488" i="27" s="1"/>
  <c r="H489" i="27"/>
  <c r="L489" i="27" s="1"/>
  <c r="H490" i="27"/>
  <c r="L490" i="27" s="1"/>
  <c r="H491" i="27"/>
  <c r="L491" i="27" s="1"/>
  <c r="H492" i="27"/>
  <c r="L492" i="27" s="1"/>
  <c r="H493" i="27"/>
  <c r="L493" i="27" s="1"/>
  <c r="H494" i="27"/>
  <c r="L494" i="27" s="1"/>
  <c r="H495" i="27"/>
  <c r="L495" i="27" s="1"/>
  <c r="H496" i="27"/>
  <c r="L496" i="27" s="1"/>
  <c r="H497" i="27"/>
  <c r="L497" i="27" s="1"/>
  <c r="H498" i="27"/>
  <c r="L498" i="27" s="1"/>
  <c r="H499" i="27"/>
  <c r="L499" i="27" s="1"/>
  <c r="H500" i="27"/>
  <c r="L500" i="27" s="1"/>
  <c r="H501" i="27"/>
  <c r="L501" i="27" s="1"/>
  <c r="H502" i="27"/>
  <c r="L502" i="27" s="1"/>
  <c r="H503" i="27"/>
  <c r="L503" i="27" s="1"/>
  <c r="H504" i="27"/>
  <c r="L504" i="27" s="1"/>
  <c r="H505" i="27"/>
  <c r="L505" i="27" s="1"/>
  <c r="H506" i="27"/>
  <c r="L506" i="27" s="1"/>
  <c r="H507" i="27"/>
  <c r="L507" i="27" s="1"/>
  <c r="H508" i="27"/>
  <c r="L508" i="27" s="1"/>
  <c r="H509" i="27"/>
  <c r="L509" i="27" s="1"/>
  <c r="H510" i="27"/>
  <c r="L510" i="27" s="1"/>
  <c r="H511" i="27"/>
  <c r="L511" i="27" s="1"/>
  <c r="H512" i="27"/>
  <c r="L512" i="27" s="1"/>
  <c r="H513" i="27"/>
  <c r="L513" i="27" s="1"/>
  <c r="H514" i="27"/>
  <c r="L514" i="27" s="1"/>
  <c r="H515" i="27"/>
  <c r="L515" i="27" s="1"/>
  <c r="H516" i="27"/>
  <c r="L516" i="27" s="1"/>
  <c r="H517" i="27"/>
  <c r="L517" i="27" s="1"/>
  <c r="H518" i="27"/>
  <c r="L518" i="27" s="1"/>
  <c r="H519" i="27"/>
  <c r="L519" i="27" s="1"/>
  <c r="H520" i="27"/>
  <c r="L520" i="27" s="1"/>
  <c r="H521" i="27"/>
  <c r="L521" i="27" s="1"/>
  <c r="H522" i="27"/>
  <c r="L522" i="27" s="1"/>
  <c r="H523" i="27"/>
  <c r="L523" i="27" s="1"/>
  <c r="H524" i="27"/>
  <c r="L524" i="27" s="1"/>
  <c r="H525" i="27"/>
  <c r="L525" i="27" s="1"/>
  <c r="H526" i="27"/>
  <c r="L526" i="27" s="1"/>
  <c r="H527" i="27"/>
  <c r="L527" i="27" s="1"/>
  <c r="H528" i="27"/>
  <c r="L528" i="27" s="1"/>
  <c r="H529" i="27"/>
  <c r="L529" i="27" s="1"/>
  <c r="H530" i="27"/>
  <c r="L530" i="27" s="1"/>
  <c r="H531" i="27"/>
  <c r="L531" i="27" s="1"/>
  <c r="H532" i="27"/>
  <c r="L532" i="27" s="1"/>
  <c r="H533" i="27"/>
  <c r="L533" i="27" s="1"/>
  <c r="H534" i="27"/>
  <c r="L534" i="27" s="1"/>
  <c r="H535" i="27"/>
  <c r="L535" i="27" s="1"/>
  <c r="H536" i="27"/>
  <c r="L536" i="27" s="1"/>
  <c r="H537" i="27"/>
  <c r="L537" i="27" s="1"/>
  <c r="H538" i="27"/>
  <c r="L538" i="27" s="1"/>
  <c r="H539" i="27"/>
  <c r="L539" i="27" s="1"/>
  <c r="H540" i="27"/>
  <c r="L540" i="27" s="1"/>
  <c r="H541" i="27"/>
  <c r="L541" i="27" s="1"/>
  <c r="H542" i="27"/>
  <c r="L542" i="27" s="1"/>
  <c r="H543" i="27"/>
  <c r="L543" i="27" s="1"/>
  <c r="H544" i="27"/>
  <c r="L544" i="27" s="1"/>
  <c r="H545" i="27"/>
  <c r="L545" i="27" s="1"/>
  <c r="H546" i="27"/>
  <c r="L546" i="27" s="1"/>
  <c r="H547" i="27"/>
  <c r="L547" i="27" s="1"/>
  <c r="H548" i="27"/>
  <c r="L548" i="27" s="1"/>
  <c r="H549" i="27"/>
  <c r="L549" i="27" s="1"/>
  <c r="H550" i="27"/>
  <c r="L550" i="27" s="1"/>
  <c r="H551" i="27"/>
  <c r="L551" i="27" s="1"/>
  <c r="H552" i="27"/>
  <c r="L552" i="27" s="1"/>
  <c r="H553" i="27"/>
  <c r="L553" i="27" s="1"/>
  <c r="H554" i="27"/>
  <c r="L554" i="27" s="1"/>
  <c r="H555" i="27"/>
  <c r="L555" i="27" s="1"/>
  <c r="H556" i="27"/>
  <c r="L556" i="27" s="1"/>
  <c r="H557" i="27"/>
  <c r="L557" i="27" s="1"/>
  <c r="H558" i="27"/>
  <c r="L558" i="27" s="1"/>
  <c r="H559" i="27"/>
  <c r="L559" i="27" s="1"/>
  <c r="H560" i="27"/>
  <c r="L560" i="27" s="1"/>
  <c r="H561" i="27"/>
  <c r="L561" i="27" s="1"/>
  <c r="H562" i="27"/>
  <c r="L562" i="27" s="1"/>
  <c r="H563" i="27"/>
  <c r="L563" i="27" s="1"/>
  <c r="H564" i="27"/>
  <c r="L564" i="27" s="1"/>
  <c r="H565" i="27"/>
  <c r="L565" i="27" s="1"/>
  <c r="H566" i="27"/>
  <c r="L566" i="27" s="1"/>
  <c r="H567" i="27"/>
  <c r="L567" i="27" s="1"/>
  <c r="H568" i="27"/>
  <c r="L568" i="27" s="1"/>
  <c r="H569" i="27"/>
  <c r="L569" i="27" s="1"/>
  <c r="H570" i="27"/>
  <c r="L570" i="27" s="1"/>
  <c r="H571" i="27"/>
  <c r="L571" i="27" s="1"/>
  <c r="H572" i="27"/>
  <c r="L572" i="27" s="1"/>
  <c r="H573" i="27"/>
  <c r="L573" i="27" s="1"/>
  <c r="H574" i="27"/>
  <c r="L574" i="27" s="1"/>
  <c r="H575" i="27"/>
  <c r="L575" i="27" s="1"/>
  <c r="H576" i="27"/>
  <c r="L576" i="27" s="1"/>
  <c r="H577" i="27"/>
  <c r="L577" i="27" s="1"/>
  <c r="H578" i="27"/>
  <c r="L578" i="27" s="1"/>
  <c r="H579" i="27"/>
  <c r="L579" i="27" s="1"/>
  <c r="H580" i="27"/>
  <c r="L580" i="27" s="1"/>
  <c r="H581" i="27"/>
  <c r="L581" i="27" s="1"/>
  <c r="H582" i="27"/>
  <c r="L582" i="27" s="1"/>
  <c r="H583" i="27"/>
  <c r="L583" i="27" s="1"/>
  <c r="H584" i="27"/>
  <c r="L584" i="27" s="1"/>
  <c r="H585" i="27"/>
  <c r="L585" i="27" s="1"/>
  <c r="H586" i="27"/>
  <c r="L586" i="27" s="1"/>
  <c r="H587" i="27"/>
  <c r="L587" i="27" s="1"/>
  <c r="H588" i="27"/>
  <c r="L588" i="27" s="1"/>
  <c r="H589" i="27"/>
  <c r="L589" i="27" s="1"/>
  <c r="H590" i="27"/>
  <c r="L590" i="27" s="1"/>
  <c r="H591" i="27"/>
  <c r="L591" i="27" s="1"/>
  <c r="H592" i="27"/>
  <c r="L592" i="27" s="1"/>
  <c r="H593" i="27"/>
  <c r="L593" i="27" s="1"/>
  <c r="H594" i="27"/>
  <c r="L594" i="27" s="1"/>
  <c r="H595" i="27"/>
  <c r="L595" i="27" s="1"/>
  <c r="H596" i="27"/>
  <c r="L596" i="27" s="1"/>
  <c r="H597" i="27"/>
  <c r="L597" i="27" s="1"/>
  <c r="H598" i="27"/>
  <c r="L598" i="27" s="1"/>
  <c r="H599" i="27"/>
  <c r="L599" i="27" s="1"/>
  <c r="H600" i="27"/>
  <c r="L600" i="27" s="1"/>
  <c r="H601" i="27"/>
  <c r="L601" i="27" s="1"/>
  <c r="H602" i="27"/>
  <c r="L602" i="27" s="1"/>
  <c r="H603" i="27"/>
  <c r="L603" i="27" s="1"/>
  <c r="H604" i="27"/>
  <c r="L604" i="27" s="1"/>
  <c r="H605" i="27"/>
  <c r="L605" i="27" s="1"/>
  <c r="H606" i="27"/>
  <c r="L606" i="27" s="1"/>
  <c r="H607" i="27"/>
  <c r="L607" i="27" s="1"/>
  <c r="H608" i="27"/>
  <c r="L608" i="27" s="1"/>
  <c r="H609" i="27"/>
  <c r="L609" i="27" s="1"/>
  <c r="H610" i="27"/>
  <c r="L610" i="27" s="1"/>
  <c r="H611" i="27"/>
  <c r="L611" i="27" s="1"/>
  <c r="H612" i="27"/>
  <c r="L612" i="27" s="1"/>
  <c r="H613" i="27"/>
  <c r="L613" i="27" s="1"/>
  <c r="H614" i="27"/>
  <c r="L614" i="27" s="1"/>
  <c r="H615" i="27"/>
  <c r="L615" i="27" s="1"/>
  <c r="H616" i="27"/>
  <c r="L616" i="27" s="1"/>
  <c r="H617" i="27"/>
  <c r="L617" i="27" s="1"/>
  <c r="H618" i="27"/>
  <c r="L618" i="27" s="1"/>
  <c r="H619" i="27"/>
  <c r="L619" i="27" s="1"/>
  <c r="H620" i="27"/>
  <c r="L620" i="27" s="1"/>
  <c r="H621" i="27"/>
  <c r="L621" i="27" s="1"/>
  <c r="H622" i="27"/>
  <c r="L622" i="27" s="1"/>
  <c r="H623" i="27"/>
  <c r="L623" i="27" s="1"/>
  <c r="H624" i="27"/>
  <c r="L624" i="27" s="1"/>
  <c r="H625" i="27"/>
  <c r="L625" i="27" s="1"/>
  <c r="H626" i="27"/>
  <c r="L626" i="27" s="1"/>
  <c r="H627" i="27"/>
  <c r="L627" i="27" s="1"/>
  <c r="H628" i="27"/>
  <c r="L628" i="27" s="1"/>
  <c r="H629" i="27"/>
  <c r="L629" i="27" s="1"/>
  <c r="H630" i="27"/>
  <c r="L630" i="27" s="1"/>
  <c r="H631" i="27"/>
  <c r="L631" i="27" s="1"/>
  <c r="H632" i="27"/>
  <c r="L632" i="27" s="1"/>
  <c r="H633" i="27"/>
  <c r="L633" i="27" s="1"/>
  <c r="H634" i="27"/>
  <c r="L634" i="27" s="1"/>
  <c r="H635" i="27"/>
  <c r="L635" i="27" s="1"/>
  <c r="H636" i="27"/>
  <c r="L636" i="27" s="1"/>
  <c r="H637" i="27"/>
  <c r="L637" i="27" s="1"/>
  <c r="H638" i="27"/>
  <c r="L638" i="27" s="1"/>
  <c r="H639" i="27"/>
  <c r="L639" i="27" s="1"/>
  <c r="H640" i="27"/>
  <c r="L640" i="27" s="1"/>
  <c r="H641" i="27"/>
  <c r="L641" i="27" s="1"/>
  <c r="H642" i="27"/>
  <c r="L642" i="27" s="1"/>
  <c r="H643" i="27"/>
  <c r="L643" i="27" s="1"/>
  <c r="H644" i="27"/>
  <c r="L644" i="27" s="1"/>
  <c r="H645" i="27"/>
  <c r="L645" i="27" s="1"/>
  <c r="H646" i="27"/>
  <c r="L646" i="27" s="1"/>
  <c r="H647" i="27"/>
  <c r="L647" i="27" s="1"/>
  <c r="H648" i="27"/>
  <c r="L648" i="27" s="1"/>
  <c r="H649" i="27"/>
  <c r="L649" i="27" s="1"/>
  <c r="H650" i="27"/>
  <c r="L650" i="27" s="1"/>
  <c r="H651" i="27"/>
  <c r="L651" i="27" s="1"/>
  <c r="H652" i="27"/>
  <c r="L652" i="27" s="1"/>
  <c r="H653" i="27"/>
  <c r="L653" i="27" s="1"/>
  <c r="H654" i="27"/>
  <c r="L654" i="27" s="1"/>
  <c r="H655" i="27"/>
  <c r="L655" i="27" s="1"/>
  <c r="H656" i="27"/>
  <c r="L656" i="27" s="1"/>
  <c r="H657" i="27"/>
  <c r="L657" i="27" s="1"/>
  <c r="H658" i="27"/>
  <c r="L658" i="27" s="1"/>
  <c r="H659" i="27"/>
  <c r="L659" i="27" s="1"/>
  <c r="H660" i="27"/>
  <c r="L660" i="27" s="1"/>
  <c r="H661" i="27"/>
  <c r="L661" i="27" s="1"/>
  <c r="H662" i="27"/>
  <c r="L662" i="27" s="1"/>
  <c r="H663" i="27"/>
  <c r="L663" i="27" s="1"/>
  <c r="H664" i="27"/>
  <c r="L664" i="27" s="1"/>
  <c r="H665" i="27"/>
  <c r="L665" i="27" s="1"/>
  <c r="H666" i="27"/>
  <c r="L666" i="27" s="1"/>
  <c r="H667" i="27"/>
  <c r="L667" i="27" s="1"/>
  <c r="H668" i="27"/>
  <c r="L668" i="27" s="1"/>
  <c r="H669" i="27"/>
  <c r="L669" i="27" s="1"/>
  <c r="H670" i="27"/>
  <c r="L670" i="27" s="1"/>
  <c r="H671" i="27"/>
  <c r="L671" i="27" s="1"/>
  <c r="H672" i="27"/>
  <c r="L672" i="27" s="1"/>
  <c r="H673" i="27"/>
  <c r="L673" i="27" s="1"/>
  <c r="H674" i="27"/>
  <c r="L674" i="27" s="1"/>
  <c r="H675" i="27"/>
  <c r="L675" i="27" s="1"/>
  <c r="H676" i="27"/>
  <c r="L676" i="27" s="1"/>
  <c r="H677" i="27"/>
  <c r="L677" i="27" s="1"/>
  <c r="H678" i="27"/>
  <c r="L678" i="27" s="1"/>
  <c r="H679" i="27"/>
  <c r="L679" i="27" s="1"/>
  <c r="H680" i="27"/>
  <c r="L680" i="27" s="1"/>
  <c r="H681" i="27"/>
  <c r="L681" i="27" s="1"/>
  <c r="H682" i="27"/>
  <c r="L682" i="27" s="1"/>
  <c r="H683" i="27"/>
  <c r="L683" i="27" s="1"/>
  <c r="H684" i="27"/>
  <c r="L684" i="27" s="1"/>
  <c r="H685" i="27"/>
  <c r="L685" i="27" s="1"/>
  <c r="H686" i="27"/>
  <c r="L686" i="27" s="1"/>
  <c r="H687" i="27"/>
  <c r="L687" i="27" s="1"/>
  <c r="H688" i="27"/>
  <c r="L688" i="27" s="1"/>
  <c r="H689" i="27"/>
  <c r="L689" i="27" s="1"/>
  <c r="H690" i="27"/>
  <c r="L690" i="27" s="1"/>
  <c r="H691" i="27"/>
  <c r="L691" i="27" s="1"/>
  <c r="H692" i="27"/>
  <c r="H693" i="27"/>
  <c r="L693" i="27" s="1"/>
  <c r="H694" i="27"/>
  <c r="L694" i="27" s="1"/>
  <c r="H695" i="27"/>
  <c r="L695" i="27" s="1"/>
  <c r="H696" i="27"/>
  <c r="L696" i="27" s="1"/>
  <c r="H697" i="27"/>
  <c r="H698" i="27"/>
  <c r="L698" i="27" s="1"/>
  <c r="H699" i="27"/>
  <c r="L699" i="27" s="1"/>
  <c r="H700" i="27"/>
  <c r="L700" i="27" s="1"/>
  <c r="H701" i="27"/>
  <c r="L701" i="27" s="1"/>
  <c r="H702" i="27"/>
  <c r="L702" i="27" s="1"/>
  <c r="H703" i="27"/>
  <c r="L703" i="27" s="1"/>
  <c r="H704" i="27"/>
  <c r="L704" i="27" s="1"/>
  <c r="H705" i="27"/>
  <c r="L705" i="27" s="1"/>
  <c r="H706" i="27"/>
  <c r="L706" i="27" s="1"/>
  <c r="H707" i="27"/>
  <c r="L707" i="27" s="1"/>
  <c r="H708" i="27"/>
  <c r="L708" i="27" s="1"/>
  <c r="H709" i="27"/>
  <c r="L709" i="27" s="1"/>
  <c r="H710" i="27"/>
  <c r="L710" i="27" s="1"/>
  <c r="H711" i="27"/>
  <c r="L711" i="27" s="1"/>
  <c r="H712" i="27"/>
  <c r="L712" i="27" s="1"/>
  <c r="H713" i="27"/>
  <c r="L713" i="27" s="1"/>
  <c r="H714" i="27"/>
  <c r="L714" i="27" s="1"/>
  <c r="H715" i="27"/>
  <c r="L715" i="27" s="1"/>
  <c r="H716" i="27"/>
  <c r="L716" i="27" s="1"/>
  <c r="H717" i="27"/>
  <c r="L717" i="27" s="1"/>
  <c r="H718" i="27"/>
  <c r="L718" i="27" s="1"/>
  <c r="H719" i="27"/>
  <c r="L719" i="27" s="1"/>
  <c r="H720" i="27"/>
  <c r="L720" i="27" s="1"/>
  <c r="H721" i="27"/>
  <c r="L721" i="27" s="1"/>
  <c r="H722" i="27"/>
  <c r="L722" i="27" s="1"/>
  <c r="H723" i="27"/>
  <c r="L723" i="27" s="1"/>
  <c r="H724" i="27"/>
  <c r="L724" i="27" s="1"/>
  <c r="H725" i="27"/>
  <c r="L725" i="27" s="1"/>
  <c r="H726" i="27"/>
  <c r="L726" i="27" s="1"/>
  <c r="H727" i="27"/>
  <c r="L727" i="27" s="1"/>
  <c r="H728" i="27"/>
  <c r="L728" i="27" s="1"/>
  <c r="H729" i="27"/>
  <c r="L729" i="27" s="1"/>
  <c r="H730" i="27"/>
  <c r="L730" i="27" s="1"/>
  <c r="H731" i="27"/>
  <c r="L731" i="27" s="1"/>
  <c r="H732" i="27"/>
  <c r="L732" i="27" s="1"/>
  <c r="H733" i="27"/>
  <c r="L733" i="27" s="1"/>
  <c r="H734" i="27"/>
  <c r="L734" i="27" s="1"/>
  <c r="H735" i="27"/>
  <c r="L735" i="27" s="1"/>
  <c r="H736" i="27"/>
  <c r="L736" i="27" s="1"/>
  <c r="H737" i="27"/>
  <c r="L737" i="27" s="1"/>
  <c r="H738" i="27"/>
  <c r="L738" i="27" s="1"/>
  <c r="H739" i="27"/>
  <c r="L739" i="27" s="1"/>
  <c r="H740" i="27"/>
  <c r="L740" i="27" s="1"/>
  <c r="H741" i="27"/>
  <c r="L741" i="27" s="1"/>
  <c r="H742" i="27"/>
  <c r="L742" i="27" s="1"/>
  <c r="H743" i="27"/>
  <c r="L743" i="27" s="1"/>
  <c r="H744" i="27"/>
  <c r="L744" i="27" s="1"/>
  <c r="H745" i="27"/>
  <c r="L745" i="27" s="1"/>
  <c r="H746" i="27"/>
  <c r="L746" i="27" s="1"/>
  <c r="H747" i="27"/>
  <c r="L747" i="27" s="1"/>
  <c r="H748" i="27"/>
  <c r="L748" i="27" s="1"/>
  <c r="H749" i="27"/>
  <c r="L749" i="27" s="1"/>
  <c r="H750" i="27"/>
  <c r="L750" i="27" s="1"/>
  <c r="H751" i="27"/>
  <c r="L751" i="27" s="1"/>
  <c r="H752" i="27"/>
  <c r="L752" i="27" s="1"/>
  <c r="H753" i="27"/>
  <c r="L753" i="27" s="1"/>
  <c r="H754" i="27"/>
  <c r="L754" i="27" s="1"/>
  <c r="H755" i="27"/>
  <c r="L755" i="27" s="1"/>
  <c r="H756" i="27"/>
  <c r="L756" i="27" s="1"/>
  <c r="H757" i="27"/>
  <c r="L757" i="27" s="1"/>
  <c r="H758" i="27"/>
  <c r="L758" i="27" s="1"/>
  <c r="H759" i="27"/>
  <c r="L759" i="27" s="1"/>
  <c r="H760" i="27"/>
  <c r="L760" i="27" s="1"/>
  <c r="H761" i="27"/>
  <c r="L761" i="27" s="1"/>
  <c r="H762" i="27"/>
  <c r="L762" i="27" s="1"/>
  <c r="H763" i="27"/>
  <c r="L763" i="27" s="1"/>
  <c r="H764" i="27"/>
  <c r="L764" i="27" s="1"/>
  <c r="H765" i="27"/>
  <c r="L765" i="27" s="1"/>
  <c r="H766" i="27"/>
  <c r="L766" i="27" s="1"/>
  <c r="H767" i="27"/>
  <c r="L767" i="27" s="1"/>
  <c r="H768" i="27"/>
  <c r="L768" i="27" s="1"/>
  <c r="H769" i="27"/>
  <c r="L769" i="27" s="1"/>
  <c r="H770" i="27"/>
  <c r="L770" i="27" s="1"/>
  <c r="H771" i="27"/>
  <c r="L771" i="27" s="1"/>
  <c r="H772" i="27"/>
  <c r="L772" i="27" s="1"/>
  <c r="H773" i="27"/>
  <c r="L773" i="27" s="1"/>
  <c r="H774" i="27"/>
  <c r="L774" i="27" s="1"/>
  <c r="H775" i="27"/>
  <c r="L775" i="27" s="1"/>
  <c r="H776" i="27"/>
  <c r="L776" i="27" s="1"/>
  <c r="H777" i="27"/>
  <c r="L777" i="27" s="1"/>
  <c r="H778" i="27"/>
  <c r="L778" i="27" s="1"/>
  <c r="H779" i="27"/>
  <c r="L779" i="27" s="1"/>
  <c r="H780" i="27"/>
  <c r="L780" i="27" s="1"/>
  <c r="H781" i="27"/>
  <c r="L781" i="27" s="1"/>
  <c r="H782" i="27"/>
  <c r="L782" i="27" s="1"/>
  <c r="H783" i="27"/>
  <c r="L783" i="27" s="1"/>
  <c r="H784" i="27"/>
  <c r="L784" i="27" s="1"/>
  <c r="H785" i="27"/>
  <c r="L785" i="27" s="1"/>
  <c r="H786" i="27"/>
  <c r="L786" i="27" s="1"/>
  <c r="H787" i="27"/>
  <c r="L787" i="27" s="1"/>
  <c r="H788" i="27"/>
  <c r="L788" i="27" s="1"/>
  <c r="H789" i="27"/>
  <c r="L789" i="27" s="1"/>
  <c r="H790" i="27"/>
  <c r="L790" i="27" s="1"/>
  <c r="H791" i="27"/>
  <c r="L791" i="27" s="1"/>
  <c r="H792" i="27"/>
  <c r="L792" i="27" s="1"/>
  <c r="H793" i="27"/>
  <c r="L793" i="27" s="1"/>
  <c r="H794" i="27"/>
  <c r="L794" i="27" s="1"/>
  <c r="H795" i="27"/>
  <c r="L795" i="27" s="1"/>
  <c r="H796" i="27"/>
  <c r="L796" i="27" s="1"/>
  <c r="H797" i="27"/>
  <c r="L797" i="27" s="1"/>
  <c r="H798" i="27"/>
  <c r="L798" i="27" s="1"/>
  <c r="H799" i="27"/>
  <c r="L799" i="27" s="1"/>
  <c r="H800" i="27"/>
  <c r="L800" i="27" s="1"/>
  <c r="H801" i="27"/>
  <c r="L801" i="27" s="1"/>
  <c r="H802" i="27"/>
  <c r="L802" i="27" s="1"/>
  <c r="H803" i="27"/>
  <c r="L803" i="27" s="1"/>
  <c r="H804" i="27"/>
  <c r="L804" i="27" s="1"/>
  <c r="H805" i="27"/>
  <c r="L805" i="27" s="1"/>
  <c r="H806" i="27"/>
  <c r="L806" i="27" s="1"/>
  <c r="H807" i="27"/>
  <c r="L807" i="27" s="1"/>
  <c r="H808" i="27"/>
  <c r="L808" i="27" s="1"/>
  <c r="H809" i="27"/>
  <c r="L809" i="27" s="1"/>
  <c r="H810" i="27"/>
  <c r="L810" i="27" s="1"/>
  <c r="H811" i="27"/>
  <c r="L811" i="27" s="1"/>
  <c r="H812" i="27"/>
  <c r="L812" i="27" s="1"/>
  <c r="H813" i="27"/>
  <c r="L813" i="27" s="1"/>
  <c r="H814" i="27"/>
  <c r="L814" i="27" s="1"/>
  <c r="H815" i="27"/>
  <c r="L815" i="27" s="1"/>
  <c r="H816" i="27"/>
  <c r="L816" i="27" s="1"/>
  <c r="H817" i="27"/>
  <c r="L817" i="27" s="1"/>
  <c r="H818" i="27"/>
  <c r="L818" i="27" s="1"/>
  <c r="H819" i="27"/>
  <c r="L819" i="27" s="1"/>
  <c r="H820" i="27"/>
  <c r="L820" i="27" s="1"/>
  <c r="H821" i="27"/>
  <c r="L821" i="27" s="1"/>
  <c r="H822" i="27"/>
  <c r="L822" i="27" s="1"/>
  <c r="H823" i="27"/>
  <c r="L823" i="27" s="1"/>
  <c r="H824" i="27"/>
  <c r="L824" i="27" s="1"/>
  <c r="H825" i="27"/>
  <c r="L825" i="27" s="1"/>
  <c r="H826" i="27"/>
  <c r="L826" i="27" s="1"/>
  <c r="H827" i="27"/>
  <c r="L827" i="27" s="1"/>
  <c r="H828" i="27"/>
  <c r="L828" i="27" s="1"/>
  <c r="H829" i="27"/>
  <c r="L829" i="27" s="1"/>
  <c r="H830" i="27"/>
  <c r="L830" i="27" s="1"/>
  <c r="H831" i="27"/>
  <c r="L831" i="27" s="1"/>
  <c r="H832" i="27"/>
  <c r="L832" i="27" s="1"/>
  <c r="H833" i="27"/>
  <c r="L833" i="27" s="1"/>
  <c r="H834" i="27"/>
  <c r="L834" i="27" s="1"/>
  <c r="H835" i="27"/>
  <c r="L835" i="27" s="1"/>
  <c r="H836" i="27"/>
  <c r="L836" i="27" s="1"/>
  <c r="H837" i="27"/>
  <c r="L837" i="27" s="1"/>
  <c r="H838" i="27"/>
  <c r="L838" i="27" s="1"/>
  <c r="H839" i="27"/>
  <c r="L839" i="27" s="1"/>
  <c r="H840" i="27"/>
  <c r="L840" i="27" s="1"/>
  <c r="H841" i="27"/>
  <c r="L841" i="27" s="1"/>
  <c r="H842" i="27"/>
  <c r="L842" i="27" s="1"/>
  <c r="H843" i="27"/>
  <c r="L843" i="27" s="1"/>
  <c r="H844" i="27"/>
  <c r="L844" i="27" s="1"/>
  <c r="H845" i="27"/>
  <c r="L845" i="27" s="1"/>
  <c r="H846" i="27"/>
  <c r="L846" i="27" s="1"/>
  <c r="H847" i="27"/>
  <c r="L847" i="27" s="1"/>
  <c r="H848" i="27"/>
  <c r="L848" i="27" s="1"/>
  <c r="H849" i="27"/>
  <c r="L849" i="27" s="1"/>
  <c r="H850" i="27"/>
  <c r="L850" i="27" s="1"/>
  <c r="H851" i="27"/>
  <c r="L851" i="27" s="1"/>
  <c r="H852" i="27"/>
  <c r="L852" i="27" s="1"/>
  <c r="H853" i="27"/>
  <c r="L853" i="27" s="1"/>
  <c r="H854" i="27"/>
  <c r="L854" i="27" s="1"/>
  <c r="H855" i="27"/>
  <c r="L855" i="27" s="1"/>
  <c r="H856" i="27"/>
  <c r="L856" i="27" s="1"/>
  <c r="H857" i="27"/>
  <c r="L857" i="27" s="1"/>
  <c r="H858" i="27"/>
  <c r="L858" i="27" s="1"/>
  <c r="H859" i="27"/>
  <c r="L859" i="27" s="1"/>
  <c r="H860" i="27"/>
  <c r="L860" i="27" s="1"/>
  <c r="H861" i="27"/>
  <c r="L861" i="27" s="1"/>
  <c r="H862" i="27"/>
  <c r="L862" i="27" s="1"/>
  <c r="H863" i="27"/>
  <c r="L863" i="27" s="1"/>
  <c r="H864" i="27"/>
  <c r="L864" i="27" s="1"/>
  <c r="H865" i="27"/>
  <c r="L865" i="27" s="1"/>
  <c r="H866" i="27"/>
  <c r="L866" i="27" s="1"/>
  <c r="H867" i="27"/>
  <c r="L867" i="27" s="1"/>
  <c r="H868" i="27"/>
  <c r="L868" i="27" s="1"/>
  <c r="H869" i="27"/>
  <c r="L869" i="27" s="1"/>
  <c r="H870" i="27"/>
  <c r="L870" i="27" s="1"/>
  <c r="H871" i="27"/>
  <c r="L871" i="27" s="1"/>
  <c r="H872" i="27"/>
  <c r="L872" i="27" s="1"/>
  <c r="H873" i="27"/>
  <c r="L873" i="27" s="1"/>
  <c r="H874" i="27"/>
  <c r="L874" i="27" s="1"/>
  <c r="H875" i="27"/>
  <c r="L875" i="27" s="1"/>
  <c r="H876" i="27"/>
  <c r="L876" i="27" s="1"/>
  <c r="H877" i="27"/>
  <c r="L877" i="27" s="1"/>
  <c r="H878" i="27"/>
  <c r="L878" i="27" s="1"/>
  <c r="H879" i="27"/>
  <c r="L879" i="27" s="1"/>
  <c r="H880" i="27"/>
  <c r="L880" i="27" s="1"/>
  <c r="H881" i="27"/>
  <c r="L881" i="27" s="1"/>
  <c r="H882" i="27"/>
  <c r="L882" i="27" s="1"/>
  <c r="H883" i="27"/>
  <c r="L883" i="27" s="1"/>
  <c r="H884" i="27"/>
  <c r="L884" i="27" s="1"/>
  <c r="H885" i="27"/>
  <c r="L885" i="27" s="1"/>
  <c r="H886" i="27"/>
  <c r="L886" i="27" s="1"/>
  <c r="H887" i="27"/>
  <c r="L887" i="27" s="1"/>
  <c r="H888" i="27"/>
  <c r="L888" i="27" s="1"/>
  <c r="H889" i="27"/>
  <c r="L889" i="27" s="1"/>
  <c r="H890" i="27"/>
  <c r="L890" i="27" s="1"/>
  <c r="H891" i="27"/>
  <c r="L891" i="27" s="1"/>
  <c r="H892" i="27"/>
  <c r="L892" i="27" s="1"/>
  <c r="H893" i="27"/>
  <c r="L893" i="27" s="1"/>
  <c r="H894" i="27"/>
  <c r="L894" i="27" s="1"/>
  <c r="H895" i="27"/>
  <c r="L895" i="27" s="1"/>
  <c r="H896" i="27"/>
  <c r="L896" i="27" s="1"/>
  <c r="H897" i="27"/>
  <c r="L897" i="27" s="1"/>
  <c r="H898" i="27"/>
  <c r="L898" i="27" s="1"/>
  <c r="H899" i="27"/>
  <c r="L899" i="27" s="1"/>
  <c r="H900" i="27"/>
  <c r="L900" i="27" s="1"/>
  <c r="H901" i="27"/>
  <c r="L901" i="27" s="1"/>
  <c r="H902" i="27"/>
  <c r="L902" i="27" s="1"/>
  <c r="H903" i="27"/>
  <c r="L903" i="27" s="1"/>
  <c r="H904" i="27"/>
  <c r="L904" i="27" s="1"/>
  <c r="H905" i="27"/>
  <c r="L905" i="27" s="1"/>
  <c r="H906" i="27"/>
  <c r="L906" i="27" s="1"/>
  <c r="H907" i="27"/>
  <c r="L907" i="27" s="1"/>
  <c r="H908" i="27"/>
  <c r="L908" i="27" s="1"/>
  <c r="H909" i="27"/>
  <c r="L909" i="27" s="1"/>
  <c r="H910" i="27"/>
  <c r="H911" i="27"/>
  <c r="L911" i="27" s="1"/>
  <c r="H912" i="27"/>
  <c r="L912" i="27" s="1"/>
  <c r="H913" i="27"/>
  <c r="L913" i="27" s="1"/>
  <c r="H914" i="27"/>
  <c r="L914" i="27" s="1"/>
  <c r="H915" i="27"/>
  <c r="L915" i="27" s="1"/>
  <c r="H916" i="27"/>
  <c r="L916" i="27" s="1"/>
  <c r="H917" i="27"/>
  <c r="L917" i="27" s="1"/>
  <c r="H918" i="27"/>
  <c r="L918" i="27" s="1"/>
  <c r="H919" i="27"/>
  <c r="L919" i="27" s="1"/>
  <c r="H920" i="27"/>
  <c r="L920" i="27" s="1"/>
  <c r="H921" i="27"/>
  <c r="L921" i="27" s="1"/>
  <c r="H922" i="27"/>
  <c r="L922" i="27" s="1"/>
  <c r="H923" i="27"/>
  <c r="L923" i="27" s="1"/>
  <c r="H924" i="27"/>
  <c r="L924" i="27" s="1"/>
  <c r="H925" i="27"/>
  <c r="L925" i="27" s="1"/>
  <c r="H926" i="27"/>
  <c r="L926" i="27" s="1"/>
  <c r="H927" i="27"/>
  <c r="L927" i="27" s="1"/>
  <c r="H928" i="27"/>
  <c r="L928" i="27" s="1"/>
  <c r="H929" i="27"/>
  <c r="L929" i="27" s="1"/>
  <c r="H930" i="27"/>
  <c r="L930" i="27" s="1"/>
  <c r="H931" i="27"/>
  <c r="H932" i="27"/>
  <c r="L932" i="27" s="1"/>
  <c r="H933" i="27"/>
  <c r="L933" i="27" s="1"/>
  <c r="H934" i="27"/>
  <c r="L934" i="27" s="1"/>
  <c r="H935" i="27"/>
  <c r="L935" i="27" s="1"/>
  <c r="H936" i="27"/>
  <c r="L936" i="27" s="1"/>
  <c r="H937" i="27"/>
  <c r="L937" i="27" s="1"/>
  <c r="H938" i="27"/>
  <c r="L938" i="27" s="1"/>
  <c r="H939" i="27"/>
  <c r="L939" i="27" s="1"/>
  <c r="H940" i="27"/>
  <c r="L940" i="27" s="1"/>
  <c r="H941" i="27"/>
  <c r="L941" i="27" s="1"/>
  <c r="H942" i="27"/>
  <c r="L942" i="27" s="1"/>
  <c r="H943" i="27"/>
  <c r="L943" i="27" s="1"/>
  <c r="H944" i="27"/>
  <c r="L944" i="27" s="1"/>
  <c r="H945" i="27"/>
  <c r="L945" i="27" s="1"/>
  <c r="H946" i="27"/>
  <c r="L946" i="27" s="1"/>
  <c r="H947" i="27"/>
  <c r="L947" i="27" s="1"/>
  <c r="H948" i="27"/>
  <c r="L948" i="27" s="1"/>
  <c r="H949" i="27"/>
  <c r="H950" i="27"/>
  <c r="L950" i="27" s="1"/>
  <c r="H951" i="27"/>
  <c r="L951" i="27" s="1"/>
  <c r="H952" i="27"/>
  <c r="L952" i="27" s="1"/>
  <c r="H953" i="27"/>
  <c r="L953" i="27" s="1"/>
  <c r="H954" i="27"/>
  <c r="L954" i="27" s="1"/>
  <c r="H955" i="27"/>
  <c r="L955" i="27" s="1"/>
  <c r="H956" i="27"/>
  <c r="L956" i="27" s="1"/>
  <c r="H957" i="27"/>
  <c r="L957" i="27" s="1"/>
  <c r="H958" i="27"/>
  <c r="L958" i="27" s="1"/>
  <c r="H959" i="27"/>
  <c r="L959" i="27" s="1"/>
  <c r="H960" i="27"/>
  <c r="L960" i="27" s="1"/>
  <c r="H961" i="27"/>
  <c r="L961" i="27" s="1"/>
  <c r="H962" i="27"/>
  <c r="L962" i="27" s="1"/>
  <c r="H963" i="27"/>
  <c r="L963" i="27" s="1"/>
  <c r="H964" i="27"/>
  <c r="L964" i="27" s="1"/>
  <c r="H965" i="27"/>
  <c r="L965" i="27" s="1"/>
  <c r="H966" i="27"/>
  <c r="L966" i="27" s="1"/>
  <c r="H967" i="27"/>
  <c r="L967" i="27" s="1"/>
  <c r="H968" i="27"/>
  <c r="L968" i="27" s="1"/>
  <c r="H969" i="27"/>
  <c r="L969" i="27" s="1"/>
  <c r="H970" i="27"/>
  <c r="L970" i="27" s="1"/>
  <c r="H971" i="27"/>
  <c r="L971" i="27" s="1"/>
  <c r="H972" i="27"/>
  <c r="L972" i="27" s="1"/>
  <c r="H973" i="27"/>
  <c r="L973" i="27" s="1"/>
  <c r="H974" i="27"/>
  <c r="L974" i="27" s="1"/>
  <c r="H975" i="27"/>
  <c r="L975" i="27" s="1"/>
  <c r="H976" i="27"/>
  <c r="L976" i="27" s="1"/>
  <c r="H977" i="27"/>
  <c r="L977" i="27" s="1"/>
  <c r="H978" i="27"/>
  <c r="L978" i="27" s="1"/>
  <c r="H979" i="27"/>
  <c r="L979" i="27" s="1"/>
  <c r="H980" i="27"/>
  <c r="L980" i="27" s="1"/>
  <c r="H981" i="27"/>
  <c r="L981" i="27" s="1"/>
  <c r="H982" i="27"/>
  <c r="L982" i="27" s="1"/>
  <c r="H983" i="27"/>
  <c r="L983" i="27" s="1"/>
  <c r="H984" i="27"/>
  <c r="L984" i="27" s="1"/>
  <c r="H985" i="27"/>
  <c r="L985" i="27" s="1"/>
  <c r="H986" i="27"/>
  <c r="L986" i="27" s="1"/>
  <c r="H987" i="27"/>
  <c r="L987" i="27" s="1"/>
  <c r="H988" i="27"/>
  <c r="L988" i="27" s="1"/>
  <c r="H989" i="27"/>
  <c r="L989" i="27" s="1"/>
  <c r="H990" i="27"/>
  <c r="L990" i="27" s="1"/>
  <c r="H991" i="27"/>
  <c r="L991" i="27" s="1"/>
  <c r="H992" i="27"/>
  <c r="L992" i="27" s="1"/>
  <c r="H993" i="27"/>
  <c r="L993" i="27" s="1"/>
  <c r="H994" i="27"/>
  <c r="L994" i="27" s="1"/>
  <c r="H995" i="27"/>
  <c r="L995" i="27" s="1"/>
  <c r="H996" i="27"/>
  <c r="L996" i="27" s="1"/>
  <c r="H997" i="27"/>
  <c r="L997" i="27" s="1"/>
  <c r="H998" i="27"/>
  <c r="L998" i="27" s="1"/>
  <c r="H999" i="27"/>
  <c r="L999" i="27" s="1"/>
  <c r="H1000" i="27"/>
  <c r="L1000" i="27" s="1"/>
  <c r="H1001" i="27"/>
  <c r="L1001" i="27" s="1"/>
  <c r="H1002" i="27"/>
  <c r="L1002" i="27" s="1"/>
  <c r="H1003" i="27"/>
  <c r="L1003" i="27" s="1"/>
  <c r="H1004" i="27"/>
  <c r="L1004" i="27" s="1"/>
  <c r="H1005" i="27"/>
  <c r="L1005" i="27" s="1"/>
  <c r="H1006" i="27"/>
  <c r="L1006" i="27" s="1"/>
  <c r="H1007" i="27"/>
  <c r="L1007" i="27" s="1"/>
  <c r="H1008" i="27"/>
  <c r="L1008" i="27" s="1"/>
  <c r="H1009" i="27"/>
  <c r="L1009" i="27" s="1"/>
  <c r="H1010" i="27"/>
  <c r="L1010" i="27" s="1"/>
  <c r="H1011" i="27"/>
  <c r="H1012" i="27"/>
  <c r="L1012" i="27" s="1"/>
  <c r="H1013" i="27"/>
  <c r="L1013" i="27" s="1"/>
  <c r="H1014" i="27"/>
  <c r="L1014" i="27" s="1"/>
  <c r="H1015" i="27"/>
  <c r="L1015" i="27" s="1"/>
  <c r="H1016" i="27"/>
  <c r="L1016" i="27" s="1"/>
  <c r="H1017" i="27"/>
  <c r="L1017" i="27" s="1"/>
  <c r="H1018" i="27"/>
  <c r="L1018" i="27" s="1"/>
  <c r="H1019" i="27"/>
  <c r="L1019" i="27" s="1"/>
  <c r="H1020" i="27"/>
  <c r="L1020" i="27" s="1"/>
  <c r="H1021" i="27"/>
  <c r="L1021" i="27" s="1"/>
  <c r="H1022" i="27"/>
  <c r="L1022" i="27" s="1"/>
  <c r="H1023" i="27"/>
  <c r="L1023" i="27" s="1"/>
  <c r="H1024" i="27"/>
  <c r="L1024" i="27" s="1"/>
  <c r="H1025" i="27"/>
  <c r="L1025" i="27" s="1"/>
  <c r="H1026" i="27"/>
  <c r="L1026" i="27" s="1"/>
  <c r="H1027" i="27"/>
  <c r="L1027" i="27" s="1"/>
  <c r="H1028" i="27"/>
  <c r="L1028" i="27" s="1"/>
  <c r="H1029" i="27"/>
  <c r="L1029" i="27" s="1"/>
  <c r="H1030" i="27"/>
  <c r="L1030" i="27" s="1"/>
  <c r="H1031" i="27"/>
  <c r="L1031" i="27" s="1"/>
  <c r="H1032" i="27"/>
  <c r="L1032" i="27" s="1"/>
  <c r="H1033" i="27"/>
  <c r="L1033" i="27" s="1"/>
  <c r="H1034" i="27"/>
  <c r="L1034" i="27" s="1"/>
  <c r="H1035" i="27"/>
  <c r="L1035" i="27" s="1"/>
  <c r="H1036" i="27"/>
  <c r="L1036" i="27" s="1"/>
  <c r="H1037" i="27"/>
  <c r="L1037" i="27" s="1"/>
  <c r="H1038" i="27"/>
  <c r="L1038" i="27" s="1"/>
  <c r="H1039" i="27"/>
  <c r="L1039" i="27" s="1"/>
  <c r="H1040" i="27"/>
  <c r="L1040" i="27" s="1"/>
  <c r="H1041" i="27"/>
  <c r="L1041" i="27" s="1"/>
  <c r="H1042" i="27"/>
  <c r="L1042" i="27" s="1"/>
  <c r="H1043" i="27"/>
  <c r="L1043" i="27" s="1"/>
  <c r="H1044" i="27"/>
  <c r="L1044" i="27" s="1"/>
  <c r="H1045" i="27"/>
  <c r="L1045" i="27" s="1"/>
  <c r="H1046" i="27"/>
  <c r="L1046" i="27" s="1"/>
  <c r="H1047" i="27"/>
  <c r="L1047" i="27" s="1"/>
  <c r="H1048" i="27"/>
  <c r="L1048" i="27" s="1"/>
  <c r="H1049" i="27"/>
  <c r="L1049" i="27" s="1"/>
  <c r="H1050" i="27"/>
  <c r="L1050" i="27" s="1"/>
  <c r="H1051" i="27"/>
  <c r="L1051" i="27" s="1"/>
  <c r="H1052" i="27"/>
  <c r="L1052" i="27" s="1"/>
  <c r="H1053" i="27"/>
  <c r="L1053" i="27" s="1"/>
  <c r="H1054" i="27"/>
  <c r="L1054" i="27" s="1"/>
  <c r="H1055" i="27"/>
  <c r="L1055" i="27" s="1"/>
  <c r="H1056" i="27"/>
  <c r="L1056" i="27" s="1"/>
  <c r="H1057" i="27"/>
  <c r="L1057" i="27" s="1"/>
  <c r="H1058" i="27"/>
  <c r="L1058" i="27" s="1"/>
  <c r="H1059" i="27"/>
  <c r="L1059" i="27" s="1"/>
  <c r="H1060" i="27"/>
  <c r="L1060" i="27" s="1"/>
  <c r="H1061" i="27"/>
  <c r="L1061" i="27" s="1"/>
  <c r="H1062" i="27"/>
  <c r="L1062" i="27" s="1"/>
  <c r="H1063" i="27"/>
  <c r="L1063" i="27" s="1"/>
  <c r="H1064" i="27"/>
  <c r="L1064" i="27" s="1"/>
  <c r="H1065" i="27"/>
  <c r="H1066" i="27"/>
  <c r="L1066" i="27" s="1"/>
  <c r="H1067" i="27"/>
  <c r="L1067" i="27" s="1"/>
  <c r="H1068" i="27"/>
  <c r="L1068" i="27" s="1"/>
  <c r="H1069" i="27"/>
  <c r="H1070" i="27"/>
  <c r="H1071" i="27"/>
  <c r="L1071" i="27" s="1"/>
  <c r="H1072" i="27"/>
  <c r="L1072" i="27" s="1"/>
  <c r="H1073" i="27"/>
  <c r="H1074" i="27"/>
  <c r="L1074" i="27" s="1"/>
  <c r="H1075" i="27"/>
  <c r="L1075" i="27" s="1"/>
  <c r="H1076" i="27"/>
  <c r="H1077" i="27"/>
  <c r="H1078" i="27"/>
  <c r="H1079" i="27"/>
  <c r="H1080" i="27"/>
  <c r="L1080" i="27" s="1"/>
  <c r="H1081" i="27"/>
  <c r="H1082" i="27"/>
  <c r="H1083" i="27"/>
  <c r="H1084" i="27"/>
  <c r="H1085" i="27"/>
  <c r="H1086" i="27"/>
  <c r="H1087" i="27"/>
  <c r="H1088" i="27"/>
  <c r="H1089" i="27"/>
  <c r="H1090" i="27"/>
  <c r="H1091" i="27"/>
  <c r="H1092" i="27"/>
  <c r="H1093" i="27"/>
  <c r="H1094" i="27"/>
  <c r="H1095" i="27"/>
  <c r="H1096" i="27"/>
  <c r="H1097" i="27"/>
  <c r="H1098" i="27"/>
  <c r="H1099" i="27"/>
  <c r="H1100" i="27"/>
  <c r="H1101" i="27"/>
  <c r="H1102" i="27"/>
  <c r="H1103" i="27"/>
  <c r="H1104" i="27"/>
  <c r="H1105" i="27"/>
  <c r="H1106" i="27"/>
  <c r="H1107" i="27"/>
  <c r="H1108" i="27"/>
  <c r="H1109" i="27"/>
  <c r="H1110" i="27"/>
  <c r="H1111" i="27"/>
  <c r="H1112" i="27"/>
  <c r="H1113" i="27"/>
  <c r="H1114" i="27"/>
  <c r="H1115" i="27"/>
  <c r="H1116" i="27"/>
  <c r="H1117" i="27"/>
  <c r="C352" i="23"/>
  <c r="C428" i="23"/>
  <c r="C353" i="23"/>
  <c r="AC7" i="23" s="1"/>
  <c r="C354" i="23"/>
  <c r="C355" i="23"/>
  <c r="C356" i="23"/>
  <c r="C357" i="23"/>
  <c r="C358" i="23"/>
  <c r="C429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430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431" i="23"/>
  <c r="C398" i="23"/>
  <c r="C399" i="23"/>
  <c r="C400" i="23"/>
  <c r="C401" i="23"/>
  <c r="C402" i="23"/>
  <c r="C403" i="23"/>
  <c r="C404" i="23"/>
  <c r="C432" i="23"/>
  <c r="C405" i="23"/>
  <c r="C406" i="23"/>
  <c r="C407" i="23"/>
  <c r="C408" i="23"/>
  <c r="L697" i="27" l="1"/>
  <c r="L1069" i="27"/>
  <c r="L1088" i="27"/>
  <c r="L1082" i="27"/>
  <c r="L949" i="27"/>
  <c r="L1011" i="27"/>
  <c r="L1095" i="27"/>
  <c r="L1079" i="27"/>
  <c r="L931" i="27"/>
  <c r="L1087" i="27"/>
  <c r="L1103" i="27"/>
  <c r="L1083" i="27"/>
  <c r="L1111" i="27"/>
  <c r="L1090" i="27"/>
  <c r="L1076" i="27"/>
  <c r="L910" i="27"/>
  <c r="L1099" i="27"/>
  <c r="L1091" i="27"/>
  <c r="L1085" i="27"/>
  <c r="L1077" i="27"/>
  <c r="L1070" i="27"/>
  <c r="AD10" i="27"/>
  <c r="L1078" i="27"/>
  <c r="AD101" i="27"/>
  <c r="AD65" i="27"/>
  <c r="L1092" i="27"/>
  <c r="L1084" i="27"/>
  <c r="D29" i="35"/>
  <c r="D28" i="35"/>
  <c r="D1028" i="35"/>
  <c r="D1020" i="35"/>
  <c r="D1012" i="35"/>
  <c r="D1004" i="35"/>
  <c r="D996" i="35"/>
  <c r="D988" i="35"/>
  <c r="D980" i="35"/>
  <c r="D972" i="35"/>
  <c r="D964" i="35"/>
  <c r="D956" i="35"/>
  <c r="D948" i="35"/>
  <c r="D940" i="35"/>
  <c r="D932" i="35"/>
  <c r="D924" i="35"/>
  <c r="D916" i="35"/>
  <c r="D908" i="35"/>
  <c r="D900" i="35"/>
  <c r="D892" i="35"/>
  <c r="D884" i="35"/>
  <c r="D876" i="35"/>
  <c r="D868" i="35"/>
  <c r="D860" i="35"/>
  <c r="D852" i="35"/>
  <c r="D844" i="35"/>
  <c r="D836" i="35"/>
  <c r="D828" i="35"/>
  <c r="D820" i="35"/>
  <c r="D812" i="35"/>
  <c r="D804" i="35"/>
  <c r="D796" i="35"/>
  <c r="D788" i="35"/>
  <c r="D780" i="35"/>
  <c r="D772" i="35"/>
  <c r="D764" i="35"/>
  <c r="D756" i="35"/>
  <c r="D748" i="35"/>
  <c r="D740" i="35"/>
  <c r="D732" i="35"/>
  <c r="D724" i="35"/>
  <c r="D716" i="35"/>
  <c r="D708" i="35"/>
  <c r="D700" i="35"/>
  <c r="D692" i="35"/>
  <c r="D684" i="35"/>
  <c r="D676" i="35"/>
  <c r="D668" i="35"/>
  <c r="D660" i="35"/>
  <c r="D652" i="35"/>
  <c r="D644" i="35"/>
  <c r="D636" i="35"/>
  <c r="D628" i="35"/>
  <c r="D620" i="35"/>
  <c r="D612" i="35"/>
  <c r="D604" i="35"/>
  <c r="D596" i="35"/>
  <c r="D588" i="35"/>
  <c r="D580" i="35"/>
  <c r="D572" i="35"/>
  <c r="D564" i="35"/>
  <c r="D556" i="35"/>
  <c r="D548" i="35"/>
  <c r="D540" i="35"/>
  <c r="D532" i="35"/>
  <c r="D524" i="35"/>
  <c r="D516" i="35"/>
  <c r="D508" i="35"/>
  <c r="D500" i="35"/>
  <c r="D492" i="35"/>
  <c r="D484" i="35"/>
  <c r="D476" i="35"/>
  <c r="D468" i="35"/>
  <c r="D460" i="35"/>
  <c r="D452" i="35"/>
  <c r="D444" i="35"/>
  <c r="D436" i="35"/>
  <c r="D428" i="35"/>
  <c r="D420" i="35"/>
  <c r="D412" i="35"/>
  <c r="D404" i="35"/>
  <c r="D396" i="35"/>
  <c r="D388" i="35"/>
  <c r="D380" i="35"/>
  <c r="D372" i="35"/>
  <c r="D364" i="35"/>
  <c r="D356" i="35"/>
  <c r="D348" i="35"/>
  <c r="D340" i="35"/>
  <c r="D332" i="35"/>
  <c r="D324" i="35"/>
  <c r="D316" i="35"/>
  <c r="D308" i="35"/>
  <c r="D300" i="35"/>
  <c r="D292" i="35"/>
  <c r="D284" i="35"/>
  <c r="D276" i="35"/>
  <c r="D268" i="35"/>
  <c r="D260" i="35"/>
  <c r="D252" i="35"/>
  <c r="D244" i="35"/>
  <c r="D236" i="35"/>
  <c r="D228" i="35"/>
  <c r="D220" i="35"/>
  <c r="D212" i="35"/>
  <c r="D204" i="35"/>
  <c r="D196" i="35"/>
  <c r="D188" i="35"/>
  <c r="D180" i="35"/>
  <c r="D172" i="35"/>
  <c r="D164" i="35"/>
  <c r="D156" i="35"/>
  <c r="D148" i="35"/>
  <c r="D140" i="35"/>
  <c r="D132" i="35"/>
  <c r="D124" i="35"/>
  <c r="D116" i="35"/>
  <c r="D108" i="35"/>
  <c r="D100" i="35"/>
  <c r="D92" i="35"/>
  <c r="D84" i="35"/>
  <c r="D76" i="35"/>
  <c r="D68" i="35"/>
  <c r="D60" i="35"/>
  <c r="D52" i="35"/>
  <c r="D44" i="35"/>
  <c r="D36" i="35"/>
  <c r="D21" i="35"/>
  <c r="D26" i="35"/>
  <c r="D1151" i="35"/>
  <c r="D1159" i="35"/>
  <c r="D1119" i="35"/>
  <c r="D23" i="35"/>
  <c r="D1167" i="35"/>
  <c r="D1143" i="35"/>
  <c r="D25" i="35"/>
  <c r="K168" i="27"/>
  <c r="N168" i="27" s="1"/>
  <c r="K160" i="27"/>
  <c r="N160" i="27" s="1"/>
  <c r="K152" i="27"/>
  <c r="N152" i="27" s="1"/>
  <c r="K144" i="27"/>
  <c r="N144" i="27" s="1"/>
  <c r="K167" i="27"/>
  <c r="N167" i="27" s="1"/>
  <c r="K159" i="27"/>
  <c r="N159" i="27" s="1"/>
  <c r="K151" i="27"/>
  <c r="N151" i="27" s="1"/>
  <c r="K143" i="27"/>
  <c r="N143" i="27" s="1"/>
  <c r="K166" i="27"/>
  <c r="N166" i="27" s="1"/>
  <c r="K158" i="27"/>
  <c r="N158" i="27" s="1"/>
  <c r="K150" i="27"/>
  <c r="N150" i="27" s="1"/>
  <c r="K142" i="27"/>
  <c r="N142" i="27" s="1"/>
  <c r="AD75" i="27"/>
  <c r="AD104" i="27"/>
  <c r="AD99" i="27"/>
  <c r="K165" i="27"/>
  <c r="N165" i="27" s="1"/>
  <c r="K157" i="27"/>
  <c r="N157" i="27" s="1"/>
  <c r="K149" i="27"/>
  <c r="N149" i="27" s="1"/>
  <c r="AD48" i="27"/>
  <c r="AD139" i="27"/>
  <c r="AD83" i="27"/>
  <c r="AD33" i="27"/>
  <c r="AD9" i="27"/>
  <c r="AD117" i="27"/>
  <c r="AD144" i="27"/>
  <c r="AD21" i="27"/>
  <c r="AD142" i="27"/>
  <c r="AD32" i="27"/>
  <c r="AD82" i="27"/>
  <c r="AD94" i="27"/>
  <c r="AD23" i="27"/>
  <c r="AD74" i="27"/>
  <c r="AD85" i="27"/>
  <c r="K164" i="27"/>
  <c r="N164" i="27" s="1"/>
  <c r="K156" i="27"/>
  <c r="N156" i="27" s="1"/>
  <c r="K148" i="27"/>
  <c r="N148" i="27" s="1"/>
  <c r="L1107" i="27"/>
  <c r="K163" i="27"/>
  <c r="N163" i="27" s="1"/>
  <c r="K155" i="27"/>
  <c r="N155" i="27" s="1"/>
  <c r="K147" i="27"/>
  <c r="N147" i="27" s="1"/>
  <c r="L1114" i="27"/>
  <c r="L1106" i="27"/>
  <c r="L1098" i="27"/>
  <c r="K162" i="27"/>
  <c r="N162" i="27" s="1"/>
  <c r="K154" i="27"/>
  <c r="N154" i="27" s="1"/>
  <c r="K146" i="27"/>
  <c r="N146" i="27" s="1"/>
  <c r="K161" i="27"/>
  <c r="N161" i="27" s="1"/>
  <c r="K153" i="27"/>
  <c r="N153" i="27" s="1"/>
  <c r="K145" i="27"/>
  <c r="N145" i="27" s="1"/>
  <c r="Z163" i="27"/>
  <c r="W163" i="27"/>
  <c r="L1104" i="27"/>
  <c r="AD149" i="27"/>
  <c r="AD54" i="27"/>
  <c r="AD127" i="27"/>
  <c r="AD14" i="27"/>
  <c r="AD27" i="27"/>
  <c r="AD53" i="27"/>
  <c r="AD98" i="27"/>
  <c r="AD102" i="27"/>
  <c r="AD107" i="27"/>
  <c r="AD162" i="27"/>
  <c r="AD44" i="27"/>
  <c r="AD158" i="27"/>
  <c r="AD137" i="27"/>
  <c r="AD145" i="27"/>
  <c r="AD52" i="27"/>
  <c r="AD111" i="27"/>
  <c r="AD89" i="27"/>
  <c r="AD57" i="27"/>
  <c r="AD62" i="27"/>
  <c r="AD17" i="27"/>
  <c r="AD28" i="27"/>
  <c r="AD34" i="27"/>
  <c r="AD37" i="27"/>
  <c r="AD41" i="27"/>
  <c r="AD49" i="27"/>
  <c r="AD67" i="27"/>
  <c r="AD73" i="27"/>
  <c r="AD81" i="27"/>
  <c r="AD92" i="27"/>
  <c r="AD108" i="27"/>
  <c r="AD128" i="27"/>
  <c r="AD131" i="27"/>
  <c r="AD135" i="27"/>
  <c r="AD153" i="27"/>
  <c r="AD156" i="27"/>
  <c r="AD39" i="27"/>
  <c r="AD143" i="27"/>
  <c r="AD160" i="27"/>
  <c r="AD90" i="27"/>
  <c r="AD116" i="27"/>
  <c r="AD123" i="27"/>
  <c r="AD100" i="27"/>
  <c r="AD36" i="27"/>
  <c r="AD64" i="27"/>
  <c r="AD68" i="27"/>
  <c r="AD78" i="27"/>
  <c r="AD80" i="27"/>
  <c r="AD91" i="27"/>
  <c r="AD134" i="27"/>
  <c r="L1113" i="27"/>
  <c r="L1105" i="27"/>
  <c r="L1097" i="27"/>
  <c r="L1089" i="27"/>
  <c r="L1081" i="27"/>
  <c r="L1073" i="27"/>
  <c r="L1065" i="27"/>
  <c r="L1112" i="27"/>
  <c r="L1096" i="27"/>
  <c r="AD152" i="27"/>
  <c r="AD106" i="27"/>
  <c r="AD120" i="27"/>
  <c r="AD97" i="27"/>
  <c r="AD15" i="27"/>
  <c r="AD18" i="27"/>
  <c r="AD24" i="27"/>
  <c r="AD29" i="27"/>
  <c r="AD38" i="27"/>
  <c r="AD42" i="27"/>
  <c r="AD50" i="27"/>
  <c r="AD79" i="27"/>
  <c r="AD84" i="27"/>
  <c r="AD88" i="27"/>
  <c r="AD112" i="27"/>
  <c r="AD125" i="27"/>
  <c r="AD140" i="27"/>
  <c r="AD157" i="27"/>
  <c r="AD96" i="27"/>
  <c r="AD122" i="27"/>
  <c r="AD132" i="27"/>
  <c r="AD61" i="27"/>
  <c r="AD76" i="27"/>
  <c r="AD58" i="27"/>
  <c r="AD77" i="27"/>
  <c r="AD93" i="27"/>
  <c r="AD105" i="27"/>
  <c r="AD118" i="27"/>
  <c r="AD133" i="27"/>
  <c r="AD72" i="27"/>
  <c r="AD51" i="27"/>
  <c r="AD8" i="27"/>
  <c r="AD19" i="27"/>
  <c r="AD30" i="27"/>
  <c r="AD35" i="27"/>
  <c r="AD43" i="27"/>
  <c r="AD60" i="27"/>
  <c r="AD66" i="27"/>
  <c r="AD69" i="27"/>
  <c r="AD109" i="27"/>
  <c r="AD115" i="27"/>
  <c r="AD126" i="27"/>
  <c r="AD129" i="27"/>
  <c r="AD141" i="27"/>
  <c r="AD151" i="27"/>
  <c r="AD159" i="27"/>
  <c r="AD56" i="27"/>
  <c r="AD86" i="27"/>
  <c r="AD119" i="27"/>
  <c r="AD13" i="27"/>
  <c r="AD40" i="27"/>
  <c r="AD87" i="27"/>
  <c r="AD148" i="27"/>
  <c r="AD114" i="27"/>
  <c r="AD124" i="27"/>
  <c r="AD138" i="27"/>
  <c r="AD155" i="27"/>
  <c r="AD22" i="27"/>
  <c r="AD16" i="27"/>
  <c r="AD11" i="27"/>
  <c r="AD31" i="27"/>
  <c r="AD46" i="27"/>
  <c r="AD55" i="27"/>
  <c r="AD70" i="27"/>
  <c r="AD95" i="27"/>
  <c r="AD103" i="27"/>
  <c r="AD113" i="27"/>
  <c r="AD121" i="27"/>
  <c r="AD136" i="27"/>
  <c r="AD146" i="27"/>
  <c r="AD154" i="27"/>
  <c r="AD110" i="27"/>
  <c r="AD147" i="27"/>
  <c r="AD71" i="27"/>
  <c r="AD12" i="27"/>
  <c r="AD20" i="27"/>
  <c r="AD25" i="27"/>
  <c r="AD26" i="27"/>
  <c r="AD130" i="27"/>
  <c r="AD150" i="27"/>
  <c r="AD45" i="27"/>
  <c r="AD59" i="27"/>
  <c r="AD47" i="27"/>
  <c r="AD63" i="27"/>
  <c r="AD161" i="27"/>
  <c r="L1110" i="27"/>
  <c r="L1102" i="27"/>
  <c r="L1086" i="27"/>
  <c r="S163" i="27"/>
  <c r="L1115" i="27"/>
  <c r="AA163" i="27"/>
  <c r="T163" i="27"/>
  <c r="AB163" i="27"/>
  <c r="L1117" i="27"/>
  <c r="L1109" i="27"/>
  <c r="L1101" i="27"/>
  <c r="L1093" i="27"/>
  <c r="L1116" i="27"/>
  <c r="L1108" i="27"/>
  <c r="L1100" i="27"/>
  <c r="L692" i="27"/>
  <c r="X163" i="27"/>
  <c r="U163" i="27"/>
  <c r="L1094" i="27"/>
  <c r="Y163" i="27"/>
  <c r="AC163" i="27"/>
  <c r="V163" i="27"/>
  <c r="R163" i="27"/>
  <c r="AD7" i="27"/>
  <c r="D37" i="35"/>
  <c r="D541" i="35"/>
  <c r="D533" i="35"/>
  <c r="D525" i="35"/>
  <c r="D517" i="35"/>
  <c r="D509" i="35"/>
  <c r="D501" i="35"/>
  <c r="D493" i="35"/>
  <c r="D485" i="35"/>
  <c r="D477" i="35"/>
  <c r="D469" i="35"/>
  <c r="D461" i="35"/>
  <c r="D453" i="35"/>
  <c r="D445" i="35"/>
  <c r="D437" i="35"/>
  <c r="D429" i="35"/>
  <c r="D421" i="35"/>
  <c r="D413" i="35"/>
  <c r="D405" i="35"/>
  <c r="D397" i="35"/>
  <c r="D389" i="35"/>
  <c r="D381" i="35"/>
  <c r="D373" i="35"/>
  <c r="D365" i="35"/>
  <c r="D357" i="35"/>
  <c r="D349" i="35"/>
  <c r="D341" i="35"/>
  <c r="D333" i="35"/>
  <c r="D325" i="35"/>
  <c r="D317" i="35"/>
  <c r="D309" i="35"/>
  <c r="D301" i="35"/>
  <c r="D293" i="35"/>
  <c r="D285" i="35"/>
  <c r="D277" i="35"/>
  <c r="D269" i="35"/>
  <c r="D261" i="35"/>
  <c r="D253" i="35"/>
  <c r="D245" i="35"/>
  <c r="D237" i="35"/>
  <c r="D229" i="35"/>
  <c r="D221" i="35"/>
  <c r="D213" i="35"/>
  <c r="D205" i="35"/>
  <c r="D197" i="35"/>
  <c r="D189" i="35"/>
  <c r="D181" i="35"/>
  <c r="D173" i="35"/>
  <c r="D165" i="35"/>
  <c r="D157" i="35"/>
  <c r="D149" i="35"/>
  <c r="D141" i="35"/>
  <c r="D133" i="35"/>
  <c r="D125" i="35"/>
  <c r="D117" i="35"/>
  <c r="D109" i="35"/>
  <c r="D101" i="35"/>
  <c r="D93" i="35"/>
  <c r="D85" i="35"/>
  <c r="D77" i="35"/>
  <c r="D69" i="35"/>
  <c r="D61" i="35"/>
  <c r="D53" i="35"/>
  <c r="D45" i="35"/>
  <c r="D1164" i="35"/>
  <c r="D1156" i="35"/>
  <c r="D1148" i="35"/>
  <c r="D1140" i="35"/>
  <c r="D1132" i="35"/>
  <c r="D1124" i="35"/>
  <c r="D1116" i="35"/>
  <c r="D1108" i="35"/>
  <c r="D1100" i="35"/>
  <c r="D1092" i="35"/>
  <c r="D1084" i="35"/>
  <c r="D1076" i="35"/>
  <c r="D1068" i="35"/>
  <c r="D1060" i="35"/>
  <c r="D1052" i="35"/>
  <c r="D1036" i="35"/>
  <c r="D1044" i="35"/>
  <c r="D1169" i="35"/>
  <c r="D1153" i="35"/>
  <c r="D1145" i="35"/>
  <c r="D1137" i="35"/>
  <c r="D1129" i="35"/>
  <c r="D1121" i="35"/>
  <c r="D1113" i="35"/>
  <c r="D1105" i="35"/>
  <c r="D1097" i="35"/>
  <c r="D1089" i="35"/>
  <c r="D1081" i="35"/>
  <c r="D1073" i="35"/>
  <c r="D1065" i="35"/>
  <c r="D1057" i="35"/>
  <c r="D1049" i="35"/>
  <c r="D1041" i="35"/>
  <c r="D1033" i="35"/>
  <c r="D1025" i="35"/>
  <c r="D1017" i="35"/>
  <c r="D1009" i="35"/>
  <c r="D1001" i="35"/>
  <c r="D993" i="35"/>
  <c r="D985" i="35"/>
  <c r="D977" i="35"/>
  <c r="D969" i="35"/>
  <c r="D961" i="35"/>
  <c r="D953" i="35"/>
  <c r="D945" i="35"/>
  <c r="D937" i="35"/>
  <c r="D929" i="35"/>
  <c r="D921" i="35"/>
  <c r="D913" i="35"/>
  <c r="D905" i="35"/>
  <c r="D897" i="35"/>
  <c r="D889" i="35"/>
  <c r="D881" i="35"/>
  <c r="D873" i="35"/>
  <c r="D865" i="35"/>
  <c r="D857" i="35"/>
  <c r="D849" i="35"/>
  <c r="D841" i="35"/>
  <c r="D833" i="35"/>
  <c r="D825" i="35"/>
  <c r="D817" i="35"/>
  <c r="D809" i="35"/>
  <c r="D801" i="35"/>
  <c r="D793" i="35"/>
  <c r="D785" i="35"/>
  <c r="D777" i="35"/>
  <c r="D769" i="35"/>
  <c r="D761" i="35"/>
  <c r="D753" i="35"/>
  <c r="D745" i="35"/>
  <c r="D737" i="35"/>
  <c r="D729" i="35"/>
  <c r="D721" i="35"/>
  <c r="D713" i="35"/>
  <c r="D1161" i="35"/>
  <c r="D705" i="35"/>
  <c r="D697" i="35"/>
  <c r="D689" i="35"/>
  <c r="D681" i="35"/>
  <c r="D673" i="35"/>
  <c r="D665" i="35"/>
  <c r="D657" i="35"/>
  <c r="D649" i="35"/>
  <c r="D641" i="35"/>
  <c r="D633" i="35"/>
  <c r="D625" i="35"/>
  <c r="D617" i="35"/>
  <c r="D609" i="35"/>
  <c r="D601" i="35"/>
  <c r="D593" i="35"/>
  <c r="D585" i="35"/>
  <c r="D577" i="35"/>
  <c r="D569" i="35"/>
  <c r="D561" i="35"/>
  <c r="D553" i="35"/>
  <c r="D545" i="35"/>
  <c r="D537" i="35"/>
  <c r="D529" i="35"/>
  <c r="D521" i="35"/>
  <c r="D513" i="35"/>
  <c r="D505" i="35"/>
  <c r="D497" i="35"/>
  <c r="D489" i="35"/>
  <c r="D481" i="35"/>
  <c r="D473" i="35"/>
  <c r="D465" i="35"/>
  <c r="D457" i="35"/>
  <c r="D449" i="35"/>
  <c r="D441" i="35"/>
  <c r="D433" i="35"/>
  <c r="D425" i="35"/>
  <c r="D417" i="35"/>
  <c r="D409" i="35"/>
  <c r="D401" i="35"/>
  <c r="D393" i="35"/>
  <c r="D385" i="35"/>
  <c r="D377" i="35"/>
  <c r="D369" i="35"/>
  <c r="D361" i="35"/>
  <c r="D353" i="35"/>
  <c r="D345" i="35"/>
  <c r="D337" i="35"/>
  <c r="D329" i="35"/>
  <c r="D321" i="35"/>
  <c r="D313" i="35"/>
  <c r="D305" i="35"/>
  <c r="D297" i="35"/>
  <c r="D289" i="35"/>
  <c r="D281" i="35"/>
  <c r="D273" i="35"/>
  <c r="D265" i="35"/>
  <c r="D257" i="35"/>
  <c r="D249" i="35"/>
  <c r="D241" i="35"/>
  <c r="D233" i="35"/>
  <c r="D225" i="35"/>
  <c r="D217" i="35"/>
  <c r="D209" i="35"/>
  <c r="D201" i="35"/>
  <c r="D193" i="35"/>
  <c r="D185" i="35"/>
  <c r="D177" i="35"/>
  <c r="D169" i="35"/>
  <c r="D161" i="35"/>
  <c r="D153" i="35"/>
  <c r="D145" i="35"/>
  <c r="D137" i="35"/>
  <c r="D129" i="35"/>
  <c r="D121" i="35"/>
  <c r="D113" i="35"/>
  <c r="D105" i="35"/>
  <c r="D97" i="35"/>
  <c r="D89" i="35"/>
  <c r="D81" i="35"/>
  <c r="D73" i="35"/>
  <c r="D65" i="35"/>
  <c r="D57" i="35"/>
  <c r="D49" i="35"/>
  <c r="D41" i="35"/>
  <c r="D33" i="35"/>
  <c r="K1116" i="27"/>
  <c r="N1116" i="27" s="1"/>
  <c r="K1108" i="27"/>
  <c r="N1108" i="27" s="1"/>
  <c r="K1100" i="27"/>
  <c r="N1100" i="27" s="1"/>
  <c r="K1092" i="27"/>
  <c r="N1092" i="27" s="1"/>
  <c r="K1084" i="27"/>
  <c r="N1084" i="27" s="1"/>
  <c r="K1076" i="27"/>
  <c r="N1076" i="27" s="1"/>
  <c r="K1068" i="27"/>
  <c r="N1068" i="27" s="1"/>
  <c r="K1060" i="27"/>
  <c r="N1060" i="27" s="1"/>
  <c r="K1052" i="27"/>
  <c r="N1052" i="27" s="1"/>
  <c r="K1044" i="27"/>
  <c r="N1044" i="27" s="1"/>
  <c r="K1036" i="27"/>
  <c r="N1036" i="27" s="1"/>
  <c r="K1028" i="27"/>
  <c r="N1028" i="27" s="1"/>
  <c r="K1020" i="27"/>
  <c r="N1020" i="27" s="1"/>
  <c r="K1012" i="27"/>
  <c r="N1012" i="27" s="1"/>
  <c r="K1004" i="27"/>
  <c r="N1004" i="27" s="1"/>
  <c r="K996" i="27"/>
  <c r="N996" i="27" s="1"/>
  <c r="K988" i="27"/>
  <c r="N988" i="27" s="1"/>
  <c r="K980" i="27"/>
  <c r="N980" i="27" s="1"/>
  <c r="K972" i="27"/>
  <c r="N972" i="27" s="1"/>
  <c r="K964" i="27"/>
  <c r="N964" i="27" s="1"/>
  <c r="K956" i="27"/>
  <c r="N956" i="27" s="1"/>
  <c r="K948" i="27"/>
  <c r="N948" i="27" s="1"/>
  <c r="K940" i="27"/>
  <c r="N940" i="27" s="1"/>
  <c r="K932" i="27"/>
  <c r="N932" i="27" s="1"/>
  <c r="K924" i="27"/>
  <c r="N924" i="27" s="1"/>
  <c r="K916" i="27"/>
  <c r="N916" i="27" s="1"/>
  <c r="K908" i="27"/>
  <c r="N908" i="27" s="1"/>
  <c r="K900" i="27"/>
  <c r="N900" i="27" s="1"/>
  <c r="K892" i="27"/>
  <c r="N892" i="27" s="1"/>
  <c r="K884" i="27"/>
  <c r="N884" i="27" s="1"/>
  <c r="K876" i="27"/>
  <c r="N876" i="27" s="1"/>
  <c r="K868" i="27"/>
  <c r="N868" i="27" s="1"/>
  <c r="K860" i="27"/>
  <c r="N860" i="27" s="1"/>
  <c r="K852" i="27"/>
  <c r="N852" i="27" s="1"/>
  <c r="K844" i="27"/>
  <c r="N844" i="27" s="1"/>
  <c r="K836" i="27"/>
  <c r="N836" i="27" s="1"/>
  <c r="K828" i="27"/>
  <c r="N828" i="27" s="1"/>
  <c r="K820" i="27"/>
  <c r="N820" i="27" s="1"/>
  <c r="K812" i="27"/>
  <c r="N812" i="27" s="1"/>
  <c r="K804" i="27"/>
  <c r="N804" i="27" s="1"/>
  <c r="K796" i="27"/>
  <c r="N796" i="27" s="1"/>
  <c r="K788" i="27"/>
  <c r="N788" i="27" s="1"/>
  <c r="K780" i="27"/>
  <c r="N780" i="27" s="1"/>
  <c r="K772" i="27"/>
  <c r="N772" i="27" s="1"/>
  <c r="K764" i="27"/>
  <c r="N764" i="27" s="1"/>
  <c r="K756" i="27"/>
  <c r="N756" i="27" s="1"/>
  <c r="K748" i="27"/>
  <c r="N748" i="27" s="1"/>
  <c r="K740" i="27"/>
  <c r="N740" i="27" s="1"/>
  <c r="K732" i="27"/>
  <c r="N732" i="27" s="1"/>
  <c r="K724" i="27"/>
  <c r="N724" i="27" s="1"/>
  <c r="K716" i="27"/>
  <c r="N716" i="27" s="1"/>
  <c r="K708" i="27"/>
  <c r="N708" i="27" s="1"/>
  <c r="K700" i="27"/>
  <c r="N700" i="27" s="1"/>
  <c r="K692" i="27"/>
  <c r="N692" i="27" s="1"/>
  <c r="K684" i="27"/>
  <c r="N684" i="27" s="1"/>
  <c r="K676" i="27"/>
  <c r="N676" i="27" s="1"/>
  <c r="K668" i="27"/>
  <c r="N668" i="27" s="1"/>
  <c r="K660" i="27"/>
  <c r="N660" i="27" s="1"/>
  <c r="K652" i="27"/>
  <c r="N652" i="27" s="1"/>
  <c r="K644" i="27"/>
  <c r="N644" i="27" s="1"/>
  <c r="K636" i="27"/>
  <c r="N636" i="27" s="1"/>
  <c r="K628" i="27"/>
  <c r="N628" i="27" s="1"/>
  <c r="K620" i="27"/>
  <c r="N620" i="27" s="1"/>
  <c r="K612" i="27"/>
  <c r="N612" i="27" s="1"/>
  <c r="K604" i="27"/>
  <c r="N604" i="27" s="1"/>
  <c r="K596" i="27"/>
  <c r="N596" i="27" s="1"/>
  <c r="K588" i="27"/>
  <c r="N588" i="27" s="1"/>
  <c r="K580" i="27"/>
  <c r="N580" i="27" s="1"/>
  <c r="K572" i="27"/>
  <c r="N572" i="27" s="1"/>
  <c r="K564" i="27"/>
  <c r="N564" i="27" s="1"/>
  <c r="K556" i="27"/>
  <c r="N556" i="27" s="1"/>
  <c r="K548" i="27"/>
  <c r="N548" i="27" s="1"/>
  <c r="K540" i="27"/>
  <c r="N540" i="27" s="1"/>
  <c r="K532" i="27"/>
  <c r="N532" i="27" s="1"/>
  <c r="K524" i="27"/>
  <c r="N524" i="27" s="1"/>
  <c r="K516" i="27"/>
  <c r="N516" i="27" s="1"/>
  <c r="K508" i="27"/>
  <c r="N508" i="27" s="1"/>
  <c r="K500" i="27"/>
  <c r="N500" i="27" s="1"/>
  <c r="K492" i="27"/>
  <c r="N492" i="27" s="1"/>
  <c r="K484" i="27"/>
  <c r="N484" i="27" s="1"/>
  <c r="K476" i="27"/>
  <c r="N476" i="27" s="1"/>
  <c r="K468" i="27"/>
  <c r="N468" i="27" s="1"/>
  <c r="K460" i="27"/>
  <c r="N460" i="27" s="1"/>
  <c r="K452" i="27"/>
  <c r="N452" i="27" s="1"/>
  <c r="K444" i="27"/>
  <c r="N444" i="27" s="1"/>
  <c r="K436" i="27"/>
  <c r="N436" i="27" s="1"/>
  <c r="K428" i="27"/>
  <c r="N428" i="27" s="1"/>
  <c r="K420" i="27"/>
  <c r="N420" i="27" s="1"/>
  <c r="K412" i="27"/>
  <c r="N412" i="27" s="1"/>
  <c r="K404" i="27"/>
  <c r="N404" i="27" s="1"/>
  <c r="K396" i="27"/>
  <c r="N396" i="27" s="1"/>
  <c r="K388" i="27"/>
  <c r="N388" i="27" s="1"/>
  <c r="K380" i="27"/>
  <c r="N380" i="27" s="1"/>
  <c r="K372" i="27"/>
  <c r="N372" i="27" s="1"/>
  <c r="K364" i="27"/>
  <c r="N364" i="27" s="1"/>
  <c r="K356" i="27"/>
  <c r="N356" i="27" s="1"/>
  <c r="K348" i="27"/>
  <c r="N348" i="27" s="1"/>
  <c r="K340" i="27"/>
  <c r="N340" i="27" s="1"/>
  <c r="K332" i="27"/>
  <c r="N332" i="27" s="1"/>
  <c r="K324" i="27"/>
  <c r="N324" i="27" s="1"/>
  <c r="K316" i="27"/>
  <c r="N316" i="27" s="1"/>
  <c r="K308" i="27"/>
  <c r="N308" i="27" s="1"/>
  <c r="K300" i="27"/>
  <c r="N300" i="27" s="1"/>
  <c r="K292" i="27"/>
  <c r="N292" i="27" s="1"/>
  <c r="K284" i="27"/>
  <c r="N284" i="27" s="1"/>
  <c r="K276" i="27"/>
  <c r="N276" i="27" s="1"/>
  <c r="K268" i="27"/>
  <c r="N268" i="27" s="1"/>
  <c r="K260" i="27"/>
  <c r="N260" i="27" s="1"/>
  <c r="K252" i="27"/>
  <c r="N252" i="27" s="1"/>
  <c r="K244" i="27"/>
  <c r="N244" i="27" s="1"/>
  <c r="K1115" i="27"/>
  <c r="N1115" i="27" s="1"/>
  <c r="K1107" i="27"/>
  <c r="N1107" i="27" s="1"/>
  <c r="K1099" i="27"/>
  <c r="N1099" i="27" s="1"/>
  <c r="K1091" i="27"/>
  <c r="N1091" i="27" s="1"/>
  <c r="K1083" i="27"/>
  <c r="N1083" i="27" s="1"/>
  <c r="K1075" i="27"/>
  <c r="N1075" i="27" s="1"/>
  <c r="K1067" i="27"/>
  <c r="N1067" i="27" s="1"/>
  <c r="K1059" i="27"/>
  <c r="N1059" i="27" s="1"/>
  <c r="K1051" i="27"/>
  <c r="N1051" i="27" s="1"/>
  <c r="K1043" i="27"/>
  <c r="N1043" i="27" s="1"/>
  <c r="K1035" i="27"/>
  <c r="N1035" i="27" s="1"/>
  <c r="K1027" i="27"/>
  <c r="N1027" i="27" s="1"/>
  <c r="K1019" i="27"/>
  <c r="N1019" i="27" s="1"/>
  <c r="K1011" i="27"/>
  <c r="N1011" i="27" s="1"/>
  <c r="K1003" i="27"/>
  <c r="N1003" i="27" s="1"/>
  <c r="K995" i="27"/>
  <c r="N995" i="27" s="1"/>
  <c r="K987" i="27"/>
  <c r="N987" i="27" s="1"/>
  <c r="K979" i="27"/>
  <c r="N979" i="27" s="1"/>
  <c r="K971" i="27"/>
  <c r="N971" i="27" s="1"/>
  <c r="K963" i="27"/>
  <c r="N963" i="27" s="1"/>
  <c r="K955" i="27"/>
  <c r="N955" i="27" s="1"/>
  <c r="K947" i="27"/>
  <c r="N947" i="27" s="1"/>
  <c r="K939" i="27"/>
  <c r="N939" i="27" s="1"/>
  <c r="K931" i="27"/>
  <c r="N931" i="27" s="1"/>
  <c r="K923" i="27"/>
  <c r="N923" i="27" s="1"/>
  <c r="K1114" i="27"/>
  <c r="N1114" i="27" s="1"/>
  <c r="K1106" i="27"/>
  <c r="N1106" i="27" s="1"/>
  <c r="K1098" i="27"/>
  <c r="N1098" i="27" s="1"/>
  <c r="K1090" i="27"/>
  <c r="N1090" i="27" s="1"/>
  <c r="K1082" i="27"/>
  <c r="N1082" i="27" s="1"/>
  <c r="K1074" i="27"/>
  <c r="N1074" i="27" s="1"/>
  <c r="K1066" i="27"/>
  <c r="N1066" i="27" s="1"/>
  <c r="K1058" i="27"/>
  <c r="N1058" i="27" s="1"/>
  <c r="K1050" i="27"/>
  <c r="N1050" i="27" s="1"/>
  <c r="K1042" i="27"/>
  <c r="N1042" i="27" s="1"/>
  <c r="K1034" i="27"/>
  <c r="N1034" i="27" s="1"/>
  <c r="K1026" i="27"/>
  <c r="N1026" i="27" s="1"/>
  <c r="K1018" i="27"/>
  <c r="N1018" i="27" s="1"/>
  <c r="K1010" i="27"/>
  <c r="N1010" i="27" s="1"/>
  <c r="K1002" i="27"/>
  <c r="N1002" i="27" s="1"/>
  <c r="K994" i="27"/>
  <c r="N994" i="27" s="1"/>
  <c r="K986" i="27"/>
  <c r="N986" i="27" s="1"/>
  <c r="K978" i="27"/>
  <c r="N978" i="27" s="1"/>
  <c r="K970" i="27"/>
  <c r="N970" i="27" s="1"/>
  <c r="K962" i="27"/>
  <c r="N962" i="27" s="1"/>
  <c r="K954" i="27"/>
  <c r="N954" i="27" s="1"/>
  <c r="K946" i="27"/>
  <c r="N946" i="27" s="1"/>
  <c r="K938" i="27"/>
  <c r="N938" i="27" s="1"/>
  <c r="K930" i="27"/>
  <c r="N930" i="27" s="1"/>
  <c r="K922" i="27"/>
  <c r="N922" i="27" s="1"/>
  <c r="K1113" i="27"/>
  <c r="N1113" i="27" s="1"/>
  <c r="K1105" i="27"/>
  <c r="N1105" i="27" s="1"/>
  <c r="K1097" i="27"/>
  <c r="N1097" i="27" s="1"/>
  <c r="K1089" i="27"/>
  <c r="N1089" i="27" s="1"/>
  <c r="K1081" i="27"/>
  <c r="N1081" i="27" s="1"/>
  <c r="K1073" i="27"/>
  <c r="N1073" i="27" s="1"/>
  <c r="K1065" i="27"/>
  <c r="N1065" i="27" s="1"/>
  <c r="K1057" i="27"/>
  <c r="N1057" i="27" s="1"/>
  <c r="K1049" i="27"/>
  <c r="N1049" i="27" s="1"/>
  <c r="K1041" i="27"/>
  <c r="N1041" i="27" s="1"/>
  <c r="K1033" i="27"/>
  <c r="N1033" i="27" s="1"/>
  <c r="K1025" i="27"/>
  <c r="N1025" i="27" s="1"/>
  <c r="K1017" i="27"/>
  <c r="N1017" i="27" s="1"/>
  <c r="K1009" i="27"/>
  <c r="N1009" i="27" s="1"/>
  <c r="K1001" i="27"/>
  <c r="N1001" i="27" s="1"/>
  <c r="K993" i="27"/>
  <c r="N993" i="27" s="1"/>
  <c r="K985" i="27"/>
  <c r="N985" i="27" s="1"/>
  <c r="K977" i="27"/>
  <c r="N977" i="27" s="1"/>
  <c r="K969" i="27"/>
  <c r="N969" i="27" s="1"/>
  <c r="K961" i="27"/>
  <c r="N961" i="27" s="1"/>
  <c r="K953" i="27"/>
  <c r="N953" i="27" s="1"/>
  <c r="K945" i="27"/>
  <c r="N945" i="27" s="1"/>
  <c r="K937" i="27"/>
  <c r="N937" i="27" s="1"/>
  <c r="K929" i="27"/>
  <c r="N929" i="27" s="1"/>
  <c r="K921" i="27"/>
  <c r="N921" i="27" s="1"/>
  <c r="K1112" i="27"/>
  <c r="N1112" i="27" s="1"/>
  <c r="K1104" i="27"/>
  <c r="N1104" i="27" s="1"/>
  <c r="K1096" i="27"/>
  <c r="N1096" i="27" s="1"/>
  <c r="K1088" i="27"/>
  <c r="N1088" i="27" s="1"/>
  <c r="K1080" i="27"/>
  <c r="N1080" i="27" s="1"/>
  <c r="K1072" i="27"/>
  <c r="N1072" i="27" s="1"/>
  <c r="K1064" i="27"/>
  <c r="N1064" i="27" s="1"/>
  <c r="K1056" i="27"/>
  <c r="N1056" i="27" s="1"/>
  <c r="K1048" i="27"/>
  <c r="N1048" i="27" s="1"/>
  <c r="K1040" i="27"/>
  <c r="N1040" i="27" s="1"/>
  <c r="K1032" i="27"/>
  <c r="N1032" i="27" s="1"/>
  <c r="K1024" i="27"/>
  <c r="N1024" i="27" s="1"/>
  <c r="K1016" i="27"/>
  <c r="N1016" i="27" s="1"/>
  <c r="K1008" i="27"/>
  <c r="N1008" i="27" s="1"/>
  <c r="K1000" i="27"/>
  <c r="N1000" i="27" s="1"/>
  <c r="K992" i="27"/>
  <c r="N992" i="27" s="1"/>
  <c r="K984" i="27"/>
  <c r="N984" i="27" s="1"/>
  <c r="K976" i="27"/>
  <c r="N976" i="27" s="1"/>
  <c r="K968" i="27"/>
  <c r="N968" i="27" s="1"/>
  <c r="K960" i="27"/>
  <c r="N960" i="27" s="1"/>
  <c r="K952" i="27"/>
  <c r="N952" i="27" s="1"/>
  <c r="K944" i="27"/>
  <c r="N944" i="27" s="1"/>
  <c r="K936" i="27"/>
  <c r="N936" i="27" s="1"/>
  <c r="K928" i="27"/>
  <c r="N928" i="27" s="1"/>
  <c r="K920" i="27"/>
  <c r="N920" i="27" s="1"/>
  <c r="K1111" i="27"/>
  <c r="N1111" i="27" s="1"/>
  <c r="K1103" i="27"/>
  <c r="N1103" i="27" s="1"/>
  <c r="K1095" i="27"/>
  <c r="N1095" i="27" s="1"/>
  <c r="K1087" i="27"/>
  <c r="N1087" i="27" s="1"/>
  <c r="K1079" i="27"/>
  <c r="N1079" i="27" s="1"/>
  <c r="K1071" i="27"/>
  <c r="N1071" i="27" s="1"/>
  <c r="K1063" i="27"/>
  <c r="N1063" i="27" s="1"/>
  <c r="K1055" i="27"/>
  <c r="N1055" i="27" s="1"/>
  <c r="K1047" i="27"/>
  <c r="N1047" i="27" s="1"/>
  <c r="K1039" i="27"/>
  <c r="N1039" i="27" s="1"/>
  <c r="K1031" i="27"/>
  <c r="N1031" i="27" s="1"/>
  <c r="K1023" i="27"/>
  <c r="N1023" i="27" s="1"/>
  <c r="K1015" i="27"/>
  <c r="N1015" i="27" s="1"/>
  <c r="K1007" i="27"/>
  <c r="N1007" i="27" s="1"/>
  <c r="K999" i="27"/>
  <c r="N999" i="27" s="1"/>
  <c r="K991" i="27"/>
  <c r="N991" i="27" s="1"/>
  <c r="K983" i="27"/>
  <c r="N983" i="27" s="1"/>
  <c r="K975" i="27"/>
  <c r="N975" i="27" s="1"/>
  <c r="K967" i="27"/>
  <c r="N967" i="27" s="1"/>
  <c r="K959" i="27"/>
  <c r="N959" i="27" s="1"/>
  <c r="K951" i="27"/>
  <c r="N951" i="27" s="1"/>
  <c r="K943" i="27"/>
  <c r="N943" i="27" s="1"/>
  <c r="K935" i="27"/>
  <c r="N935" i="27" s="1"/>
  <c r="K927" i="27"/>
  <c r="N927" i="27" s="1"/>
  <c r="K919" i="27"/>
  <c r="N919" i="27" s="1"/>
  <c r="K1110" i="27"/>
  <c r="N1110" i="27" s="1"/>
  <c r="K1102" i="27"/>
  <c r="N1102" i="27" s="1"/>
  <c r="K1094" i="27"/>
  <c r="N1094" i="27" s="1"/>
  <c r="K1086" i="27"/>
  <c r="N1086" i="27" s="1"/>
  <c r="K1078" i="27"/>
  <c r="N1078" i="27" s="1"/>
  <c r="K1070" i="27"/>
  <c r="N1070" i="27" s="1"/>
  <c r="K1062" i="27"/>
  <c r="N1062" i="27" s="1"/>
  <c r="K1054" i="27"/>
  <c r="N1054" i="27" s="1"/>
  <c r="K1046" i="27"/>
  <c r="N1046" i="27" s="1"/>
  <c r="K1038" i="27"/>
  <c r="N1038" i="27" s="1"/>
  <c r="K1030" i="27"/>
  <c r="N1030" i="27" s="1"/>
  <c r="K1022" i="27"/>
  <c r="N1022" i="27" s="1"/>
  <c r="K1014" i="27"/>
  <c r="N1014" i="27" s="1"/>
  <c r="K1006" i="27"/>
  <c r="N1006" i="27" s="1"/>
  <c r="K998" i="27"/>
  <c r="N998" i="27" s="1"/>
  <c r="K990" i="27"/>
  <c r="N990" i="27" s="1"/>
  <c r="K982" i="27"/>
  <c r="N982" i="27" s="1"/>
  <c r="K974" i="27"/>
  <c r="N974" i="27" s="1"/>
  <c r="K966" i="27"/>
  <c r="N966" i="27" s="1"/>
  <c r="K958" i="27"/>
  <c r="N958" i="27" s="1"/>
  <c r="K950" i="27"/>
  <c r="N950" i="27" s="1"/>
  <c r="K942" i="27"/>
  <c r="N942" i="27" s="1"/>
  <c r="K934" i="27"/>
  <c r="N934" i="27" s="1"/>
  <c r="K926" i="27"/>
  <c r="N926" i="27" s="1"/>
  <c r="K918" i="27"/>
  <c r="N918" i="27" s="1"/>
  <c r="K1117" i="27"/>
  <c r="N1117" i="27" s="1"/>
  <c r="K1109" i="27"/>
  <c r="N1109" i="27" s="1"/>
  <c r="K1101" i="27"/>
  <c r="N1101" i="27" s="1"/>
  <c r="K1093" i="27"/>
  <c r="N1093" i="27" s="1"/>
  <c r="K1085" i="27"/>
  <c r="N1085" i="27" s="1"/>
  <c r="K1077" i="27"/>
  <c r="N1077" i="27" s="1"/>
  <c r="K1069" i="27"/>
  <c r="N1069" i="27" s="1"/>
  <c r="K1061" i="27"/>
  <c r="N1061" i="27" s="1"/>
  <c r="K1053" i="27"/>
  <c r="N1053" i="27" s="1"/>
  <c r="K1045" i="27"/>
  <c r="N1045" i="27" s="1"/>
  <c r="K1037" i="27"/>
  <c r="N1037" i="27" s="1"/>
  <c r="K1029" i="27"/>
  <c r="N1029" i="27" s="1"/>
  <c r="K1021" i="27"/>
  <c r="N1021" i="27" s="1"/>
  <c r="K1013" i="27"/>
  <c r="N1013" i="27" s="1"/>
  <c r="K1005" i="27"/>
  <c r="N1005" i="27" s="1"/>
  <c r="K997" i="27"/>
  <c r="N997" i="27" s="1"/>
  <c r="K989" i="27"/>
  <c r="N989" i="27" s="1"/>
  <c r="K981" i="27"/>
  <c r="N981" i="27" s="1"/>
  <c r="K973" i="27"/>
  <c r="N973" i="27" s="1"/>
  <c r="K965" i="27"/>
  <c r="N965" i="27" s="1"/>
  <c r="K957" i="27"/>
  <c r="N957" i="27" s="1"/>
  <c r="K949" i="27"/>
  <c r="N949" i="27" s="1"/>
  <c r="K941" i="27"/>
  <c r="N941" i="27" s="1"/>
  <c r="K933" i="27"/>
  <c r="N933" i="27" s="1"/>
  <c r="K925" i="27"/>
  <c r="N925" i="27" s="1"/>
  <c r="K917" i="27"/>
  <c r="N917" i="27" s="1"/>
  <c r="K915" i="27"/>
  <c r="N915" i="27" s="1"/>
  <c r="K907" i="27"/>
  <c r="N907" i="27" s="1"/>
  <c r="K899" i="27"/>
  <c r="N899" i="27" s="1"/>
  <c r="K891" i="27"/>
  <c r="N891" i="27" s="1"/>
  <c r="K883" i="27"/>
  <c r="N883" i="27" s="1"/>
  <c r="K875" i="27"/>
  <c r="N875" i="27" s="1"/>
  <c r="K867" i="27"/>
  <c r="N867" i="27" s="1"/>
  <c r="K859" i="27"/>
  <c r="N859" i="27" s="1"/>
  <c r="K851" i="27"/>
  <c r="N851" i="27" s="1"/>
  <c r="K843" i="27"/>
  <c r="N843" i="27" s="1"/>
  <c r="K835" i="27"/>
  <c r="N835" i="27" s="1"/>
  <c r="K827" i="27"/>
  <c r="N827" i="27" s="1"/>
  <c r="K819" i="27"/>
  <c r="N819" i="27" s="1"/>
  <c r="K811" i="27"/>
  <c r="N811" i="27" s="1"/>
  <c r="K803" i="27"/>
  <c r="N803" i="27" s="1"/>
  <c r="K795" i="27"/>
  <c r="N795" i="27" s="1"/>
  <c r="K787" i="27"/>
  <c r="N787" i="27" s="1"/>
  <c r="K779" i="27"/>
  <c r="N779" i="27" s="1"/>
  <c r="K771" i="27"/>
  <c r="N771" i="27" s="1"/>
  <c r="K763" i="27"/>
  <c r="N763" i="27" s="1"/>
  <c r="K755" i="27"/>
  <c r="N755" i="27" s="1"/>
  <c r="K747" i="27"/>
  <c r="N747" i="27" s="1"/>
  <c r="K739" i="27"/>
  <c r="N739" i="27" s="1"/>
  <c r="K731" i="27"/>
  <c r="N731" i="27" s="1"/>
  <c r="K723" i="27"/>
  <c r="N723" i="27" s="1"/>
  <c r="K715" i="27"/>
  <c r="N715" i="27" s="1"/>
  <c r="K707" i="27"/>
  <c r="N707" i="27" s="1"/>
  <c r="K699" i="27"/>
  <c r="N699" i="27" s="1"/>
  <c r="K691" i="27"/>
  <c r="N691" i="27" s="1"/>
  <c r="K683" i="27"/>
  <c r="N683" i="27" s="1"/>
  <c r="K675" i="27"/>
  <c r="N675" i="27" s="1"/>
  <c r="K667" i="27"/>
  <c r="N667" i="27" s="1"/>
  <c r="K659" i="27"/>
  <c r="N659" i="27" s="1"/>
  <c r="K651" i="27"/>
  <c r="N651" i="27" s="1"/>
  <c r="K643" i="27"/>
  <c r="N643" i="27" s="1"/>
  <c r="K635" i="27"/>
  <c r="N635" i="27" s="1"/>
  <c r="K627" i="27"/>
  <c r="N627" i="27" s="1"/>
  <c r="K619" i="27"/>
  <c r="N619" i="27" s="1"/>
  <c r="K611" i="27"/>
  <c r="N611" i="27" s="1"/>
  <c r="K603" i="27"/>
  <c r="N603" i="27" s="1"/>
  <c r="K595" i="27"/>
  <c r="N595" i="27" s="1"/>
  <c r="K587" i="27"/>
  <c r="N587" i="27" s="1"/>
  <c r="K579" i="27"/>
  <c r="N579" i="27" s="1"/>
  <c r="K571" i="27"/>
  <c r="N571" i="27" s="1"/>
  <c r="K563" i="27"/>
  <c r="N563" i="27" s="1"/>
  <c r="K555" i="27"/>
  <c r="N555" i="27" s="1"/>
  <c r="K547" i="27"/>
  <c r="N547" i="27" s="1"/>
  <c r="K539" i="27"/>
  <c r="N539" i="27" s="1"/>
  <c r="K531" i="27"/>
  <c r="N531" i="27" s="1"/>
  <c r="K523" i="27"/>
  <c r="N523" i="27" s="1"/>
  <c r="K515" i="27"/>
  <c r="N515" i="27" s="1"/>
  <c r="K507" i="27"/>
  <c r="N507" i="27" s="1"/>
  <c r="K499" i="27"/>
  <c r="N499" i="27" s="1"/>
  <c r="K491" i="27"/>
  <c r="N491" i="27" s="1"/>
  <c r="K483" i="27"/>
  <c r="N483" i="27" s="1"/>
  <c r="K475" i="27"/>
  <c r="N475" i="27" s="1"/>
  <c r="K467" i="27"/>
  <c r="N467" i="27" s="1"/>
  <c r="K459" i="27"/>
  <c r="N459" i="27" s="1"/>
  <c r="K451" i="27"/>
  <c r="N451" i="27" s="1"/>
  <c r="K443" i="27"/>
  <c r="N443" i="27" s="1"/>
  <c r="K435" i="27"/>
  <c r="N435" i="27" s="1"/>
  <c r="K427" i="27"/>
  <c r="N427" i="27" s="1"/>
  <c r="K419" i="27"/>
  <c r="N419" i="27" s="1"/>
  <c r="K411" i="27"/>
  <c r="N411" i="27" s="1"/>
  <c r="K403" i="27"/>
  <c r="N403" i="27" s="1"/>
  <c r="K395" i="27"/>
  <c r="N395" i="27" s="1"/>
  <c r="K387" i="27"/>
  <c r="N387" i="27" s="1"/>
  <c r="K379" i="27"/>
  <c r="N379" i="27" s="1"/>
  <c r="K371" i="27"/>
  <c r="N371" i="27" s="1"/>
  <c r="K363" i="27"/>
  <c r="N363" i="27" s="1"/>
  <c r="K355" i="27"/>
  <c r="N355" i="27" s="1"/>
  <c r="K347" i="27"/>
  <c r="N347" i="27" s="1"/>
  <c r="K339" i="27"/>
  <c r="N339" i="27" s="1"/>
  <c r="K331" i="27"/>
  <c r="N331" i="27" s="1"/>
  <c r="K323" i="27"/>
  <c r="N323" i="27" s="1"/>
  <c r="K315" i="27"/>
  <c r="N315" i="27" s="1"/>
  <c r="K307" i="27"/>
  <c r="N307" i="27" s="1"/>
  <c r="K299" i="27"/>
  <c r="N299" i="27" s="1"/>
  <c r="K291" i="27"/>
  <c r="N291" i="27" s="1"/>
  <c r="K283" i="27"/>
  <c r="N283" i="27" s="1"/>
  <c r="K275" i="27"/>
  <c r="N275" i="27" s="1"/>
  <c r="K267" i="27"/>
  <c r="N267" i="27" s="1"/>
  <c r="K259" i="27"/>
  <c r="N259" i="27" s="1"/>
  <c r="K251" i="27"/>
  <c r="N251" i="27" s="1"/>
  <c r="K243" i="27"/>
  <c r="N243" i="27" s="1"/>
  <c r="K914" i="27"/>
  <c r="N914" i="27" s="1"/>
  <c r="K906" i="27"/>
  <c r="N906" i="27" s="1"/>
  <c r="K898" i="27"/>
  <c r="N898" i="27" s="1"/>
  <c r="K890" i="27"/>
  <c r="N890" i="27" s="1"/>
  <c r="K882" i="27"/>
  <c r="N882" i="27" s="1"/>
  <c r="K874" i="27"/>
  <c r="N874" i="27" s="1"/>
  <c r="K866" i="27"/>
  <c r="N866" i="27" s="1"/>
  <c r="K858" i="27"/>
  <c r="N858" i="27" s="1"/>
  <c r="K850" i="27"/>
  <c r="N850" i="27" s="1"/>
  <c r="K842" i="27"/>
  <c r="N842" i="27" s="1"/>
  <c r="K834" i="27"/>
  <c r="N834" i="27" s="1"/>
  <c r="K826" i="27"/>
  <c r="N826" i="27" s="1"/>
  <c r="K818" i="27"/>
  <c r="N818" i="27" s="1"/>
  <c r="K810" i="27"/>
  <c r="N810" i="27" s="1"/>
  <c r="K802" i="27"/>
  <c r="N802" i="27" s="1"/>
  <c r="K794" i="27"/>
  <c r="N794" i="27" s="1"/>
  <c r="K786" i="27"/>
  <c r="N786" i="27" s="1"/>
  <c r="K778" i="27"/>
  <c r="N778" i="27" s="1"/>
  <c r="K770" i="27"/>
  <c r="N770" i="27" s="1"/>
  <c r="K762" i="27"/>
  <c r="N762" i="27" s="1"/>
  <c r="K754" i="27"/>
  <c r="N754" i="27" s="1"/>
  <c r="K746" i="27"/>
  <c r="N746" i="27" s="1"/>
  <c r="K738" i="27"/>
  <c r="N738" i="27" s="1"/>
  <c r="K730" i="27"/>
  <c r="N730" i="27" s="1"/>
  <c r="K722" i="27"/>
  <c r="N722" i="27" s="1"/>
  <c r="K714" i="27"/>
  <c r="N714" i="27" s="1"/>
  <c r="K706" i="27"/>
  <c r="N706" i="27" s="1"/>
  <c r="K698" i="27"/>
  <c r="N698" i="27" s="1"/>
  <c r="K690" i="27"/>
  <c r="N690" i="27" s="1"/>
  <c r="K682" i="27"/>
  <c r="N682" i="27" s="1"/>
  <c r="K674" i="27"/>
  <c r="N674" i="27" s="1"/>
  <c r="K666" i="27"/>
  <c r="N666" i="27" s="1"/>
  <c r="K658" i="27"/>
  <c r="N658" i="27" s="1"/>
  <c r="K650" i="27"/>
  <c r="N650" i="27" s="1"/>
  <c r="K642" i="27"/>
  <c r="N642" i="27" s="1"/>
  <c r="K634" i="27"/>
  <c r="N634" i="27" s="1"/>
  <c r="K626" i="27"/>
  <c r="N626" i="27" s="1"/>
  <c r="K618" i="27"/>
  <c r="N618" i="27" s="1"/>
  <c r="K610" i="27"/>
  <c r="N610" i="27" s="1"/>
  <c r="K602" i="27"/>
  <c r="N602" i="27" s="1"/>
  <c r="K594" i="27"/>
  <c r="N594" i="27" s="1"/>
  <c r="K586" i="27"/>
  <c r="N586" i="27" s="1"/>
  <c r="K578" i="27"/>
  <c r="N578" i="27" s="1"/>
  <c r="K570" i="27"/>
  <c r="N570" i="27" s="1"/>
  <c r="K562" i="27"/>
  <c r="N562" i="27" s="1"/>
  <c r="K554" i="27"/>
  <c r="N554" i="27" s="1"/>
  <c r="K546" i="27"/>
  <c r="N546" i="27" s="1"/>
  <c r="K538" i="27"/>
  <c r="N538" i="27" s="1"/>
  <c r="K530" i="27"/>
  <c r="N530" i="27" s="1"/>
  <c r="K522" i="27"/>
  <c r="N522" i="27" s="1"/>
  <c r="K514" i="27"/>
  <c r="N514" i="27" s="1"/>
  <c r="K506" i="27"/>
  <c r="N506" i="27" s="1"/>
  <c r="K498" i="27"/>
  <c r="N498" i="27" s="1"/>
  <c r="K490" i="27"/>
  <c r="N490" i="27" s="1"/>
  <c r="K482" i="27"/>
  <c r="N482" i="27" s="1"/>
  <c r="K474" i="27"/>
  <c r="N474" i="27" s="1"/>
  <c r="K466" i="27"/>
  <c r="N466" i="27" s="1"/>
  <c r="K458" i="27"/>
  <c r="N458" i="27" s="1"/>
  <c r="K450" i="27"/>
  <c r="N450" i="27" s="1"/>
  <c r="K442" i="27"/>
  <c r="N442" i="27" s="1"/>
  <c r="K434" i="27"/>
  <c r="N434" i="27" s="1"/>
  <c r="K426" i="27"/>
  <c r="N426" i="27" s="1"/>
  <c r="K418" i="27"/>
  <c r="N418" i="27" s="1"/>
  <c r="K410" i="27"/>
  <c r="N410" i="27" s="1"/>
  <c r="K402" i="27"/>
  <c r="N402" i="27" s="1"/>
  <c r="K394" i="27"/>
  <c r="N394" i="27" s="1"/>
  <c r="K386" i="27"/>
  <c r="N386" i="27" s="1"/>
  <c r="K378" i="27"/>
  <c r="N378" i="27" s="1"/>
  <c r="K370" i="27"/>
  <c r="N370" i="27" s="1"/>
  <c r="K362" i="27"/>
  <c r="N362" i="27" s="1"/>
  <c r="K354" i="27"/>
  <c r="N354" i="27" s="1"/>
  <c r="K346" i="27"/>
  <c r="N346" i="27" s="1"/>
  <c r="K338" i="27"/>
  <c r="N338" i="27" s="1"/>
  <c r="K330" i="27"/>
  <c r="N330" i="27" s="1"/>
  <c r="K322" i="27"/>
  <c r="N322" i="27" s="1"/>
  <c r="K314" i="27"/>
  <c r="N314" i="27" s="1"/>
  <c r="K306" i="27"/>
  <c r="N306" i="27" s="1"/>
  <c r="K298" i="27"/>
  <c r="N298" i="27" s="1"/>
  <c r="K290" i="27"/>
  <c r="N290" i="27" s="1"/>
  <c r="K282" i="27"/>
  <c r="N282" i="27" s="1"/>
  <c r="K274" i="27"/>
  <c r="N274" i="27" s="1"/>
  <c r="K266" i="27"/>
  <c r="N266" i="27" s="1"/>
  <c r="K258" i="27"/>
  <c r="N258" i="27" s="1"/>
  <c r="K250" i="27"/>
  <c r="N250" i="27" s="1"/>
  <c r="K242" i="27"/>
  <c r="N242" i="27" s="1"/>
  <c r="K913" i="27"/>
  <c r="N913" i="27" s="1"/>
  <c r="K905" i="27"/>
  <c r="N905" i="27" s="1"/>
  <c r="K897" i="27"/>
  <c r="N897" i="27" s="1"/>
  <c r="K889" i="27"/>
  <c r="N889" i="27" s="1"/>
  <c r="K881" i="27"/>
  <c r="N881" i="27" s="1"/>
  <c r="K873" i="27"/>
  <c r="N873" i="27" s="1"/>
  <c r="K865" i="27"/>
  <c r="N865" i="27" s="1"/>
  <c r="K857" i="27"/>
  <c r="N857" i="27" s="1"/>
  <c r="K849" i="27"/>
  <c r="N849" i="27" s="1"/>
  <c r="K841" i="27"/>
  <c r="N841" i="27" s="1"/>
  <c r="K833" i="27"/>
  <c r="N833" i="27" s="1"/>
  <c r="K825" i="27"/>
  <c r="N825" i="27" s="1"/>
  <c r="K817" i="27"/>
  <c r="N817" i="27" s="1"/>
  <c r="K809" i="27"/>
  <c r="N809" i="27" s="1"/>
  <c r="K801" i="27"/>
  <c r="N801" i="27" s="1"/>
  <c r="K793" i="27"/>
  <c r="N793" i="27" s="1"/>
  <c r="K785" i="27"/>
  <c r="N785" i="27" s="1"/>
  <c r="K777" i="27"/>
  <c r="N777" i="27" s="1"/>
  <c r="K769" i="27"/>
  <c r="N769" i="27" s="1"/>
  <c r="K761" i="27"/>
  <c r="N761" i="27" s="1"/>
  <c r="K753" i="27"/>
  <c r="N753" i="27" s="1"/>
  <c r="K745" i="27"/>
  <c r="N745" i="27" s="1"/>
  <c r="K737" i="27"/>
  <c r="N737" i="27" s="1"/>
  <c r="K729" i="27"/>
  <c r="N729" i="27" s="1"/>
  <c r="K721" i="27"/>
  <c r="N721" i="27" s="1"/>
  <c r="K713" i="27"/>
  <c r="N713" i="27" s="1"/>
  <c r="K705" i="27"/>
  <c r="N705" i="27" s="1"/>
  <c r="K697" i="27"/>
  <c r="N697" i="27" s="1"/>
  <c r="K689" i="27"/>
  <c r="N689" i="27" s="1"/>
  <c r="K681" i="27"/>
  <c r="N681" i="27" s="1"/>
  <c r="K673" i="27"/>
  <c r="N673" i="27" s="1"/>
  <c r="K665" i="27"/>
  <c r="N665" i="27" s="1"/>
  <c r="K657" i="27"/>
  <c r="N657" i="27" s="1"/>
  <c r="K649" i="27"/>
  <c r="N649" i="27" s="1"/>
  <c r="K641" i="27"/>
  <c r="N641" i="27" s="1"/>
  <c r="K633" i="27"/>
  <c r="N633" i="27" s="1"/>
  <c r="K625" i="27"/>
  <c r="N625" i="27" s="1"/>
  <c r="K617" i="27"/>
  <c r="N617" i="27" s="1"/>
  <c r="K609" i="27"/>
  <c r="N609" i="27" s="1"/>
  <c r="K601" i="27"/>
  <c r="N601" i="27" s="1"/>
  <c r="K593" i="27"/>
  <c r="N593" i="27" s="1"/>
  <c r="K585" i="27"/>
  <c r="N585" i="27" s="1"/>
  <c r="K577" i="27"/>
  <c r="N577" i="27" s="1"/>
  <c r="K569" i="27"/>
  <c r="N569" i="27" s="1"/>
  <c r="K561" i="27"/>
  <c r="N561" i="27" s="1"/>
  <c r="K553" i="27"/>
  <c r="N553" i="27" s="1"/>
  <c r="K545" i="27"/>
  <c r="N545" i="27" s="1"/>
  <c r="K537" i="27"/>
  <c r="N537" i="27" s="1"/>
  <c r="K529" i="27"/>
  <c r="N529" i="27" s="1"/>
  <c r="K521" i="27"/>
  <c r="N521" i="27" s="1"/>
  <c r="K513" i="27"/>
  <c r="N513" i="27" s="1"/>
  <c r="K505" i="27"/>
  <c r="N505" i="27" s="1"/>
  <c r="K497" i="27"/>
  <c r="N497" i="27" s="1"/>
  <c r="K489" i="27"/>
  <c r="N489" i="27" s="1"/>
  <c r="K481" i="27"/>
  <c r="N481" i="27" s="1"/>
  <c r="K473" i="27"/>
  <c r="N473" i="27" s="1"/>
  <c r="K465" i="27"/>
  <c r="N465" i="27" s="1"/>
  <c r="K457" i="27"/>
  <c r="N457" i="27" s="1"/>
  <c r="K449" i="27"/>
  <c r="N449" i="27" s="1"/>
  <c r="K441" i="27"/>
  <c r="N441" i="27" s="1"/>
  <c r="K433" i="27"/>
  <c r="N433" i="27" s="1"/>
  <c r="K425" i="27"/>
  <c r="N425" i="27" s="1"/>
  <c r="K417" i="27"/>
  <c r="N417" i="27" s="1"/>
  <c r="K409" i="27"/>
  <c r="N409" i="27" s="1"/>
  <c r="K401" i="27"/>
  <c r="N401" i="27" s="1"/>
  <c r="K393" i="27"/>
  <c r="N393" i="27" s="1"/>
  <c r="K385" i="27"/>
  <c r="N385" i="27" s="1"/>
  <c r="K377" i="27"/>
  <c r="N377" i="27" s="1"/>
  <c r="K369" i="27"/>
  <c r="N369" i="27" s="1"/>
  <c r="K361" i="27"/>
  <c r="N361" i="27" s="1"/>
  <c r="K353" i="27"/>
  <c r="N353" i="27" s="1"/>
  <c r="K345" i="27"/>
  <c r="N345" i="27" s="1"/>
  <c r="K337" i="27"/>
  <c r="N337" i="27" s="1"/>
  <c r="K329" i="27"/>
  <c r="N329" i="27" s="1"/>
  <c r="K321" i="27"/>
  <c r="N321" i="27" s="1"/>
  <c r="K313" i="27"/>
  <c r="N313" i="27" s="1"/>
  <c r="K305" i="27"/>
  <c r="N305" i="27" s="1"/>
  <c r="K297" i="27"/>
  <c r="N297" i="27" s="1"/>
  <c r="K289" i="27"/>
  <c r="N289" i="27" s="1"/>
  <c r="K281" i="27"/>
  <c r="N281" i="27" s="1"/>
  <c r="K273" i="27"/>
  <c r="N273" i="27" s="1"/>
  <c r="K265" i="27"/>
  <c r="N265" i="27" s="1"/>
  <c r="K257" i="27"/>
  <c r="N257" i="27" s="1"/>
  <c r="K249" i="27"/>
  <c r="N249" i="27" s="1"/>
  <c r="K241" i="27"/>
  <c r="N241" i="27" s="1"/>
  <c r="K912" i="27"/>
  <c r="N912" i="27" s="1"/>
  <c r="K904" i="27"/>
  <c r="N904" i="27" s="1"/>
  <c r="K896" i="27"/>
  <c r="N896" i="27" s="1"/>
  <c r="K888" i="27"/>
  <c r="N888" i="27" s="1"/>
  <c r="K880" i="27"/>
  <c r="N880" i="27" s="1"/>
  <c r="K872" i="27"/>
  <c r="N872" i="27" s="1"/>
  <c r="K864" i="27"/>
  <c r="N864" i="27" s="1"/>
  <c r="K856" i="27"/>
  <c r="N856" i="27" s="1"/>
  <c r="K848" i="27"/>
  <c r="N848" i="27" s="1"/>
  <c r="K840" i="27"/>
  <c r="N840" i="27" s="1"/>
  <c r="K832" i="27"/>
  <c r="N832" i="27" s="1"/>
  <c r="K824" i="27"/>
  <c r="N824" i="27" s="1"/>
  <c r="K816" i="27"/>
  <c r="N816" i="27" s="1"/>
  <c r="K808" i="27"/>
  <c r="N808" i="27" s="1"/>
  <c r="K800" i="27"/>
  <c r="N800" i="27" s="1"/>
  <c r="K792" i="27"/>
  <c r="N792" i="27" s="1"/>
  <c r="K784" i="27"/>
  <c r="N784" i="27" s="1"/>
  <c r="K776" i="27"/>
  <c r="N776" i="27" s="1"/>
  <c r="K768" i="27"/>
  <c r="N768" i="27" s="1"/>
  <c r="K760" i="27"/>
  <c r="N760" i="27" s="1"/>
  <c r="K752" i="27"/>
  <c r="N752" i="27" s="1"/>
  <c r="K744" i="27"/>
  <c r="N744" i="27" s="1"/>
  <c r="K736" i="27"/>
  <c r="N736" i="27" s="1"/>
  <c r="K728" i="27"/>
  <c r="N728" i="27" s="1"/>
  <c r="K720" i="27"/>
  <c r="N720" i="27" s="1"/>
  <c r="K712" i="27"/>
  <c r="N712" i="27" s="1"/>
  <c r="K704" i="27"/>
  <c r="N704" i="27" s="1"/>
  <c r="K696" i="27"/>
  <c r="N696" i="27" s="1"/>
  <c r="K688" i="27"/>
  <c r="N688" i="27" s="1"/>
  <c r="K680" i="27"/>
  <c r="N680" i="27" s="1"/>
  <c r="K672" i="27"/>
  <c r="N672" i="27" s="1"/>
  <c r="K664" i="27"/>
  <c r="N664" i="27" s="1"/>
  <c r="K656" i="27"/>
  <c r="N656" i="27" s="1"/>
  <c r="K648" i="27"/>
  <c r="N648" i="27" s="1"/>
  <c r="K640" i="27"/>
  <c r="N640" i="27" s="1"/>
  <c r="K632" i="27"/>
  <c r="N632" i="27" s="1"/>
  <c r="K624" i="27"/>
  <c r="N624" i="27" s="1"/>
  <c r="K616" i="27"/>
  <c r="N616" i="27" s="1"/>
  <c r="K608" i="27"/>
  <c r="N608" i="27" s="1"/>
  <c r="K600" i="27"/>
  <c r="N600" i="27" s="1"/>
  <c r="K592" i="27"/>
  <c r="N592" i="27" s="1"/>
  <c r="K584" i="27"/>
  <c r="N584" i="27" s="1"/>
  <c r="K576" i="27"/>
  <c r="N576" i="27" s="1"/>
  <c r="K568" i="27"/>
  <c r="N568" i="27" s="1"/>
  <c r="K560" i="27"/>
  <c r="N560" i="27" s="1"/>
  <c r="K552" i="27"/>
  <c r="N552" i="27" s="1"/>
  <c r="K544" i="27"/>
  <c r="N544" i="27" s="1"/>
  <c r="K536" i="27"/>
  <c r="N536" i="27" s="1"/>
  <c r="K528" i="27"/>
  <c r="N528" i="27" s="1"/>
  <c r="K520" i="27"/>
  <c r="N520" i="27" s="1"/>
  <c r="K512" i="27"/>
  <c r="N512" i="27" s="1"/>
  <c r="K504" i="27"/>
  <c r="N504" i="27" s="1"/>
  <c r="K496" i="27"/>
  <c r="N496" i="27" s="1"/>
  <c r="K488" i="27"/>
  <c r="N488" i="27" s="1"/>
  <c r="K480" i="27"/>
  <c r="N480" i="27" s="1"/>
  <c r="K472" i="27"/>
  <c r="N472" i="27" s="1"/>
  <c r="K464" i="27"/>
  <c r="N464" i="27" s="1"/>
  <c r="K456" i="27"/>
  <c r="N456" i="27" s="1"/>
  <c r="K448" i="27"/>
  <c r="N448" i="27" s="1"/>
  <c r="K440" i="27"/>
  <c r="N440" i="27" s="1"/>
  <c r="K432" i="27"/>
  <c r="N432" i="27" s="1"/>
  <c r="K424" i="27"/>
  <c r="N424" i="27" s="1"/>
  <c r="K416" i="27"/>
  <c r="N416" i="27" s="1"/>
  <c r="K408" i="27"/>
  <c r="N408" i="27" s="1"/>
  <c r="K400" i="27"/>
  <c r="N400" i="27" s="1"/>
  <c r="K392" i="27"/>
  <c r="N392" i="27" s="1"/>
  <c r="K384" i="27"/>
  <c r="N384" i="27" s="1"/>
  <c r="K376" i="27"/>
  <c r="N376" i="27" s="1"/>
  <c r="K368" i="27"/>
  <c r="N368" i="27" s="1"/>
  <c r="K360" i="27"/>
  <c r="N360" i="27" s="1"/>
  <c r="K352" i="27"/>
  <c r="N352" i="27" s="1"/>
  <c r="K344" i="27"/>
  <c r="N344" i="27" s="1"/>
  <c r="K336" i="27"/>
  <c r="N336" i="27" s="1"/>
  <c r="K328" i="27"/>
  <c r="N328" i="27" s="1"/>
  <c r="K320" i="27"/>
  <c r="N320" i="27" s="1"/>
  <c r="K312" i="27"/>
  <c r="N312" i="27" s="1"/>
  <c r="K304" i="27"/>
  <c r="N304" i="27" s="1"/>
  <c r="K296" i="27"/>
  <c r="N296" i="27" s="1"/>
  <c r="K288" i="27"/>
  <c r="N288" i="27" s="1"/>
  <c r="K280" i="27"/>
  <c r="N280" i="27" s="1"/>
  <c r="K272" i="27"/>
  <c r="N272" i="27" s="1"/>
  <c r="K264" i="27"/>
  <c r="N264" i="27" s="1"/>
  <c r="K256" i="27"/>
  <c r="N256" i="27" s="1"/>
  <c r="K248" i="27"/>
  <c r="N248" i="27" s="1"/>
  <c r="K240" i="27"/>
  <c r="N240" i="27" s="1"/>
  <c r="K911" i="27"/>
  <c r="N911" i="27" s="1"/>
  <c r="K903" i="27"/>
  <c r="N903" i="27" s="1"/>
  <c r="K895" i="27"/>
  <c r="N895" i="27" s="1"/>
  <c r="K887" i="27"/>
  <c r="N887" i="27" s="1"/>
  <c r="K879" i="27"/>
  <c r="N879" i="27" s="1"/>
  <c r="K871" i="27"/>
  <c r="N871" i="27" s="1"/>
  <c r="K863" i="27"/>
  <c r="N863" i="27" s="1"/>
  <c r="K855" i="27"/>
  <c r="N855" i="27" s="1"/>
  <c r="K847" i="27"/>
  <c r="N847" i="27" s="1"/>
  <c r="K839" i="27"/>
  <c r="N839" i="27" s="1"/>
  <c r="K831" i="27"/>
  <c r="N831" i="27" s="1"/>
  <c r="K823" i="27"/>
  <c r="N823" i="27" s="1"/>
  <c r="K815" i="27"/>
  <c r="N815" i="27" s="1"/>
  <c r="K807" i="27"/>
  <c r="N807" i="27" s="1"/>
  <c r="K799" i="27"/>
  <c r="N799" i="27" s="1"/>
  <c r="K791" i="27"/>
  <c r="N791" i="27" s="1"/>
  <c r="K783" i="27"/>
  <c r="N783" i="27" s="1"/>
  <c r="K775" i="27"/>
  <c r="N775" i="27" s="1"/>
  <c r="K767" i="27"/>
  <c r="N767" i="27" s="1"/>
  <c r="K759" i="27"/>
  <c r="N759" i="27" s="1"/>
  <c r="K751" i="27"/>
  <c r="N751" i="27" s="1"/>
  <c r="K743" i="27"/>
  <c r="N743" i="27" s="1"/>
  <c r="K735" i="27"/>
  <c r="N735" i="27" s="1"/>
  <c r="K727" i="27"/>
  <c r="N727" i="27" s="1"/>
  <c r="K719" i="27"/>
  <c r="N719" i="27" s="1"/>
  <c r="K711" i="27"/>
  <c r="N711" i="27" s="1"/>
  <c r="K703" i="27"/>
  <c r="N703" i="27" s="1"/>
  <c r="K695" i="27"/>
  <c r="N695" i="27" s="1"/>
  <c r="K687" i="27"/>
  <c r="N687" i="27" s="1"/>
  <c r="K679" i="27"/>
  <c r="N679" i="27" s="1"/>
  <c r="K671" i="27"/>
  <c r="N671" i="27" s="1"/>
  <c r="K663" i="27"/>
  <c r="N663" i="27" s="1"/>
  <c r="K655" i="27"/>
  <c r="N655" i="27" s="1"/>
  <c r="K647" i="27"/>
  <c r="N647" i="27" s="1"/>
  <c r="K639" i="27"/>
  <c r="N639" i="27" s="1"/>
  <c r="K631" i="27"/>
  <c r="N631" i="27" s="1"/>
  <c r="K623" i="27"/>
  <c r="N623" i="27" s="1"/>
  <c r="K615" i="27"/>
  <c r="N615" i="27" s="1"/>
  <c r="K607" i="27"/>
  <c r="N607" i="27" s="1"/>
  <c r="K599" i="27"/>
  <c r="N599" i="27" s="1"/>
  <c r="K591" i="27"/>
  <c r="N591" i="27" s="1"/>
  <c r="K583" i="27"/>
  <c r="N583" i="27" s="1"/>
  <c r="K575" i="27"/>
  <c r="N575" i="27" s="1"/>
  <c r="K567" i="27"/>
  <c r="N567" i="27" s="1"/>
  <c r="K559" i="27"/>
  <c r="N559" i="27" s="1"/>
  <c r="K551" i="27"/>
  <c r="N551" i="27" s="1"/>
  <c r="K543" i="27"/>
  <c r="N543" i="27" s="1"/>
  <c r="K535" i="27"/>
  <c r="N535" i="27" s="1"/>
  <c r="K527" i="27"/>
  <c r="N527" i="27" s="1"/>
  <c r="K519" i="27"/>
  <c r="N519" i="27" s="1"/>
  <c r="K511" i="27"/>
  <c r="N511" i="27" s="1"/>
  <c r="K503" i="27"/>
  <c r="N503" i="27" s="1"/>
  <c r="K495" i="27"/>
  <c r="N495" i="27" s="1"/>
  <c r="K487" i="27"/>
  <c r="N487" i="27" s="1"/>
  <c r="K479" i="27"/>
  <c r="N479" i="27" s="1"/>
  <c r="K471" i="27"/>
  <c r="N471" i="27" s="1"/>
  <c r="K463" i="27"/>
  <c r="N463" i="27" s="1"/>
  <c r="K455" i="27"/>
  <c r="N455" i="27" s="1"/>
  <c r="K447" i="27"/>
  <c r="N447" i="27" s="1"/>
  <c r="K439" i="27"/>
  <c r="N439" i="27" s="1"/>
  <c r="K431" i="27"/>
  <c r="N431" i="27" s="1"/>
  <c r="K423" i="27"/>
  <c r="N423" i="27" s="1"/>
  <c r="K415" i="27"/>
  <c r="N415" i="27" s="1"/>
  <c r="K407" i="27"/>
  <c r="N407" i="27" s="1"/>
  <c r="K399" i="27"/>
  <c r="N399" i="27" s="1"/>
  <c r="K391" i="27"/>
  <c r="N391" i="27" s="1"/>
  <c r="K383" i="27"/>
  <c r="N383" i="27" s="1"/>
  <c r="K375" i="27"/>
  <c r="N375" i="27" s="1"/>
  <c r="K367" i="27"/>
  <c r="N367" i="27" s="1"/>
  <c r="K359" i="27"/>
  <c r="N359" i="27" s="1"/>
  <c r="K351" i="27"/>
  <c r="N351" i="27" s="1"/>
  <c r="K343" i="27"/>
  <c r="N343" i="27" s="1"/>
  <c r="K335" i="27"/>
  <c r="N335" i="27" s="1"/>
  <c r="K327" i="27"/>
  <c r="N327" i="27" s="1"/>
  <c r="K319" i="27"/>
  <c r="N319" i="27" s="1"/>
  <c r="K311" i="27"/>
  <c r="N311" i="27" s="1"/>
  <c r="K303" i="27"/>
  <c r="N303" i="27" s="1"/>
  <c r="K295" i="27"/>
  <c r="N295" i="27" s="1"/>
  <c r="K287" i="27"/>
  <c r="N287" i="27" s="1"/>
  <c r="K279" i="27"/>
  <c r="N279" i="27" s="1"/>
  <c r="K271" i="27"/>
  <c r="N271" i="27" s="1"/>
  <c r="K263" i="27"/>
  <c r="N263" i="27" s="1"/>
  <c r="K255" i="27"/>
  <c r="N255" i="27" s="1"/>
  <c r="K247" i="27"/>
  <c r="N247" i="27" s="1"/>
  <c r="K239" i="27"/>
  <c r="N239" i="27" s="1"/>
  <c r="K910" i="27"/>
  <c r="N910" i="27" s="1"/>
  <c r="K902" i="27"/>
  <c r="N902" i="27" s="1"/>
  <c r="K894" i="27"/>
  <c r="N894" i="27" s="1"/>
  <c r="K886" i="27"/>
  <c r="N886" i="27" s="1"/>
  <c r="K878" i="27"/>
  <c r="N878" i="27" s="1"/>
  <c r="K870" i="27"/>
  <c r="N870" i="27" s="1"/>
  <c r="K862" i="27"/>
  <c r="N862" i="27" s="1"/>
  <c r="K854" i="27"/>
  <c r="N854" i="27" s="1"/>
  <c r="K846" i="27"/>
  <c r="N846" i="27" s="1"/>
  <c r="K838" i="27"/>
  <c r="N838" i="27" s="1"/>
  <c r="K830" i="27"/>
  <c r="N830" i="27" s="1"/>
  <c r="K822" i="27"/>
  <c r="N822" i="27" s="1"/>
  <c r="K814" i="27"/>
  <c r="N814" i="27" s="1"/>
  <c r="K806" i="27"/>
  <c r="N806" i="27" s="1"/>
  <c r="K798" i="27"/>
  <c r="N798" i="27" s="1"/>
  <c r="K790" i="27"/>
  <c r="N790" i="27" s="1"/>
  <c r="K782" i="27"/>
  <c r="N782" i="27" s="1"/>
  <c r="K774" i="27"/>
  <c r="N774" i="27" s="1"/>
  <c r="K766" i="27"/>
  <c r="N766" i="27" s="1"/>
  <c r="K758" i="27"/>
  <c r="N758" i="27" s="1"/>
  <c r="K750" i="27"/>
  <c r="N750" i="27" s="1"/>
  <c r="K742" i="27"/>
  <c r="N742" i="27" s="1"/>
  <c r="K734" i="27"/>
  <c r="N734" i="27" s="1"/>
  <c r="K726" i="27"/>
  <c r="N726" i="27" s="1"/>
  <c r="K718" i="27"/>
  <c r="N718" i="27" s="1"/>
  <c r="K710" i="27"/>
  <c r="N710" i="27" s="1"/>
  <c r="K702" i="27"/>
  <c r="N702" i="27" s="1"/>
  <c r="K694" i="27"/>
  <c r="N694" i="27" s="1"/>
  <c r="K686" i="27"/>
  <c r="N686" i="27" s="1"/>
  <c r="K678" i="27"/>
  <c r="N678" i="27" s="1"/>
  <c r="K670" i="27"/>
  <c r="N670" i="27" s="1"/>
  <c r="K662" i="27"/>
  <c r="N662" i="27" s="1"/>
  <c r="K654" i="27"/>
  <c r="N654" i="27" s="1"/>
  <c r="K646" i="27"/>
  <c r="N646" i="27" s="1"/>
  <c r="K638" i="27"/>
  <c r="N638" i="27" s="1"/>
  <c r="K630" i="27"/>
  <c r="N630" i="27" s="1"/>
  <c r="K622" i="27"/>
  <c r="N622" i="27" s="1"/>
  <c r="K614" i="27"/>
  <c r="N614" i="27" s="1"/>
  <c r="K606" i="27"/>
  <c r="N606" i="27" s="1"/>
  <c r="K598" i="27"/>
  <c r="N598" i="27" s="1"/>
  <c r="K590" i="27"/>
  <c r="N590" i="27" s="1"/>
  <c r="K582" i="27"/>
  <c r="N582" i="27" s="1"/>
  <c r="K574" i="27"/>
  <c r="N574" i="27" s="1"/>
  <c r="K566" i="27"/>
  <c r="N566" i="27" s="1"/>
  <c r="K558" i="27"/>
  <c r="N558" i="27" s="1"/>
  <c r="K550" i="27"/>
  <c r="N550" i="27" s="1"/>
  <c r="K542" i="27"/>
  <c r="N542" i="27" s="1"/>
  <c r="K534" i="27"/>
  <c r="N534" i="27" s="1"/>
  <c r="K526" i="27"/>
  <c r="N526" i="27" s="1"/>
  <c r="K518" i="27"/>
  <c r="N518" i="27" s="1"/>
  <c r="K510" i="27"/>
  <c r="N510" i="27" s="1"/>
  <c r="K502" i="27"/>
  <c r="N502" i="27" s="1"/>
  <c r="K494" i="27"/>
  <c r="N494" i="27" s="1"/>
  <c r="K486" i="27"/>
  <c r="N486" i="27" s="1"/>
  <c r="K478" i="27"/>
  <c r="N478" i="27" s="1"/>
  <c r="K470" i="27"/>
  <c r="N470" i="27" s="1"/>
  <c r="K462" i="27"/>
  <c r="N462" i="27" s="1"/>
  <c r="K454" i="27"/>
  <c r="N454" i="27" s="1"/>
  <c r="K446" i="27"/>
  <c r="N446" i="27" s="1"/>
  <c r="K438" i="27"/>
  <c r="N438" i="27" s="1"/>
  <c r="K430" i="27"/>
  <c r="N430" i="27" s="1"/>
  <c r="K422" i="27"/>
  <c r="N422" i="27" s="1"/>
  <c r="K414" i="27"/>
  <c r="N414" i="27" s="1"/>
  <c r="K406" i="27"/>
  <c r="N406" i="27" s="1"/>
  <c r="K398" i="27"/>
  <c r="N398" i="27" s="1"/>
  <c r="K390" i="27"/>
  <c r="N390" i="27" s="1"/>
  <c r="K382" i="27"/>
  <c r="N382" i="27" s="1"/>
  <c r="K374" i="27"/>
  <c r="N374" i="27" s="1"/>
  <c r="K366" i="27"/>
  <c r="N366" i="27" s="1"/>
  <c r="K358" i="27"/>
  <c r="N358" i="27" s="1"/>
  <c r="K350" i="27"/>
  <c r="N350" i="27" s="1"/>
  <c r="K342" i="27"/>
  <c r="N342" i="27" s="1"/>
  <c r="K334" i="27"/>
  <c r="N334" i="27" s="1"/>
  <c r="K326" i="27"/>
  <c r="N326" i="27" s="1"/>
  <c r="K318" i="27"/>
  <c r="N318" i="27" s="1"/>
  <c r="K310" i="27"/>
  <c r="N310" i="27" s="1"/>
  <c r="K302" i="27"/>
  <c r="N302" i="27" s="1"/>
  <c r="K294" i="27"/>
  <c r="N294" i="27" s="1"/>
  <c r="K286" i="27"/>
  <c r="N286" i="27" s="1"/>
  <c r="K278" i="27"/>
  <c r="N278" i="27" s="1"/>
  <c r="K270" i="27"/>
  <c r="N270" i="27" s="1"/>
  <c r="K262" i="27"/>
  <c r="N262" i="27" s="1"/>
  <c r="K254" i="27"/>
  <c r="N254" i="27" s="1"/>
  <c r="K246" i="27"/>
  <c r="N246" i="27" s="1"/>
  <c r="K238" i="27"/>
  <c r="N238" i="27" s="1"/>
  <c r="K909" i="27"/>
  <c r="N909" i="27" s="1"/>
  <c r="K901" i="27"/>
  <c r="N901" i="27" s="1"/>
  <c r="K893" i="27"/>
  <c r="N893" i="27" s="1"/>
  <c r="K885" i="27"/>
  <c r="N885" i="27" s="1"/>
  <c r="K877" i="27"/>
  <c r="N877" i="27" s="1"/>
  <c r="K869" i="27"/>
  <c r="N869" i="27" s="1"/>
  <c r="K861" i="27"/>
  <c r="N861" i="27" s="1"/>
  <c r="K853" i="27"/>
  <c r="N853" i="27" s="1"/>
  <c r="K845" i="27"/>
  <c r="N845" i="27" s="1"/>
  <c r="K837" i="27"/>
  <c r="N837" i="27" s="1"/>
  <c r="K829" i="27"/>
  <c r="N829" i="27" s="1"/>
  <c r="K821" i="27"/>
  <c r="N821" i="27" s="1"/>
  <c r="K813" i="27"/>
  <c r="N813" i="27" s="1"/>
  <c r="K805" i="27"/>
  <c r="N805" i="27" s="1"/>
  <c r="K797" i="27"/>
  <c r="N797" i="27" s="1"/>
  <c r="K789" i="27"/>
  <c r="N789" i="27" s="1"/>
  <c r="K781" i="27"/>
  <c r="N781" i="27" s="1"/>
  <c r="K773" i="27"/>
  <c r="N773" i="27" s="1"/>
  <c r="K765" i="27"/>
  <c r="N765" i="27" s="1"/>
  <c r="K757" i="27"/>
  <c r="N757" i="27" s="1"/>
  <c r="K749" i="27"/>
  <c r="N749" i="27" s="1"/>
  <c r="K741" i="27"/>
  <c r="N741" i="27" s="1"/>
  <c r="K733" i="27"/>
  <c r="N733" i="27" s="1"/>
  <c r="K725" i="27"/>
  <c r="N725" i="27" s="1"/>
  <c r="K717" i="27"/>
  <c r="N717" i="27" s="1"/>
  <c r="K709" i="27"/>
  <c r="N709" i="27" s="1"/>
  <c r="K701" i="27"/>
  <c r="N701" i="27" s="1"/>
  <c r="K693" i="27"/>
  <c r="N693" i="27" s="1"/>
  <c r="K685" i="27"/>
  <c r="N685" i="27" s="1"/>
  <c r="K677" i="27"/>
  <c r="N677" i="27" s="1"/>
  <c r="K669" i="27"/>
  <c r="N669" i="27" s="1"/>
  <c r="K661" i="27"/>
  <c r="N661" i="27" s="1"/>
  <c r="K653" i="27"/>
  <c r="N653" i="27" s="1"/>
  <c r="K645" i="27"/>
  <c r="N645" i="27" s="1"/>
  <c r="K637" i="27"/>
  <c r="N637" i="27" s="1"/>
  <c r="K629" i="27"/>
  <c r="N629" i="27" s="1"/>
  <c r="K621" i="27"/>
  <c r="N621" i="27" s="1"/>
  <c r="K613" i="27"/>
  <c r="N613" i="27" s="1"/>
  <c r="K605" i="27"/>
  <c r="N605" i="27" s="1"/>
  <c r="K597" i="27"/>
  <c r="N597" i="27" s="1"/>
  <c r="K589" i="27"/>
  <c r="N589" i="27" s="1"/>
  <c r="K581" i="27"/>
  <c r="N581" i="27" s="1"/>
  <c r="K573" i="27"/>
  <c r="N573" i="27" s="1"/>
  <c r="K565" i="27"/>
  <c r="N565" i="27" s="1"/>
  <c r="K557" i="27"/>
  <c r="N557" i="27" s="1"/>
  <c r="K549" i="27"/>
  <c r="N549" i="27" s="1"/>
  <c r="K541" i="27"/>
  <c r="N541" i="27" s="1"/>
  <c r="K533" i="27"/>
  <c r="N533" i="27" s="1"/>
  <c r="K525" i="27"/>
  <c r="N525" i="27" s="1"/>
  <c r="K517" i="27"/>
  <c r="N517" i="27" s="1"/>
  <c r="K509" i="27"/>
  <c r="N509" i="27" s="1"/>
  <c r="K501" i="27"/>
  <c r="N501" i="27" s="1"/>
  <c r="K493" i="27"/>
  <c r="N493" i="27" s="1"/>
  <c r="K485" i="27"/>
  <c r="N485" i="27" s="1"/>
  <c r="K477" i="27"/>
  <c r="N477" i="27" s="1"/>
  <c r="K469" i="27"/>
  <c r="N469" i="27" s="1"/>
  <c r="K461" i="27"/>
  <c r="N461" i="27" s="1"/>
  <c r="K453" i="27"/>
  <c r="N453" i="27" s="1"/>
  <c r="K445" i="27"/>
  <c r="N445" i="27" s="1"/>
  <c r="K437" i="27"/>
  <c r="N437" i="27" s="1"/>
  <c r="K429" i="27"/>
  <c r="N429" i="27" s="1"/>
  <c r="K421" i="27"/>
  <c r="N421" i="27" s="1"/>
  <c r="K413" i="27"/>
  <c r="N413" i="27" s="1"/>
  <c r="K405" i="27"/>
  <c r="N405" i="27" s="1"/>
  <c r="K397" i="27"/>
  <c r="N397" i="27" s="1"/>
  <c r="K389" i="27"/>
  <c r="N389" i="27" s="1"/>
  <c r="K381" i="27"/>
  <c r="N381" i="27" s="1"/>
  <c r="K373" i="27"/>
  <c r="N373" i="27" s="1"/>
  <c r="K365" i="27"/>
  <c r="N365" i="27" s="1"/>
  <c r="K357" i="27"/>
  <c r="N357" i="27" s="1"/>
  <c r="K349" i="27"/>
  <c r="N349" i="27" s="1"/>
  <c r="K341" i="27"/>
  <c r="N341" i="27" s="1"/>
  <c r="K333" i="27"/>
  <c r="N333" i="27" s="1"/>
  <c r="K325" i="27"/>
  <c r="N325" i="27" s="1"/>
  <c r="K317" i="27"/>
  <c r="N317" i="27" s="1"/>
  <c r="K309" i="27"/>
  <c r="N309" i="27" s="1"/>
  <c r="K301" i="27"/>
  <c r="N301" i="27" s="1"/>
  <c r="K293" i="27"/>
  <c r="N293" i="27" s="1"/>
  <c r="K285" i="27"/>
  <c r="N285" i="27" s="1"/>
  <c r="K277" i="27"/>
  <c r="N277" i="27" s="1"/>
  <c r="K269" i="27"/>
  <c r="N269" i="27" s="1"/>
  <c r="K261" i="27"/>
  <c r="N261" i="27" s="1"/>
  <c r="K253" i="27"/>
  <c r="N253" i="27" s="1"/>
  <c r="K245" i="27"/>
  <c r="N245" i="27" s="1"/>
  <c r="D27" i="35"/>
  <c r="D1162" i="35"/>
  <c r="D1154" i="35"/>
  <c r="D1146" i="35"/>
  <c r="D1138" i="35"/>
  <c r="D1130" i="35"/>
  <c r="D1122" i="35"/>
  <c r="D1114" i="35"/>
  <c r="D1106" i="35"/>
  <c r="D1098" i="35"/>
  <c r="D1090" i="35"/>
  <c r="D1082" i="35"/>
  <c r="D1074" i="35"/>
  <c r="D1066" i="35"/>
  <c r="D1058" i="35"/>
  <c r="D1050" i="35"/>
  <c r="D1042" i="35"/>
  <c r="D1034" i="35"/>
  <c r="D1026" i="35"/>
  <c r="D1018" i="35"/>
  <c r="D1010" i="35"/>
  <c r="D1002" i="35"/>
  <c r="D994" i="35"/>
  <c r="D986" i="35"/>
  <c r="D978" i="35"/>
  <c r="D970" i="35"/>
  <c r="D962" i="35"/>
  <c r="D954" i="35"/>
  <c r="D946" i="35"/>
  <c r="D938" i="35"/>
  <c r="D930" i="35"/>
  <c r="D922" i="35"/>
  <c r="D914" i="35"/>
  <c r="D906" i="35"/>
  <c r="D898" i="35"/>
  <c r="D890" i="35"/>
  <c r="D882" i="35"/>
  <c r="D874" i="35"/>
  <c r="D866" i="35"/>
  <c r="D858" i="35"/>
  <c r="D850" i="35"/>
  <c r="D842" i="35"/>
  <c r="D834" i="35"/>
  <c r="D826" i="35"/>
  <c r="D818" i="35"/>
  <c r="D810" i="35"/>
  <c r="D802" i="35"/>
  <c r="D794" i="35"/>
  <c r="D786" i="35"/>
  <c r="D778" i="35"/>
  <c r="D770" i="35"/>
  <c r="D762" i="35"/>
  <c r="D754" i="35"/>
  <c r="D746" i="35"/>
  <c r="D738" i="35"/>
  <c r="D730" i="35"/>
  <c r="D722" i="35"/>
  <c r="D714" i="35"/>
  <c r="D706" i="35"/>
  <c r="D698" i="35"/>
  <c r="D690" i="35"/>
  <c r="D682" i="35"/>
  <c r="D674" i="35"/>
  <c r="D666" i="35"/>
  <c r="D658" i="35"/>
  <c r="D650" i="35"/>
  <c r="D642" i="35"/>
  <c r="D634" i="35"/>
  <c r="D626" i="35"/>
  <c r="D618" i="35"/>
  <c r="D610" i="35"/>
  <c r="D602" i="35"/>
  <c r="D594" i="35"/>
  <c r="D586" i="35"/>
  <c r="D578" i="35"/>
  <c r="D570" i="35"/>
  <c r="D562" i="35"/>
  <c r="D554" i="35"/>
  <c r="D546" i="35"/>
  <c r="D538" i="35"/>
  <c r="D530" i="35"/>
  <c r="D522" i="35"/>
  <c r="D514" i="35"/>
  <c r="D506" i="35"/>
  <c r="D498" i="35"/>
  <c r="D490" i="35"/>
  <c r="D482" i="35"/>
  <c r="D474" i="35"/>
  <c r="D466" i="35"/>
  <c r="D458" i="35"/>
  <c r="D450" i="35"/>
  <c r="D442" i="35"/>
  <c r="D434" i="35"/>
  <c r="D426" i="35"/>
  <c r="D418" i="35"/>
  <c r="D410" i="35"/>
  <c r="D402" i="35"/>
  <c r="D394" i="35"/>
  <c r="D386" i="35"/>
  <c r="D378" i="35"/>
  <c r="D370" i="35"/>
  <c r="D362" i="35"/>
  <c r="D354" i="35"/>
  <c r="D346" i="35"/>
  <c r="D338" i="35"/>
  <c r="D330" i="35"/>
  <c r="D322" i="35"/>
  <c r="D314" i="35"/>
  <c r="D306" i="35"/>
  <c r="D298" i="35"/>
  <c r="D290" i="35"/>
  <c r="D282" i="35"/>
  <c r="D274" i="35"/>
  <c r="D266" i="35"/>
  <c r="D258" i="35"/>
  <c r="D250" i="35"/>
  <c r="D242" i="35"/>
  <c r="D234" i="35"/>
  <c r="D226" i="35"/>
  <c r="D218" i="35"/>
  <c r="D210" i="35"/>
  <c r="D202" i="35"/>
  <c r="D194" i="35"/>
  <c r="D186" i="35"/>
  <c r="D178" i="35"/>
  <c r="D170" i="35"/>
  <c r="D162" i="35"/>
  <c r="D154" i="35"/>
  <c r="D146" i="35"/>
  <c r="D138" i="35"/>
  <c r="D130" i="35"/>
  <c r="D122" i="35"/>
  <c r="D114" i="35"/>
  <c r="D106" i="35"/>
  <c r="D98" i="35"/>
  <c r="D90" i="35"/>
  <c r="D82" i="35"/>
  <c r="D74" i="35"/>
  <c r="D66" i="35"/>
  <c r="D58" i="35"/>
  <c r="D50" i="35"/>
  <c r="D42" i="35"/>
  <c r="D34" i="35"/>
  <c r="D1063" i="35"/>
  <c r="D1055" i="35"/>
  <c r="D1047" i="35"/>
  <c r="D1039" i="35"/>
  <c r="D1031" i="35"/>
  <c r="D1023" i="35"/>
  <c r="D1015" i="35"/>
  <c r="D1007" i="35"/>
  <c r="D999" i="35"/>
  <c r="D991" i="35"/>
  <c r="D983" i="35"/>
  <c r="D975" i="35"/>
  <c r="D967" i="35"/>
  <c r="D1127" i="35"/>
  <c r="D1103" i="35"/>
  <c r="D1087" i="35"/>
  <c r="D1079" i="35"/>
  <c r="D1135" i="35"/>
  <c r="D1111" i="35"/>
  <c r="D1095" i="35"/>
  <c r="D1071" i="35"/>
  <c r="D959" i="35"/>
  <c r="D951" i="35"/>
  <c r="D943" i="35"/>
  <c r="D935" i="35"/>
  <c r="D927" i="35"/>
  <c r="D919" i="35"/>
  <c r="D911" i="35"/>
  <c r="D903" i="35"/>
  <c r="D895" i="35"/>
  <c r="D887" i="35"/>
  <c r="D879" i="35"/>
  <c r="D871" i="35"/>
  <c r="D863" i="35"/>
  <c r="D855" i="35"/>
  <c r="D847" i="35"/>
  <c r="D839" i="35"/>
  <c r="D831" i="35"/>
  <c r="D823" i="35"/>
  <c r="D815" i="35"/>
  <c r="D807" i="35"/>
  <c r="D799" i="35"/>
  <c r="D791" i="35"/>
  <c r="D783" i="35"/>
  <c r="D775" i="35"/>
  <c r="D767" i="35"/>
  <c r="D759" i="35"/>
  <c r="D751" i="35"/>
  <c r="D743" i="35"/>
  <c r="D735" i="35"/>
  <c r="D727" i="35"/>
  <c r="D719" i="35"/>
  <c r="D711" i="35"/>
  <c r="D703" i="35"/>
  <c r="D695" i="35"/>
  <c r="D687" i="35"/>
  <c r="D679" i="35"/>
  <c r="D671" i="35"/>
  <c r="D663" i="35"/>
  <c r="D655" i="35"/>
  <c r="D647" i="35"/>
  <c r="D639" i="35"/>
  <c r="D631" i="35"/>
  <c r="D623" i="35"/>
  <c r="D615" i="35"/>
  <c r="D607" i="35"/>
  <c r="D599" i="35"/>
  <c r="D591" i="35"/>
  <c r="D583" i="35"/>
  <c r="D575" i="35"/>
  <c r="D567" i="35"/>
  <c r="D559" i="35"/>
  <c r="D551" i="35"/>
  <c r="D543" i="35"/>
  <c r="D535" i="35"/>
  <c r="D527" i="35"/>
  <c r="D519" i="35"/>
  <c r="D511" i="35"/>
  <c r="D503" i="35"/>
  <c r="D495" i="35"/>
  <c r="D487" i="35"/>
  <c r="D479" i="35"/>
  <c r="D471" i="35"/>
  <c r="D463" i="35"/>
  <c r="D455" i="35"/>
  <c r="D447" i="35"/>
  <c r="D439" i="35"/>
  <c r="D431" i="35"/>
  <c r="D423" i="35"/>
  <c r="D415" i="35"/>
  <c r="D407" i="35"/>
  <c r="D399" i="35"/>
  <c r="D391" i="35"/>
  <c r="D383" i="35"/>
  <c r="D375" i="35"/>
  <c r="D367" i="35"/>
  <c r="D359" i="35"/>
  <c r="D351" i="35"/>
  <c r="D343" i="35"/>
  <c r="D335" i="35"/>
  <c r="D327" i="35"/>
  <c r="D319" i="35"/>
  <c r="D311" i="35"/>
  <c r="D303" i="35"/>
  <c r="D295" i="35"/>
  <c r="D287" i="35"/>
  <c r="D279" i="35"/>
  <c r="D271" i="35"/>
  <c r="D263" i="35"/>
  <c r="D255" i="35"/>
  <c r="D247" i="35"/>
  <c r="D239" i="35"/>
  <c r="D231" i="35"/>
  <c r="D223" i="35"/>
  <c r="D215" i="35"/>
  <c r="D207" i="35"/>
  <c r="D199" i="35"/>
  <c r="D191" i="35"/>
  <c r="D183" i="35"/>
  <c r="D175" i="35"/>
  <c r="D167" i="35"/>
  <c r="D159" i="35"/>
  <c r="D151" i="35"/>
  <c r="D143" i="35"/>
  <c r="D135" i="35"/>
  <c r="D127" i="35"/>
  <c r="D119" i="35"/>
  <c r="D111" i="35"/>
  <c r="D103" i="35"/>
  <c r="D95" i="35"/>
  <c r="D87" i="35"/>
  <c r="D79" i="35"/>
  <c r="D71" i="35"/>
  <c r="D63" i="35"/>
  <c r="D55" i="35"/>
  <c r="D47" i="35"/>
  <c r="D39" i="35"/>
  <c r="D31" i="35"/>
  <c r="D56" i="35"/>
  <c r="D48" i="35"/>
  <c r="D40" i="35"/>
  <c r="D32" i="35"/>
  <c r="D24" i="35"/>
  <c r="D22" i="35"/>
  <c r="D1166" i="35"/>
  <c r="D1158" i="35"/>
  <c r="D1150" i="35"/>
  <c r="D1142" i="35"/>
  <c r="D1134" i="35"/>
  <c r="D1126" i="35"/>
  <c r="D1118" i="35"/>
  <c r="D1110" i="35"/>
  <c r="D1102" i="35"/>
  <c r="D1094" i="35"/>
  <c r="D1086" i="35"/>
  <c r="D1078" i="35"/>
  <c r="D1070" i="35"/>
  <c r="D1062" i="35"/>
  <c r="D1054" i="35"/>
  <c r="D1046" i="35"/>
  <c r="D1038" i="35"/>
  <c r="D1030" i="35"/>
  <c r="D1022" i="35"/>
  <c r="D1014" i="35"/>
  <c r="D1006" i="35"/>
  <c r="D998" i="35"/>
  <c r="D990" i="35"/>
  <c r="D982" i="35"/>
  <c r="D974" i="35"/>
  <c r="D966" i="35"/>
  <c r="D958" i="35"/>
  <c r="D950" i="35"/>
  <c r="D942" i="35"/>
  <c r="D934" i="35"/>
  <c r="D926" i="35"/>
  <c r="D918" i="35"/>
  <c r="D910" i="35"/>
  <c r="D902" i="35"/>
  <c r="D894" i="35"/>
  <c r="D886" i="35"/>
  <c r="D878" i="35"/>
  <c r="D870" i="35"/>
  <c r="D862" i="35"/>
  <c r="D854" i="35"/>
  <c r="D846" i="35"/>
  <c r="D838" i="35"/>
  <c r="D830" i="35"/>
  <c r="D822" i="35"/>
  <c r="D814" i="35"/>
  <c r="D806" i="35"/>
  <c r="D798" i="35"/>
  <c r="D790" i="35"/>
  <c r="D782" i="35"/>
  <c r="D774" i="35"/>
  <c r="D766" i="35"/>
  <c r="D758" i="35"/>
  <c r="D750" i="35"/>
  <c r="D742" i="35"/>
  <c r="D734" i="35"/>
  <c r="D726" i="35"/>
  <c r="D718" i="35"/>
  <c r="D710" i="35"/>
  <c r="D702" i="35"/>
  <c r="D694" i="35"/>
  <c r="D686" i="35"/>
  <c r="D678" i="35"/>
  <c r="D670" i="35"/>
  <c r="D662" i="35"/>
  <c r="D654" i="35"/>
  <c r="D646" i="35"/>
  <c r="D638" i="35"/>
  <c r="D630" i="35"/>
  <c r="D622" i="35"/>
  <c r="D614" i="35"/>
  <c r="D606" i="35"/>
  <c r="D598" i="35"/>
  <c r="D590" i="35"/>
  <c r="D582" i="35"/>
  <c r="D574" i="35"/>
  <c r="D566" i="35"/>
  <c r="D558" i="35"/>
  <c r="D550" i="35"/>
  <c r="D542" i="35"/>
  <c r="D534" i="35"/>
  <c r="D526" i="35"/>
  <c r="D518" i="35"/>
  <c r="D510" i="35"/>
  <c r="D502" i="35"/>
  <c r="D494" i="35"/>
  <c r="D486" i="35"/>
  <c r="D478" i="35"/>
  <c r="D470" i="35"/>
  <c r="D462" i="35"/>
  <c r="D454" i="35"/>
  <c r="D446" i="35"/>
  <c r="D438" i="35"/>
  <c r="D430" i="35"/>
  <c r="D422" i="35"/>
  <c r="D414" i="35"/>
  <c r="D406" i="35"/>
  <c r="D398" i="35"/>
  <c r="D390" i="35"/>
  <c r="D382" i="35"/>
  <c r="D374" i="35"/>
  <c r="D366" i="35"/>
  <c r="D358" i="35"/>
  <c r="D350" i="35"/>
  <c r="D342" i="35"/>
  <c r="D334" i="35"/>
  <c r="D326" i="35"/>
  <c r="D318" i="35"/>
  <c r="D310" i="35"/>
  <c r="D302" i="35"/>
  <c r="D294" i="35"/>
  <c r="D286" i="35"/>
  <c r="D278" i="35"/>
  <c r="D270" i="35"/>
  <c r="D262" i="35"/>
  <c r="D254" i="35"/>
  <c r="D246" i="35"/>
  <c r="D238" i="35"/>
  <c r="D230" i="35"/>
  <c r="D222" i="35"/>
  <c r="D214" i="35"/>
  <c r="D206" i="35"/>
  <c r="D198" i="35"/>
  <c r="D190" i="35"/>
  <c r="D182" i="35"/>
  <c r="D174" i="35"/>
  <c r="D166" i="35"/>
  <c r="D158" i="35"/>
  <c r="D150" i="35"/>
  <c r="D142" i="35"/>
  <c r="D134" i="35"/>
  <c r="D126" i="35"/>
  <c r="D118" i="35"/>
  <c r="D110" i="35"/>
  <c r="D102" i="35"/>
  <c r="D94" i="35"/>
  <c r="D86" i="35"/>
  <c r="D78" i="35"/>
  <c r="D70" i="35"/>
  <c r="D62" i="35"/>
  <c r="D54" i="35"/>
  <c r="D46" i="35"/>
  <c r="D38" i="35"/>
  <c r="D30" i="35"/>
  <c r="D760" i="35"/>
  <c r="D1168" i="35"/>
  <c r="D1144" i="35"/>
  <c r="D1120" i="35"/>
  <c r="D1096" i="35"/>
  <c r="D1072" i="35"/>
  <c r="D1048" i="35"/>
  <c r="D1024" i="35"/>
  <c r="D1000" i="35"/>
  <c r="D976" i="35"/>
  <c r="D952" i="35"/>
  <c r="D928" i="35"/>
  <c r="D904" i="35"/>
  <c r="D880" i="35"/>
  <c r="D856" i="35"/>
  <c r="D840" i="35"/>
  <c r="D824" i="35"/>
  <c r="D808" i="35"/>
  <c r="D784" i="35"/>
  <c r="D768" i="35"/>
  <c r="D744" i="35"/>
  <c r="D1160" i="35"/>
  <c r="D1128" i="35"/>
  <c r="D1104" i="35"/>
  <c r="D1080" i="35"/>
  <c r="D1056" i="35"/>
  <c r="D1032" i="35"/>
  <c r="D1008" i="35"/>
  <c r="D984" i="35"/>
  <c r="D960" i="35"/>
  <c r="D936" i="35"/>
  <c r="D912" i="35"/>
  <c r="D888" i="35"/>
  <c r="D864" i="35"/>
  <c r="D848" i="35"/>
  <c r="D832" i="35"/>
  <c r="D816" i="35"/>
  <c r="D792" i="35"/>
  <c r="D776" i="35"/>
  <c r="D752" i="35"/>
  <c r="D1152" i="35"/>
  <c r="D1136" i="35"/>
  <c r="D1112" i="35"/>
  <c r="D1088" i="35"/>
  <c r="D1064" i="35"/>
  <c r="D1040" i="35"/>
  <c r="D1016" i="35"/>
  <c r="D992" i="35"/>
  <c r="D968" i="35"/>
  <c r="D944" i="35"/>
  <c r="D920" i="35"/>
  <c r="D896" i="35"/>
  <c r="D872" i="35"/>
  <c r="D800" i="35"/>
  <c r="D736" i="35"/>
  <c r="D728" i="35"/>
  <c r="D720" i="35"/>
  <c r="D712" i="35"/>
  <c r="D704" i="35"/>
  <c r="D696" i="35"/>
  <c r="D688" i="35"/>
  <c r="D680" i="35"/>
  <c r="D672" i="35"/>
  <c r="D664" i="35"/>
  <c r="D656" i="35"/>
  <c r="D648" i="35"/>
  <c r="D640" i="35"/>
  <c r="D632" i="35"/>
  <c r="D624" i="35"/>
  <c r="D616" i="35"/>
  <c r="D608" i="35"/>
  <c r="D600" i="35"/>
  <c r="D592" i="35"/>
  <c r="D584" i="35"/>
  <c r="D576" i="35"/>
  <c r="D568" i="35"/>
  <c r="D560" i="35"/>
  <c r="D552" i="35"/>
  <c r="D544" i="35"/>
  <c r="D536" i="35"/>
  <c r="D528" i="35"/>
  <c r="D520" i="35"/>
  <c r="D512" i="35"/>
  <c r="D504" i="35"/>
  <c r="D496" i="35"/>
  <c r="D488" i="35"/>
  <c r="D480" i="35"/>
  <c r="D472" i="35"/>
  <c r="D464" i="35"/>
  <c r="D456" i="35"/>
  <c r="D448" i="35"/>
  <c r="D440" i="35"/>
  <c r="D432" i="35"/>
  <c r="D424" i="35"/>
  <c r="D416" i="35"/>
  <c r="D408" i="35"/>
  <c r="D400" i="35"/>
  <c r="D392" i="35"/>
  <c r="D384" i="35"/>
  <c r="D376" i="35"/>
  <c r="D368" i="35"/>
  <c r="D360" i="35"/>
  <c r="D352" i="35"/>
  <c r="D344" i="35"/>
  <c r="D336" i="35"/>
  <c r="D328" i="35"/>
  <c r="D320" i="35"/>
  <c r="D312" i="35"/>
  <c r="D304" i="35"/>
  <c r="D296" i="35"/>
  <c r="D288" i="35"/>
  <c r="D280" i="35"/>
  <c r="D272" i="35"/>
  <c r="D264" i="35"/>
  <c r="D256" i="35"/>
  <c r="D248" i="35"/>
  <c r="D240" i="35"/>
  <c r="D232" i="35"/>
  <c r="D224" i="35"/>
  <c r="D216" i="35"/>
  <c r="D208" i="35"/>
  <c r="D200" i="35"/>
  <c r="D192" i="35"/>
  <c r="D184" i="35"/>
  <c r="D176" i="35"/>
  <c r="D168" i="35"/>
  <c r="D160" i="35"/>
  <c r="D152" i="35"/>
  <c r="D144" i="35"/>
  <c r="D136" i="35"/>
  <c r="D128" i="35"/>
  <c r="D120" i="35"/>
  <c r="D112" i="35"/>
  <c r="D104" i="35"/>
  <c r="D96" i="35"/>
  <c r="D88" i="35"/>
  <c r="D80" i="35"/>
  <c r="D72" i="35"/>
  <c r="D64" i="35"/>
  <c r="D1091" i="35"/>
  <c r="D1027" i="35"/>
  <c r="D963" i="35"/>
  <c r="D899" i="35"/>
  <c r="D835" i="35"/>
  <c r="D395" i="35"/>
  <c r="D1155" i="35"/>
  <c r="D1165" i="35"/>
  <c r="D1157" i="35"/>
  <c r="D1149" i="35"/>
  <c r="D1141" i="35"/>
  <c r="D1133" i="35"/>
  <c r="D1125" i="35"/>
  <c r="D1117" i="35"/>
  <c r="D1109" i="35"/>
  <c r="D1101" i="35"/>
  <c r="D1093" i="35"/>
  <c r="D1085" i="35"/>
  <c r="D1077" i="35"/>
  <c r="D1069" i="35"/>
  <c r="D1061" i="35"/>
  <c r="D1053" i="35"/>
  <c r="D1045" i="35"/>
  <c r="D1037" i="35"/>
  <c r="D1029" i="35"/>
  <c r="D1021" i="35"/>
  <c r="D1013" i="35"/>
  <c r="D1005" i="35"/>
  <c r="D997" i="35"/>
  <c r="D989" i="35"/>
  <c r="D981" i="35"/>
  <c r="D973" i="35"/>
  <c r="D965" i="35"/>
  <c r="D957" i="35"/>
  <c r="D949" i="35"/>
  <c r="D941" i="35"/>
  <c r="D933" i="35"/>
  <c r="D925" i="35"/>
  <c r="D917" i="35"/>
  <c r="D909" i="35"/>
  <c r="D901" i="35"/>
  <c r="D893" i="35"/>
  <c r="D885" i="35"/>
  <c r="D877" i="35"/>
  <c r="D869" i="35"/>
  <c r="D861" i="35"/>
  <c r="D853" i="35"/>
  <c r="D845" i="35"/>
  <c r="D837" i="35"/>
  <c r="D829" i="35"/>
  <c r="D821" i="35"/>
  <c r="D813" i="35"/>
  <c r="D805" i="35"/>
  <c r="D797" i="35"/>
  <c r="D789" i="35"/>
  <c r="D781" i="35"/>
  <c r="D773" i="35"/>
  <c r="D765" i="35"/>
  <c r="D757" i="35"/>
  <c r="D749" i="35"/>
  <c r="D741" i="35"/>
  <c r="D733" i="35"/>
  <c r="D725" i="35"/>
  <c r="D717" i="35"/>
  <c r="D709" i="35"/>
  <c r="D701" i="35"/>
  <c r="D693" i="35"/>
  <c r="D685" i="35"/>
  <c r="D677" i="35"/>
  <c r="D669" i="35"/>
  <c r="D661" i="35"/>
  <c r="D653" i="35"/>
  <c r="D645" i="35"/>
  <c r="D637" i="35"/>
  <c r="D629" i="35"/>
  <c r="D621" i="35"/>
  <c r="D613" i="35"/>
  <c r="D605" i="35"/>
  <c r="D597" i="35"/>
  <c r="D589" i="35"/>
  <c r="D581" i="35"/>
  <c r="D573" i="35"/>
  <c r="D565" i="35"/>
  <c r="D557" i="35"/>
  <c r="D549" i="35"/>
  <c r="D1131" i="35"/>
  <c r="D1107" i="35"/>
  <c r="D1083" i="35"/>
  <c r="D1067" i="35"/>
  <c r="D1043" i="35"/>
  <c r="D1035" i="35"/>
  <c r="D1011" i="35"/>
  <c r="D1003" i="35"/>
  <c r="D995" i="35"/>
  <c r="D987" i="35"/>
  <c r="D979" i="35"/>
  <c r="D971" i="35"/>
  <c r="D955" i="35"/>
  <c r="D947" i="35"/>
  <c r="D939" i="35"/>
  <c r="D931" i="35"/>
  <c r="D923" i="35"/>
  <c r="D915" i="35"/>
  <c r="D907" i="35"/>
  <c r="D891" i="35"/>
  <c r="D883" i="35"/>
  <c r="D875" i="35"/>
  <c r="D867" i="35"/>
  <c r="D859" i="35"/>
  <c r="D851" i="35"/>
  <c r="D843" i="35"/>
  <c r="D827" i="35"/>
  <c r="D819" i="35"/>
  <c r="D811" i="35"/>
  <c r="D803" i="35"/>
  <c r="D795" i="35"/>
  <c r="D787" i="35"/>
  <c r="D779" i="35"/>
  <c r="D771" i="35"/>
  <c r="D763" i="35"/>
  <c r="D755" i="35"/>
  <c r="D747" i="35"/>
  <c r="D739" i="35"/>
  <c r="D651" i="35"/>
  <c r="D1147" i="35"/>
  <c r="D1115" i="35"/>
  <c r="D1059" i="35"/>
  <c r="D1163" i="35"/>
  <c r="D1139" i="35"/>
  <c r="D1123" i="35"/>
  <c r="D1099" i="35"/>
  <c r="D1075" i="35"/>
  <c r="D1051" i="35"/>
  <c r="D1019" i="35"/>
  <c r="C4" i="35"/>
  <c r="C12" i="35"/>
  <c r="C20" i="35"/>
  <c r="C5" i="35"/>
  <c r="C13" i="35"/>
  <c r="C6" i="35"/>
  <c r="C14" i="35"/>
  <c r="C7" i="35"/>
  <c r="C15" i="35"/>
  <c r="C8" i="35"/>
  <c r="C16" i="35"/>
  <c r="C9" i="35"/>
  <c r="C17" i="35"/>
  <c r="C10" i="35"/>
  <c r="C18" i="35"/>
  <c r="C3" i="35"/>
  <c r="C11" i="35"/>
  <c r="C19" i="35"/>
  <c r="D731" i="35"/>
  <c r="D723" i="35"/>
  <c r="D715" i="35"/>
  <c r="D707" i="35"/>
  <c r="D699" i="35"/>
  <c r="D691" i="35"/>
  <c r="D683" i="35"/>
  <c r="D675" i="35"/>
  <c r="D667" i="35"/>
  <c r="D659" i="35"/>
  <c r="D643" i="35"/>
  <c r="D635" i="35"/>
  <c r="D627" i="35"/>
  <c r="D619" i="35"/>
  <c r="D611" i="35"/>
  <c r="D603" i="35"/>
  <c r="D595" i="35"/>
  <c r="D587" i="35"/>
  <c r="D579" i="35"/>
  <c r="D571" i="35"/>
  <c r="D563" i="35"/>
  <c r="D555" i="35"/>
  <c r="D547" i="35"/>
  <c r="D539" i="35"/>
  <c r="D531" i="35"/>
  <c r="D523" i="35"/>
  <c r="D515" i="35"/>
  <c r="D507" i="35"/>
  <c r="D499" i="35"/>
  <c r="D491" i="35"/>
  <c r="D483" i="35"/>
  <c r="D475" i="35"/>
  <c r="D467" i="35"/>
  <c r="D459" i="35"/>
  <c r="D451" i="35"/>
  <c r="D443" i="35"/>
  <c r="D435" i="35"/>
  <c r="D427" i="35"/>
  <c r="D419" i="35"/>
  <c r="D411" i="35"/>
  <c r="D403" i="35"/>
  <c r="D387" i="35"/>
  <c r="D379" i="35"/>
  <c r="D371" i="35"/>
  <c r="D363" i="35"/>
  <c r="D355" i="35"/>
  <c r="D347" i="35"/>
  <c r="D339" i="35"/>
  <c r="D331" i="35"/>
  <c r="D323" i="35"/>
  <c r="D315" i="35"/>
  <c r="D307" i="35"/>
  <c r="D299" i="35"/>
  <c r="D291" i="35"/>
  <c r="D283" i="35"/>
  <c r="D275" i="35"/>
  <c r="D267" i="35"/>
  <c r="D259" i="35"/>
  <c r="D251" i="35"/>
  <c r="D243" i="35"/>
  <c r="D235" i="35"/>
  <c r="D227" i="35"/>
  <c r="D219" i="35"/>
  <c r="D211" i="35"/>
  <c r="D203" i="35"/>
  <c r="D195" i="35"/>
  <c r="D187" i="35"/>
  <c r="D179" i="35"/>
  <c r="D171" i="35"/>
  <c r="D163" i="35"/>
  <c r="D155" i="35"/>
  <c r="D147" i="35"/>
  <c r="D139" i="35"/>
  <c r="D131" i="35"/>
  <c r="D123" i="35"/>
  <c r="D115" i="35"/>
  <c r="D107" i="35"/>
  <c r="D99" i="35"/>
  <c r="D91" i="35"/>
  <c r="D83" i="35"/>
  <c r="D75" i="35"/>
  <c r="D67" i="35"/>
  <c r="D59" i="35"/>
  <c r="D51" i="35"/>
  <c r="D43" i="35"/>
  <c r="D35" i="35"/>
  <c r="D3" i="24"/>
  <c r="P6" i="30"/>
  <c r="N6" i="30"/>
  <c r="L6" i="30"/>
  <c r="J6" i="30"/>
  <c r="H6" i="30"/>
  <c r="F6" i="30"/>
  <c r="D6" i="30"/>
  <c r="C6" i="23"/>
  <c r="C10" i="23"/>
  <c r="C11" i="23"/>
  <c r="C12" i="23"/>
  <c r="C13" i="23"/>
  <c r="AC13" i="23" s="1"/>
  <c r="C14" i="23"/>
  <c r="C15" i="23"/>
  <c r="C16" i="23"/>
  <c r="AC16" i="23" s="1"/>
  <c r="C17" i="23"/>
  <c r="C18" i="23"/>
  <c r="C19" i="23"/>
  <c r="C20" i="23"/>
  <c r="AC20" i="23" s="1"/>
  <c r="C21" i="23"/>
  <c r="AC21" i="23" s="1"/>
  <c r="C22" i="23"/>
  <c r="C23" i="23"/>
  <c r="C24" i="23"/>
  <c r="AC24" i="23" s="1"/>
  <c r="C25" i="23"/>
  <c r="C26" i="23"/>
  <c r="C27" i="23"/>
  <c r="C28" i="23"/>
  <c r="AC28" i="23" s="1"/>
  <c r="C29" i="23"/>
  <c r="C30" i="23"/>
  <c r="C31" i="23"/>
  <c r="C32" i="23"/>
  <c r="AC32" i="23" s="1"/>
  <c r="C33" i="23"/>
  <c r="C34" i="23"/>
  <c r="C35" i="23"/>
  <c r="C36" i="23"/>
  <c r="C37" i="23"/>
  <c r="C38" i="23"/>
  <c r="C39" i="23"/>
  <c r="C40" i="23"/>
  <c r="AC40" i="23" s="1"/>
  <c r="C41" i="23"/>
  <c r="C42" i="23"/>
  <c r="C43" i="23"/>
  <c r="C44" i="23"/>
  <c r="C45" i="23"/>
  <c r="C46" i="23"/>
  <c r="C47" i="23"/>
  <c r="C48" i="23"/>
  <c r="AC48" i="23" s="1"/>
  <c r="C49" i="23"/>
  <c r="C50" i="23"/>
  <c r="C51" i="23"/>
  <c r="C52" i="23"/>
  <c r="C53" i="23"/>
  <c r="AC53" i="23" s="1"/>
  <c r="C54" i="23"/>
  <c r="C55" i="23"/>
  <c r="C56" i="23"/>
  <c r="AC56" i="23" s="1"/>
  <c r="C57" i="23"/>
  <c r="C58" i="23"/>
  <c r="C59" i="23"/>
  <c r="C60" i="23"/>
  <c r="AC60" i="23" s="1"/>
  <c r="C61" i="23"/>
  <c r="AC61" i="23" s="1"/>
  <c r="C62" i="23"/>
  <c r="AC62" i="23" s="1"/>
  <c r="C63" i="23"/>
  <c r="C64" i="23"/>
  <c r="AC64" i="23" s="1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AC352" i="23" s="1"/>
  <c r="C293" i="23"/>
  <c r="AC353" i="23" s="1"/>
  <c r="C294" i="23"/>
  <c r="AC354" i="23" s="1"/>
  <c r="C295" i="23"/>
  <c r="AC355" i="23" s="1"/>
  <c r="C296" i="23"/>
  <c r="AC356" i="23" s="1"/>
  <c r="C297" i="23"/>
  <c r="AC357" i="23" s="1"/>
  <c r="C298" i="23"/>
  <c r="AC358" i="23" s="1"/>
  <c r="C299" i="23"/>
  <c r="AC359" i="23" s="1"/>
  <c r="C300" i="23"/>
  <c r="AC360" i="23" s="1"/>
  <c r="C301" i="23"/>
  <c r="AC361" i="23" s="1"/>
  <c r="C302" i="23"/>
  <c r="AC362" i="23" s="1"/>
  <c r="C303" i="23"/>
  <c r="AC363" i="23" s="1"/>
  <c r="C304" i="23"/>
  <c r="AC364" i="23" s="1"/>
  <c r="C305" i="23"/>
  <c r="AC365" i="23" s="1"/>
  <c r="C9" i="23"/>
  <c r="G2" i="18"/>
  <c r="I2" i="18" s="1"/>
  <c r="J2" i="18" s="1"/>
  <c r="F5" i="18"/>
  <c r="H5" i="18"/>
  <c r="E5" i="18"/>
  <c r="G3" i="18"/>
  <c r="I3" i="18" s="1"/>
  <c r="J3" i="18" s="1"/>
  <c r="G4" i="18"/>
  <c r="I4" i="18" s="1"/>
  <c r="J4" i="18" s="1"/>
  <c r="H8" i="18"/>
  <c r="I8" i="18"/>
  <c r="K8" i="18"/>
  <c r="L405" i="18"/>
  <c r="L406" i="18"/>
  <c r="L407" i="18"/>
  <c r="J147" i="27" s="1"/>
  <c r="L147" i="27" s="1"/>
  <c r="L408" i="18"/>
  <c r="L409" i="18"/>
  <c r="L410" i="18"/>
  <c r="L411" i="18"/>
  <c r="J19" i="27" s="1"/>
  <c r="L19" i="27" s="1"/>
  <c r="L412" i="18"/>
  <c r="L413" i="18"/>
  <c r="L414" i="18"/>
  <c r="L415" i="18"/>
  <c r="L416" i="18"/>
  <c r="L417" i="18"/>
  <c r="J20" i="27" s="1"/>
  <c r="L20" i="27" s="1"/>
  <c r="L418" i="18"/>
  <c r="L419" i="18"/>
  <c r="J21" i="27" s="1"/>
  <c r="L21" i="27" s="1"/>
  <c r="L420" i="18"/>
  <c r="L421" i="18"/>
  <c r="J22" i="27" s="1"/>
  <c r="L22" i="27" s="1"/>
  <c r="L422" i="18"/>
  <c r="J23" i="27" s="1"/>
  <c r="L23" i="27" s="1"/>
  <c r="L423" i="18"/>
  <c r="L424" i="18"/>
  <c r="L425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L11" i="18"/>
  <c r="L12" i="18"/>
  <c r="L13" i="18"/>
  <c r="L14" i="18"/>
  <c r="L15" i="18"/>
  <c r="L16" i="18"/>
  <c r="L17" i="18"/>
  <c r="L18" i="18"/>
  <c r="J29" i="27" s="1"/>
  <c r="L29" i="27" s="1"/>
  <c r="L19" i="18"/>
  <c r="L20" i="18"/>
  <c r="L21" i="18"/>
  <c r="L22" i="18"/>
  <c r="L23" i="18"/>
  <c r="L24" i="18"/>
  <c r="L25" i="18"/>
  <c r="L26" i="18"/>
  <c r="L27" i="18"/>
  <c r="J136" i="27" s="1"/>
  <c r="L136" i="27" s="1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J38" i="27" s="1"/>
  <c r="L38" i="27" s="1"/>
  <c r="L41" i="18"/>
  <c r="L42" i="18"/>
  <c r="L43" i="18"/>
  <c r="L44" i="18"/>
  <c r="J151" i="27" s="1"/>
  <c r="L151" i="27" s="1"/>
  <c r="L45" i="18"/>
  <c r="L46" i="18"/>
  <c r="J140" i="27" s="1"/>
  <c r="L140" i="27" s="1"/>
  <c r="L47" i="18"/>
  <c r="J9" i="27" s="1"/>
  <c r="L9" i="27" s="1"/>
  <c r="L48" i="18"/>
  <c r="L49" i="18"/>
  <c r="J40" i="27" s="1"/>
  <c r="L40" i="27" s="1"/>
  <c r="L50" i="18"/>
  <c r="L51" i="18"/>
  <c r="L52" i="18"/>
  <c r="L53" i="18"/>
  <c r="J42" i="27" s="1"/>
  <c r="L42" i="27" s="1"/>
  <c r="L54" i="18"/>
  <c r="L55" i="18"/>
  <c r="L56" i="18"/>
  <c r="L57" i="18"/>
  <c r="L58" i="18"/>
  <c r="L59" i="18"/>
  <c r="L60" i="18"/>
  <c r="J45" i="27" s="1"/>
  <c r="L45" i="27" s="1"/>
  <c r="L61" i="18"/>
  <c r="L62" i="18"/>
  <c r="L63" i="18"/>
  <c r="L64" i="18"/>
  <c r="L65" i="18"/>
  <c r="L66" i="18"/>
  <c r="L67" i="18"/>
  <c r="L68" i="18"/>
  <c r="L69" i="18"/>
  <c r="L70" i="18"/>
  <c r="L71" i="18"/>
  <c r="J49" i="27" s="1"/>
  <c r="L49" i="27" s="1"/>
  <c r="L72" i="18"/>
  <c r="L73" i="18"/>
  <c r="L74" i="18"/>
  <c r="L75" i="18"/>
  <c r="L76" i="18"/>
  <c r="L77" i="18"/>
  <c r="L78" i="18"/>
  <c r="J141" i="27" s="1"/>
  <c r="L141" i="27" s="1"/>
  <c r="L79" i="18"/>
  <c r="L80" i="18"/>
  <c r="L81" i="18"/>
  <c r="J12" i="27" s="1"/>
  <c r="L12" i="27" s="1"/>
  <c r="L82" i="18"/>
  <c r="L83" i="18"/>
  <c r="L84" i="18"/>
  <c r="L85" i="18"/>
  <c r="L86" i="18"/>
  <c r="J54" i="27" s="1"/>
  <c r="L54" i="27" s="1"/>
  <c r="L87" i="18"/>
  <c r="L88" i="18"/>
  <c r="L89" i="18"/>
  <c r="J55" i="27" s="1"/>
  <c r="L55" i="27" s="1"/>
  <c r="L90" i="18"/>
  <c r="L91" i="18"/>
  <c r="L92" i="18"/>
  <c r="L93" i="18"/>
  <c r="L94" i="18"/>
  <c r="L95" i="18"/>
  <c r="L96" i="18"/>
  <c r="J59" i="27" s="1"/>
  <c r="L59" i="27" s="1"/>
  <c r="L97" i="18"/>
  <c r="L98" i="18"/>
  <c r="L99" i="18"/>
  <c r="L100" i="18"/>
  <c r="L101" i="18"/>
  <c r="J62" i="27" s="1"/>
  <c r="L62" i="27" s="1"/>
  <c r="L102" i="18"/>
  <c r="L103" i="18"/>
  <c r="L104" i="18"/>
  <c r="J63" i="27" s="1"/>
  <c r="L63" i="27" s="1"/>
  <c r="L105" i="18"/>
  <c r="L106" i="18"/>
  <c r="L107" i="18"/>
  <c r="L108" i="18"/>
  <c r="L109" i="18"/>
  <c r="L110" i="18"/>
  <c r="L111" i="18"/>
  <c r="L112" i="18"/>
  <c r="J13" i="27" s="1"/>
  <c r="L13" i="27" s="1"/>
  <c r="L113" i="18"/>
  <c r="J64" i="27" s="1"/>
  <c r="L64" i="27" s="1"/>
  <c r="L114" i="18"/>
  <c r="L115" i="18"/>
  <c r="L116" i="18"/>
  <c r="J65" i="27" s="1"/>
  <c r="L65" i="27" s="1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J72" i="27" s="1"/>
  <c r="L72" i="27" s="1"/>
  <c r="L129" i="18"/>
  <c r="L130" i="18"/>
  <c r="L131" i="18"/>
  <c r="J73" i="27" s="1"/>
  <c r="L73" i="27" s="1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J76" i="27" s="1"/>
  <c r="L76" i="27" s="1"/>
  <c r="L145" i="18"/>
  <c r="L146" i="18"/>
  <c r="L147" i="18"/>
  <c r="L148" i="18"/>
  <c r="J79" i="27" s="1"/>
  <c r="L79" i="27" s="1"/>
  <c r="L149" i="18"/>
  <c r="L150" i="18"/>
  <c r="L151" i="18"/>
  <c r="L152" i="18"/>
  <c r="L153" i="18"/>
  <c r="L154" i="18"/>
  <c r="L155" i="18"/>
  <c r="L156" i="18"/>
  <c r="J153" i="27" s="1"/>
  <c r="L153" i="27" s="1"/>
  <c r="L157" i="18"/>
  <c r="L158" i="18"/>
  <c r="L159" i="18"/>
  <c r="L160" i="18"/>
  <c r="L161" i="18"/>
  <c r="L162" i="18"/>
  <c r="L163" i="18"/>
  <c r="L164" i="18"/>
  <c r="L165" i="18"/>
  <c r="L166" i="18"/>
  <c r="L167" i="18"/>
  <c r="J85" i="27" s="1"/>
  <c r="L85" i="27" s="1"/>
  <c r="L168" i="18"/>
  <c r="J86" i="27" s="1"/>
  <c r="L86" i="27" s="1"/>
  <c r="L169" i="18"/>
  <c r="L170" i="18"/>
  <c r="L171" i="18"/>
  <c r="L172" i="18"/>
  <c r="J154" i="27" s="1"/>
  <c r="L154" i="27" s="1"/>
  <c r="L173" i="18"/>
  <c r="L174" i="18"/>
  <c r="L175" i="18"/>
  <c r="L176" i="18"/>
  <c r="J156" i="27" s="1"/>
  <c r="L156" i="27" s="1"/>
  <c r="L177" i="18"/>
  <c r="L178" i="18"/>
  <c r="L179" i="18"/>
  <c r="J88" i="27" s="1"/>
  <c r="L88" i="27" s="1"/>
  <c r="L180" i="18"/>
  <c r="L181" i="18"/>
  <c r="L182" i="18"/>
  <c r="L183" i="18"/>
  <c r="L184" i="18"/>
  <c r="L185" i="18"/>
  <c r="J89" i="27" s="1"/>
  <c r="L89" i="27" s="1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J91" i="27" s="1"/>
  <c r="L91" i="27" s="1"/>
  <c r="L199" i="18"/>
  <c r="L200" i="18"/>
  <c r="L201" i="18"/>
  <c r="L202" i="18"/>
  <c r="L203" i="18"/>
  <c r="J95" i="27" s="1"/>
  <c r="L95" i="27" s="1"/>
  <c r="L204" i="18"/>
  <c r="J96" i="27" s="1"/>
  <c r="L96" i="27" s="1"/>
  <c r="L205" i="18"/>
  <c r="L206" i="18"/>
  <c r="L207" i="18"/>
  <c r="L208" i="18"/>
  <c r="L209" i="18"/>
  <c r="L210" i="18"/>
  <c r="J98" i="27" s="1"/>
  <c r="L98" i="27" s="1"/>
  <c r="L211" i="18"/>
  <c r="L212" i="18"/>
  <c r="L213" i="18"/>
  <c r="L214" i="18"/>
  <c r="L215" i="18"/>
  <c r="L216" i="18"/>
  <c r="L217" i="18"/>
  <c r="J101" i="27" s="1"/>
  <c r="L101" i="27" s="1"/>
  <c r="L218" i="18"/>
  <c r="L219" i="18"/>
  <c r="L220" i="18"/>
  <c r="L221" i="18"/>
  <c r="L222" i="18"/>
  <c r="L223" i="18"/>
  <c r="L224" i="18"/>
  <c r="L225" i="18"/>
  <c r="L226" i="18"/>
  <c r="J102" i="27" s="1"/>
  <c r="L102" i="27" s="1"/>
  <c r="L227" i="18"/>
  <c r="J157" i="27" s="1"/>
  <c r="L157" i="27" s="1"/>
  <c r="L228" i="18"/>
  <c r="L229" i="18"/>
  <c r="L230" i="18"/>
  <c r="L231" i="18"/>
  <c r="L232" i="18"/>
  <c r="L233" i="18"/>
  <c r="L234" i="18"/>
  <c r="L235" i="18"/>
  <c r="L236" i="18"/>
  <c r="L237" i="18"/>
  <c r="L238" i="18"/>
  <c r="J159" i="27" s="1"/>
  <c r="L159" i="27" s="1"/>
  <c r="L239" i="18"/>
  <c r="L240" i="18"/>
  <c r="L241" i="18"/>
  <c r="J105" i="27" s="1"/>
  <c r="L105" i="27" s="1"/>
  <c r="L242" i="18"/>
  <c r="L243" i="18"/>
  <c r="L244" i="18"/>
  <c r="L245" i="18"/>
  <c r="J106" i="27" s="1"/>
  <c r="L106" i="27" s="1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J160" i="27" s="1"/>
  <c r="L160" i="27" s="1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J112" i="27" s="1"/>
  <c r="L112" i="27" s="1"/>
  <c r="L274" i="18"/>
  <c r="L275" i="18"/>
  <c r="L276" i="18"/>
  <c r="L277" i="18"/>
  <c r="L278" i="18"/>
  <c r="J113" i="27" s="1"/>
  <c r="L113" i="27" s="1"/>
  <c r="L279" i="18"/>
  <c r="J114" i="27" s="1"/>
  <c r="L114" i="27" s="1"/>
  <c r="L280" i="18"/>
  <c r="L281" i="18"/>
  <c r="J116" i="27" s="1"/>
  <c r="L116" i="27" s="1"/>
  <c r="L282" i="18"/>
  <c r="L283" i="18"/>
  <c r="L284" i="18"/>
  <c r="J144" i="27" s="1"/>
  <c r="L144" i="27" s="1"/>
  <c r="L285" i="18"/>
  <c r="J145" i="27" s="1"/>
  <c r="L145" i="27" s="1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J117" i="27" s="1"/>
  <c r="L117" i="27" s="1"/>
  <c r="L300" i="18"/>
  <c r="L301" i="18"/>
  <c r="J118" i="27" s="1"/>
  <c r="L118" i="27" s="1"/>
  <c r="L302" i="18"/>
  <c r="L303" i="18"/>
  <c r="L304" i="18"/>
  <c r="J162" i="27" s="1"/>
  <c r="L162" i="27" s="1"/>
  <c r="L305" i="18"/>
  <c r="L306" i="18"/>
  <c r="L307" i="18"/>
  <c r="J163" i="27" s="1"/>
  <c r="L163" i="27" s="1"/>
  <c r="L308" i="18"/>
  <c r="L309" i="18"/>
  <c r="L310" i="18"/>
  <c r="L311" i="18"/>
  <c r="J119" i="27" s="1"/>
  <c r="L119" i="27" s="1"/>
  <c r="L312" i="18"/>
  <c r="L313" i="18"/>
  <c r="J164" i="27" s="1"/>
  <c r="L164" i="27" s="1"/>
  <c r="L314" i="18"/>
  <c r="J120" i="27" s="1"/>
  <c r="L120" i="27" s="1"/>
  <c r="L315" i="18"/>
  <c r="J121" i="27" s="1"/>
  <c r="L121" i="27" s="1"/>
  <c r="L316" i="18"/>
  <c r="L317" i="18"/>
  <c r="L318" i="18"/>
  <c r="L319" i="18"/>
  <c r="L320" i="18"/>
  <c r="J14" i="27" s="1"/>
  <c r="L14" i="27" s="1"/>
  <c r="L321" i="18"/>
  <c r="J165" i="27" s="1"/>
  <c r="L165" i="27" s="1"/>
  <c r="L322" i="18"/>
  <c r="J15" i="27" s="1"/>
  <c r="L15" i="27" s="1"/>
  <c r="L323" i="18"/>
  <c r="L324" i="18"/>
  <c r="J146" i="27" s="1"/>
  <c r="L146" i="27" s="1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J125" i="27" s="1"/>
  <c r="L125" i="27" s="1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J126" i="27" s="1"/>
  <c r="L126" i="27" s="1"/>
  <c r="L360" i="18"/>
  <c r="J127" i="27" s="1"/>
  <c r="L127" i="27" s="1"/>
  <c r="L361" i="18"/>
  <c r="L362" i="18"/>
  <c r="L363" i="18"/>
  <c r="L364" i="18"/>
  <c r="L365" i="18"/>
  <c r="L366" i="18"/>
  <c r="J128" i="27" s="1"/>
  <c r="L128" i="27" s="1"/>
  <c r="L367" i="18"/>
  <c r="J129" i="27" s="1"/>
  <c r="L129" i="27" s="1"/>
  <c r="L368" i="18"/>
  <c r="J166" i="27" s="1"/>
  <c r="L166" i="27" s="1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J16" i="27" s="1"/>
  <c r="L16" i="27" s="1"/>
  <c r="L384" i="18"/>
  <c r="J167" i="27" s="1"/>
  <c r="L167" i="27" s="1"/>
  <c r="L385" i="18"/>
  <c r="J130" i="27" s="1"/>
  <c r="L130" i="27" s="1"/>
  <c r="L386" i="18"/>
  <c r="L387" i="18"/>
  <c r="L388" i="18"/>
  <c r="J131" i="27" s="1"/>
  <c r="L131" i="27" s="1"/>
  <c r="L389" i="18"/>
  <c r="L390" i="18"/>
  <c r="L391" i="18"/>
  <c r="J133" i="27" s="1"/>
  <c r="L133" i="27" s="1"/>
  <c r="L392" i="18"/>
  <c r="L393" i="18"/>
  <c r="L394" i="18"/>
  <c r="L395" i="18"/>
  <c r="L396" i="18"/>
  <c r="L397" i="18"/>
  <c r="L398" i="18"/>
  <c r="L399" i="18"/>
  <c r="L400" i="18"/>
  <c r="L401" i="18"/>
  <c r="L402" i="18"/>
  <c r="J134" i="27" s="1"/>
  <c r="L134" i="27" s="1"/>
  <c r="L403" i="18"/>
  <c r="L404" i="18"/>
  <c r="L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10" i="18"/>
  <c r="J115" i="27" l="1"/>
  <c r="L115" i="27" s="1"/>
  <c r="AC68" i="23"/>
  <c r="AC69" i="23"/>
  <c r="AC277" i="23"/>
  <c r="AC253" i="23"/>
  <c r="AC237" i="23"/>
  <c r="AC221" i="23"/>
  <c r="AC213" i="23"/>
  <c r="AC205" i="23"/>
  <c r="AC197" i="23"/>
  <c r="AC189" i="23"/>
  <c r="AC181" i="23"/>
  <c r="AC173" i="23"/>
  <c r="AC157" i="23"/>
  <c r="AC141" i="23"/>
  <c r="AC133" i="23"/>
  <c r="AC125" i="23"/>
  <c r="AC117" i="23"/>
  <c r="AC109" i="23"/>
  <c r="AC101" i="23"/>
  <c r="AC93" i="23"/>
  <c r="AC85" i="23"/>
  <c r="AC77" i="23"/>
  <c r="AC301" i="23"/>
  <c r="AC285" i="23"/>
  <c r="AC261" i="23"/>
  <c r="AC229" i="23"/>
  <c r="AC149" i="23"/>
  <c r="AC293" i="23"/>
  <c r="AC269" i="23"/>
  <c r="AC245" i="23"/>
  <c r="AC165" i="23"/>
  <c r="AC303" i="23"/>
  <c r="AC295" i="23"/>
  <c r="AC287" i="23"/>
  <c r="AC279" i="23"/>
  <c r="AC271" i="23"/>
  <c r="AC263" i="23"/>
  <c r="AC255" i="23"/>
  <c r="AC247" i="23"/>
  <c r="AC239" i="23"/>
  <c r="AC231" i="23"/>
  <c r="AC223" i="23"/>
  <c r="AC215" i="23"/>
  <c r="AC207" i="23"/>
  <c r="AC199" i="23"/>
  <c r="AC191" i="23"/>
  <c r="AC183" i="23"/>
  <c r="AC175" i="23"/>
  <c r="AC167" i="23"/>
  <c r="AC159" i="23"/>
  <c r="AC151" i="23"/>
  <c r="AC143" i="23"/>
  <c r="AC135" i="23"/>
  <c r="AC127" i="23"/>
  <c r="AC119" i="23"/>
  <c r="AC111" i="23"/>
  <c r="AC103" i="23"/>
  <c r="AC95" i="23"/>
  <c r="AC87" i="23"/>
  <c r="AC79" i="23"/>
  <c r="AC71" i="23"/>
  <c r="AC302" i="23"/>
  <c r="AC294" i="23"/>
  <c r="AC286" i="23"/>
  <c r="AC278" i="23"/>
  <c r="AC270" i="23"/>
  <c r="AC262" i="23"/>
  <c r="AC254" i="23"/>
  <c r="AC246" i="23"/>
  <c r="AC238" i="23"/>
  <c r="AC230" i="23"/>
  <c r="AC222" i="23"/>
  <c r="AC214" i="23"/>
  <c r="AC206" i="23"/>
  <c r="AC198" i="23"/>
  <c r="AC190" i="23"/>
  <c r="AC182" i="23"/>
  <c r="AC174" i="23"/>
  <c r="AC166" i="23"/>
  <c r="AC158" i="23"/>
  <c r="AC150" i="23"/>
  <c r="AC142" i="23"/>
  <c r="AC134" i="23"/>
  <c r="AC126" i="23"/>
  <c r="AC118" i="23"/>
  <c r="AC110" i="23"/>
  <c r="AC102" i="23"/>
  <c r="AC94" i="23"/>
  <c r="AC86" i="23"/>
  <c r="AC78" i="23"/>
  <c r="AC70" i="23"/>
  <c r="J152" i="27"/>
  <c r="L152" i="27" s="1"/>
  <c r="J150" i="27"/>
  <c r="L150" i="27" s="1"/>
  <c r="J168" i="27"/>
  <c r="L168" i="27" s="1"/>
  <c r="J161" i="27"/>
  <c r="L161" i="27" s="1"/>
  <c r="B52" i="32"/>
  <c r="B53" i="32"/>
  <c r="B51" i="32"/>
  <c r="J155" i="27"/>
  <c r="L155" i="27" s="1"/>
  <c r="J158" i="27"/>
  <c r="L158" i="27" s="1"/>
  <c r="AD163" i="27"/>
  <c r="C51" i="32"/>
  <c r="J110" i="27"/>
  <c r="L110" i="27" s="1"/>
  <c r="J109" i="27"/>
  <c r="L109" i="27" s="1"/>
  <c r="J111" i="27"/>
  <c r="L111" i="27" s="1"/>
  <c r="C52" i="32"/>
  <c r="C53" i="32"/>
  <c r="AC299" i="23"/>
  <c r="AC291" i="23"/>
  <c r="AC283" i="23"/>
  <c r="AC275" i="23"/>
  <c r="AC267" i="23"/>
  <c r="AC259" i="23"/>
  <c r="AC251" i="23"/>
  <c r="AC243" i="23"/>
  <c r="AC235" i="23"/>
  <c r="AC227" i="23"/>
  <c r="AC219" i="23"/>
  <c r="AC211" i="23"/>
  <c r="AC203" i="23"/>
  <c r="AC195" i="23"/>
  <c r="AC187" i="23"/>
  <c r="AC179" i="23"/>
  <c r="AC171" i="23"/>
  <c r="AC163" i="23"/>
  <c r="AC155" i="23"/>
  <c r="AC147" i="23"/>
  <c r="AC139" i="23"/>
  <c r="AC131" i="23"/>
  <c r="AC123" i="23"/>
  <c r="AC115" i="23"/>
  <c r="AC107" i="23"/>
  <c r="AC99" i="23"/>
  <c r="AC91" i="23"/>
  <c r="AC83" i="23"/>
  <c r="AC75" i="23"/>
  <c r="AC27" i="23"/>
  <c r="AC298" i="23"/>
  <c r="AC290" i="23"/>
  <c r="AC282" i="23"/>
  <c r="AC274" i="23"/>
  <c r="AC266" i="23"/>
  <c r="AC258" i="23"/>
  <c r="AC250" i="23"/>
  <c r="AC242" i="23"/>
  <c r="AC234" i="23"/>
  <c r="AC226" i="23"/>
  <c r="AC218" i="23"/>
  <c r="AC210" i="23"/>
  <c r="AC202" i="23"/>
  <c r="AC194" i="23"/>
  <c r="AC186" i="23"/>
  <c r="AC178" i="23"/>
  <c r="AC170" i="23"/>
  <c r="AC162" i="23"/>
  <c r="AC154" i="23"/>
  <c r="AC146" i="23"/>
  <c r="AC138" i="23"/>
  <c r="AC130" i="23"/>
  <c r="AC122" i="23"/>
  <c r="AC114" i="23"/>
  <c r="AC106" i="23"/>
  <c r="AC98" i="23"/>
  <c r="AC90" i="23"/>
  <c r="AC82" i="23"/>
  <c r="AC74" i="23"/>
  <c r="AC10" i="23"/>
  <c r="AC9" i="23"/>
  <c r="AC35" i="23"/>
  <c r="AC50" i="23"/>
  <c r="AC51" i="23"/>
  <c r="AC305" i="23"/>
  <c r="AC297" i="23"/>
  <c r="AC289" i="23"/>
  <c r="AC281" i="23"/>
  <c r="AC273" i="23"/>
  <c r="AC265" i="23"/>
  <c r="AC257" i="23"/>
  <c r="AC249" i="23"/>
  <c r="AC241" i="23"/>
  <c r="AC233" i="23"/>
  <c r="AC225" i="23"/>
  <c r="AC217" i="23"/>
  <c r="AC209" i="23"/>
  <c r="AC201" i="23"/>
  <c r="AC193" i="23"/>
  <c r="AC185" i="23"/>
  <c r="AC177" i="23"/>
  <c r="AC169" i="23"/>
  <c r="AC161" i="23"/>
  <c r="AC153" i="23"/>
  <c r="AC145" i="23"/>
  <c r="AC137" i="23"/>
  <c r="AC129" i="23"/>
  <c r="AC121" i="23"/>
  <c r="AC113" i="23"/>
  <c r="AC105" i="23"/>
  <c r="AC97" i="23"/>
  <c r="AC89" i="23"/>
  <c r="AC81" i="23"/>
  <c r="AC73" i="23"/>
  <c r="AC17" i="23"/>
  <c r="AC11" i="23"/>
  <c r="AC42" i="23"/>
  <c r="AC22" i="23"/>
  <c r="AC29" i="23"/>
  <c r="AC304" i="23"/>
  <c r="AC296" i="23"/>
  <c r="AC288" i="23"/>
  <c r="AC280" i="23"/>
  <c r="AC272" i="23"/>
  <c r="AC264" i="23"/>
  <c r="AC256" i="23"/>
  <c r="AC248" i="23"/>
  <c r="AC240" i="23"/>
  <c r="AC232" i="23"/>
  <c r="AC224" i="23"/>
  <c r="AC216" i="23"/>
  <c r="AC208" i="23"/>
  <c r="AC200" i="23"/>
  <c r="AC192" i="23"/>
  <c r="AC184" i="23"/>
  <c r="AC176" i="23"/>
  <c r="AC168" i="23"/>
  <c r="AC160" i="23"/>
  <c r="AC152" i="23"/>
  <c r="AC144" i="23"/>
  <c r="AC136" i="23"/>
  <c r="AC128" i="23"/>
  <c r="AC120" i="23"/>
  <c r="AC112" i="23"/>
  <c r="AC104" i="23"/>
  <c r="AC96" i="23"/>
  <c r="AC88" i="23"/>
  <c r="AC80" i="23"/>
  <c r="AC72" i="23"/>
  <c r="AC15" i="23"/>
  <c r="AC25" i="23"/>
  <c r="AC18" i="23"/>
  <c r="AC57" i="23"/>
  <c r="AC65" i="23"/>
  <c r="AC37" i="23"/>
  <c r="AC36" i="23"/>
  <c r="AC23" i="23"/>
  <c r="AC33" i="23"/>
  <c r="AC26" i="23"/>
  <c r="AC43" i="23"/>
  <c r="AC52" i="23"/>
  <c r="AC44" i="23"/>
  <c r="AC31" i="23"/>
  <c r="AC39" i="23"/>
  <c r="AC34" i="23"/>
  <c r="AC30" i="23"/>
  <c r="AC58" i="23"/>
  <c r="AC59" i="23"/>
  <c r="AC66" i="23"/>
  <c r="AC38" i="23"/>
  <c r="AC47" i="23"/>
  <c r="AC41" i="23"/>
  <c r="AC12" i="23"/>
  <c r="AC14" i="23"/>
  <c r="AC67" i="23"/>
  <c r="AC300" i="23"/>
  <c r="AC292" i="23"/>
  <c r="AC284" i="23"/>
  <c r="AC276" i="23"/>
  <c r="AC268" i="23"/>
  <c r="AC260" i="23"/>
  <c r="AC252" i="23"/>
  <c r="AC244" i="23"/>
  <c r="AC236" i="23"/>
  <c r="AC228" i="23"/>
  <c r="AC220" i="23"/>
  <c r="AC212" i="23"/>
  <c r="AC204" i="23"/>
  <c r="AC196" i="23"/>
  <c r="AC188" i="23"/>
  <c r="AC180" i="23"/>
  <c r="AC172" i="23"/>
  <c r="AC164" i="23"/>
  <c r="AC156" i="23"/>
  <c r="AC148" i="23"/>
  <c r="AC140" i="23"/>
  <c r="AC132" i="23"/>
  <c r="AC124" i="23"/>
  <c r="AC116" i="23"/>
  <c r="AC108" i="23"/>
  <c r="AC100" i="23"/>
  <c r="AC92" i="23"/>
  <c r="AC84" i="23"/>
  <c r="AC76" i="23"/>
  <c r="AC46" i="23"/>
  <c r="AC54" i="23"/>
  <c r="AC55" i="23"/>
  <c r="AC49" i="23"/>
  <c r="AC19" i="23"/>
  <c r="AC6" i="23"/>
  <c r="AC63" i="23"/>
  <c r="AC45" i="23"/>
  <c r="J135" i="27"/>
  <c r="L135" i="27" s="1"/>
  <c r="C2" i="35"/>
  <c r="J94" i="27"/>
  <c r="L94" i="27" s="1"/>
  <c r="J90" i="27"/>
  <c r="L90" i="27" s="1"/>
  <c r="J87" i="27"/>
  <c r="L87" i="27" s="1"/>
  <c r="J80" i="27"/>
  <c r="L80" i="27" s="1"/>
  <c r="J78" i="27"/>
  <c r="L78" i="27" s="1"/>
  <c r="J107" i="27"/>
  <c r="L107" i="27" s="1"/>
  <c r="J56" i="27"/>
  <c r="L56" i="27" s="1"/>
  <c r="J51" i="27"/>
  <c r="L51" i="27" s="1"/>
  <c r="J39" i="27"/>
  <c r="L39" i="27" s="1"/>
  <c r="J31" i="27"/>
  <c r="L31" i="27" s="1"/>
  <c r="J149" i="27"/>
  <c r="L149" i="27" s="1"/>
  <c r="J143" i="27"/>
  <c r="L143" i="27" s="1"/>
  <c r="J77" i="27"/>
  <c r="L77" i="27" s="1"/>
  <c r="J60" i="27"/>
  <c r="L60" i="27" s="1"/>
  <c r="J50" i="27"/>
  <c r="L50" i="27" s="1"/>
  <c r="J35" i="27"/>
  <c r="L35" i="27" s="1"/>
  <c r="J17" i="27"/>
  <c r="L17" i="27" s="1"/>
  <c r="J108" i="27"/>
  <c r="L108" i="27" s="1"/>
  <c r="J93" i="27"/>
  <c r="L93" i="27" s="1"/>
  <c r="J47" i="27"/>
  <c r="L47" i="27" s="1"/>
  <c r="J34" i="27"/>
  <c r="L34" i="27" s="1"/>
  <c r="J28" i="27"/>
  <c r="L28" i="27" s="1"/>
  <c r="J104" i="27"/>
  <c r="L104" i="27" s="1"/>
  <c r="J100" i="27"/>
  <c r="L100" i="27" s="1"/>
  <c r="J97" i="27"/>
  <c r="L97" i="27" s="1"/>
  <c r="J92" i="27"/>
  <c r="L92" i="27" s="1"/>
  <c r="J75" i="27"/>
  <c r="L75" i="27" s="1"/>
  <c r="J71" i="27"/>
  <c r="L71" i="27" s="1"/>
  <c r="J58" i="27"/>
  <c r="L58" i="27" s="1"/>
  <c r="J46" i="27"/>
  <c r="L46" i="27" s="1"/>
  <c r="J43" i="27"/>
  <c r="L43" i="27" s="1"/>
  <c r="J37" i="27"/>
  <c r="L37" i="27" s="1"/>
  <c r="J33" i="27"/>
  <c r="L33" i="27" s="1"/>
  <c r="J27" i="27"/>
  <c r="L27" i="27" s="1"/>
  <c r="J124" i="27"/>
  <c r="L124" i="27" s="1"/>
  <c r="J122" i="27"/>
  <c r="L122" i="27" s="1"/>
  <c r="J99" i="27"/>
  <c r="L99" i="27" s="1"/>
  <c r="J84" i="27"/>
  <c r="L84" i="27" s="1"/>
  <c r="J70" i="27"/>
  <c r="L70" i="27" s="1"/>
  <c r="J57" i="27"/>
  <c r="L57" i="27" s="1"/>
  <c r="J26" i="27"/>
  <c r="L26" i="27" s="1"/>
  <c r="J123" i="27"/>
  <c r="L123" i="27" s="1"/>
  <c r="J103" i="27"/>
  <c r="L103" i="27" s="1"/>
  <c r="J74" i="27"/>
  <c r="L74" i="27" s="1"/>
  <c r="J69" i="27"/>
  <c r="L69" i="27" s="1"/>
  <c r="J66" i="27"/>
  <c r="L66" i="27" s="1"/>
  <c r="J48" i="27"/>
  <c r="L48" i="27" s="1"/>
  <c r="J139" i="27"/>
  <c r="L139" i="27" s="1"/>
  <c r="J137" i="27"/>
  <c r="L137" i="27" s="1"/>
  <c r="J25" i="27"/>
  <c r="L25" i="27" s="1"/>
  <c r="J132" i="27"/>
  <c r="L132" i="27" s="1"/>
  <c r="J83" i="27"/>
  <c r="L83" i="27" s="1"/>
  <c r="J68" i="27"/>
  <c r="L68" i="27" s="1"/>
  <c r="J53" i="27"/>
  <c r="L53" i="27" s="1"/>
  <c r="J11" i="27"/>
  <c r="L11" i="27" s="1"/>
  <c r="J138" i="27"/>
  <c r="L138" i="27" s="1"/>
  <c r="J148" i="27"/>
  <c r="L148" i="27" s="1"/>
  <c r="J32" i="27"/>
  <c r="L32" i="27" s="1"/>
  <c r="J30" i="27"/>
  <c r="L30" i="27" s="1"/>
  <c r="J24" i="27"/>
  <c r="L24" i="27" s="1"/>
  <c r="J18" i="27"/>
  <c r="L18" i="27" s="1"/>
  <c r="J82" i="27"/>
  <c r="L82" i="27" s="1"/>
  <c r="J81" i="27"/>
  <c r="L81" i="27" s="1"/>
  <c r="J67" i="27"/>
  <c r="L67" i="27" s="1"/>
  <c r="J61" i="27"/>
  <c r="L61" i="27" s="1"/>
  <c r="J142" i="27"/>
  <c r="L142" i="27" s="1"/>
  <c r="J52" i="27"/>
  <c r="L52" i="27" s="1"/>
  <c r="J10" i="27"/>
  <c r="L10" i="27" s="1"/>
  <c r="J44" i="27"/>
  <c r="L44" i="27" s="1"/>
  <c r="J41" i="27"/>
  <c r="L41" i="27" s="1"/>
  <c r="J36" i="27"/>
  <c r="L36" i="27" s="1"/>
  <c r="J8" i="27"/>
  <c r="L8" i="27" s="1"/>
  <c r="I5" i="18"/>
  <c r="G5" i="18"/>
  <c r="M410" i="18"/>
  <c r="M416" i="18"/>
  <c r="M415" i="18"/>
  <c r="M420" i="18"/>
  <c r="J8" i="18"/>
  <c r="M423" i="18"/>
  <c r="M412" i="18"/>
  <c r="M417" i="18"/>
  <c r="L8" i="18"/>
  <c r="M341" i="18"/>
  <c r="M317" i="18"/>
  <c r="M293" i="18"/>
  <c r="M269" i="18"/>
  <c r="M197" i="18"/>
  <c r="M149" i="18"/>
  <c r="M137" i="18"/>
  <c r="M89" i="18"/>
  <c r="M65" i="18"/>
  <c r="M407" i="18"/>
  <c r="M414" i="18"/>
  <c r="M385" i="18"/>
  <c r="M245" i="18"/>
  <c r="M233" i="18"/>
  <c r="M101" i="18"/>
  <c r="M408" i="18"/>
  <c r="M409" i="18"/>
  <c r="M397" i="18"/>
  <c r="M377" i="18"/>
  <c r="M353" i="18"/>
  <c r="M209" i="18"/>
  <c r="M173" i="18"/>
  <c r="M125" i="18"/>
  <c r="M77" i="18"/>
  <c r="M53" i="18"/>
  <c r="M41" i="18"/>
  <c r="M405" i="18"/>
  <c r="M365" i="18"/>
  <c r="M329" i="18"/>
  <c r="M305" i="18"/>
  <c r="M281" i="18"/>
  <c r="M257" i="18"/>
  <c r="M221" i="18"/>
  <c r="M185" i="18"/>
  <c r="M161" i="18"/>
  <c r="M113" i="18"/>
  <c r="M422" i="18"/>
  <c r="M425" i="18"/>
  <c r="M413" i="18"/>
  <c r="M424" i="18"/>
  <c r="M411" i="18"/>
  <c r="M225" i="18"/>
  <c r="M261" i="18"/>
  <c r="M421" i="18"/>
  <c r="M419" i="18"/>
  <c r="M418" i="18"/>
  <c r="M406" i="18"/>
  <c r="M213" i="18"/>
  <c r="M29" i="18"/>
  <c r="M346" i="18"/>
  <c r="M388" i="18"/>
  <c r="M248" i="18"/>
  <c r="M17" i="18"/>
  <c r="M333" i="18"/>
  <c r="M364" i="18"/>
  <c r="M63" i="18"/>
  <c r="M316" i="18"/>
  <c r="M315" i="18"/>
  <c r="M274" i="18"/>
  <c r="M352" i="18"/>
  <c r="M100" i="18"/>
  <c r="M351" i="18"/>
  <c r="M243" i="18"/>
  <c r="M310" i="18"/>
  <c r="M396" i="18"/>
  <c r="M328" i="18"/>
  <c r="M389" i="18"/>
  <c r="M363" i="18"/>
  <c r="M99" i="18"/>
  <c r="M64" i="18"/>
  <c r="M297" i="18"/>
  <c r="M189" i="18"/>
  <c r="M141" i="18"/>
  <c r="M380" i="18"/>
  <c r="M320" i="18"/>
  <c r="M296" i="18"/>
  <c r="M400" i="18"/>
  <c r="M356" i="18"/>
  <c r="M332" i="18"/>
  <c r="M308" i="18"/>
  <c r="M284" i="18"/>
  <c r="M136" i="18"/>
  <c r="M382" i="18"/>
  <c r="M226" i="18"/>
  <c r="M46" i="18"/>
  <c r="M368" i="18"/>
  <c r="M344" i="18"/>
  <c r="M272" i="18"/>
  <c r="M135" i="18"/>
  <c r="M369" i="18"/>
  <c r="M177" i="18"/>
  <c r="M153" i="18"/>
  <c r="M45" i="18"/>
  <c r="M292" i="18"/>
  <c r="M280" i="18"/>
  <c r="M256" i="18"/>
  <c r="M244" i="18"/>
  <c r="M208" i="18"/>
  <c r="M172" i="18"/>
  <c r="M28" i="18"/>
  <c r="M327" i="18"/>
  <c r="M279" i="18"/>
  <c r="M207" i="18"/>
  <c r="M171" i="18"/>
  <c r="M27" i="18"/>
  <c r="M402" i="18"/>
  <c r="M390" i="18"/>
  <c r="M370" i="18"/>
  <c r="M358" i="18"/>
  <c r="M334" i="18"/>
  <c r="M322" i="18"/>
  <c r="M286" i="18"/>
  <c r="M262" i="18"/>
  <c r="M250" i="18"/>
  <c r="M238" i="18"/>
  <c r="M190" i="18"/>
  <c r="M154" i="18"/>
  <c r="M118" i="18"/>
  <c r="M82" i="18"/>
  <c r="M401" i="18"/>
  <c r="M381" i="18"/>
  <c r="M357" i="18"/>
  <c r="M345" i="18"/>
  <c r="M117" i="18"/>
  <c r="M105" i="18"/>
  <c r="M81" i="18"/>
  <c r="M69" i="18"/>
  <c r="M33" i="18"/>
  <c r="M298" i="18"/>
  <c r="M399" i="18"/>
  <c r="M387" i="18"/>
  <c r="M379" i="18"/>
  <c r="M367" i="18"/>
  <c r="M355" i="18"/>
  <c r="M343" i="18"/>
  <c r="M331" i="18"/>
  <c r="M319" i="18"/>
  <c r="M307" i="18"/>
  <c r="M295" i="18"/>
  <c r="M283" i="18"/>
  <c r="M214" i="18"/>
  <c r="M202" i="18"/>
  <c r="M178" i="18"/>
  <c r="M166" i="18"/>
  <c r="M142" i="18"/>
  <c r="M130" i="18"/>
  <c r="M106" i="18"/>
  <c r="M94" i="18"/>
  <c r="M70" i="18"/>
  <c r="M58" i="18"/>
  <c r="M34" i="18"/>
  <c r="M22" i="18"/>
  <c r="M321" i="18"/>
  <c r="M309" i="18"/>
  <c r="M285" i="18"/>
  <c r="M273" i="18"/>
  <c r="M249" i="18"/>
  <c r="M237" i="18"/>
  <c r="M201" i="18"/>
  <c r="M165" i="18"/>
  <c r="M129" i="18"/>
  <c r="M93" i="18"/>
  <c r="M57" i="18"/>
  <c r="M21" i="18"/>
  <c r="M376" i="18"/>
  <c r="M340" i="18"/>
  <c r="M304" i="18"/>
  <c r="M268" i="18"/>
  <c r="M232" i="18"/>
  <c r="M196" i="18"/>
  <c r="M148" i="18"/>
  <c r="M88" i="18"/>
  <c r="M76" i="18"/>
  <c r="M52" i="18"/>
  <c r="M395" i="18"/>
  <c r="M375" i="18"/>
  <c r="M291" i="18"/>
  <c r="M255" i="18"/>
  <c r="M219" i="18"/>
  <c r="M183" i="18"/>
  <c r="M147" i="18"/>
  <c r="M111" i="18"/>
  <c r="M39" i="18"/>
  <c r="M236" i="18"/>
  <c r="M212" i="18"/>
  <c r="M200" i="18"/>
  <c r="M176" i="18"/>
  <c r="M128" i="18"/>
  <c r="M104" i="18"/>
  <c r="M80" i="18"/>
  <c r="M56" i="18"/>
  <c r="M44" i="18"/>
  <c r="M20" i="18"/>
  <c r="M374" i="18"/>
  <c r="M362" i="18"/>
  <c r="M338" i="18"/>
  <c r="M314" i="18"/>
  <c r="M278" i="18"/>
  <c r="M254" i="18"/>
  <c r="M206" i="18"/>
  <c r="M182" i="18"/>
  <c r="M158" i="18"/>
  <c r="M134" i="18"/>
  <c r="M98" i="18"/>
  <c r="M220" i="18"/>
  <c r="M184" i="18"/>
  <c r="M160" i="18"/>
  <c r="M124" i="18"/>
  <c r="M112" i="18"/>
  <c r="M40" i="18"/>
  <c r="M16" i="18"/>
  <c r="M339" i="18"/>
  <c r="M303" i="18"/>
  <c r="M267" i="18"/>
  <c r="M231" i="18"/>
  <c r="M195" i="18"/>
  <c r="M159" i="18"/>
  <c r="M123" i="18"/>
  <c r="M87" i="18"/>
  <c r="M75" i="18"/>
  <c r="M51" i="18"/>
  <c r="M15" i="18"/>
  <c r="M260" i="18"/>
  <c r="M224" i="18"/>
  <c r="M188" i="18"/>
  <c r="M164" i="18"/>
  <c r="M152" i="18"/>
  <c r="M140" i="18"/>
  <c r="M116" i="18"/>
  <c r="M92" i="18"/>
  <c r="M68" i="18"/>
  <c r="M32" i="18"/>
  <c r="M394" i="18"/>
  <c r="M350" i="18"/>
  <c r="M326" i="18"/>
  <c r="M302" i="18"/>
  <c r="M290" i="18"/>
  <c r="M266" i="18"/>
  <c r="M242" i="18"/>
  <c r="M230" i="18"/>
  <c r="M218" i="18"/>
  <c r="M194" i="18"/>
  <c r="M170" i="18"/>
  <c r="M146" i="18"/>
  <c r="M122" i="18"/>
  <c r="M110" i="18"/>
  <c r="M271" i="18"/>
  <c r="M259" i="18"/>
  <c r="M247" i="18"/>
  <c r="M235" i="18"/>
  <c r="M223" i="18"/>
  <c r="M211" i="18"/>
  <c r="M199" i="18"/>
  <c r="M187" i="18"/>
  <c r="M175" i="18"/>
  <c r="M163" i="18"/>
  <c r="M151" i="18"/>
  <c r="M139" i="18"/>
  <c r="M127" i="18"/>
  <c r="M115" i="18"/>
  <c r="M103" i="18"/>
  <c r="M91" i="18"/>
  <c r="M79" i="18"/>
  <c r="M67" i="18"/>
  <c r="M55" i="18"/>
  <c r="M43" i="18"/>
  <c r="M31" i="18"/>
  <c r="M19" i="18"/>
  <c r="M398" i="18"/>
  <c r="M386" i="18"/>
  <c r="M378" i="18"/>
  <c r="M366" i="18"/>
  <c r="M354" i="18"/>
  <c r="M342" i="18"/>
  <c r="M330" i="18"/>
  <c r="M318" i="18"/>
  <c r="M306" i="18"/>
  <c r="M294" i="18"/>
  <c r="M282" i="18"/>
  <c r="M270" i="18"/>
  <c r="M258" i="18"/>
  <c r="M246" i="18"/>
  <c r="M234" i="18"/>
  <c r="M222" i="18"/>
  <c r="M210" i="18"/>
  <c r="M198" i="18"/>
  <c r="M186" i="18"/>
  <c r="M174" i="18"/>
  <c r="M162" i="18"/>
  <c r="M150" i="18"/>
  <c r="M138" i="18"/>
  <c r="M126" i="18"/>
  <c r="M114" i="18"/>
  <c r="M102" i="18"/>
  <c r="M90" i="18"/>
  <c r="M78" i="18"/>
  <c r="M66" i="18"/>
  <c r="M54" i="18"/>
  <c r="M42" i="18"/>
  <c r="M30" i="18"/>
  <c r="M18" i="18"/>
  <c r="M86" i="18"/>
  <c r="M38" i="18"/>
  <c r="M14" i="18"/>
  <c r="M337" i="18"/>
  <c r="M313" i="18"/>
  <c r="M289" i="18"/>
  <c r="M277" i="18"/>
  <c r="M217" i="18"/>
  <c r="M205" i="18"/>
  <c r="M181" i="18"/>
  <c r="M169" i="18"/>
  <c r="M145" i="18"/>
  <c r="M121" i="18"/>
  <c r="M109" i="18"/>
  <c r="M85" i="18"/>
  <c r="M404" i="18"/>
  <c r="M392" i="18"/>
  <c r="M384" i="18"/>
  <c r="M372" i="18"/>
  <c r="M360" i="18"/>
  <c r="M348" i="18"/>
  <c r="M336" i="18"/>
  <c r="M324" i="18"/>
  <c r="M312" i="18"/>
  <c r="M300" i="18"/>
  <c r="M288" i="18"/>
  <c r="M276" i="18"/>
  <c r="M264" i="18"/>
  <c r="M252" i="18"/>
  <c r="M240" i="18"/>
  <c r="M228" i="18"/>
  <c r="M216" i="18"/>
  <c r="M204" i="18"/>
  <c r="M192" i="18"/>
  <c r="M180" i="18"/>
  <c r="M168" i="18"/>
  <c r="M156" i="18"/>
  <c r="M144" i="18"/>
  <c r="M132" i="18"/>
  <c r="M120" i="18"/>
  <c r="M74" i="18"/>
  <c r="M62" i="18"/>
  <c r="M50" i="18"/>
  <c r="M26" i="18"/>
  <c r="M10" i="18"/>
  <c r="M393" i="18"/>
  <c r="M373" i="18"/>
  <c r="M361" i="18"/>
  <c r="M349" i="18"/>
  <c r="M325" i="18"/>
  <c r="M301" i="18"/>
  <c r="M265" i="18"/>
  <c r="M253" i="18"/>
  <c r="M241" i="18"/>
  <c r="M229" i="18"/>
  <c r="M193" i="18"/>
  <c r="M157" i="18"/>
  <c r="M133" i="18"/>
  <c r="M97" i="18"/>
  <c r="M403" i="18"/>
  <c r="M391" i="18"/>
  <c r="M383" i="18"/>
  <c r="M371" i="18"/>
  <c r="M359" i="18"/>
  <c r="M347" i="18"/>
  <c r="M335" i="18"/>
  <c r="M323" i="18"/>
  <c r="M311" i="18"/>
  <c r="M299" i="18"/>
  <c r="M287" i="18"/>
  <c r="M275" i="18"/>
  <c r="M263" i="18"/>
  <c r="M251" i="18"/>
  <c r="M239" i="18"/>
  <c r="M227" i="18"/>
  <c r="M215" i="18"/>
  <c r="M203" i="18"/>
  <c r="M191" i="18"/>
  <c r="M179" i="18"/>
  <c r="M167" i="18"/>
  <c r="M155" i="18"/>
  <c r="M143" i="18"/>
  <c r="M131" i="18"/>
  <c r="M119" i="18"/>
  <c r="M107" i="18"/>
  <c r="M95" i="18"/>
  <c r="M83" i="18"/>
  <c r="M71" i="18"/>
  <c r="M73" i="18"/>
  <c r="M37" i="18"/>
  <c r="M13" i="18"/>
  <c r="M108" i="18"/>
  <c r="M72" i="18"/>
  <c r="M60" i="18"/>
  <c r="M24" i="18"/>
  <c r="M59" i="18"/>
  <c r="M47" i="18"/>
  <c r="M35" i="18"/>
  <c r="M23" i="18"/>
  <c r="M11" i="18"/>
  <c r="M61" i="18"/>
  <c r="M49" i="18"/>
  <c r="M25" i="18"/>
  <c r="M96" i="18"/>
  <c r="M84" i="18"/>
  <c r="M48" i="18"/>
  <c r="M36" i="18"/>
  <c r="M12" i="18"/>
  <c r="B54" i="32" l="1"/>
  <c r="M5" i="18"/>
  <c r="L5" i="18"/>
  <c r="D53" i="32"/>
  <c r="D52" i="32"/>
  <c r="D51" i="32"/>
  <c r="C54" i="32"/>
  <c r="L5" i="27"/>
  <c r="M4" i="32" s="1"/>
  <c r="J5" i="18"/>
  <c r="M8" i="18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409" i="23"/>
  <c r="AC396" i="23" s="1"/>
  <c r="C410" i="23"/>
  <c r="AC397" i="23" s="1"/>
  <c r="C411" i="23"/>
  <c r="AC398" i="23" s="1"/>
  <c r="C412" i="23"/>
  <c r="AC399" i="23" s="1"/>
  <c r="C413" i="23"/>
  <c r="C414" i="23"/>
  <c r="AC401" i="23" s="1"/>
  <c r="C415" i="23"/>
  <c r="AC402" i="23" s="1"/>
  <c r="C416" i="23"/>
  <c r="AC403" i="23" s="1"/>
  <c r="C417" i="23"/>
  <c r="AC404" i="23" s="1"/>
  <c r="C418" i="23"/>
  <c r="AC405" i="23" s="1"/>
  <c r="C419" i="23"/>
  <c r="AC406" i="23" s="1"/>
  <c r="C420" i="23"/>
  <c r="AC407" i="23" s="1"/>
  <c r="C421" i="23"/>
  <c r="AC408" i="23" s="1"/>
  <c r="C422" i="23"/>
  <c r="C423" i="23"/>
  <c r="C424" i="23"/>
  <c r="C425" i="23"/>
  <c r="C8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426" i="23"/>
  <c r="AC431" i="23" s="1"/>
  <c r="C427" i="23"/>
  <c r="AC432" i="23" s="1"/>
  <c r="AC411" i="23" l="1"/>
  <c r="AC410" i="23"/>
  <c r="AC409" i="23"/>
  <c r="D54" i="32"/>
  <c r="E53" i="32" s="1"/>
  <c r="AC428" i="23"/>
  <c r="AC349" i="23"/>
  <c r="AC395" i="23"/>
  <c r="AC335" i="23"/>
  <c r="AC387" i="23"/>
  <c r="AC327" i="23"/>
  <c r="AC379" i="23"/>
  <c r="AC319" i="23"/>
  <c r="AC394" i="23"/>
  <c r="AC334" i="23"/>
  <c r="AC386" i="23"/>
  <c r="AC326" i="23"/>
  <c r="AC378" i="23"/>
  <c r="AC318" i="23"/>
  <c r="AC370" i="23"/>
  <c r="AC310" i="23"/>
  <c r="AC426" i="23"/>
  <c r="AC347" i="23"/>
  <c r="AC418" i="23"/>
  <c r="AC339" i="23"/>
  <c r="AC393" i="23"/>
  <c r="AC333" i="23"/>
  <c r="AC385" i="23"/>
  <c r="AC325" i="23"/>
  <c r="AC377" i="23"/>
  <c r="AC317" i="23"/>
  <c r="AC369" i="23"/>
  <c r="AC309" i="23"/>
  <c r="AC425" i="23"/>
  <c r="AC346" i="23"/>
  <c r="AC417" i="23"/>
  <c r="AC338" i="23"/>
  <c r="AC400" i="23"/>
  <c r="AC413" i="23"/>
  <c r="AC392" i="23"/>
  <c r="AC332" i="23"/>
  <c r="AC384" i="23"/>
  <c r="AC324" i="23"/>
  <c r="AC376" i="23"/>
  <c r="AC316" i="23"/>
  <c r="AC368" i="23"/>
  <c r="AC308" i="23"/>
  <c r="AC391" i="23"/>
  <c r="AC331" i="23"/>
  <c r="AC383" i="23"/>
  <c r="AC323" i="23"/>
  <c r="AC375" i="23"/>
  <c r="AC315" i="23"/>
  <c r="AC367" i="23"/>
  <c r="AC307" i="23"/>
  <c r="AC382" i="23"/>
  <c r="AC322" i="23"/>
  <c r="AC424" i="23"/>
  <c r="AC345" i="23"/>
  <c r="AC423" i="23"/>
  <c r="AC344" i="23"/>
  <c r="AC415" i="23"/>
  <c r="AC336" i="23"/>
  <c r="AC390" i="23"/>
  <c r="AC330" i="23"/>
  <c r="AC374" i="23"/>
  <c r="AC314" i="23"/>
  <c r="AC366" i="23"/>
  <c r="AC306" i="23"/>
  <c r="AC430" i="23"/>
  <c r="AC351" i="23"/>
  <c r="AC422" i="23"/>
  <c r="AC343" i="23"/>
  <c r="AC414" i="23"/>
  <c r="AC8" i="23"/>
  <c r="AC389" i="23"/>
  <c r="AC329" i="23"/>
  <c r="AC381" i="23"/>
  <c r="AC321" i="23"/>
  <c r="AC373" i="23"/>
  <c r="AC313" i="23"/>
  <c r="AC429" i="23"/>
  <c r="AC350" i="23"/>
  <c r="AC421" i="23"/>
  <c r="AC342" i="23"/>
  <c r="AC412" i="23"/>
  <c r="AC388" i="23"/>
  <c r="AC328" i="23"/>
  <c r="AC380" i="23"/>
  <c r="AC320" i="23"/>
  <c r="B40" i="32" s="1"/>
  <c r="AC372" i="23"/>
  <c r="AC312" i="23"/>
  <c r="AC416" i="23"/>
  <c r="AC337" i="23"/>
  <c r="AC420" i="23"/>
  <c r="AC341" i="23"/>
  <c r="AC371" i="23"/>
  <c r="AC311" i="23"/>
  <c r="AC419" i="23"/>
  <c r="AC340" i="23"/>
  <c r="AC427" i="23"/>
  <c r="AC348" i="23"/>
  <c r="B37" i="32"/>
  <c r="N8" i="18"/>
  <c r="N12" i="29"/>
  <c r="N10" i="29"/>
  <c r="N9" i="29"/>
  <c r="B45" i="32" l="1"/>
  <c r="B46" i="32"/>
  <c r="B44" i="32"/>
  <c r="C39" i="32"/>
  <c r="C46" i="32"/>
  <c r="C36" i="32"/>
  <c r="C38" i="32"/>
  <c r="C40" i="32"/>
  <c r="E40" i="32" s="1"/>
  <c r="C47" i="32"/>
  <c r="C41" i="32"/>
  <c r="C44" i="32"/>
  <c r="E44" i="32" s="1"/>
  <c r="C37" i="32"/>
  <c r="E37" i="32" s="1"/>
  <c r="C45" i="32"/>
  <c r="E45" i="32" s="1"/>
  <c r="B39" i="32"/>
  <c r="B47" i="32"/>
  <c r="B38" i="32"/>
  <c r="E38" i="32" s="1"/>
  <c r="B36" i="32"/>
  <c r="E52" i="32"/>
  <c r="E51" i="32"/>
  <c r="E4" i="32"/>
  <c r="K258" i="23"/>
  <c r="K268" i="23"/>
  <c r="K283" i="23"/>
  <c r="K259" i="23"/>
  <c r="K171" i="23"/>
  <c r="K48" i="23"/>
  <c r="K174" i="23"/>
  <c r="K284" i="23"/>
  <c r="K18" i="23"/>
  <c r="K16" i="23"/>
  <c r="K254" i="23"/>
  <c r="K175" i="23"/>
  <c r="K219" i="23"/>
  <c r="K15" i="23"/>
  <c r="K170" i="23"/>
  <c r="K49" i="23"/>
  <c r="K63" i="23"/>
  <c r="K180" i="23"/>
  <c r="K220" i="23"/>
  <c r="K51" i="23"/>
  <c r="K231" i="23"/>
  <c r="K64" i="23"/>
  <c r="K221" i="23"/>
  <c r="K52" i="23"/>
  <c r="K50" i="23"/>
  <c r="K257" i="23"/>
  <c r="K141" i="23"/>
  <c r="K39" i="23"/>
  <c r="K65" i="23"/>
  <c r="K222" i="23"/>
  <c r="K53" i="23"/>
  <c r="K127" i="23"/>
  <c r="K184" i="23"/>
  <c r="K20" i="23"/>
  <c r="K60" i="23"/>
  <c r="K279" i="23"/>
  <c r="K233" i="23"/>
  <c r="K269" i="23"/>
  <c r="K66" i="23"/>
  <c r="K223" i="23"/>
  <c r="K119" i="23"/>
  <c r="K244" i="23"/>
  <c r="K229" i="23"/>
  <c r="K234" i="23"/>
  <c r="K270" i="23"/>
  <c r="K67" i="23"/>
  <c r="K224" i="23"/>
  <c r="K265" i="23"/>
  <c r="K256" i="23"/>
  <c r="K158" i="23"/>
  <c r="K120" i="23"/>
  <c r="K61" i="23"/>
  <c r="K271" i="23"/>
  <c r="K43" i="23"/>
  <c r="K181" i="23"/>
  <c r="K68" i="23"/>
  <c r="K182" i="23"/>
  <c r="K225" i="23"/>
  <c r="K159" i="23"/>
  <c r="K150" i="23"/>
  <c r="K90" i="23"/>
  <c r="K272" i="23"/>
  <c r="K163" i="23"/>
  <c r="K58" i="23"/>
  <c r="K6" i="23"/>
  <c r="K245" i="23"/>
  <c r="K218" i="23"/>
  <c r="K57" i="23"/>
  <c r="K266" i="23"/>
  <c r="K217" i="23"/>
  <c r="K226" i="23"/>
  <c r="K45" i="23"/>
  <c r="K172" i="23"/>
  <c r="K69" i="23"/>
  <c r="K121" i="23"/>
  <c r="K9" i="23"/>
  <c r="K164" i="23"/>
  <c r="K154" i="23"/>
  <c r="K117" i="23"/>
  <c r="K22" i="23"/>
  <c r="K70" i="23"/>
  <c r="K130" i="23"/>
  <c r="K193" i="23"/>
  <c r="K123" i="23"/>
  <c r="K91" i="23"/>
  <c r="K54" i="23"/>
  <c r="K38" i="23"/>
  <c r="K23" i="23"/>
  <c r="K143" i="23"/>
  <c r="K89" i="23"/>
  <c r="K118" i="23"/>
  <c r="K71" i="23"/>
  <c r="K36" i="23"/>
  <c r="K194" i="23"/>
  <c r="K55" i="23"/>
  <c r="K155" i="23"/>
  <c r="K25" i="23"/>
  <c r="K176" i="23"/>
  <c r="K148" i="23"/>
  <c r="K14" i="23"/>
  <c r="K72" i="23"/>
  <c r="K195" i="23"/>
  <c r="K156" i="23"/>
  <c r="K112" i="23"/>
  <c r="K21" i="23"/>
  <c r="K10" i="23"/>
  <c r="K92" i="23"/>
  <c r="K196" i="23"/>
  <c r="K162" i="23"/>
  <c r="K235" i="23"/>
  <c r="K115" i="23"/>
  <c r="K267" i="23"/>
  <c r="K160" i="23"/>
  <c r="K73" i="23"/>
  <c r="K197" i="23"/>
  <c r="K152" i="23"/>
  <c r="K93" i="23"/>
  <c r="K88" i="23"/>
  <c r="K29" i="23"/>
  <c r="K33" i="23"/>
  <c r="K215" i="23"/>
  <c r="K198" i="23"/>
  <c r="K240" i="23"/>
  <c r="K94" i="23"/>
  <c r="K243" i="23"/>
  <c r="K238" i="23"/>
  <c r="K144" i="23"/>
  <c r="K62" i="23"/>
  <c r="K46" i="23"/>
  <c r="K47" i="23"/>
  <c r="K216" i="23"/>
  <c r="K199" i="23"/>
  <c r="K227" i="23"/>
  <c r="K108" i="23"/>
  <c r="K249" i="23"/>
  <c r="K19" i="23"/>
  <c r="K173" i="23"/>
  <c r="K59" i="23"/>
  <c r="K74" i="23"/>
  <c r="K200" i="23"/>
  <c r="K116" i="23"/>
  <c r="K106" i="23"/>
  <c r="K149" i="23"/>
  <c r="K165" i="23"/>
  <c r="K153" i="23"/>
  <c r="K75" i="23"/>
  <c r="K37" i="23"/>
  <c r="K133" i="23"/>
  <c r="K201" i="23"/>
  <c r="K122" i="23"/>
  <c r="K246" i="23"/>
  <c r="K132" i="23"/>
  <c r="K230" i="23"/>
  <c r="K107" i="23"/>
  <c r="K280" i="23"/>
  <c r="K147" i="23"/>
  <c r="K76" i="23"/>
  <c r="K140" i="23"/>
  <c r="K186" i="23"/>
  <c r="K145" i="23"/>
  <c r="K185" i="23"/>
  <c r="K128" i="23"/>
  <c r="K77" i="23"/>
  <c r="K126" i="23"/>
  <c r="K134" i="23"/>
  <c r="K202" i="23"/>
  <c r="K41" i="23"/>
  <c r="K13" i="23"/>
  <c r="K95" i="23"/>
  <c r="K56" i="23"/>
  <c r="K24" i="23"/>
  <c r="K78" i="23"/>
  <c r="K178" i="23"/>
  <c r="K262" i="23"/>
  <c r="K187" i="23"/>
  <c r="K135" i="23"/>
  <c r="K203" i="23"/>
  <c r="K96" i="23"/>
  <c r="K250" i="23"/>
  <c r="K255" i="23"/>
  <c r="K79" i="23"/>
  <c r="K34" i="23"/>
  <c r="K188" i="23"/>
  <c r="K177" i="23"/>
  <c r="K189" i="23"/>
  <c r="K241" i="23"/>
  <c r="K97" i="23"/>
  <c r="K129" i="23"/>
  <c r="K80" i="23"/>
  <c r="K30" i="23"/>
  <c r="K136" i="23"/>
  <c r="K190" i="23"/>
  <c r="K260" i="23"/>
  <c r="K146" i="23"/>
  <c r="K98" i="23"/>
  <c r="K40" i="23"/>
  <c r="K31" i="23"/>
  <c r="K81" i="23"/>
  <c r="K32" i="23"/>
  <c r="K264" i="23"/>
  <c r="K137" i="23"/>
  <c r="K191" i="23"/>
  <c r="K99" i="23"/>
  <c r="K131" i="23"/>
  <c r="K166" i="23"/>
  <c r="K273" i="23"/>
  <c r="K281" i="23"/>
  <c r="K204" i="23"/>
  <c r="K113" i="23"/>
  <c r="K82" i="23"/>
  <c r="K138" i="23"/>
  <c r="K192" i="23"/>
  <c r="K17" i="23"/>
  <c r="K100" i="23"/>
  <c r="K167" i="23"/>
  <c r="K183" i="23"/>
  <c r="K263" i="23"/>
  <c r="K28" i="23"/>
  <c r="K83" i="23"/>
  <c r="K205" i="23"/>
  <c r="K206" i="23"/>
  <c r="K242" i="23"/>
  <c r="K101" i="23"/>
  <c r="K151" i="23"/>
  <c r="K274" i="23"/>
  <c r="K84" i="23"/>
  <c r="K125" i="23"/>
  <c r="K114" i="23"/>
  <c r="K44" i="23"/>
  <c r="K207" i="23"/>
  <c r="K208" i="23"/>
  <c r="K27" i="23"/>
  <c r="K102" i="23"/>
  <c r="K275" i="23"/>
  <c r="K168" i="23"/>
  <c r="K282" i="23"/>
  <c r="K110" i="23"/>
  <c r="K109" i="23"/>
  <c r="K236" i="23"/>
  <c r="K85" i="23"/>
  <c r="K209" i="23"/>
  <c r="K210" i="23"/>
  <c r="K139" i="23"/>
  <c r="K111" i="23"/>
  <c r="K247" i="23"/>
  <c r="K211" i="23"/>
  <c r="K142" i="23"/>
  <c r="K103" i="23"/>
  <c r="K276" i="23"/>
  <c r="K157" i="23"/>
  <c r="K42" i="23"/>
  <c r="K86" i="23"/>
  <c r="K212" i="23"/>
  <c r="K213" i="23"/>
  <c r="K179" i="23"/>
  <c r="K104" i="23"/>
  <c r="K251" i="23"/>
  <c r="K277" i="23"/>
  <c r="K12" i="23"/>
  <c r="K239" i="23"/>
  <c r="K169" i="23"/>
  <c r="K237" i="23"/>
  <c r="K253" i="23"/>
  <c r="K214" i="23"/>
  <c r="K87" i="23"/>
  <c r="K35" i="23"/>
  <c r="K161" i="23"/>
  <c r="K228" i="23"/>
  <c r="K252" i="23"/>
  <c r="K124" i="23"/>
  <c r="K248" i="23"/>
  <c r="K11" i="23"/>
  <c r="K105" i="23"/>
  <c r="K278" i="23"/>
  <c r="K26" i="23"/>
  <c r="K232" i="23"/>
  <c r="K285" i="23"/>
  <c r="K286" i="23"/>
  <c r="K287" i="23"/>
  <c r="K288" i="23"/>
  <c r="K289" i="23"/>
  <c r="K290" i="23"/>
  <c r="K291" i="23"/>
  <c r="K292" i="23"/>
  <c r="K293" i="23"/>
  <c r="K294" i="23"/>
  <c r="K295" i="23"/>
  <c r="K296" i="23"/>
  <c r="K297" i="23"/>
  <c r="K298" i="23"/>
  <c r="K299" i="23"/>
  <c r="K300" i="23"/>
  <c r="K301" i="23"/>
  <c r="K302" i="23"/>
  <c r="K303" i="23"/>
  <c r="K304" i="23"/>
  <c r="K305" i="23"/>
  <c r="K306" i="23"/>
  <c r="K307" i="23"/>
  <c r="K308" i="23"/>
  <c r="K309" i="23"/>
  <c r="K310" i="23"/>
  <c r="K311" i="23"/>
  <c r="K312" i="23"/>
  <c r="K313" i="23"/>
  <c r="K314" i="23"/>
  <c r="K315" i="23"/>
  <c r="K316" i="23"/>
  <c r="K317" i="23"/>
  <c r="K318" i="23"/>
  <c r="K319" i="23"/>
  <c r="K320" i="23"/>
  <c r="K321" i="23"/>
  <c r="K322" i="23"/>
  <c r="K323" i="23"/>
  <c r="K324" i="23"/>
  <c r="K325" i="23"/>
  <c r="K326" i="23"/>
  <c r="K327" i="23"/>
  <c r="K328" i="23"/>
  <c r="K329" i="23"/>
  <c r="K330" i="23"/>
  <c r="K331" i="23"/>
  <c r="K332" i="23"/>
  <c r="K333" i="23"/>
  <c r="K334" i="23"/>
  <c r="K335" i="23"/>
  <c r="K409" i="23"/>
  <c r="K410" i="23"/>
  <c r="K411" i="23"/>
  <c r="K412" i="23"/>
  <c r="K413" i="23"/>
  <c r="K414" i="23"/>
  <c r="K415" i="23"/>
  <c r="K416" i="23"/>
  <c r="K417" i="23"/>
  <c r="K418" i="23"/>
  <c r="K419" i="23"/>
  <c r="K420" i="23"/>
  <c r="K421" i="23"/>
  <c r="K422" i="23"/>
  <c r="K423" i="23"/>
  <c r="K424" i="23"/>
  <c r="K425" i="23"/>
  <c r="K7" i="23"/>
  <c r="K8" i="23"/>
  <c r="K336" i="23"/>
  <c r="K337" i="23"/>
  <c r="K338" i="23"/>
  <c r="K339" i="23"/>
  <c r="K340" i="23"/>
  <c r="K341" i="23"/>
  <c r="K342" i="23"/>
  <c r="K343" i="23"/>
  <c r="K344" i="23"/>
  <c r="K345" i="23"/>
  <c r="K346" i="23"/>
  <c r="K347" i="23"/>
  <c r="K348" i="23"/>
  <c r="K349" i="23"/>
  <c r="M349" i="23" s="1"/>
  <c r="K350" i="23"/>
  <c r="K351" i="23"/>
  <c r="K426" i="23"/>
  <c r="K427" i="23"/>
  <c r="K352" i="23"/>
  <c r="K428" i="23"/>
  <c r="K353" i="23"/>
  <c r="M353" i="23" s="1"/>
  <c r="K354" i="23"/>
  <c r="M354" i="23" s="1"/>
  <c r="K355" i="23"/>
  <c r="M355" i="23" s="1"/>
  <c r="K356" i="23"/>
  <c r="M356" i="23" s="1"/>
  <c r="K357" i="23"/>
  <c r="M357" i="23" s="1"/>
  <c r="K358" i="23"/>
  <c r="M358" i="23" s="1"/>
  <c r="K429" i="23"/>
  <c r="M429" i="23" s="1"/>
  <c r="K359" i="23"/>
  <c r="M359" i="23" s="1"/>
  <c r="K360" i="23"/>
  <c r="M360" i="23" s="1"/>
  <c r="K361" i="23"/>
  <c r="M361" i="23" s="1"/>
  <c r="K362" i="23"/>
  <c r="M362" i="23" s="1"/>
  <c r="K363" i="23"/>
  <c r="M363" i="23" s="1"/>
  <c r="K364" i="23"/>
  <c r="M364" i="23" s="1"/>
  <c r="K365" i="23"/>
  <c r="M365" i="23" s="1"/>
  <c r="K366" i="23"/>
  <c r="M366" i="23" s="1"/>
  <c r="K367" i="23"/>
  <c r="M367" i="23" s="1"/>
  <c r="K368" i="23"/>
  <c r="M368" i="23" s="1"/>
  <c r="K369" i="23"/>
  <c r="M369" i="23" s="1"/>
  <c r="K370" i="23"/>
  <c r="M370" i="23" s="1"/>
  <c r="K371" i="23"/>
  <c r="M371" i="23" s="1"/>
  <c r="K372" i="23"/>
  <c r="M372" i="23" s="1"/>
  <c r="K373" i="23"/>
  <c r="M373" i="23" s="1"/>
  <c r="K374" i="23"/>
  <c r="M374" i="23" s="1"/>
  <c r="K375" i="23"/>
  <c r="M375" i="23" s="1"/>
  <c r="K376" i="23"/>
  <c r="M376" i="23" s="1"/>
  <c r="K377" i="23"/>
  <c r="M377" i="23" s="1"/>
  <c r="K378" i="23"/>
  <c r="M378" i="23" s="1"/>
  <c r="K379" i="23"/>
  <c r="M379" i="23" s="1"/>
  <c r="K380" i="23"/>
  <c r="M380" i="23" s="1"/>
  <c r="K381" i="23"/>
  <c r="M381" i="23" s="1"/>
  <c r="K430" i="23"/>
  <c r="M430" i="23" s="1"/>
  <c r="K382" i="23"/>
  <c r="M382" i="23" s="1"/>
  <c r="K383" i="23"/>
  <c r="M383" i="23" s="1"/>
  <c r="K384" i="23"/>
  <c r="M384" i="23" s="1"/>
  <c r="K385" i="23"/>
  <c r="M385" i="23" s="1"/>
  <c r="K386" i="23"/>
  <c r="M386" i="23" s="1"/>
  <c r="K387" i="23"/>
  <c r="M387" i="23" s="1"/>
  <c r="K388" i="23"/>
  <c r="M388" i="23" s="1"/>
  <c r="K389" i="23"/>
  <c r="M389" i="23" s="1"/>
  <c r="K390" i="23"/>
  <c r="M390" i="23" s="1"/>
  <c r="K391" i="23"/>
  <c r="M391" i="23" s="1"/>
  <c r="K392" i="23"/>
  <c r="M392" i="23" s="1"/>
  <c r="K393" i="23"/>
  <c r="M393" i="23" s="1"/>
  <c r="K394" i="23"/>
  <c r="M394" i="23" s="1"/>
  <c r="K395" i="23"/>
  <c r="M395" i="23" s="1"/>
  <c r="K396" i="23"/>
  <c r="M396" i="23" s="1"/>
  <c r="K397" i="23"/>
  <c r="M397" i="23" s="1"/>
  <c r="K431" i="23"/>
  <c r="M431" i="23" s="1"/>
  <c r="K398" i="23"/>
  <c r="M398" i="23" s="1"/>
  <c r="K399" i="23"/>
  <c r="M399" i="23" s="1"/>
  <c r="K400" i="23"/>
  <c r="M400" i="23" s="1"/>
  <c r="K401" i="23"/>
  <c r="M401" i="23" s="1"/>
  <c r="K402" i="23"/>
  <c r="M402" i="23" s="1"/>
  <c r="K403" i="23"/>
  <c r="M403" i="23" s="1"/>
  <c r="K404" i="23"/>
  <c r="M404" i="23" s="1"/>
  <c r="K432" i="23"/>
  <c r="K405" i="23"/>
  <c r="M405" i="23" s="1"/>
  <c r="K406" i="23"/>
  <c r="M406" i="23" s="1"/>
  <c r="K407" i="23"/>
  <c r="M407" i="23" s="1"/>
  <c r="K408" i="23"/>
  <c r="M408" i="23" s="1"/>
  <c r="K261" i="23"/>
  <c r="E54" i="32" l="1"/>
  <c r="E46" i="32"/>
  <c r="B43" i="32"/>
  <c r="E39" i="32"/>
  <c r="E36" i="32"/>
  <c r="E47" i="32"/>
  <c r="C42" i="32"/>
  <c r="M432" i="23"/>
  <c r="C43" i="32"/>
  <c r="B42" i="32"/>
  <c r="B41" i="32"/>
  <c r="E41" i="32" s="1"/>
  <c r="M428" i="23"/>
  <c r="M8" i="23"/>
  <c r="B3" i="35"/>
  <c r="D3" i="35" s="1"/>
  <c r="M342" i="23"/>
  <c r="B10" i="35"/>
  <c r="D10" i="35" s="1"/>
  <c r="M7" i="23"/>
  <c r="B2" i="35"/>
  <c r="M341" i="23"/>
  <c r="B9" i="35"/>
  <c r="D9" i="35" s="1"/>
  <c r="M351" i="23"/>
  <c r="B18" i="35"/>
  <c r="D18" i="35" s="1"/>
  <c r="M348" i="23"/>
  <c r="B16" i="35"/>
  <c r="D16" i="35" s="1"/>
  <c r="M340" i="23"/>
  <c r="B8" i="35"/>
  <c r="D8" i="35" s="1"/>
  <c r="M347" i="23"/>
  <c r="B15" i="35"/>
  <c r="D15" i="35" s="1"/>
  <c r="M339" i="23"/>
  <c r="B7" i="35"/>
  <c r="D7" i="35" s="1"/>
  <c r="M346" i="23"/>
  <c r="B14" i="35"/>
  <c r="D14" i="35" s="1"/>
  <c r="M338" i="23"/>
  <c r="B6" i="35"/>
  <c r="D6" i="35" s="1"/>
  <c r="M427" i="23"/>
  <c r="B20" i="35"/>
  <c r="D20" i="35" s="1"/>
  <c r="M345" i="23"/>
  <c r="B13" i="35"/>
  <c r="D13" i="35" s="1"/>
  <c r="M337" i="23"/>
  <c r="B5" i="35"/>
  <c r="D5" i="35" s="1"/>
  <c r="M343" i="23"/>
  <c r="B11" i="35"/>
  <c r="D11" i="35" s="1"/>
  <c r="M350" i="23"/>
  <c r="B17" i="35"/>
  <c r="D17" i="35" s="1"/>
  <c r="M426" i="23"/>
  <c r="B19" i="35"/>
  <c r="D19" i="35" s="1"/>
  <c r="M344" i="23"/>
  <c r="B12" i="35"/>
  <c r="D12" i="35" s="1"/>
  <c r="M336" i="23"/>
  <c r="B4" i="35"/>
  <c r="D4" i="35" s="1"/>
  <c r="M352" i="23"/>
  <c r="G4" i="32"/>
  <c r="C4" i="32"/>
  <c r="L418" i="23"/>
  <c r="M418" i="23" s="1"/>
  <c r="L297" i="23"/>
  <c r="M297" i="23" s="1"/>
  <c r="L212" i="23"/>
  <c r="M212" i="23" s="1"/>
  <c r="L260" i="23"/>
  <c r="M260" i="23" s="1"/>
  <c r="L76" i="23"/>
  <c r="M76" i="23" s="1"/>
  <c r="L215" i="23"/>
  <c r="M215" i="23" s="1"/>
  <c r="L90" i="23"/>
  <c r="M90" i="23" s="1"/>
  <c r="L219" i="23"/>
  <c r="M219" i="23" s="1"/>
  <c r="L417" i="23"/>
  <c r="M417" i="23" s="1"/>
  <c r="L296" i="23"/>
  <c r="M296" i="23" s="1"/>
  <c r="L86" i="23"/>
  <c r="M86" i="23" s="1"/>
  <c r="L131" i="23"/>
  <c r="M131" i="23" s="1"/>
  <c r="L147" i="23"/>
  <c r="M147" i="23" s="1"/>
  <c r="L123" i="23"/>
  <c r="M123" i="23" s="1"/>
  <c r="L279" i="23"/>
  <c r="M279" i="23" s="1"/>
  <c r="L236" i="23"/>
  <c r="M236" i="23" s="1"/>
  <c r="L136" i="23"/>
  <c r="M136" i="23" s="1"/>
  <c r="L29" i="23"/>
  <c r="M29" i="23" s="1"/>
  <c r="L224" i="23"/>
  <c r="M224" i="23" s="1"/>
  <c r="L423" i="23"/>
  <c r="M423" i="23" s="1"/>
  <c r="L290" i="23"/>
  <c r="M290" i="23" s="1"/>
  <c r="L275" i="23"/>
  <c r="M275" i="23" s="1"/>
  <c r="L241" i="23"/>
  <c r="M241" i="23" s="1"/>
  <c r="L59" i="23"/>
  <c r="M59" i="23" s="1"/>
  <c r="L73" i="23"/>
  <c r="M73" i="23" s="1"/>
  <c r="L195" i="23"/>
  <c r="M195" i="23" s="1"/>
  <c r="L43" i="23"/>
  <c r="M43" i="23" s="1"/>
  <c r="L244" i="23"/>
  <c r="M244" i="23" s="1"/>
  <c r="L222" i="23"/>
  <c r="M222" i="23" s="1"/>
  <c r="L180" i="23"/>
  <c r="M180" i="23" s="1"/>
  <c r="L48" i="23"/>
  <c r="M48" i="23" s="1"/>
  <c r="L321" i="23"/>
  <c r="M321" i="23" s="1"/>
  <c r="L87" i="23"/>
  <c r="M87" i="23" s="1"/>
  <c r="L166" i="23"/>
  <c r="M166" i="23" s="1"/>
  <c r="L153" i="23"/>
  <c r="M153" i="23" s="1"/>
  <c r="L91" i="23"/>
  <c r="M91" i="23" s="1"/>
  <c r="L50" i="23"/>
  <c r="M50" i="23" s="1"/>
  <c r="L308" i="23"/>
  <c r="M308" i="23" s="1"/>
  <c r="L85" i="23"/>
  <c r="M85" i="23" s="1"/>
  <c r="L13" i="23"/>
  <c r="M13" i="23" s="1"/>
  <c r="L196" i="23"/>
  <c r="M196" i="23" s="1"/>
  <c r="L265" i="23"/>
  <c r="M265" i="23" s="1"/>
  <c r="L253" i="23"/>
  <c r="M253" i="23" s="1"/>
  <c r="L99" i="23"/>
  <c r="M99" i="23" s="1"/>
  <c r="L216" i="23"/>
  <c r="M216" i="23" s="1"/>
  <c r="L159" i="23"/>
  <c r="M159" i="23" s="1"/>
  <c r="L254" i="23"/>
  <c r="M254" i="23" s="1"/>
  <c r="L415" i="23"/>
  <c r="M415" i="23" s="1"/>
  <c r="L306" i="23"/>
  <c r="M306" i="23" s="1"/>
  <c r="L157" i="23"/>
  <c r="M157" i="23" s="1"/>
  <c r="L84" i="23"/>
  <c r="M84" i="23" s="1"/>
  <c r="L191" i="23"/>
  <c r="M191" i="23" s="1"/>
  <c r="L107" i="23"/>
  <c r="M107" i="23" s="1"/>
  <c r="L88" i="23"/>
  <c r="M88" i="23" s="1"/>
  <c r="L130" i="23"/>
  <c r="M130" i="23" s="1"/>
  <c r="L67" i="23"/>
  <c r="M67" i="23" s="1"/>
  <c r="L261" i="23"/>
  <c r="M261" i="23" s="1"/>
  <c r="L414" i="23"/>
  <c r="M414" i="23" s="1"/>
  <c r="L317" i="23"/>
  <c r="M317" i="23" s="1"/>
  <c r="L293" i="23"/>
  <c r="M293" i="23" s="1"/>
  <c r="L169" i="23"/>
  <c r="M169" i="23" s="1"/>
  <c r="L110" i="23"/>
  <c r="M110" i="23" s="1"/>
  <c r="L17" i="23"/>
  <c r="M17" i="23" s="1"/>
  <c r="L80" i="23"/>
  <c r="M80" i="23" s="1"/>
  <c r="L134" i="23"/>
  <c r="M134" i="23" s="1"/>
  <c r="L230" i="23"/>
  <c r="M230" i="23" s="1"/>
  <c r="L93" i="23"/>
  <c r="M93" i="23" s="1"/>
  <c r="L36" i="23"/>
  <c r="M36" i="23" s="1"/>
  <c r="L266" i="23"/>
  <c r="M266" i="23" s="1"/>
  <c r="L182" i="23"/>
  <c r="M182" i="23" s="1"/>
  <c r="L184" i="23"/>
  <c r="M184" i="23" s="1"/>
  <c r="L18" i="23"/>
  <c r="M18" i="23" s="1"/>
  <c r="L425" i="23"/>
  <c r="M425" i="23" s="1"/>
  <c r="L292" i="23"/>
  <c r="M292" i="23" s="1"/>
  <c r="L282" i="23"/>
  <c r="M282" i="23" s="1"/>
  <c r="L129" i="23"/>
  <c r="M129" i="23" s="1"/>
  <c r="L132" i="23"/>
  <c r="M132" i="23" s="1"/>
  <c r="L112" i="23"/>
  <c r="M112" i="23" s="1"/>
  <c r="L234" i="23"/>
  <c r="M234" i="23" s="1"/>
  <c r="L65" i="23"/>
  <c r="M65" i="23" s="1"/>
  <c r="L309" i="23"/>
  <c r="M309" i="23" s="1"/>
  <c r="L209" i="23"/>
  <c r="M209" i="23" s="1"/>
  <c r="L95" i="23"/>
  <c r="M95" i="23" s="1"/>
  <c r="L162" i="23"/>
  <c r="M162" i="23" s="1"/>
  <c r="L256" i="23"/>
  <c r="M256" i="23" s="1"/>
  <c r="L258" i="23"/>
  <c r="M258" i="23" s="1"/>
  <c r="L332" i="23"/>
  <c r="M332" i="23" s="1"/>
  <c r="L232" i="23"/>
  <c r="M232" i="23" s="1"/>
  <c r="L114" i="23"/>
  <c r="M114" i="23" s="1"/>
  <c r="L190" i="23"/>
  <c r="M190" i="23" s="1"/>
  <c r="L199" i="23"/>
  <c r="M199" i="23" s="1"/>
  <c r="L150" i="23"/>
  <c r="M150" i="23" s="1"/>
  <c r="L175" i="23"/>
  <c r="M175" i="23" s="1"/>
  <c r="L42" i="23"/>
  <c r="M42" i="23" s="1"/>
  <c r="L167" i="23"/>
  <c r="M167" i="23" s="1"/>
  <c r="L41" i="23"/>
  <c r="M41" i="23" s="1"/>
  <c r="L280" i="23"/>
  <c r="M280" i="23" s="1"/>
  <c r="L92" i="23"/>
  <c r="M92" i="23" s="1"/>
  <c r="L226" i="23"/>
  <c r="M226" i="23" s="1"/>
  <c r="L60" i="23"/>
  <c r="M60" i="23" s="1"/>
  <c r="L318" i="23"/>
  <c r="M318" i="23" s="1"/>
  <c r="L237" i="23"/>
  <c r="M237" i="23" s="1"/>
  <c r="L100" i="23"/>
  <c r="M100" i="23" s="1"/>
  <c r="L96" i="23"/>
  <c r="M96" i="23" s="1"/>
  <c r="L47" i="23"/>
  <c r="M47" i="23" s="1"/>
  <c r="L225" i="23"/>
  <c r="M225" i="23" s="1"/>
  <c r="L16" i="23"/>
  <c r="M16" i="23" s="1"/>
  <c r="L413" i="23"/>
  <c r="M413" i="23" s="1"/>
  <c r="L304" i="23"/>
  <c r="M304" i="23" s="1"/>
  <c r="L103" i="23"/>
  <c r="M103" i="23" s="1"/>
  <c r="L192" i="23"/>
  <c r="M192" i="23" s="1"/>
  <c r="L126" i="23"/>
  <c r="M126" i="23" s="1"/>
  <c r="L152" i="23"/>
  <c r="M152" i="23" s="1"/>
  <c r="L22" i="23"/>
  <c r="M22" i="23" s="1"/>
  <c r="L127" i="23"/>
  <c r="M127" i="23" s="1"/>
  <c r="L424" i="23"/>
  <c r="M424" i="23" s="1"/>
  <c r="L303" i="23"/>
  <c r="M303" i="23" s="1"/>
  <c r="L142" i="23"/>
  <c r="M142" i="23" s="1"/>
  <c r="L97" i="23"/>
  <c r="M97" i="23" s="1"/>
  <c r="L117" i="23"/>
  <c r="M117" i="23" s="1"/>
  <c r="L220" i="23"/>
  <c r="M220" i="23" s="1"/>
  <c r="L314" i="23"/>
  <c r="M314" i="23" s="1"/>
  <c r="L277" i="23"/>
  <c r="M277" i="23" s="1"/>
  <c r="L82" i="23"/>
  <c r="M82" i="23" s="1"/>
  <c r="L262" i="23"/>
  <c r="M262" i="23" s="1"/>
  <c r="L238" i="23"/>
  <c r="M238" i="23" s="1"/>
  <c r="L154" i="23"/>
  <c r="M154" i="23" s="1"/>
  <c r="L422" i="23"/>
  <c r="M422" i="23" s="1"/>
  <c r="L313" i="23"/>
  <c r="M313" i="23" s="1"/>
  <c r="L252" i="23"/>
  <c r="M252" i="23" s="1"/>
  <c r="L189" i="23"/>
  <c r="M189" i="23" s="1"/>
  <c r="L243" i="23"/>
  <c r="M243" i="23" s="1"/>
  <c r="L6" i="23"/>
  <c r="M6" i="23" s="1"/>
  <c r="L63" i="23"/>
  <c r="M63" i="23" s="1"/>
  <c r="L421" i="23"/>
  <c r="M421" i="23" s="1"/>
  <c r="L409" i="23"/>
  <c r="M409" i="23" s="1"/>
  <c r="L324" i="23"/>
  <c r="M324" i="23" s="1"/>
  <c r="L312" i="23"/>
  <c r="M312" i="23" s="1"/>
  <c r="L300" i="23"/>
  <c r="M300" i="23" s="1"/>
  <c r="L288" i="23"/>
  <c r="M288" i="23" s="1"/>
  <c r="L228" i="23"/>
  <c r="M228" i="23" s="1"/>
  <c r="L104" i="23"/>
  <c r="M104" i="23" s="1"/>
  <c r="L111" i="23"/>
  <c r="M111" i="23" s="1"/>
  <c r="L27" i="23"/>
  <c r="M27" i="23" s="1"/>
  <c r="L205" i="23"/>
  <c r="M205" i="23" s="1"/>
  <c r="L204" i="23"/>
  <c r="M204" i="23" s="1"/>
  <c r="L40" i="23"/>
  <c r="M40" i="23" s="1"/>
  <c r="L177" i="23"/>
  <c r="M177" i="23" s="1"/>
  <c r="L78" i="23"/>
  <c r="M78" i="23" s="1"/>
  <c r="L145" i="23"/>
  <c r="M145" i="23" s="1"/>
  <c r="L133" i="23"/>
  <c r="M133" i="23" s="1"/>
  <c r="L19" i="23"/>
  <c r="M19" i="23" s="1"/>
  <c r="L94" i="23"/>
  <c r="M94" i="23" s="1"/>
  <c r="L267" i="23"/>
  <c r="M267" i="23" s="1"/>
  <c r="L14" i="23"/>
  <c r="M14" i="23" s="1"/>
  <c r="L23" i="23"/>
  <c r="M23" i="23" s="1"/>
  <c r="L9" i="23"/>
  <c r="M9" i="23" s="1"/>
  <c r="L58" i="23"/>
  <c r="M58" i="23" s="1"/>
  <c r="L61" i="23"/>
  <c r="M61" i="23" s="1"/>
  <c r="L223" i="23"/>
  <c r="M223" i="23" s="1"/>
  <c r="L39" i="23"/>
  <c r="M39" i="23" s="1"/>
  <c r="L49" i="23"/>
  <c r="M49" i="23" s="1"/>
  <c r="L259" i="23"/>
  <c r="M259" i="23" s="1"/>
  <c r="L333" i="23"/>
  <c r="M333" i="23" s="1"/>
  <c r="L285" i="23"/>
  <c r="M285" i="23" s="1"/>
  <c r="L44" i="23"/>
  <c r="M44" i="23" s="1"/>
  <c r="L79" i="23"/>
  <c r="M79" i="23" s="1"/>
  <c r="L227" i="23"/>
  <c r="M227" i="23" s="1"/>
  <c r="L25" i="23"/>
  <c r="M25" i="23" s="1"/>
  <c r="L233" i="23"/>
  <c r="M233" i="23" s="1"/>
  <c r="L320" i="23"/>
  <c r="M320" i="23" s="1"/>
  <c r="L214" i="23"/>
  <c r="M214" i="23" s="1"/>
  <c r="L183" i="23"/>
  <c r="M183" i="23" s="1"/>
  <c r="L255" i="23"/>
  <c r="M255" i="23" s="1"/>
  <c r="L165" i="23"/>
  <c r="M165" i="23" s="1"/>
  <c r="L33" i="23"/>
  <c r="M33" i="23" s="1"/>
  <c r="L155" i="23"/>
  <c r="M155" i="23" s="1"/>
  <c r="L45" i="23"/>
  <c r="M45" i="23" s="1"/>
  <c r="L52" i="23"/>
  <c r="M52" i="23" s="1"/>
  <c r="L416" i="23"/>
  <c r="M416" i="23" s="1"/>
  <c r="L295" i="23"/>
  <c r="M295" i="23" s="1"/>
  <c r="L250" i="23"/>
  <c r="M250" i="23" s="1"/>
  <c r="L149" i="23"/>
  <c r="M149" i="23" s="1"/>
  <c r="L193" i="23"/>
  <c r="M193" i="23" s="1"/>
  <c r="L221" i="23"/>
  <c r="M221" i="23" s="1"/>
  <c r="L330" i="23"/>
  <c r="M330" i="23" s="1"/>
  <c r="L294" i="23"/>
  <c r="M294" i="23" s="1"/>
  <c r="L109" i="23"/>
  <c r="M109" i="23" s="1"/>
  <c r="L30" i="23"/>
  <c r="M30" i="23" s="1"/>
  <c r="L106" i="23"/>
  <c r="M106" i="23" s="1"/>
  <c r="L10" i="23"/>
  <c r="M10" i="23" s="1"/>
  <c r="L217" i="23"/>
  <c r="M217" i="23" s="1"/>
  <c r="L64" i="23"/>
  <c r="M64" i="23" s="1"/>
  <c r="L329" i="23"/>
  <c r="M329" i="23" s="1"/>
  <c r="L305" i="23"/>
  <c r="M305" i="23" s="1"/>
  <c r="L105" i="23"/>
  <c r="M105" i="23" s="1"/>
  <c r="L274" i="23"/>
  <c r="M274" i="23" s="1"/>
  <c r="L137" i="23"/>
  <c r="M137" i="23" s="1"/>
  <c r="L203" i="23"/>
  <c r="M203" i="23" s="1"/>
  <c r="L116" i="23"/>
  <c r="M116" i="23" s="1"/>
  <c r="L21" i="23"/>
  <c r="M21" i="23" s="1"/>
  <c r="L70" i="23"/>
  <c r="M70" i="23" s="1"/>
  <c r="L270" i="23"/>
  <c r="M270" i="23" s="1"/>
  <c r="L328" i="23"/>
  <c r="M328" i="23" s="1"/>
  <c r="L11" i="23"/>
  <c r="M11" i="23" s="1"/>
  <c r="L151" i="23"/>
  <c r="M151" i="23" s="1"/>
  <c r="L135" i="23"/>
  <c r="M135" i="23" s="1"/>
  <c r="L62" i="23"/>
  <c r="M62" i="23" s="1"/>
  <c r="L57" i="23"/>
  <c r="M57" i="23" s="1"/>
  <c r="L51" i="23"/>
  <c r="M51" i="23" s="1"/>
  <c r="L412" i="23"/>
  <c r="M412" i="23" s="1"/>
  <c r="L315" i="23"/>
  <c r="M315" i="23" s="1"/>
  <c r="L248" i="23"/>
  <c r="M248" i="23" s="1"/>
  <c r="L168" i="23"/>
  <c r="M168" i="23" s="1"/>
  <c r="L32" i="23"/>
  <c r="M32" i="23" s="1"/>
  <c r="L77" i="23"/>
  <c r="M77" i="23" s="1"/>
  <c r="L246" i="23"/>
  <c r="M246" i="23" s="1"/>
  <c r="L144" i="23"/>
  <c r="M144" i="23" s="1"/>
  <c r="L156" i="23"/>
  <c r="M156" i="23" s="1"/>
  <c r="L218" i="23"/>
  <c r="M218" i="23" s="1"/>
  <c r="L229" i="23"/>
  <c r="M229" i="23" s="1"/>
  <c r="L174" i="23"/>
  <c r="M174" i="23" s="1"/>
  <c r="L411" i="23"/>
  <c r="M411" i="23" s="1"/>
  <c r="L302" i="23"/>
  <c r="M302" i="23" s="1"/>
  <c r="L211" i="23"/>
  <c r="M211" i="23" s="1"/>
  <c r="L81" i="23"/>
  <c r="M81" i="23" s="1"/>
  <c r="L122" i="23"/>
  <c r="M122" i="23" s="1"/>
  <c r="L89" i="23"/>
  <c r="M89" i="23" s="1"/>
  <c r="L410" i="23"/>
  <c r="M410" i="23" s="1"/>
  <c r="L301" i="23"/>
  <c r="M301" i="23" s="1"/>
  <c r="L251" i="23"/>
  <c r="M251" i="23" s="1"/>
  <c r="L102" i="23"/>
  <c r="M102" i="23" s="1"/>
  <c r="L113" i="23"/>
  <c r="M113" i="23" s="1"/>
  <c r="L178" i="23"/>
  <c r="M178" i="23" s="1"/>
  <c r="L201" i="23"/>
  <c r="M201" i="23" s="1"/>
  <c r="L160" i="23"/>
  <c r="M160" i="23" s="1"/>
  <c r="L143" i="23"/>
  <c r="M143" i="23" s="1"/>
  <c r="L271" i="23"/>
  <c r="M271" i="23" s="1"/>
  <c r="L420" i="23"/>
  <c r="M420" i="23" s="1"/>
  <c r="L335" i="23"/>
  <c r="M335" i="23" s="1"/>
  <c r="L323" i="23"/>
  <c r="M323" i="23" s="1"/>
  <c r="L311" i="23"/>
  <c r="M311" i="23" s="1"/>
  <c r="L299" i="23"/>
  <c r="M299" i="23" s="1"/>
  <c r="L287" i="23"/>
  <c r="M287" i="23" s="1"/>
  <c r="L161" i="23"/>
  <c r="M161" i="23" s="1"/>
  <c r="L179" i="23"/>
  <c r="M179" i="23" s="1"/>
  <c r="L139" i="23"/>
  <c r="M139" i="23" s="1"/>
  <c r="L208" i="23"/>
  <c r="M208" i="23" s="1"/>
  <c r="L83" i="23"/>
  <c r="M83" i="23" s="1"/>
  <c r="L281" i="23"/>
  <c r="M281" i="23" s="1"/>
  <c r="L98" i="23"/>
  <c r="M98" i="23" s="1"/>
  <c r="L188" i="23"/>
  <c r="M188" i="23" s="1"/>
  <c r="L24" i="23"/>
  <c r="M24" i="23" s="1"/>
  <c r="L186" i="23"/>
  <c r="M186" i="23" s="1"/>
  <c r="L37" i="23"/>
  <c r="M37" i="23" s="1"/>
  <c r="L249" i="23"/>
  <c r="M249" i="23" s="1"/>
  <c r="L240" i="23"/>
  <c r="M240" i="23" s="1"/>
  <c r="L115" i="23"/>
  <c r="M115" i="23" s="1"/>
  <c r="L148" i="23"/>
  <c r="M148" i="23" s="1"/>
  <c r="L38" i="23"/>
  <c r="M38" i="23" s="1"/>
  <c r="L121" i="23"/>
  <c r="M121" i="23" s="1"/>
  <c r="L163" i="23"/>
  <c r="M163" i="23" s="1"/>
  <c r="L120" i="23"/>
  <c r="M120" i="23" s="1"/>
  <c r="L66" i="23"/>
  <c r="M66" i="23" s="1"/>
  <c r="L141" i="23"/>
  <c r="M141" i="23" s="1"/>
  <c r="L170" i="23"/>
  <c r="M170" i="23" s="1"/>
  <c r="L283" i="23"/>
  <c r="M283" i="23" s="1"/>
  <c r="L263" i="23"/>
  <c r="M263" i="23" s="1"/>
  <c r="L172" i="23"/>
  <c r="M172" i="23" s="1"/>
  <c r="L331" i="23"/>
  <c r="M331" i="23" s="1"/>
  <c r="L319" i="23"/>
  <c r="M319" i="23" s="1"/>
  <c r="L307" i="23"/>
  <c r="M307" i="23" s="1"/>
  <c r="L26" i="23"/>
  <c r="M26" i="23" s="1"/>
  <c r="L125" i="23"/>
  <c r="M125" i="23" s="1"/>
  <c r="L55" i="23"/>
  <c r="M55" i="23" s="1"/>
  <c r="L278" i="23"/>
  <c r="M278" i="23" s="1"/>
  <c r="L202" i="23"/>
  <c r="M202" i="23" s="1"/>
  <c r="L194" i="23"/>
  <c r="M194" i="23" s="1"/>
  <c r="L20" i="23"/>
  <c r="M20" i="23" s="1"/>
  <c r="L276" i="23"/>
  <c r="M276" i="23" s="1"/>
  <c r="L46" i="23"/>
  <c r="M46" i="23" s="1"/>
  <c r="L231" i="23"/>
  <c r="M231" i="23" s="1"/>
  <c r="L316" i="23"/>
  <c r="M316" i="23" s="1"/>
  <c r="L239" i="23"/>
  <c r="M239" i="23" s="1"/>
  <c r="L264" i="23"/>
  <c r="M264" i="23" s="1"/>
  <c r="L200" i="23"/>
  <c r="M200" i="23" s="1"/>
  <c r="L71" i="23"/>
  <c r="M71" i="23" s="1"/>
  <c r="L68" i="23"/>
  <c r="M68" i="23" s="1"/>
  <c r="L284" i="23"/>
  <c r="M284" i="23" s="1"/>
  <c r="L327" i="23"/>
  <c r="M327" i="23" s="1"/>
  <c r="L291" i="23"/>
  <c r="M291" i="23" s="1"/>
  <c r="L12" i="23"/>
  <c r="M12" i="23" s="1"/>
  <c r="L101" i="23"/>
  <c r="M101" i="23" s="1"/>
  <c r="L138" i="23"/>
  <c r="M138" i="23" s="1"/>
  <c r="L187" i="23"/>
  <c r="M187" i="23" s="1"/>
  <c r="L74" i="23"/>
  <c r="M74" i="23" s="1"/>
  <c r="L197" i="23"/>
  <c r="M197" i="23" s="1"/>
  <c r="L118" i="23"/>
  <c r="M118" i="23" s="1"/>
  <c r="L181" i="23"/>
  <c r="M181" i="23" s="1"/>
  <c r="L53" i="23"/>
  <c r="M53" i="23" s="1"/>
  <c r="L326" i="23"/>
  <c r="M326" i="23" s="1"/>
  <c r="L124" i="23"/>
  <c r="M124" i="23" s="1"/>
  <c r="L242" i="23"/>
  <c r="M242" i="23" s="1"/>
  <c r="L128" i="23"/>
  <c r="M128" i="23" s="1"/>
  <c r="L245" i="23"/>
  <c r="M245" i="23" s="1"/>
  <c r="L325" i="23"/>
  <c r="M325" i="23" s="1"/>
  <c r="L289" i="23"/>
  <c r="M289" i="23" s="1"/>
  <c r="L247" i="23"/>
  <c r="M247" i="23" s="1"/>
  <c r="L206" i="23"/>
  <c r="M206" i="23" s="1"/>
  <c r="L31" i="23"/>
  <c r="M31" i="23" s="1"/>
  <c r="L185" i="23"/>
  <c r="M185" i="23" s="1"/>
  <c r="L173" i="23"/>
  <c r="M173" i="23" s="1"/>
  <c r="L72" i="23"/>
  <c r="M72" i="23" s="1"/>
  <c r="L164" i="23"/>
  <c r="M164" i="23" s="1"/>
  <c r="L119" i="23"/>
  <c r="M119" i="23" s="1"/>
  <c r="L171" i="23"/>
  <c r="M171" i="23" s="1"/>
  <c r="L419" i="23"/>
  <c r="M419" i="23" s="1"/>
  <c r="L334" i="23"/>
  <c r="M334" i="23" s="1"/>
  <c r="L322" i="23"/>
  <c r="M322" i="23" s="1"/>
  <c r="L310" i="23"/>
  <c r="M310" i="23" s="1"/>
  <c r="L298" i="23"/>
  <c r="M298" i="23" s="1"/>
  <c r="L286" i="23"/>
  <c r="M286" i="23" s="1"/>
  <c r="L35" i="23"/>
  <c r="M35" i="23" s="1"/>
  <c r="L213" i="23"/>
  <c r="M213" i="23" s="1"/>
  <c r="L210" i="23"/>
  <c r="M210" i="23" s="1"/>
  <c r="L207" i="23"/>
  <c r="M207" i="23" s="1"/>
  <c r="L28" i="23"/>
  <c r="M28" i="23" s="1"/>
  <c r="L273" i="23"/>
  <c r="M273" i="23" s="1"/>
  <c r="L146" i="23"/>
  <c r="M146" i="23" s="1"/>
  <c r="L34" i="23"/>
  <c r="M34" i="23" s="1"/>
  <c r="L56" i="23"/>
  <c r="M56" i="23" s="1"/>
  <c r="L140" i="23"/>
  <c r="M140" i="23" s="1"/>
  <c r="L75" i="23"/>
  <c r="M75" i="23" s="1"/>
  <c r="L108" i="23"/>
  <c r="M108" i="23" s="1"/>
  <c r="L198" i="23"/>
  <c r="M198" i="23" s="1"/>
  <c r="L235" i="23"/>
  <c r="M235" i="23" s="1"/>
  <c r="L176" i="23"/>
  <c r="M176" i="23" s="1"/>
  <c r="L54" i="23"/>
  <c r="M54" i="23" s="1"/>
  <c r="L69" i="23"/>
  <c r="M69" i="23" s="1"/>
  <c r="L272" i="23"/>
  <c r="M272" i="23" s="1"/>
  <c r="L158" i="23"/>
  <c r="M158" i="23" s="1"/>
  <c r="L269" i="23"/>
  <c r="M269" i="23" s="1"/>
  <c r="L257" i="23"/>
  <c r="M257" i="23" s="1"/>
  <c r="L15" i="23"/>
  <c r="M15" i="23" s="1"/>
  <c r="L268" i="23"/>
  <c r="M268" i="23" s="1"/>
  <c r="K3" i="23"/>
  <c r="E42" i="32" l="1"/>
  <c r="C48" i="32"/>
  <c r="I4" i="32"/>
  <c r="D2" i="35"/>
  <c r="O4" i="32"/>
  <c r="E43" i="32"/>
  <c r="B48" i="32"/>
  <c r="M3" i="23"/>
  <c r="L3" i="23"/>
  <c r="K4" i="32" s="1"/>
  <c r="E48" i="3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E43C29-AD7C-4D48-96E4-632F10471F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D492F44-039E-4E1F-B435-B4D73DF058FA}" name="WorksheetConnection_الوضع المالي للمحل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الوضعالماليللمحل.xlsxTable11"/>
        </x15:connection>
      </ext>
    </extLst>
  </connection>
  <connection id="3" xr16:uid="{F117A72C-03A1-459B-8C89-C28EA0766FD1}" name="WorksheetConnection_دفتر اليومية!$B$3:$L$5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دفتراليوميةB3L500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<sst xmlns="http://schemas.openxmlformats.org/spreadsheetml/2006/main" count="4847" uniqueCount="521">
  <si>
    <t>كاوتش</t>
  </si>
  <si>
    <t>بطارية</t>
  </si>
  <si>
    <t>سعر الوحدة</t>
  </si>
  <si>
    <t>الكمية</t>
  </si>
  <si>
    <t>التاريخ</t>
  </si>
  <si>
    <t>الاجمالي</t>
  </si>
  <si>
    <t>التكلفة</t>
  </si>
  <si>
    <t>اكسليرا 13/175/70</t>
  </si>
  <si>
    <t>محمد راس</t>
  </si>
  <si>
    <t>كود الصنف</t>
  </si>
  <si>
    <t>بطارية كلورايد 70 معكوسة</t>
  </si>
  <si>
    <t>قميص رداتير</t>
  </si>
  <si>
    <t>طقم تيل امامى</t>
  </si>
  <si>
    <t>فيتور 14/195 عريض</t>
  </si>
  <si>
    <t>عم عجيبة</t>
  </si>
  <si>
    <t>احمد سعيد</t>
  </si>
  <si>
    <t>بطارية 80 كلورايد</t>
  </si>
  <si>
    <t>غطاء تنك</t>
  </si>
  <si>
    <t xml:space="preserve">بطارية نسر 70  </t>
  </si>
  <si>
    <t>اجل</t>
  </si>
  <si>
    <t>كاش</t>
  </si>
  <si>
    <t xml:space="preserve">بطارية كلورايد 70  </t>
  </si>
  <si>
    <t>اسبراتير تويوتا سباركس</t>
  </si>
  <si>
    <t>جوان وش سلندر</t>
  </si>
  <si>
    <t>فلتر بنزين دايو /هيوندى</t>
  </si>
  <si>
    <t xml:space="preserve">طقم تيل امامى </t>
  </si>
  <si>
    <t xml:space="preserve">نص كربراتير </t>
  </si>
  <si>
    <t>جوان شكمان كعكة</t>
  </si>
  <si>
    <t>غطاء اسبرتير</t>
  </si>
  <si>
    <t>موبية اسبراتير داخلية</t>
  </si>
  <si>
    <t>شريحة اسبرتير /مشط</t>
  </si>
  <si>
    <t>ممدوح خيشة</t>
  </si>
  <si>
    <t>فيتور 14/195 كنزة</t>
  </si>
  <si>
    <t>بطارية 70 نسر</t>
  </si>
  <si>
    <t>اكسليرا 15/195/65</t>
  </si>
  <si>
    <t>طقم بلية صره امامى + اويل سيل</t>
  </si>
  <si>
    <t>سيد الزهار</t>
  </si>
  <si>
    <t>كالون باب شنطة+ سكاكة</t>
  </si>
  <si>
    <t>تبرعات</t>
  </si>
  <si>
    <t>بلية اكس خلفى</t>
  </si>
  <si>
    <t>ميدو بسيونى</t>
  </si>
  <si>
    <t>احمد عبد الله شبين</t>
  </si>
  <si>
    <t>محمود عطيه</t>
  </si>
  <si>
    <t xml:space="preserve">طمبورة شداد باور </t>
  </si>
  <si>
    <t>طلمة بنزين</t>
  </si>
  <si>
    <t>طلمبة مياه يبانى</t>
  </si>
  <si>
    <t>اربه مياه</t>
  </si>
  <si>
    <t>بوجيه تخين سن طويل/ كارت</t>
  </si>
  <si>
    <t>كوبات بوجهات اصلى</t>
  </si>
  <si>
    <t>بطارية كلورايد 90</t>
  </si>
  <si>
    <t xml:space="preserve"> NOZA ECO 15/185/65 كاوتش سومو اكينا صينى</t>
  </si>
  <si>
    <t>ثلج</t>
  </si>
  <si>
    <t>فطور</t>
  </si>
  <si>
    <t>بنزين</t>
  </si>
  <si>
    <t>جلد صباب لف</t>
  </si>
  <si>
    <t xml:space="preserve">بن </t>
  </si>
  <si>
    <t>فيتور خط ابيض 14/195 عريض</t>
  </si>
  <si>
    <t>سيد حمائى</t>
  </si>
  <si>
    <t>جنط تويوتا 5 خرم</t>
  </si>
  <si>
    <t>سير ديانمو</t>
  </si>
  <si>
    <t>بطارية كلورايد 70 نسر</t>
  </si>
  <si>
    <t>طقم جانط 14  BLP LG20-VL</t>
  </si>
  <si>
    <t>14/5/114 جنط سبور صينى تويوتا غاطس SLP LG20-VL</t>
  </si>
  <si>
    <t>اصلاح دبرياج سفلى تايوانى تيوتا</t>
  </si>
  <si>
    <t>اصلاح دبرياج علوى تايوانى تيوتا</t>
  </si>
  <si>
    <t xml:space="preserve">زرار انتظار </t>
  </si>
  <si>
    <t>مسمار عجل بالصمولة ديماكس</t>
  </si>
  <si>
    <t>مجرة باب جرار وسط</t>
  </si>
  <si>
    <t>زيت باكم نصف لتر</t>
  </si>
  <si>
    <t>كفه اكسرتير بدال</t>
  </si>
  <si>
    <t>لى شكمان</t>
  </si>
  <si>
    <t>منفل شكمان</t>
  </si>
  <si>
    <t>بن</t>
  </si>
  <si>
    <t>ضيافة</t>
  </si>
  <si>
    <t>اكرامية فاتورة الفطيم</t>
  </si>
  <si>
    <t>زيت باكم  - فرامل- حجم صغير</t>
  </si>
  <si>
    <t>بطارية كلورايد 70</t>
  </si>
  <si>
    <t>اويل سيل كرنك امامى</t>
  </si>
  <si>
    <t>سلك اكسرتير</t>
  </si>
  <si>
    <t>شريحة اسبرتير</t>
  </si>
  <si>
    <t>اكراميات</t>
  </si>
  <si>
    <t>كريم العجل</t>
  </si>
  <si>
    <t>يوم بعد يوم</t>
  </si>
  <si>
    <t>عادل نظير</t>
  </si>
  <si>
    <t>14/5/114 جنط سبور صينى تويوتا غاطس</t>
  </si>
  <si>
    <t>رداتير جان بى</t>
  </si>
  <si>
    <t xml:space="preserve">سير مشرشر 13*1050 </t>
  </si>
  <si>
    <t>سلك بوجيهات جان بى</t>
  </si>
  <si>
    <t>اكصدام خلفى</t>
  </si>
  <si>
    <t>فانوس خلفى كريستال هاى اس يمين</t>
  </si>
  <si>
    <t>كوعة منفول هواء شوقى</t>
  </si>
  <si>
    <t>كوستبان</t>
  </si>
  <si>
    <t>بوجيه تخين سن قصير/علبه صفراء بدون مقاومة</t>
  </si>
  <si>
    <t>فانوس كشاف شوقى</t>
  </si>
  <si>
    <t xml:space="preserve">بلف كتينة </t>
  </si>
  <si>
    <t>كتينة تويوتا</t>
  </si>
  <si>
    <t>طقم كوستبان جان بى</t>
  </si>
  <si>
    <t>جوان كرتيرة شكمان جوان</t>
  </si>
  <si>
    <t>وش تقسيمة جوان</t>
  </si>
  <si>
    <t>طقم شنبر تويوتا علبة حمراء</t>
  </si>
  <si>
    <t>طقم شنبر تويوتا NPR صفراء</t>
  </si>
  <si>
    <t>باور كينج لونج</t>
  </si>
  <si>
    <t>تيل خلفى 902317</t>
  </si>
  <si>
    <t>سير باور</t>
  </si>
  <si>
    <t>جلد صباب يابانى لف</t>
  </si>
  <si>
    <t>خبور كرنك</t>
  </si>
  <si>
    <t>ثلج+ ضيافة</t>
  </si>
  <si>
    <t>انتقالات</t>
  </si>
  <si>
    <t>ثلج +طباعة</t>
  </si>
  <si>
    <t>خزنة فرامل عمومى</t>
  </si>
  <si>
    <t>اكرة باب زجاج تويوتا 90</t>
  </si>
  <si>
    <t>جلب كامة تويوتا</t>
  </si>
  <si>
    <t>طقم بستم تيوتا</t>
  </si>
  <si>
    <t>اسكترا تويوتا هاى  سباركس</t>
  </si>
  <si>
    <t>اكصدام خلفى بعواكس</t>
  </si>
  <si>
    <t>شبكة شوقى نيكل</t>
  </si>
  <si>
    <t>مساعد امامى تويوتا</t>
  </si>
  <si>
    <t>ديسك دبرياج تويوتا عالى يابانى</t>
  </si>
  <si>
    <t>فانوس اشارة jimbe يمين</t>
  </si>
  <si>
    <t>فانوس اشارة jimbe شمال</t>
  </si>
  <si>
    <t>بطارية كلورايد 80</t>
  </si>
  <si>
    <t>هواية فبر منفو</t>
  </si>
  <si>
    <t xml:space="preserve">اربه مياه </t>
  </si>
  <si>
    <t>غطاء زيت</t>
  </si>
  <si>
    <t>اسطوانة تويوتا بكر سباركس</t>
  </si>
  <si>
    <t>فرش دبرياش</t>
  </si>
  <si>
    <t>خزنة دبرياج سفلى</t>
  </si>
  <si>
    <t>طقم سياخ</t>
  </si>
  <si>
    <t>ثلج+ بن</t>
  </si>
  <si>
    <t>مروحة تويوتا عريضة</t>
  </si>
  <si>
    <t>اكرة باب جر داخلية تويوتا 90</t>
  </si>
  <si>
    <t>مساعد خلفى تويوتا هاى اس</t>
  </si>
  <si>
    <t>اكصدام  امامى</t>
  </si>
  <si>
    <t>طقم شنبر تويوتا</t>
  </si>
  <si>
    <t>اكرة باب امامى داخلى تويوتا 90</t>
  </si>
  <si>
    <t xml:space="preserve">بازبوز مسحات طقم </t>
  </si>
  <si>
    <t>طقم سلم باب جان بى</t>
  </si>
  <si>
    <t>فانوس اشارة شمال فطيم</t>
  </si>
  <si>
    <t>شبكة تعديل سوداء</t>
  </si>
  <si>
    <t>بطارية كلورايد 70 فيلدا</t>
  </si>
  <si>
    <t>مرايا جنب هاى اس بدون قاعدة  ابيض شمال</t>
  </si>
  <si>
    <t>اكرامية فاتورة اشرفكو</t>
  </si>
  <si>
    <t>مؤمن الميكا</t>
  </si>
  <si>
    <t>كاوتش توكتوك</t>
  </si>
  <si>
    <t>الحاج رفعت</t>
  </si>
  <si>
    <t>مرايا جنب هاى اس بدون قاعدة  سودا  شمال</t>
  </si>
  <si>
    <t>كوعة عمه هواء</t>
  </si>
  <si>
    <t>وش سلندر فطيم</t>
  </si>
  <si>
    <t>فانوس اشارة شوقى</t>
  </si>
  <si>
    <t xml:space="preserve">  14/5/144 BM-657-VL جنط سبور صينى غاطس</t>
  </si>
  <si>
    <t>محمد اشرف</t>
  </si>
  <si>
    <t>بلية دبرياج عالية</t>
  </si>
  <si>
    <t>فانوس اشارة يمين فطيم</t>
  </si>
  <si>
    <t>اويل سيل كرونة</t>
  </si>
  <si>
    <t>اويل سيل فتيس خلفى</t>
  </si>
  <si>
    <t>جلبة مقص سفلى وسط</t>
  </si>
  <si>
    <t xml:space="preserve">بيض علوى تويوتا </t>
  </si>
  <si>
    <t>كاوتشة ميزان سوبر</t>
  </si>
  <si>
    <t>جلبة مقص علوى كبير</t>
  </si>
  <si>
    <t>طقم جوان تويوتا</t>
  </si>
  <si>
    <t>اكصدام امامى</t>
  </si>
  <si>
    <t>طقم فانوس شبورة جان بى</t>
  </si>
  <si>
    <t>بطارية كلورايد 70 الالمانية</t>
  </si>
  <si>
    <t>سيد كشرى</t>
  </si>
  <si>
    <t>R14(5X114) BM/657 14/5/144 BM-657-VL جنط سبور صينى تويوتا غاطس</t>
  </si>
  <si>
    <t xml:space="preserve"> NOZA ECO 14/185/65 كاوتش سومو اكينا صينى</t>
  </si>
  <si>
    <t>محمد ذكى</t>
  </si>
  <si>
    <t>مسمار بالصمولة</t>
  </si>
  <si>
    <t>خرطوم  راجع باور</t>
  </si>
  <si>
    <t>بلف غطاء</t>
  </si>
  <si>
    <t>طلمبه مياة</t>
  </si>
  <si>
    <t>اويل سيل فتيس خلفى تويوتا 90</t>
  </si>
  <si>
    <t>مسمار ميزان سوبر</t>
  </si>
  <si>
    <t>حامل باب جر علوى</t>
  </si>
  <si>
    <t>كاوتشة شداد</t>
  </si>
  <si>
    <t>احمد ابوحطب</t>
  </si>
  <si>
    <t>فيتور خط ابيض 14/195 كنزة</t>
  </si>
  <si>
    <t xml:space="preserve"> NOZA ECO 15/195/65 كاوتش سومو اكينا صينى</t>
  </si>
  <si>
    <t>طقم جانط 5 خرم ملاكى 15</t>
  </si>
  <si>
    <t>بطارية كلورايد 40</t>
  </si>
  <si>
    <t>دسك تويوتا</t>
  </si>
  <si>
    <t>اسطوانة دبرياج تويوتا يابانى</t>
  </si>
  <si>
    <t xml:space="preserve">جوان شكمان بالكحكة </t>
  </si>
  <si>
    <t>سير كتينه حديد</t>
  </si>
  <si>
    <t>وش كربرتير جوان</t>
  </si>
  <si>
    <t>طمبورة امامى شوقى</t>
  </si>
  <si>
    <t>بطارية كلورايد 70 ك</t>
  </si>
  <si>
    <t>قاعدة فتيس سوبر</t>
  </si>
  <si>
    <t>وش تقسيمة</t>
  </si>
  <si>
    <t>سلك اكسرتير يبانى</t>
  </si>
  <si>
    <t>بلية دبرياج عالية 90</t>
  </si>
  <si>
    <t>طلمبة باور جان بى</t>
  </si>
  <si>
    <t>فيتور خط ابيض 13/185/60 GALAXY F1</t>
  </si>
  <si>
    <t>اكرامية +نقل</t>
  </si>
  <si>
    <t>قاعدة موتور فطيم</t>
  </si>
  <si>
    <t>باغة فانوس خلفى كريستال هاى اس شمال</t>
  </si>
  <si>
    <t>صدادة باب جرار</t>
  </si>
  <si>
    <t xml:space="preserve">  افيس بلاستيك</t>
  </si>
  <si>
    <t xml:space="preserve">طقم كالون باب كامل </t>
  </si>
  <si>
    <t>احمد ماهر</t>
  </si>
  <si>
    <t>اكرامية</t>
  </si>
  <si>
    <t>زياد وحيد</t>
  </si>
  <si>
    <t>نوع الحركة</t>
  </si>
  <si>
    <t>تصنيف الحركة</t>
  </si>
  <si>
    <t>قطع غيار</t>
  </si>
  <si>
    <t>مرتبات</t>
  </si>
  <si>
    <t xml:space="preserve">بوفيه وضيافة </t>
  </si>
  <si>
    <t>المتبقى</t>
  </si>
  <si>
    <t xml:space="preserve">اسم العميل / المورد </t>
  </si>
  <si>
    <t>مبيعات كاش</t>
  </si>
  <si>
    <t>مصروفات</t>
  </si>
  <si>
    <t>طريقة التحصيل</t>
  </si>
  <si>
    <t>المبيعات</t>
  </si>
  <si>
    <t>اسم العميل / المورد</t>
  </si>
  <si>
    <t>تصنيف</t>
  </si>
  <si>
    <t>عميل</t>
  </si>
  <si>
    <t>مورد</t>
  </si>
  <si>
    <t>ايجارات</t>
  </si>
  <si>
    <t>رقم الفاتورة</t>
  </si>
  <si>
    <t>مبيعات اجل</t>
  </si>
  <si>
    <t>المسدد / المحصل</t>
  </si>
  <si>
    <t xml:space="preserve">رقم العميل </t>
  </si>
  <si>
    <t>النوع</t>
  </si>
  <si>
    <t>مرتب - محمد هشام</t>
  </si>
  <si>
    <t>مرتب - عمر</t>
  </si>
  <si>
    <t>مرتب - هاني</t>
  </si>
  <si>
    <t>مرتب - نانا</t>
  </si>
  <si>
    <t>ايجار مخزن شهر 7 - 2025</t>
  </si>
  <si>
    <t>الصنف</t>
  </si>
  <si>
    <t>الرصيد الافتتاحي</t>
  </si>
  <si>
    <t xml:space="preserve">المشتريات </t>
  </si>
  <si>
    <t>الرصيد الحالي</t>
  </si>
  <si>
    <t>التصنيف</t>
  </si>
  <si>
    <t xml:space="preserve">جنط </t>
  </si>
  <si>
    <t>يومي</t>
  </si>
  <si>
    <t>اسبوعي</t>
  </si>
  <si>
    <t>شهري</t>
  </si>
  <si>
    <t>تكلفة الوحدة</t>
  </si>
  <si>
    <t>اجمالي التكلفة</t>
  </si>
  <si>
    <t>اسم المورد</t>
  </si>
  <si>
    <t>تكاليف اضافية</t>
  </si>
  <si>
    <t>سعر البيع في السوق</t>
  </si>
  <si>
    <t>سعر الكاش</t>
  </si>
  <si>
    <t>هامش الربح</t>
  </si>
  <si>
    <t>الشهر</t>
  </si>
  <si>
    <t xml:space="preserve">تكلفة الوحدة </t>
  </si>
  <si>
    <t>اجمالي سعر البيع</t>
  </si>
  <si>
    <t>مجمل الربح</t>
  </si>
  <si>
    <t xml:space="preserve">يجب مراجعة العمليات المعلمة باللون الاحمر </t>
  </si>
  <si>
    <t>الكاش</t>
  </si>
  <si>
    <t>الاجل</t>
  </si>
  <si>
    <t>العميل</t>
  </si>
  <si>
    <t>اجمالي المبيعات</t>
  </si>
  <si>
    <t>المصاريف</t>
  </si>
  <si>
    <t>صافي الربح</t>
  </si>
  <si>
    <t>شريك</t>
  </si>
  <si>
    <t>اجمالي المشتريات</t>
  </si>
  <si>
    <t>اجمالي المصاريف</t>
  </si>
  <si>
    <t>اجمالي التحصيلات</t>
  </si>
  <si>
    <t>رصيد المخزن</t>
  </si>
  <si>
    <t>الفترة</t>
  </si>
  <si>
    <t>رصيد العملاء</t>
  </si>
  <si>
    <t xml:space="preserve"> المتبقى</t>
  </si>
  <si>
    <t xml:space="preserve"> المسدد / المحصل</t>
  </si>
  <si>
    <t xml:space="preserve"> الاجمالي</t>
  </si>
  <si>
    <t>سعر البيع للوحدة</t>
  </si>
  <si>
    <t>إجمالى المبيعات</t>
  </si>
  <si>
    <t>إجمالي المشتريات</t>
  </si>
  <si>
    <t>إجمالى المصروفات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</si>
  <si>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</si>
  <si>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</si>
  <si>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</si>
  <si>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</si>
  <si>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</si>
  <si>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</si>
  <si>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</si>
  <si>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</si>
  <si>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</si>
  <si>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</si>
  <si>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</si>
  <si>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</si>
  <si>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</si>
  <si>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</si>
  <si>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</si>
  <si>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</si>
  <si>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</si>
  <si>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</si>
  <si>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</si>
  <si>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</si>
  <si>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</si>
  <si>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</si>
  <si>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</si>
  <si>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</si>
  <si>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</si>
  <si>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</si>
  <si>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</si>
  <si>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</si>
  <si>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</si>
  <si>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</si>
  <si>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</si>
  <si>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</si>
  <si>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</si>
  <si>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</si>
  <si>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</si>
  <si>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</si>
  <si>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</si>
  <si>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</si>
  <si>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</si>
  <si>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</si>
  <si>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</si>
  <si>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</si>
  <si>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</si>
  <si>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</si>
  <si>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</si>
  <si>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</si>
  <si>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</si>
  <si>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</si>
  <si>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</si>
  <si>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</si>
  <si>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</si>
  <si>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</si>
  <si>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</si>
  <si>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</si>
  <si>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</si>
  <si>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</si>
  <si>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</si>
  <si>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</si>
  <si>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</si>
  <si>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</si>
  <si>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</si>
  <si>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</si>
  <si>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</si>
  <si>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</si>
  <si>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</si>
  <si>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</si>
  <si>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</si>
  <si>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</si>
  <si>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</si>
  <si>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</si>
  <si>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</si>
  <si>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</si>
  <si>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</si>
  <si>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</si>
  <si>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</si>
  <si>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</si>
  <si>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</si>
  <si>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</si>
  <si>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</si>
  <si>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</si>
  <si>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</si>
  <si>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</si>
  <si>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</si>
  <si>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</si>
  <si>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</si>
  <si>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</si>
  <si>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</si>
  <si>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</si>
  <si>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</si>
  <si>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</si>
  <si>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</si>
  <si>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</si>
  <si>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</si>
  <si>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</si>
  <si>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</si>
  <si>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</si>
  <si>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</si>
  <si>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</si>
  <si>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</si>
  <si>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</si>
  <si>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</si>
  <si>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</si>
  <si>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</si>
  <si>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</si>
  <si>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</si>
  <si>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</si>
  <si>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</si>
  <si>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</si>
  <si>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</si>
  <si>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</si>
  <si>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</si>
  <si>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</si>
  <si>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</si>
  <si>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</si>
  <si>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</si>
  <si>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</si>
  <si>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</si>
  <si>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</si>
  <si>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</si>
  <si>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</si>
  <si>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</si>
  <si>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</si>
  <si>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</si>
  <si>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</si>
  <si>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</si>
  <si>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</si>
  <si>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</si>
  <si>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</si>
  <si>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</si>
  <si>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</si>
  <si>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</si>
  <si>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</si>
  <si>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</si>
  <si>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</si>
  <si>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</si>
  <si>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</si>
  <si>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</si>
  <si>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</si>
  <si>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</si>
  <si>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</si>
  <si>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</si>
  <si>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</si>
  <si>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إجمالى الربح</t>
  </si>
  <si>
    <t>(All)</t>
  </si>
  <si>
    <t>اسم العميل</t>
  </si>
  <si>
    <t>إجمالي المبيعات الآجل</t>
  </si>
  <si>
    <t>إجمالي المسدد</t>
  </si>
  <si>
    <t>المتبقي</t>
  </si>
  <si>
    <t>Row Labels</t>
  </si>
  <si>
    <t>(blank)</t>
  </si>
  <si>
    <t>Grand Total</t>
  </si>
  <si>
    <t xml:space="preserve"> إجمالي المسدد</t>
  </si>
  <si>
    <t>إجمالي المبيعات الآجل.</t>
  </si>
  <si>
    <t xml:space="preserve"> المتبقي</t>
  </si>
  <si>
    <t>Jan</t>
  </si>
  <si>
    <t>Feb</t>
  </si>
  <si>
    <t>Mar</t>
  </si>
  <si>
    <t>May</t>
  </si>
  <si>
    <t>Aug</t>
  </si>
  <si>
    <t>Sep</t>
  </si>
  <si>
    <t>Oct</t>
  </si>
  <si>
    <t>Nov</t>
  </si>
  <si>
    <t>Dec</t>
  </si>
  <si>
    <t>المصروفات</t>
  </si>
  <si>
    <t>الربح</t>
  </si>
  <si>
    <t>Apr</t>
  </si>
  <si>
    <t>Jul</t>
  </si>
  <si>
    <t>Jun</t>
  </si>
  <si>
    <t>الاجمالى</t>
  </si>
  <si>
    <t>المجموع</t>
  </si>
  <si>
    <t>عدد المبيعات</t>
  </si>
  <si>
    <t>أجمالى الدخل</t>
  </si>
  <si>
    <t>صافى الربح</t>
  </si>
  <si>
    <t>%</t>
  </si>
  <si>
    <t>Dashboard</t>
  </si>
  <si>
    <t>مشتريات</t>
  </si>
  <si>
    <t>تكلفة البضاعة المباعة</t>
  </si>
  <si>
    <t>إجمالى التحصيلات</t>
  </si>
  <si>
    <t xml:space="preserve"> اجمالي التكلفة</t>
  </si>
  <si>
    <t>كمية أعادة الطلب</t>
  </si>
  <si>
    <t>الحالة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</si>
  <si>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</si>
  <si>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</si>
  <si>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</si>
  <si>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</si>
  <si>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</si>
  <si>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</si>
  <si>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</si>
  <si>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</si>
  <si>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</si>
  <si>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</si>
  <si>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</si>
  <si>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</si>
  <si>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</si>
  <si>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</si>
  <si>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</si>
  <si>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</si>
  <si>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</si>
  <si>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</si>
  <si>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</si>
  <si>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Clinet 1</t>
  </si>
  <si>
    <t>Clinet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</si>
  <si>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</si>
  <si>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</si>
  <si>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</si>
  <si>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</si>
  <si>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</si>
  <si>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</si>
  <si>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</si>
  <si>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</si>
  <si>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</si>
  <si>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</si>
  <si>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</si>
  <si>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</si>
  <si>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</si>
  <si>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</si>
  <si>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</si>
  <si>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</si>
  <si>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</si>
  <si>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</si>
  <si>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</si>
  <si>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</si>
  <si>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</si>
  <si>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</si>
  <si>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</si>
  <si>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</si>
  <si>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</si>
  <si>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</si>
  <si>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</si>
  <si>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</si>
  <si>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</si>
  <si>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</si>
  <si>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</si>
  <si>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</si>
  <si>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</si>
  <si>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</si>
  <si>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</si>
  <si>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</si>
  <si>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</si>
  <si>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</si>
  <si>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</si>
  <si>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</si>
  <si>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</si>
  <si>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</si>
  <si>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</si>
  <si>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</si>
  <si>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(Multiple Items)</t>
  </si>
  <si>
    <t>Client 1</t>
  </si>
  <si>
    <t>Client 2</t>
  </si>
  <si>
    <t>cleint 4</t>
  </si>
  <si>
    <t>cleint 5</t>
  </si>
  <si>
    <t>client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</si>
</sst>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dd/mm/yyyy;@"/>
    <numFmt numFmtId="167" formatCode="_(* #,##0_);_(* \(#,##0\);_(* &quot;-&quot;??_);_(@_)"/>
    <numFmt numFmtId="168" formatCode="[$-409]d\-mmm\-yyyy;@"/>
  </numFmts>
  <fonts count="3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6"/>
      <color theme="1"/>
      <name val="Calibri"/>
      <family val="2"/>
      <charset val="178"/>
      <scheme val="minor"/>
    </font>
    <font>
      <b/>
      <sz val="18"/>
      <color theme="0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8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charset val="178"/>
      <scheme val="minor"/>
    </font>
    <font>
      <sz val="16"/>
      <name val="Calibri"/>
      <family val="2"/>
      <charset val="178"/>
      <scheme val="minor"/>
    </font>
    <font>
      <b/>
      <sz val="16"/>
      <color theme="0"/>
      <name val="Calibri"/>
      <family val="2"/>
      <scheme val="minor"/>
    </font>
    <font>
      <b/>
      <u/>
      <sz val="18"/>
      <color theme="0"/>
      <name val="Calibri"/>
      <family val="2"/>
    </font>
    <font>
      <sz val="8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ck">
        <color indexed="64"/>
      </left>
      <right style="mediumDashed">
        <color indexed="64"/>
      </right>
      <top style="thick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thick">
        <color indexed="64"/>
      </top>
      <bottom style="mediumDashed">
        <color indexed="64"/>
      </bottom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 style="mediumDashed">
        <color indexed="64"/>
      </bottom>
      <diagonal/>
    </border>
    <border>
      <left style="thick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thick">
        <color indexed="64"/>
      </right>
      <top style="mediumDashed">
        <color indexed="64"/>
      </top>
      <bottom style="mediumDashed">
        <color indexed="64"/>
      </bottom>
      <diagonal/>
    </border>
    <border>
      <left style="thick">
        <color indexed="64"/>
      </left>
      <right style="mediumDashed">
        <color indexed="64"/>
      </right>
      <top style="mediumDashed">
        <color indexed="64"/>
      </top>
      <bottom style="thick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 style="mediumDashed">
        <color indexed="64"/>
      </top>
      <bottom style="thick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/>
    <xf numFmtId="165" fontId="7" fillId="0" borderId="0" xfId="1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3" fillId="6" borderId="7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/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1" fillId="6" borderId="4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38" fontId="12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4" fillId="0" borderId="0" xfId="1" applyFont="1"/>
    <xf numFmtId="0" fontId="14" fillId="0" borderId="0" xfId="0" applyFont="1"/>
    <xf numFmtId="38" fontId="5" fillId="0" borderId="0" xfId="1" applyNumberFormat="1" applyFont="1"/>
    <xf numFmtId="38" fontId="13" fillId="0" borderId="0" xfId="1" applyNumberFormat="1" applyFont="1" applyBorder="1" applyAlignment="1">
      <alignment horizontal="right" vertical="center"/>
    </xf>
    <xf numFmtId="38" fontId="12" fillId="0" borderId="0" xfId="1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8" fontId="0" fillId="0" borderId="1" xfId="1" applyNumberFormat="1" applyFont="1" applyBorder="1" applyAlignment="1">
      <alignment horizontal="center" vertical="center"/>
    </xf>
    <xf numFmtId="40" fontId="0" fillId="0" borderId="1" xfId="1" applyNumberFormat="1" applyFont="1" applyBorder="1" applyAlignment="1">
      <alignment horizontal="center" vertical="center"/>
    </xf>
    <xf numFmtId="9" fontId="0" fillId="0" borderId="0" xfId="4" applyFont="1"/>
    <xf numFmtId="43" fontId="0" fillId="0" borderId="0" xfId="0" applyNumberFormat="1"/>
    <xf numFmtId="167" fontId="0" fillId="0" borderId="0" xfId="0" applyNumberFormat="1"/>
    <xf numFmtId="165" fontId="7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/>
    <xf numFmtId="164" fontId="16" fillId="0" borderId="0" xfId="1" applyFont="1" applyAlignment="1">
      <alignment horizontal="center"/>
    </xf>
    <xf numFmtId="0" fontId="0" fillId="0" borderId="1" xfId="0" applyBorder="1" applyAlignment="1">
      <alignment horizontal="right"/>
    </xf>
    <xf numFmtId="165" fontId="7" fillId="0" borderId="1" xfId="1" applyNumberFormat="1" applyFont="1" applyFill="1" applyBorder="1"/>
    <xf numFmtId="9" fontId="16" fillId="0" borderId="0" xfId="4" applyFont="1" applyAlignment="1">
      <alignment horizontal="center"/>
    </xf>
    <xf numFmtId="0" fontId="17" fillId="0" borderId="0" xfId="0" applyFont="1"/>
    <xf numFmtId="166" fontId="17" fillId="0" borderId="1" xfId="0" applyNumberFormat="1" applyFont="1" applyBorder="1"/>
    <xf numFmtId="0" fontId="15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5" fontId="18" fillId="0" borderId="0" xfId="1" applyNumberFormat="1" applyFont="1"/>
    <xf numFmtId="9" fontId="2" fillId="0" borderId="0" xfId="4" applyFont="1" applyAlignment="1">
      <alignment horizontal="center"/>
    </xf>
    <xf numFmtId="165" fontId="15" fillId="11" borderId="0" xfId="1" applyNumberFormat="1" applyFont="1" applyFill="1" applyAlignment="1">
      <alignment horizontal="center" vertical="center"/>
    </xf>
    <xf numFmtId="9" fontId="15" fillId="11" borderId="0" xfId="4" applyFont="1" applyFill="1" applyAlignment="1">
      <alignment horizontal="center" vertical="center"/>
    </xf>
    <xf numFmtId="166" fontId="17" fillId="4" borderId="1" xfId="0" applyNumberFormat="1" applyFont="1" applyFill="1" applyBorder="1"/>
    <xf numFmtId="165" fontId="8" fillId="5" borderId="1" xfId="1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38" fontId="13" fillId="0" borderId="1" xfId="1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38" fontId="12" fillId="0" borderId="1" xfId="1" applyNumberFormat="1" applyFont="1" applyBorder="1" applyAlignment="1">
      <alignment horizontal="right" vertical="center"/>
    </xf>
    <xf numFmtId="0" fontId="19" fillId="0" borderId="1" xfId="0" applyFont="1" applyBorder="1"/>
    <xf numFmtId="0" fontId="20" fillId="0" borderId="1" xfId="0" applyFont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38" fontId="20" fillId="0" borderId="1" xfId="1" applyNumberFormat="1" applyFont="1" applyFill="1" applyBorder="1" applyAlignment="1">
      <alignment horizontal="right" vertical="center"/>
    </xf>
    <xf numFmtId="0" fontId="19" fillId="0" borderId="1" xfId="0" applyFont="1" applyBorder="1" applyAlignment="1">
      <alignment horizontal="right"/>
    </xf>
    <xf numFmtId="38" fontId="20" fillId="0" borderId="1" xfId="1" applyNumberFormat="1" applyFont="1" applyBorder="1" applyAlignment="1">
      <alignment horizontal="right" vertical="center"/>
    </xf>
    <xf numFmtId="0" fontId="22" fillId="1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8" fontId="12" fillId="0" borderId="0" xfId="0" applyNumberFormat="1" applyFont="1" applyAlignment="1">
      <alignment horizontal="center"/>
    </xf>
    <xf numFmtId="38" fontId="20" fillId="0" borderId="1" xfId="1" applyNumberFormat="1" applyFont="1" applyFill="1" applyBorder="1" applyAlignment="1">
      <alignment horizontal="center"/>
    </xf>
    <xf numFmtId="165" fontId="20" fillId="0" borderId="1" xfId="1" applyNumberFormat="1" applyFont="1" applyFill="1" applyBorder="1" applyAlignment="1">
      <alignment horizontal="center"/>
    </xf>
    <xf numFmtId="38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9" fillId="0" borderId="1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38" fontId="23" fillId="0" borderId="1" xfId="0" applyNumberFormat="1" applyFont="1" applyBorder="1" applyAlignment="1">
      <alignment horizontal="center" vertical="center"/>
    </xf>
    <xf numFmtId="38" fontId="21" fillId="0" borderId="0" xfId="0" applyNumberFormat="1" applyFont="1" applyAlignment="1">
      <alignment horizontal="center" vertical="center"/>
    </xf>
    <xf numFmtId="38" fontId="21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/>
    <xf numFmtId="0" fontId="25" fillId="12" borderId="1" xfId="0" applyFont="1" applyFill="1" applyBorder="1" applyAlignment="1">
      <alignment horizontal="center" vertical="center"/>
    </xf>
    <xf numFmtId="38" fontId="25" fillId="12" borderId="1" xfId="0" applyNumberFormat="1" applyFont="1" applyFill="1" applyBorder="1" applyAlignment="1">
      <alignment horizontal="center" vertical="center"/>
    </xf>
    <xf numFmtId="165" fontId="25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right"/>
    </xf>
    <xf numFmtId="0" fontId="14" fillId="0" borderId="1" xfId="0" pivotButton="1" applyFont="1" applyBorder="1"/>
    <xf numFmtId="0" fontId="14" fillId="0" borderId="1" xfId="0" applyFont="1" applyBorder="1" applyAlignment="1">
      <alignment horizontal="right"/>
    </xf>
    <xf numFmtId="0" fontId="24" fillId="14" borderId="1" xfId="0" applyFont="1" applyFill="1" applyBorder="1" applyAlignment="1">
      <alignment horizontal="center" vertical="center"/>
    </xf>
    <xf numFmtId="38" fontId="14" fillId="0" borderId="1" xfId="0" applyNumberFormat="1" applyFont="1" applyBorder="1" applyAlignment="1">
      <alignment horizontal="center" vertical="center"/>
    </xf>
    <xf numFmtId="164" fontId="26" fillId="14" borderId="0" xfId="1" applyFont="1" applyFill="1" applyAlignment="1">
      <alignment horizontal="center" vertical="center"/>
    </xf>
    <xf numFmtId="38" fontId="27" fillId="15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/>
    </xf>
    <xf numFmtId="165" fontId="7" fillId="0" borderId="11" xfId="1" applyNumberFormat="1" applyFont="1" applyFill="1" applyBorder="1"/>
    <xf numFmtId="0" fontId="13" fillId="0" borderId="1" xfId="0" applyFont="1" applyBorder="1"/>
    <xf numFmtId="0" fontId="0" fillId="0" borderId="0" xfId="0" applyAlignment="1">
      <alignment horizontal="left" vertical="center" indent="2"/>
    </xf>
    <xf numFmtId="0" fontId="29" fillId="16" borderId="1" xfId="0" applyFont="1" applyFill="1" applyBorder="1"/>
    <xf numFmtId="0" fontId="29" fillId="16" borderId="1" xfId="0" applyFont="1" applyFill="1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0" fontId="29" fillId="16" borderId="11" xfId="0" applyFont="1" applyFill="1" applyBorder="1"/>
    <xf numFmtId="0" fontId="7" fillId="17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10" fillId="18" borderId="0" xfId="0" applyFont="1" applyFill="1" applyAlignment="1">
      <alignment horizontal="center" vertical="center"/>
    </xf>
    <xf numFmtId="0" fontId="6" fillId="10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10" fillId="20" borderId="0" xfId="0" applyFont="1" applyFill="1" applyAlignment="1">
      <alignment horizontal="center"/>
    </xf>
    <xf numFmtId="0" fontId="6" fillId="17" borderId="0" xfId="0" applyFont="1" applyFill="1" applyBorder="1" applyAlignment="1">
      <alignment horizontal="center"/>
    </xf>
    <xf numFmtId="0" fontId="0" fillId="17" borderId="0" xfId="0" applyFill="1"/>
    <xf numFmtId="0" fontId="0" fillId="10" borderId="0" xfId="0" applyFill="1"/>
    <xf numFmtId="0" fontId="3" fillId="16" borderId="0" xfId="0" applyFont="1" applyFill="1"/>
    <xf numFmtId="38" fontId="0" fillId="0" borderId="12" xfId="0" applyNumberFormat="1" applyBorder="1" applyAlignment="1">
      <alignment horizontal="center"/>
    </xf>
    <xf numFmtId="168" fontId="0" fillId="0" borderId="0" xfId="0" applyNumberFormat="1"/>
    <xf numFmtId="168" fontId="3" fillId="7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/>
    <xf numFmtId="0" fontId="1" fillId="17" borderId="0" xfId="0" applyFont="1" applyFill="1" applyAlignment="1">
      <alignment horizontal="right"/>
    </xf>
    <xf numFmtId="0" fontId="1" fillId="17" borderId="0" xfId="0" applyFont="1" applyFill="1" applyAlignment="1">
      <alignment horizontal="center"/>
    </xf>
    <xf numFmtId="0" fontId="1" fillId="10" borderId="0" xfId="0" applyFont="1" applyFill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" xfId="0" applyBorder="1"/>
    <xf numFmtId="0" fontId="10" fillId="16" borderId="1" xfId="0" applyFont="1" applyFill="1" applyBorder="1"/>
    <xf numFmtId="0" fontId="10" fillId="16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0" borderId="1" xfId="0" applyFill="1" applyBorder="1"/>
    <xf numFmtId="0" fontId="0" fillId="18" borderId="0" xfId="0" applyFill="1"/>
    <xf numFmtId="168" fontId="12" fillId="0" borderId="0" xfId="0" applyNumberFormat="1" applyFont="1" applyProtection="1">
      <protection locked="0"/>
    </xf>
    <xf numFmtId="168" fontId="19" fillId="0" borderId="1" xfId="0" applyNumberFormat="1" applyFont="1" applyBorder="1" applyProtection="1">
      <protection locked="0"/>
    </xf>
    <xf numFmtId="168" fontId="12" fillId="0" borderId="1" xfId="0" applyNumberFormat="1" applyFont="1" applyBorder="1" applyProtection="1">
      <protection locked="0"/>
    </xf>
    <xf numFmtId="168" fontId="30" fillId="16" borderId="1" xfId="0" applyNumberFormat="1" applyFont="1" applyFill="1" applyBorder="1" applyAlignment="1" applyProtection="1">
      <alignment horizontal="center" vertical="center"/>
      <protection locked="0"/>
    </xf>
    <xf numFmtId="38" fontId="30" fillId="16" borderId="1" xfId="0" applyNumberFormat="1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38" fontId="30" fillId="16" borderId="1" xfId="1" applyNumberFormat="1" applyFont="1" applyFill="1" applyBorder="1" applyAlignment="1">
      <alignment horizontal="center" vertical="center"/>
    </xf>
    <xf numFmtId="0" fontId="31" fillId="0" borderId="0" xfId="0" applyFont="1"/>
    <xf numFmtId="0" fontId="3" fillId="16" borderId="0" xfId="0" applyFont="1" applyFill="1" applyAlignment="1">
      <alignment horizontal="right"/>
    </xf>
    <xf numFmtId="0" fontId="3" fillId="16" borderId="0" xfId="0" applyFont="1" applyFill="1" applyAlignment="1">
      <alignment horizontal="center"/>
    </xf>
    <xf numFmtId="38" fontId="2" fillId="13" borderId="0" xfId="0" applyNumberFormat="1" applyFont="1" applyFill="1" applyAlignment="1">
      <alignment horizontal="center" vertical="center"/>
    </xf>
    <xf numFmtId="164" fontId="2" fillId="13" borderId="0" xfId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2" fillId="10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0" borderId="1" xfId="0" applyFont="1" applyBorder="1"/>
    <xf numFmtId="38" fontId="14" fillId="0" borderId="1" xfId="0" applyNumberFormat="1" applyFont="1" applyBorder="1"/>
  </cellXfs>
  <cellStyles count="5">
    <cellStyle name="Comma" xfId="1" builtinId="3"/>
    <cellStyle name="Comma 2" xfId="3" xr:uid="{00000000-0005-0000-0000-000002000000}"/>
    <cellStyle name="Normal" xfId="0" builtinId="0"/>
    <cellStyle name="Normal 2" xfId="2" xr:uid="{00000000-0005-0000-0000-000004000000}"/>
    <cellStyle name="Percent" xfId="4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ont>
        <color auto="1"/>
      </font>
    </dxf>
    <dxf>
      <font>
        <color auto="1"/>
      </font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_-* #,##0\-;_-* &quot;-&quot;??_-;_-@_-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تحليل</a:t>
            </a:r>
            <a:r>
              <a:rPr lang="ar-EG" baseline="0"/>
              <a:t> المبيعات والارباح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Dashboard!$B$35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Dashboard!$A$36:$A$47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Dashboard!$B$36:$B$47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16550</c:v>
                </c:pt>
                <c:pt idx="6">
                  <c:v>528080</c:v>
                </c:pt>
                <c:pt idx="7">
                  <c:v>12225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3-4652-91F6-62DF2F0FC29D}"/>
            </c:ext>
          </c:extLst>
        </c:ser>
        <c:ser>
          <c:idx val="1"/>
          <c:order val="1"/>
          <c:tx>
            <c:strRef>
              <c:f>Dashboard!$C$35</c:f>
              <c:strCache>
                <c:ptCount val="1"/>
                <c:pt idx="0">
                  <c:v>المصروفات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Dashboard!$A$36:$A$47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Dashboard!$C$36:$C$47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3-4652-91F6-62DF2F0FC29D}"/>
            </c:ext>
          </c:extLst>
        </c:ser>
        <c:ser>
          <c:idx val="2"/>
          <c:order val="2"/>
          <c:tx>
            <c:strRef>
              <c:f>Dashboard!$E$35</c:f>
              <c:strCache>
                <c:ptCount val="1"/>
                <c:pt idx="0">
                  <c:v>الربح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Dashboard!$A$36:$A$47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Dashboard!$E$36:$E$47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-2000</c:v>
                </c:pt>
                <c:pt idx="5">
                  <c:v>16550</c:v>
                </c:pt>
                <c:pt idx="6">
                  <c:v>528080</c:v>
                </c:pt>
                <c:pt idx="7">
                  <c:v>10475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3-4652-91F6-62DF2F0FC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958495"/>
        <c:axId val="1090977215"/>
      </c:barChart>
      <c:catAx>
        <c:axId val="109095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77215"/>
        <c:crosses val="autoZero"/>
        <c:auto val="1"/>
        <c:lblAlgn val="ctr"/>
        <c:lblOffset val="100"/>
        <c:noMultiLvlLbl val="0"/>
      </c:catAx>
      <c:valAx>
        <c:axId val="10909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5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Dashboard!$E$35</c:f>
              <c:strCache>
                <c:ptCount val="1"/>
                <c:pt idx="0">
                  <c:v>الربح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Dashboard!$A$36:$A$47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Dashboard!$E$36:$E$47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-2000</c:v>
                </c:pt>
                <c:pt idx="5">
                  <c:v>16550</c:v>
                </c:pt>
                <c:pt idx="6">
                  <c:v>528080</c:v>
                </c:pt>
                <c:pt idx="7">
                  <c:v>10475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0-49BF-9EC4-229EE5B638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0924895"/>
        <c:axId val="1090927295"/>
      </c:lineChart>
      <c:catAx>
        <c:axId val="10909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27295"/>
        <c:crosses val="autoZero"/>
        <c:auto val="1"/>
        <c:lblAlgn val="ctr"/>
        <c:lblOffset val="100"/>
        <c:noMultiLvlLbl val="0"/>
      </c:catAx>
      <c:valAx>
        <c:axId val="10909272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crossAx val="109092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عدد المبيعات</a:t>
            </a:r>
            <a:r>
              <a:rPr lang="en-US"/>
              <a:t> </a:t>
            </a:r>
            <a:r>
              <a:rPr lang="ar-EG"/>
              <a:t>لكل</a:t>
            </a:r>
            <a:r>
              <a:rPr lang="ar-EG" baseline="0"/>
              <a:t> تصنيف</a:t>
            </a:r>
            <a:endParaRPr lang="ar-E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Dashboard!$B$50</c:f>
              <c:strCache>
                <c:ptCount val="1"/>
                <c:pt idx="0">
                  <c:v>عدد المبيعات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Dashboard!$A$51:$A$53</c:f>
              <c:strCache>
                <c:ptCount val="3"/>
                <c:pt idx="0">
                  <c:v>بطارية</c:v>
                </c:pt>
                <c:pt idx="1">
                  <c:v>كاوتش</c:v>
                </c:pt>
                <c:pt idx="2">
                  <c:v>قطع غيار</c:v>
                </c:pt>
              </c:strCache>
            </c:strRef>
          </c:cat>
          <c:val>
            <c:numRef>
              <c:f>Dashboard!$B$51:$B$53</c:f>
              <c:numCache>
                <c:formatCode>General</c:formatCode>
                <c:ptCount val="3"/>
                <c:pt idx="0">
                  <c:v>35</c:v>
                </c:pt>
                <c:pt idx="1">
                  <c:v>94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220-8FD3-7CA8486E9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415456"/>
        <c:axId val="423414016"/>
      </c:barChart>
      <c:catAx>
        <c:axId val="4234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14016"/>
        <c:crosses val="autoZero"/>
        <c:auto val="1"/>
        <c:lblAlgn val="ctr"/>
        <c:lblOffset val="100"/>
        <c:noMultiLvlLbl val="0"/>
      </c:catAx>
      <c:valAx>
        <c:axId val="4234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1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أجمالى الدخل مقابل صافى</a:t>
            </a:r>
            <a:r>
              <a:rPr lang="ar-EG" baseline="0"/>
              <a:t> الربح لكل تصنيف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Dashboard!$C$50</c:f>
              <c:strCache>
                <c:ptCount val="1"/>
                <c:pt idx="0">
                  <c:v>أجمالى الدخل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Dashboard!$A$51:$A$53</c:f>
              <c:strCache>
                <c:ptCount val="3"/>
                <c:pt idx="0">
                  <c:v>بطارية</c:v>
                </c:pt>
                <c:pt idx="1">
                  <c:v>كاوتش</c:v>
                </c:pt>
                <c:pt idx="2">
                  <c:v>قطع غيار</c:v>
                </c:pt>
              </c:strCache>
            </c:strRef>
          </c:cat>
          <c:val>
            <c:numRef>
              <c:f>Dashboard!$C$51:$C$53</c:f>
              <c:numCache>
                <c:formatCode>General</c:formatCode>
                <c:ptCount val="3"/>
                <c:pt idx="0">
                  <c:v>68650</c:v>
                </c:pt>
                <c:pt idx="1">
                  <c:v>336100</c:v>
                </c:pt>
                <c:pt idx="2">
                  <c:v>154280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6-4245-8D80-89D0E797F93C}"/>
            </c:ext>
          </c:extLst>
        </c:ser>
        <c:ser>
          <c:idx val="1"/>
          <c:order val="1"/>
          <c:tx>
            <c:strRef>
              <c:f>Dashboard!$D$50</c:f>
              <c:strCache>
                <c:ptCount val="1"/>
                <c:pt idx="0">
                  <c:v>صافى الربح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Dashboard!$A$51:$A$53</c:f>
              <c:strCache>
                <c:ptCount val="3"/>
                <c:pt idx="0">
                  <c:v>بطارية</c:v>
                </c:pt>
                <c:pt idx="1">
                  <c:v>كاوتش</c:v>
                </c:pt>
                <c:pt idx="2">
                  <c:v>قطع غيار</c:v>
                </c:pt>
              </c:strCache>
            </c:strRef>
          </c:cat>
          <c:val>
            <c:numRef>
              <c:f>Dashboard!$D$51:$D$53</c:f>
              <c:numCache>
                <c:formatCode>General</c:formatCode>
                <c:ptCount val="3"/>
                <c:pt idx="0">
                  <c:v>55945</c:v>
                </c:pt>
                <c:pt idx="1">
                  <c:v>323570</c:v>
                </c:pt>
                <c:pt idx="2">
                  <c:v>80007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6-4245-8D80-89D0E797F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7289808"/>
        <c:axId val="417290768"/>
      </c:barChart>
      <c:catAx>
        <c:axId val="41728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90768"/>
        <c:crosses val="autoZero"/>
        <c:auto val="1"/>
        <c:lblAlgn val="ctr"/>
        <c:lblOffset val="100"/>
        <c:noMultiLvlLbl val="0"/>
      </c:catAx>
      <c:valAx>
        <c:axId val="4172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8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Dashboard!$D$50</c:f>
              <c:strCache>
                <c:ptCount val="1"/>
                <c:pt idx="0">
                  <c:v>صافى الربح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F5-44CF-8FB0-943CBF1C2D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F5-44CF-8FB0-943CBF1C2D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F5-44CF-8FB0-943CBF1C2D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Dashboard!$A$51:$A$53</c:f>
              <c:strCache>
                <c:ptCount val="3"/>
                <c:pt idx="0">
                  <c:v>بطارية</c:v>
                </c:pt>
                <c:pt idx="1">
                  <c:v>كاوتش</c:v>
                </c:pt>
                <c:pt idx="2">
                  <c:v>قطع غيار</c:v>
                </c:pt>
              </c:strCache>
            </c:strRef>
          </c:cat>
          <c:val>
            <c:numRef>
              <c:f>Dashboard!$D$51:$D$53</c:f>
              <c:numCache>
                <c:formatCode>General</c:formatCode>
                <c:ptCount val="3"/>
                <c:pt idx="0">
                  <c:v>55945</c:v>
                </c:pt>
                <c:pt idx="1">
                  <c:v>323570</c:v>
                </c:pt>
                <c:pt idx="2">
                  <c:v>80007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B-41B0-ACF7-DC138A3018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[Sample_data.xlsx]المشتريات!PivotTable2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المشتريات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المشتريات!$AP$1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المشتريات!$AO$2:$AO$4</c:f>
              <c:strCache>
                <c:ptCount val="2"/>
                <c:pt idx="0">
                  <c:v>اكصدام امامى</c:v>
                </c:pt>
                <c:pt idx="1">
                  <c:v>بطارية كلورايد 70 نسر</c:v>
                </c:pt>
              </c:strCache>
            </c:strRef>
          </c:cat>
          <c:val>
            <c:numRef>
              <c:f>المشتريات!$AP$2:$AP$4</c:f>
              <c:numCache>
                <c:formatCode>General</c:formatCode>
                <c:ptCount val="2"/>
                <c:pt idx="0">
                  <c:v>2000</c:v>
                </c:pt>
                <c:pt idx="1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3-497C-8F09-993441B830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7868832"/>
        <c:axId val="2047872192"/>
      </c:barChart>
      <c:catAx>
        <c:axId val="20478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72192"/>
        <c:crosses val="autoZero"/>
        <c:auto val="1"/>
        <c:lblAlgn val="ctr"/>
        <c:lblOffset val="100"/>
        <c:noMultiLvlLbl val="0"/>
      </c:catAx>
      <c:valAx>
        <c:axId val="2047872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786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[Sample_data.xlsx]⁠حسابات عملاء!PivotTable1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'⁠حسابات عملاء'!$AQ$1</c:f>
              <c:strCache>
                <c:ptCount val="1"/>
                <c:pt idx="0">
                  <c:v> إجمالي المسدد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'⁠حسابات عملاء'!$AP$2:$AP$22</c:f>
              <c:strCache>
                <c:ptCount val="20"/>
                <c:pt idx="0">
                  <c:v>احمد ابوحطب</c:v>
                </c:pt>
                <c:pt idx="1">
                  <c:v>احمد سعيد</c:v>
                </c:pt>
                <c:pt idx="2">
                  <c:v>احمد عبد الله شبين</c:v>
                </c:pt>
                <c:pt idx="3">
                  <c:v>احمد ماهر</c:v>
                </c:pt>
                <c:pt idx="4">
                  <c:v>الحاج رفعت</c:v>
                </c:pt>
                <c:pt idx="5">
                  <c:v>زياد وحيد</c:v>
                </c:pt>
                <c:pt idx="6">
                  <c:v>سيد الزهار</c:v>
                </c:pt>
                <c:pt idx="7">
                  <c:v>سيد حمائى</c:v>
                </c:pt>
                <c:pt idx="8">
                  <c:v>سيد كشرى</c:v>
                </c:pt>
                <c:pt idx="9">
                  <c:v>عادل نظير</c:v>
                </c:pt>
                <c:pt idx="10">
                  <c:v>عم عجيبة</c:v>
                </c:pt>
                <c:pt idx="11">
                  <c:v>كريم العجل</c:v>
                </c:pt>
                <c:pt idx="12">
                  <c:v>محمد اشرف</c:v>
                </c:pt>
                <c:pt idx="13">
                  <c:v>محمد ذكى</c:v>
                </c:pt>
                <c:pt idx="14">
                  <c:v>محمد راس</c:v>
                </c:pt>
                <c:pt idx="15">
                  <c:v>محمود عطيه</c:v>
                </c:pt>
                <c:pt idx="16">
                  <c:v>ممدوح خيشة</c:v>
                </c:pt>
                <c:pt idx="17">
                  <c:v>مؤمن الميكا</c:v>
                </c:pt>
                <c:pt idx="18">
                  <c:v>ميدو بسيونى</c:v>
                </c:pt>
                <c:pt idx="19">
                  <c:v>(blank)</c:v>
                </c:pt>
              </c:strCache>
            </c:strRef>
          </c:cat>
          <c:val>
            <c:numRef>
              <c:f>'⁠حسابات عملاء'!$AQ$2:$AQ$22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8-4E66-93E8-44FC896DC929}"/>
            </c:ext>
          </c:extLst>
        </c:ser>
        <c:ser>
          <c:idx val="1"/>
          <c:order val="1"/>
          <c:tx>
            <c:strRef>
              <c:f>'⁠حسابات عملاء'!$AR$1</c:f>
              <c:strCache>
                <c:ptCount val="1"/>
                <c:pt idx="0">
                  <c:v>إجمالي المبيعات الآجل.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'⁠حسابات عملاء'!$AP$2:$AP$22</c:f>
              <c:strCache>
                <c:ptCount val="20"/>
                <c:pt idx="0">
                  <c:v>احمد ابوحطب</c:v>
                </c:pt>
                <c:pt idx="1">
                  <c:v>احمد سعيد</c:v>
                </c:pt>
                <c:pt idx="2">
                  <c:v>احمد عبد الله شبين</c:v>
                </c:pt>
                <c:pt idx="3">
                  <c:v>احمد ماهر</c:v>
                </c:pt>
                <c:pt idx="4">
                  <c:v>الحاج رفعت</c:v>
                </c:pt>
                <c:pt idx="5">
                  <c:v>زياد وحيد</c:v>
                </c:pt>
                <c:pt idx="6">
                  <c:v>سيد الزهار</c:v>
                </c:pt>
                <c:pt idx="7">
                  <c:v>سيد حمائى</c:v>
                </c:pt>
                <c:pt idx="8">
                  <c:v>سيد كشرى</c:v>
                </c:pt>
                <c:pt idx="9">
                  <c:v>عادل نظير</c:v>
                </c:pt>
                <c:pt idx="10">
                  <c:v>عم عجيبة</c:v>
                </c:pt>
                <c:pt idx="11">
                  <c:v>كريم العجل</c:v>
                </c:pt>
                <c:pt idx="12">
                  <c:v>محمد اشرف</c:v>
                </c:pt>
                <c:pt idx="13">
                  <c:v>محمد ذكى</c:v>
                </c:pt>
                <c:pt idx="14">
                  <c:v>محمد راس</c:v>
                </c:pt>
                <c:pt idx="15">
                  <c:v>محمود عطيه</c:v>
                </c:pt>
                <c:pt idx="16">
                  <c:v>ممدوح خيشة</c:v>
                </c:pt>
                <c:pt idx="17">
                  <c:v>مؤمن الميكا</c:v>
                </c:pt>
                <c:pt idx="18">
                  <c:v>ميدو بسيونى</c:v>
                </c:pt>
                <c:pt idx="19">
                  <c:v>(blank)</c:v>
                </c:pt>
              </c:strCache>
            </c:strRef>
          </c:cat>
          <c:val>
            <c:numRef>
              <c:f>'⁠حسابات عملاء'!$AR$2:$AR$22</c:f>
              <c:numCache>
                <c:formatCode>General</c:formatCode>
                <c:ptCount val="20"/>
                <c:pt idx="0">
                  <c:v>9550</c:v>
                </c:pt>
                <c:pt idx="1">
                  <c:v>2850</c:v>
                </c:pt>
                <c:pt idx="2">
                  <c:v>18450</c:v>
                </c:pt>
                <c:pt idx="3">
                  <c:v>3050</c:v>
                </c:pt>
                <c:pt idx="4">
                  <c:v>7950</c:v>
                </c:pt>
                <c:pt idx="5">
                  <c:v>1950</c:v>
                </c:pt>
                <c:pt idx="6">
                  <c:v>5150</c:v>
                </c:pt>
                <c:pt idx="7">
                  <c:v>20000</c:v>
                </c:pt>
                <c:pt idx="8">
                  <c:v>33550</c:v>
                </c:pt>
                <c:pt idx="9">
                  <c:v>7950</c:v>
                </c:pt>
                <c:pt idx="10">
                  <c:v>5050</c:v>
                </c:pt>
                <c:pt idx="11">
                  <c:v>8000</c:v>
                </c:pt>
                <c:pt idx="12">
                  <c:v>17150</c:v>
                </c:pt>
                <c:pt idx="13">
                  <c:v>4200</c:v>
                </c:pt>
                <c:pt idx="14">
                  <c:v>9750</c:v>
                </c:pt>
                <c:pt idx="15">
                  <c:v>17650</c:v>
                </c:pt>
                <c:pt idx="16">
                  <c:v>3800</c:v>
                </c:pt>
                <c:pt idx="17">
                  <c:v>2500</c:v>
                </c:pt>
                <c:pt idx="18">
                  <c:v>9350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8-4E66-93E8-44FC896DC929}"/>
            </c:ext>
          </c:extLst>
        </c:ser>
        <c:ser>
          <c:idx val="2"/>
          <c:order val="2"/>
          <c:tx>
            <c:strRef>
              <c:f>'⁠حسابات عملاء'!$AS$1</c:f>
              <c:strCache>
                <c:ptCount val="1"/>
                <c:pt idx="0">
                  <c:v> المتبقي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'⁠حسابات عملاء'!$AP$2:$AP$22</c:f>
              <c:strCache>
                <c:ptCount val="20"/>
                <c:pt idx="0">
                  <c:v>احمد ابوحطب</c:v>
                </c:pt>
                <c:pt idx="1">
                  <c:v>احمد سعيد</c:v>
                </c:pt>
                <c:pt idx="2">
                  <c:v>احمد عبد الله شبين</c:v>
                </c:pt>
                <c:pt idx="3">
                  <c:v>احمد ماهر</c:v>
                </c:pt>
                <c:pt idx="4">
                  <c:v>الحاج رفعت</c:v>
                </c:pt>
                <c:pt idx="5">
                  <c:v>زياد وحيد</c:v>
                </c:pt>
                <c:pt idx="6">
                  <c:v>سيد الزهار</c:v>
                </c:pt>
                <c:pt idx="7">
                  <c:v>سيد حمائى</c:v>
                </c:pt>
                <c:pt idx="8">
                  <c:v>سيد كشرى</c:v>
                </c:pt>
                <c:pt idx="9">
                  <c:v>عادل نظير</c:v>
                </c:pt>
                <c:pt idx="10">
                  <c:v>عم عجيبة</c:v>
                </c:pt>
                <c:pt idx="11">
                  <c:v>كريم العجل</c:v>
                </c:pt>
                <c:pt idx="12">
                  <c:v>محمد اشرف</c:v>
                </c:pt>
                <c:pt idx="13">
                  <c:v>محمد ذكى</c:v>
                </c:pt>
                <c:pt idx="14">
                  <c:v>محمد راس</c:v>
                </c:pt>
                <c:pt idx="15">
                  <c:v>محمود عطيه</c:v>
                </c:pt>
                <c:pt idx="16">
                  <c:v>ممدوح خيشة</c:v>
                </c:pt>
                <c:pt idx="17">
                  <c:v>مؤمن الميكا</c:v>
                </c:pt>
                <c:pt idx="18">
                  <c:v>ميدو بسيونى</c:v>
                </c:pt>
                <c:pt idx="19">
                  <c:v>(blank)</c:v>
                </c:pt>
              </c:strCache>
            </c:strRef>
          </c:cat>
          <c:val>
            <c:numRef>
              <c:f>'⁠حسابات عملاء'!$AS$2:$AS$22</c:f>
              <c:numCache>
                <c:formatCode>General</c:formatCode>
                <c:ptCount val="20"/>
                <c:pt idx="0">
                  <c:v>9550</c:v>
                </c:pt>
                <c:pt idx="1">
                  <c:v>2850</c:v>
                </c:pt>
                <c:pt idx="2">
                  <c:v>18450</c:v>
                </c:pt>
                <c:pt idx="3">
                  <c:v>3050</c:v>
                </c:pt>
                <c:pt idx="4">
                  <c:v>7950</c:v>
                </c:pt>
                <c:pt idx="5">
                  <c:v>1950</c:v>
                </c:pt>
                <c:pt idx="6">
                  <c:v>5150</c:v>
                </c:pt>
                <c:pt idx="7">
                  <c:v>20000</c:v>
                </c:pt>
                <c:pt idx="8">
                  <c:v>33550</c:v>
                </c:pt>
                <c:pt idx="9">
                  <c:v>7950</c:v>
                </c:pt>
                <c:pt idx="10">
                  <c:v>5050</c:v>
                </c:pt>
                <c:pt idx="11">
                  <c:v>8000</c:v>
                </c:pt>
                <c:pt idx="12">
                  <c:v>17150</c:v>
                </c:pt>
                <c:pt idx="13">
                  <c:v>4200</c:v>
                </c:pt>
                <c:pt idx="14">
                  <c:v>9750</c:v>
                </c:pt>
                <c:pt idx="15">
                  <c:v>17650</c:v>
                </c:pt>
                <c:pt idx="16">
                  <c:v>3800</c:v>
                </c:pt>
                <c:pt idx="17">
                  <c:v>2500</c:v>
                </c:pt>
                <c:pt idx="18">
                  <c:v>9350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8-4E66-93E8-44FC896D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0952735"/>
        <c:axId val="1090935455"/>
      </c:barChart>
      <c:catAx>
        <c:axId val="109095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35455"/>
        <c:crosses val="autoZero"/>
        <c:auto val="1"/>
        <c:lblAlgn val="ctr"/>
        <c:lblOffset val="100"/>
        <c:noMultiLvlLbl val="0"/>
      </c:catAx>
      <c:valAx>
        <c:axId val="10909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581;&#1585;&#1603;&#1577; &#1575;&#1604;&#1605;&#1582;&#1586;&#1606;'!A1"/><Relationship Id="rId2" Type="http://schemas.openxmlformats.org/officeDocument/2006/relationships/hyperlink" Target="#'&#8288;&#1581;&#1587;&#1575;&#1576;&#1575;&#1578; &#1593;&#1605;&#1604;&#1575;&#1569;'!A1"/><Relationship Id="rId1" Type="http://schemas.openxmlformats.org/officeDocument/2006/relationships/hyperlink" Target="#'&#1583;&#1601;&#1578;&#1585; &#1575;&#1604;&#1610;&#1608;&#1605;&#1610;&#1577;'!A1"/><Relationship Id="rId6" Type="http://schemas.openxmlformats.org/officeDocument/2006/relationships/hyperlink" Target="#'&#1578;&#1581;&#1604;&#1610;&#1604; &#1605;&#1576;&#1610;&#1593;&#1575;&#1578;'!A1"/><Relationship Id="rId5" Type="http://schemas.openxmlformats.org/officeDocument/2006/relationships/hyperlink" Target="#&#1575;&#1604;&#1605;&#1588;&#1578;&#1585;&#1610;&#1575;&#1578;!A1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604;&#1608;&#1581;&#1577; &#1575;&#1604;&#1578;&#1581;&#1603;&#1605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&#1604;&#1608;&#1581;&#1577; &#1575;&#1604;&#1578;&#1581;&#1603;&#1605;'!A1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&#1604;&#1608;&#1581;&#1577; &#1575;&#1604;&#1578;&#1581;&#1603;&#1605;'!A1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604;&#1608;&#1581;&#1577; &#1575;&#1604;&#1578;&#1581;&#1603;&#1605;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604;&#1608;&#1581;&#1577; &#1575;&#1604;&#1578;&#1581;&#1603;&#1605;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604;&#1608;&#1581;&#1577; &#1575;&#1604;&#1578;&#1581;&#1603;&#1605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4</xdr:row>
      <xdr:rowOff>76200</xdr:rowOff>
    </xdr:from>
    <xdr:to>
      <xdr:col>3</xdr:col>
      <xdr:colOff>510540</xdr:colOff>
      <xdr:row>7</xdr:row>
      <xdr:rowOff>83820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BA20F-E972-B165-99AD-FE91CA7E0A7B}"/>
            </a:ext>
          </a:extLst>
        </xdr:cNvPr>
        <xdr:cNvSpPr/>
      </xdr:nvSpPr>
      <xdr:spPr>
        <a:xfrm>
          <a:off x="9985347060" y="807720"/>
          <a:ext cx="1143000" cy="556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دفتر اليومية</a:t>
          </a:r>
          <a:endParaRPr lang="en-US" sz="1800" kern="1200"/>
        </a:p>
      </xdr:txBody>
    </xdr:sp>
    <xdr:clientData/>
  </xdr:twoCellAnchor>
  <xdr:twoCellAnchor>
    <xdr:from>
      <xdr:col>5</xdr:col>
      <xdr:colOff>99060</xdr:colOff>
      <xdr:row>4</xdr:row>
      <xdr:rowOff>68580</xdr:rowOff>
    </xdr:from>
    <xdr:to>
      <xdr:col>7</xdr:col>
      <xdr:colOff>586740</xdr:colOff>
      <xdr:row>8</xdr:row>
      <xdr:rowOff>60960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72576D-BB77-4461-8EFD-5EA1E5707433}"/>
            </a:ext>
          </a:extLst>
        </xdr:cNvPr>
        <xdr:cNvSpPr/>
      </xdr:nvSpPr>
      <xdr:spPr>
        <a:xfrm>
          <a:off x="9982832460" y="800100"/>
          <a:ext cx="1706880" cy="723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حسابات عملاء التقسيط</a:t>
          </a:r>
          <a:endParaRPr lang="en-US" sz="1800" kern="1200"/>
        </a:p>
      </xdr:txBody>
    </xdr:sp>
    <xdr:clientData/>
  </xdr:twoCellAnchor>
  <xdr:twoCellAnchor>
    <xdr:from>
      <xdr:col>9</xdr:col>
      <xdr:colOff>99060</xdr:colOff>
      <xdr:row>4</xdr:row>
      <xdr:rowOff>76200</xdr:rowOff>
    </xdr:from>
    <xdr:to>
      <xdr:col>11</xdr:col>
      <xdr:colOff>251460</xdr:colOff>
      <xdr:row>7</xdr:row>
      <xdr:rowOff>83820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462FD9-410C-4245-BD4E-A2E043837A2D}"/>
            </a:ext>
          </a:extLst>
        </xdr:cNvPr>
        <xdr:cNvSpPr/>
      </xdr:nvSpPr>
      <xdr:spPr>
        <a:xfrm>
          <a:off x="9980729340" y="807720"/>
          <a:ext cx="1371600" cy="556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حركة المخزن</a:t>
          </a:r>
          <a:endParaRPr lang="en-US" sz="1800" kern="1200"/>
        </a:p>
      </xdr:txBody>
    </xdr:sp>
    <xdr:clientData/>
  </xdr:twoCellAnchor>
  <xdr:twoCellAnchor>
    <xdr:from>
      <xdr:col>2</xdr:col>
      <xdr:colOff>533400</xdr:colOff>
      <xdr:row>10</xdr:row>
      <xdr:rowOff>45720</xdr:rowOff>
    </xdr:from>
    <xdr:to>
      <xdr:col>10</xdr:col>
      <xdr:colOff>236220</xdr:colOff>
      <xdr:row>14</xdr:row>
      <xdr:rowOff>91440</xdr:rowOff>
    </xdr:to>
    <xdr:sp macro="" textlink="">
      <xdr:nvSpPr>
        <xdr:cNvPr id="5" name="Oval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951C58-799F-4EAF-53D9-987C1FA32733}"/>
            </a:ext>
          </a:extLst>
        </xdr:cNvPr>
        <xdr:cNvSpPr/>
      </xdr:nvSpPr>
      <xdr:spPr>
        <a:xfrm>
          <a:off x="9981354180" y="1874520"/>
          <a:ext cx="4579620" cy="77724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2800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601980</xdr:colOff>
      <xdr:row>16</xdr:row>
      <xdr:rowOff>60960</xdr:rowOff>
    </xdr:from>
    <xdr:to>
      <xdr:col>3</xdr:col>
      <xdr:colOff>525780</xdr:colOff>
      <xdr:row>19</xdr:row>
      <xdr:rowOff>68580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FF759E-B94B-4C72-A6DF-24B1CB96D1CB}"/>
            </a:ext>
          </a:extLst>
        </xdr:cNvPr>
        <xdr:cNvSpPr/>
      </xdr:nvSpPr>
      <xdr:spPr>
        <a:xfrm>
          <a:off x="9985331820" y="2987040"/>
          <a:ext cx="1143000" cy="556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المشتريات</a:t>
          </a:r>
          <a:endParaRPr lang="en-US" sz="1800" kern="1200"/>
        </a:p>
      </xdr:txBody>
    </xdr:sp>
    <xdr:clientData/>
  </xdr:twoCellAnchor>
  <xdr:twoCellAnchor>
    <xdr:from>
      <xdr:col>9</xdr:col>
      <xdr:colOff>304800</xdr:colOff>
      <xdr:row>16</xdr:row>
      <xdr:rowOff>60960</xdr:rowOff>
    </xdr:from>
    <xdr:to>
      <xdr:col>11</xdr:col>
      <xdr:colOff>228600</xdr:colOff>
      <xdr:row>19</xdr:row>
      <xdr:rowOff>68580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BF45DB-6BDF-4AE5-A18D-D49111676A23}"/>
            </a:ext>
          </a:extLst>
        </xdr:cNvPr>
        <xdr:cNvSpPr/>
      </xdr:nvSpPr>
      <xdr:spPr>
        <a:xfrm>
          <a:off x="9980752200" y="2987040"/>
          <a:ext cx="1143000" cy="556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المبيعات</a:t>
          </a:r>
          <a:endParaRPr lang="en-US" sz="18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53340</xdr:rowOff>
    </xdr:from>
    <xdr:to>
      <xdr:col>3</xdr:col>
      <xdr:colOff>1607820</xdr:colOff>
      <xdr:row>2</xdr:row>
      <xdr:rowOff>350520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56B23-480F-4F3D-BCB6-E2DE2CDF9FBC}"/>
            </a:ext>
          </a:extLst>
        </xdr:cNvPr>
        <xdr:cNvSpPr/>
      </xdr:nvSpPr>
      <xdr:spPr>
        <a:xfrm>
          <a:off x="9994712040" y="53340"/>
          <a:ext cx="2019300" cy="75438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5</xdr:row>
      <xdr:rowOff>15240</xdr:rowOff>
    </xdr:from>
    <xdr:to>
      <xdr:col>6</xdr:col>
      <xdr:colOff>609600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D9188-B9A9-A66B-8CB3-BCA0B3D4C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662940</xdr:colOff>
      <xdr:row>5</xdr:row>
      <xdr:rowOff>15240</xdr:rowOff>
    </xdr:from>
    <xdr:to>
      <xdr:col>12</xdr:col>
      <xdr:colOff>68580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34BA1-A1AB-4FD9-22FD-7E3C0C2B2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137160</xdr:colOff>
      <xdr:row>18</xdr:row>
      <xdr:rowOff>68580</xdr:rowOff>
    </xdr:from>
    <xdr:to>
      <xdr:col>6</xdr:col>
      <xdr:colOff>662940</xdr:colOff>
      <xdr:row>33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E5145A-62EF-092D-02AB-537DEB76B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882833</xdr:colOff>
      <xdr:row>18</xdr:row>
      <xdr:rowOff>127363</xdr:rowOff>
    </xdr:from>
    <xdr:to>
      <xdr:col>11</xdr:col>
      <xdr:colOff>486593</xdr:colOff>
      <xdr:row>33</xdr:row>
      <xdr:rowOff>127363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B9AEEE-094C-F062-7E08-5DD61A926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59871</xdr:colOff>
      <xdr:row>18</xdr:row>
      <xdr:rowOff>116477</xdr:rowOff>
    </xdr:from>
    <xdr:to>
      <xdr:col>19</xdr:col>
      <xdr:colOff>288471</xdr:colOff>
      <xdr:row>33</xdr:row>
      <xdr:rowOff>101237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6A58D9-0F32-75EC-7272-6E2409FD1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106680</xdr:colOff>
      <xdr:row>0</xdr:row>
      <xdr:rowOff>0</xdr:rowOff>
    </xdr:from>
    <xdr:to>
      <xdr:col>1</xdr:col>
      <xdr:colOff>472440</xdr:colOff>
      <xdr:row>4</xdr:row>
      <xdr:rowOff>53340</xdr:rowOff>
    </xdr:to>
    <xdr:sp macro="" textlink="">
      <xdr:nvSpPr>
        <xdr:cNvPr id="9" name="Scroll: Horizontal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A0B0409-2868-65EF-BB10-DA018A48AEBC}"/>
            </a:ext>
          </a:extLst>
        </xdr:cNvPr>
        <xdr:cNvSpPr/>
      </xdr:nvSpPr>
      <xdr:spPr>
        <a:xfrm>
          <a:off x="9990124800" y="0"/>
          <a:ext cx="975360" cy="103632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  <xdr:twoCellAnchor>
    <xdr:from>
      <xdr:col>12</xdr:col>
      <xdr:colOff>152399</xdr:colOff>
      <xdr:row>5</xdr:row>
      <xdr:rowOff>48986</xdr:rowOff>
    </xdr:from>
    <xdr:to>
      <xdr:col>19</xdr:col>
      <xdr:colOff>293913</xdr:colOff>
      <xdr:row>17</xdr:row>
      <xdr:rowOff>163286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C3F63B-3E02-3BAA-9DAF-F4EC6B99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2</xdr:row>
      <xdr:rowOff>53340</xdr:rowOff>
    </xdr:from>
    <xdr:to>
      <xdr:col>13</xdr:col>
      <xdr:colOff>243840</xdr:colOff>
      <xdr:row>27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BECF7-6901-B01F-E003-8E64D04DA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312420</xdr:colOff>
      <xdr:row>0</xdr:row>
      <xdr:rowOff>99060</xdr:rowOff>
    </xdr:from>
    <xdr:to>
      <xdr:col>15</xdr:col>
      <xdr:colOff>243840</xdr:colOff>
      <xdr:row>3</xdr:row>
      <xdr:rowOff>30480</xdr:rowOff>
    </xdr:to>
    <xdr:sp macro="" textlink="">
      <xdr:nvSpPr>
        <xdr:cNvPr id="2" name="Scroll: Horizontal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96E1E2-4AD4-4631-B819-9D710EB4CD4C}"/>
            </a:ext>
          </a:extLst>
        </xdr:cNvPr>
        <xdr:cNvSpPr/>
      </xdr:nvSpPr>
      <xdr:spPr>
        <a:xfrm>
          <a:off x="9979190100" y="99060"/>
          <a:ext cx="1150620" cy="57912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394138</xdr:colOff>
      <xdr:row>0</xdr:row>
      <xdr:rowOff>111672</xdr:rowOff>
    </xdr:from>
    <xdr:to>
      <xdr:col>1</xdr:col>
      <xdr:colOff>1802524</xdr:colOff>
      <xdr:row>4</xdr:row>
      <xdr:rowOff>130328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919B0-5E99-4F01-B650-957D010F83DA}"/>
            </a:ext>
          </a:extLst>
        </xdr:cNvPr>
        <xdr:cNvSpPr/>
      </xdr:nvSpPr>
      <xdr:spPr>
        <a:xfrm>
          <a:off x="10013216028" y="111672"/>
          <a:ext cx="2019300" cy="75438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0</xdr:rowOff>
    </xdr:from>
    <xdr:to>
      <xdr:col>2</xdr:col>
      <xdr:colOff>609600</xdr:colOff>
      <xdr:row>0</xdr:row>
      <xdr:rowOff>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C764A-3650-48D7-9A46-C37A79DF69D9}"/>
            </a:ext>
          </a:extLst>
        </xdr:cNvPr>
        <xdr:cNvSpPr/>
      </xdr:nvSpPr>
      <xdr:spPr>
        <a:xfrm>
          <a:off x="9993599520" y="83820"/>
          <a:ext cx="2019300" cy="75438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</xdr:row>
      <xdr:rowOff>144780</xdr:rowOff>
    </xdr:from>
    <xdr:to>
      <xdr:col>2</xdr:col>
      <xdr:colOff>1089660</xdr:colOff>
      <xdr:row>3</xdr:row>
      <xdr:rowOff>121920</xdr:rowOff>
    </xdr:to>
    <xdr:sp macro="" textlink="">
      <xdr:nvSpPr>
        <xdr:cNvPr id="2" name="Scroll: Horizont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0887E-DF10-074E-277C-104D119161A7}"/>
            </a:ext>
          </a:extLst>
        </xdr:cNvPr>
        <xdr:cNvSpPr/>
      </xdr:nvSpPr>
      <xdr:spPr>
        <a:xfrm>
          <a:off x="9993058500" y="487680"/>
          <a:ext cx="2019300" cy="754380"/>
        </a:xfrm>
        <a:prstGeom prst="horizontalScroll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kern="1200"/>
            <a:t>لوحة التحكم</a:t>
          </a:r>
          <a:endParaRPr lang="en-US" sz="18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hamid Hamdy Abdelhamid" refreshedDate="45891.925209143519" createdVersion="8" refreshedVersion="8" minRefreshableVersion="3" recordCount="1169" xr:uid="{4ABAC80C-D47B-41F3-A76D-C1BA281A9832}">
  <cacheSource type="worksheet">
    <worksheetSource ref="A1:D1048576" sheet="⁠حسابات عملاء"/>
  </cacheSource>
  <cacheFields count="4">
    <cacheField name="اسم العميل" numFmtId="0">
      <sharedItems containsBlank="1" count="20">
        <s v="محمد راس"/>
        <s v="عم عجيبة"/>
        <s v="احمد سعيد"/>
        <s v="ممدوح خيشة"/>
        <s v="ميدو بسيونى"/>
        <s v="احمد عبد الله شبين"/>
        <s v="محمود عطيه"/>
        <s v="سيد حمائى"/>
        <s v="سيد الزهار"/>
        <s v="كريم العجل"/>
        <s v="عادل نظير"/>
        <s v="مؤمن الميكا"/>
        <s v="الحاج رفعت"/>
        <s v="محمد اشرف"/>
        <s v="سيد كشرى"/>
        <s v="محمد ذكى"/>
        <s v="احمد ابوحطب"/>
        <s v="احمد ماهر"/>
        <s v="زياد وحيد"/>
        <m/>
      </sharedItems>
    </cacheField>
    <cacheField name="إجمالي المبيعات الآجل" numFmtId="0">
      <sharedItems containsString="0" containsBlank="1" containsNumber="1" containsInteger="1" minValue="0" maxValue="33550" count="20">
        <n v="9750"/>
        <n v="5050"/>
        <n v="2850"/>
        <n v="3800"/>
        <n v="9350"/>
        <n v="18450"/>
        <n v="17650"/>
        <n v="20000"/>
        <n v="5150"/>
        <n v="8000"/>
        <n v="7950"/>
        <n v="2500"/>
        <n v="17150"/>
        <n v="33550"/>
        <n v="4200"/>
        <n v="9550"/>
        <n v="3050"/>
        <n v="1950"/>
        <n v="0"/>
        <m/>
      </sharedItems>
    </cacheField>
    <cacheField name="إجمالي المسدد" numFmtId="0">
      <sharedItems containsString="0" containsBlank="1" containsNumber="1" containsInteger="1" minValue="0" maxValue="0" count="2">
        <n v="0"/>
        <m/>
      </sharedItems>
    </cacheField>
    <cacheField name="المتبقي" numFmtId="0">
      <sharedItems containsString="0" containsBlank="1" containsNumber="1" containsInteger="1" minValue="0" maxValue="33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hamid Hamdy Abdelhamid" refreshedDate="45898.447511921295" createdVersion="8" refreshedVersion="8" minRefreshableVersion="3" recordCount="3612" xr:uid="{76CD426C-73AB-4CA9-85E4-47F4C10ED9D1}">
  <cacheSource type="worksheet">
    <worksheetSource ref="B1:L1048576" sheet="المشتريات"/>
  </cacheSource>
  <cacheFields count="11">
    <cacheField name="التاريخ" numFmtId="168">
      <sharedItems containsNonDate="0" containsDate="1" containsString="0" containsBlank="1" minDate="2025-05-07T00:00:00" maxDate="2025-08-03T00:00:00"/>
    </cacheField>
    <cacheField name="الصنف" numFmtId="0">
      <sharedItems containsBlank="1" count="3">
        <s v="بطارية كلورايد 70 نسر"/>
        <s v="اكصدام امامى"/>
        <m/>
      </sharedItems>
    </cacheField>
    <cacheField name="رقم الفاتورة" numFmtId="0">
      <sharedItems containsString="0" containsBlank="1" containsNumber="1" containsInteger="1" minValue="458885" maxValue="458886"/>
    </cacheField>
    <cacheField name="اسم المورد" numFmtId="0">
      <sharedItems containsBlank="1"/>
    </cacheField>
    <cacheField name="الكمية" numFmtId="0">
      <sharedItems containsString="0" containsBlank="1" containsNumber="1" containsInteger="1" minValue="5" maxValue="10"/>
    </cacheField>
    <cacheField name="تكلفة الوحدة" numFmtId="0">
      <sharedItems containsString="0" containsBlank="1" containsNumber="1" containsInteger="1" minValue="150" maxValue="200"/>
    </cacheField>
    <cacheField name="تكاليف اضافية" numFmtId="0">
      <sharedItems containsNonDate="0" containsString="0" containsBlank="1"/>
    </cacheField>
    <cacheField name="اجمالي التكلفة" numFmtId="0">
      <sharedItems containsString="0" containsBlank="1" containsNumber="1" containsInteger="1" minValue="0" maxValue="2000"/>
    </cacheField>
    <cacheField name="تكلفة الوحدة " numFmtId="0">
      <sharedItems containsBlank="1" containsMixedTypes="1" containsNumber="1" containsInteger="1" minValue="0" maxValue="0"/>
    </cacheField>
    <cacheField name="سعر الكاش" numFmtId="0">
      <sharedItems containsNonDate="0" containsString="0" containsBlank="1"/>
    </cacheField>
    <cacheField name="سعر البيع في السوق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hamid Hamdy Abdelhamid" refreshedDate="46199.905401157404" createdVersion="8" refreshedVersion="8" minRefreshableVersion="3" recordCount="427" xr:uid="{FD20F0BE-BB7F-49EC-B2F7-71801F319CAE}">
  <cacheSource type="worksheet">
    <worksheetSource ref="B5:M432" sheet="دفتر اليومية"/>
  </cacheSource>
  <cacheFields count="12">
    <cacheField name="التاريخ" numFmtId="168">
      <sharedItems containsSemiMixedTypes="0" containsNonDate="0" containsDate="1" containsString="0" minDate="2025-06-22T00:00:00" maxDate="2025-08-02T00:00:00" count="36">
        <d v="2025-06-26T00:00:00"/>
        <d v="2025-06-22T00:00:00"/>
        <d v="2025-07-02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6-24T00:00:00" u="1"/>
        <d v="2025-06-28T00:00:00" u="1"/>
        <d v="2025-06-25T00:00:00" u="1"/>
        <d v="2025-07-03T00:00:00" u="1"/>
      </sharedItems>
    </cacheField>
    <cacheField name="الشهر" numFmtId="0">
      <sharedItems containsSemiMixedTypes="0" containsString="0" containsNumber="1" containsInteger="1" minValue="1" maxValue="8" count="4">
        <n v="6"/>
        <n v="7"/>
        <n v="8"/>
        <n v="1" u="1"/>
      </sharedItems>
    </cacheField>
    <cacheField name="الصنف" numFmtId="0">
      <sharedItems/>
    </cacheField>
    <cacheField name="نوع الحركة" numFmtId="0">
      <sharedItems containsBlank="1" count="8">
        <s v="مبيعات كاش"/>
        <s v="مبيعات اجل"/>
        <s v="مصروفات"/>
        <m u="1"/>
        <s v="مشتريات كاش" u="1"/>
        <s v="تحصيل" u="1"/>
        <s v="مسحوبات" u="1"/>
        <s v="تحصيلات" u="1"/>
      </sharedItems>
    </cacheField>
    <cacheField name="تصنيف الحركة" numFmtId="0">
      <sharedItems containsBlank="1" count="14">
        <s v="كاوتش"/>
        <s v="بطارية"/>
        <s v="قطع غيار"/>
        <s v="اكراميات"/>
        <s v="انتقالات"/>
        <s v="ايجارات"/>
        <s v="مرتبات"/>
        <s v="بوفيه وضيافة "/>
        <s v="تبرعات"/>
        <m u="1"/>
        <s v="قسط" u="1"/>
        <s v="جنط" u="1"/>
        <s v="مسحوبات" u="1"/>
        <s v="اقساط" u="1"/>
      </sharedItems>
    </cacheField>
    <cacheField name="رقم الفاتورة" numFmtId="0">
      <sharedItems containsString="0" containsBlank="1" containsNumber="1" containsInteger="1" minValue="0" maxValue="0"/>
    </cacheField>
    <cacheField name="اسم العميل / المورد " numFmtId="0">
      <sharedItems containsBlank="1" count="139">
        <s v="Client 21"/>
        <s v="Client 19"/>
        <s v="Client 15"/>
        <s v="Client 16"/>
        <s v="Client 12"/>
        <s v="Clinet 1"/>
        <s v="Client 10"/>
        <s v="Clinet 2"/>
        <s v="Client 3"/>
        <s v="Client 17"/>
        <s v="Client 14"/>
        <s v="Client 13"/>
        <s v="Client 18"/>
        <s v="Client 20"/>
        <s v="Client 9"/>
        <s v="Client 11"/>
        <s v="Client 6"/>
        <s v="Client 7"/>
        <s v="Client 8"/>
        <s v="Client 5"/>
        <s v="Client 4"/>
        <m/>
        <s v="عميل كاش" u="1"/>
        <s v="وجيه شبرا" u="1"/>
        <s v="اللبان" u="1"/>
        <s v="البلبيسى" u="1"/>
        <s v="الصعيدى" u="1"/>
        <s v="سيد حنفى" u="1"/>
        <s v="احمد ميكا" u="1"/>
        <s v="حماده حجازى" u="1"/>
        <s v="جمعة زعزع" u="1"/>
        <s v="علاء مفتاح" u="1"/>
        <s v="كريم عزت" u="1"/>
        <s v="عم ابراهيم ميكا" u="1"/>
        <s v="دوكش سلطان" u="1"/>
        <s v="حسن على" u="1"/>
        <s v="مصطفى اكرامى" u="1"/>
        <s v="سيد الزهار" u="1"/>
        <s v="سيد شلبى" u="1"/>
        <s v="محمد ونش" u="1"/>
        <s v="عم جودة" u="1"/>
        <s v="مشمش" u="1"/>
        <s v="عبدالله عنبر" u="1"/>
        <s v="دقدق" u="1"/>
        <s v="مصطفى حسين" u="1"/>
        <s v="خرابة" u="1"/>
        <s v="ابو سعد" u="1"/>
        <s v="مطفى شتا" u="1"/>
        <s v="حيرم" u="1"/>
        <s v="امين" u="1"/>
        <s v="قطعى" u="1"/>
        <s v="احمد زعزع" u="1"/>
        <s v="كوريا" u="1"/>
        <s v="كوريا / احمد الصعيدى" u="1"/>
        <s v="عم ناصر" u="1"/>
        <s v="كريم عاطف" u="1"/>
        <s v="محمد شاكر" u="1"/>
        <s v="كوشه" u="1"/>
        <s v="امير" u="1"/>
        <s v="عماد" u="1"/>
        <s v="محمود عطية" u="1"/>
        <s v="احمد الميكا" u="1"/>
        <s v="كوريا " u="1"/>
        <s v="محمد عبده" u="1"/>
        <s v="ميدو بسيونى" u="1"/>
        <s v="كاوتشة" u="1"/>
        <s v="الدكش" u="1"/>
        <s v="محشى" u="1"/>
        <s v="رمضان شوقى" u="1"/>
        <s v="عم حربى" u="1"/>
        <s v="امير الزهرى" u="1"/>
        <s v="عادل نظير" u="1"/>
        <s v="عصام مرمر" u="1"/>
        <s v="سامح الميكا" u="1"/>
        <s v="خنوفة" u="1"/>
        <s v="ابوالعلاء" u="1"/>
        <s v="احمد شافعى" u="1"/>
        <s v="فيصل" u="1"/>
        <s v="محمد عرفه" u="1"/>
        <s v="مصطفى" u="1"/>
        <s v="عمرو" u="1"/>
        <s v="محمد العربى" u="1"/>
        <s v="كريم مفتاح" u="1"/>
        <s v="محمد اشرف" u="1"/>
        <s v="نونا عياش" u="1"/>
        <s v="سيد شحته" u="1"/>
        <s v="محمد سعد" u="1"/>
        <s v="حبيشه" u="1"/>
        <s v="سيد صلاح" u="1"/>
        <s v="اشرف الصعيدى" u="1"/>
        <s v="محمد اسامه" u="1"/>
        <s v="عمر عرفه" u="1"/>
        <s v="حلمى" u="1"/>
        <s v="حماده عبد البصير" u="1"/>
        <s v="مؤمن الميكا" u="1"/>
        <s v="كريم العجل" u="1"/>
        <s v="روبى" u="1"/>
        <s v="ابوعامر" u="1"/>
        <s v="احمد بوش" u="1"/>
        <s v="محمد ذكى" u="1"/>
        <s v="حربى" u="1"/>
        <s v="عبد التواب" u="1"/>
        <s v="ايمن جلال" u="1"/>
        <s v="حماده بلبل" u="1"/>
        <s v="الحاج عبد البصير" u="1"/>
        <s v="احمد ابوحطب" u="1"/>
        <s v="ابراهيم الاردنى" u="1"/>
        <s v="احمد عمرو بسيونى" u="1"/>
        <s v="هانى محمد سعيد" u="1"/>
        <s v="محمد" u="1"/>
        <s v="محمد عباس" u="1"/>
        <s v="الاسطى كريم" u="1"/>
        <s v="سيد حمائى" u="1"/>
        <s v="عم نصار" u="1"/>
        <s v="ابراهيم سعيد" u="1"/>
        <s v="مصطفى جمال مكريم الميكا" u="1"/>
        <s v="محمد سيد" u="1"/>
        <s v="مصطفى " u="1"/>
        <s v="بسكوته" u="1"/>
        <s v="كريم الميكا" u="1"/>
        <s v="هانى  " u="1"/>
        <s v="سعيد شحته" u="1"/>
        <s v="بلحه" u="1"/>
        <s v="سيد مفتاح" u="1"/>
        <s v="ايكا" u="1"/>
        <s v="هانى" u="1"/>
        <s v="احمد سعيد" u="1"/>
        <s v="محمود عاطف" u="1"/>
        <s v="سنتر ابوالنجا" u="1"/>
        <s v="محمد راس" u="1"/>
        <s v="عم عجيبة" u="1"/>
        <s v="ممدوح خيشة" u="1"/>
        <s v="احمد عبد الله شبين" u="1"/>
        <s v="محمود عطيه" u="1"/>
        <s v="الحاج رفعت" u="1"/>
        <s v="سيد كشرى" u="1"/>
        <s v="احمد ماهر" u="1"/>
        <s v="زياد وحيد" u="1"/>
        <s v="كاش" u="1"/>
      </sharedItems>
    </cacheField>
    <cacheField name="الكمية" numFmtId="0">
      <sharedItems containsString="0" containsBlank="1" containsNumber="1" containsInteger="1" minValue="0" maxValue="20"/>
    </cacheField>
    <cacheField name="سعر الوحدة" numFmtId="0">
      <sharedItems containsString="0" containsBlank="1" containsNumber="1" minValue="0" maxValue="7675"/>
    </cacheField>
    <cacheField name="الاجمالي" numFmtId="38">
      <sharedItems containsSemiMixedTypes="0" containsString="0" containsNumber="1" containsInteger="1" minValue="0" maxValue="30700"/>
    </cacheField>
    <cacheField name="المسدد / المحصل" numFmtId="38">
      <sharedItems containsString="0" containsBlank="1" containsNumber="1" containsInteger="1" minValue="15" maxValue="30700"/>
    </cacheField>
    <cacheField name="المتبقى" numFmtId="38">
      <sharedItems containsSemiMixedTypes="0" containsString="0" containsNumber="1" containsInteger="1" minValue="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9">
  <r>
    <x v="0"/>
    <x v="0"/>
    <x v="0"/>
    <n v="9750"/>
  </r>
  <r>
    <x v="1"/>
    <x v="1"/>
    <x v="0"/>
    <n v="5050"/>
  </r>
  <r>
    <x v="2"/>
    <x v="2"/>
    <x v="0"/>
    <n v="2850"/>
  </r>
  <r>
    <x v="3"/>
    <x v="3"/>
    <x v="0"/>
    <n v="3800"/>
  </r>
  <r>
    <x v="4"/>
    <x v="4"/>
    <x v="0"/>
    <n v="9350"/>
  </r>
  <r>
    <x v="5"/>
    <x v="5"/>
    <x v="0"/>
    <n v="18450"/>
  </r>
  <r>
    <x v="6"/>
    <x v="6"/>
    <x v="0"/>
    <n v="17650"/>
  </r>
  <r>
    <x v="7"/>
    <x v="7"/>
    <x v="0"/>
    <n v="20000"/>
  </r>
  <r>
    <x v="8"/>
    <x v="8"/>
    <x v="0"/>
    <n v="5150"/>
  </r>
  <r>
    <x v="9"/>
    <x v="9"/>
    <x v="0"/>
    <n v="8000"/>
  </r>
  <r>
    <x v="10"/>
    <x v="10"/>
    <x v="0"/>
    <n v="7950"/>
  </r>
  <r>
    <x v="11"/>
    <x v="11"/>
    <x v="0"/>
    <n v="2500"/>
  </r>
  <r>
    <x v="12"/>
    <x v="10"/>
    <x v="0"/>
    <n v="7950"/>
  </r>
  <r>
    <x v="13"/>
    <x v="12"/>
    <x v="0"/>
    <n v="17150"/>
  </r>
  <r>
    <x v="14"/>
    <x v="13"/>
    <x v="0"/>
    <n v="33550"/>
  </r>
  <r>
    <x v="15"/>
    <x v="14"/>
    <x v="0"/>
    <n v="4200"/>
  </r>
  <r>
    <x v="16"/>
    <x v="15"/>
    <x v="0"/>
    <n v="9550"/>
  </r>
  <r>
    <x v="17"/>
    <x v="16"/>
    <x v="0"/>
    <n v="3050"/>
  </r>
  <r>
    <x v="18"/>
    <x v="17"/>
    <x v="0"/>
    <n v="195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8"/>
    <x v="0"/>
    <n v="0"/>
  </r>
  <r>
    <x v="19"/>
    <x v="19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2">
  <r>
    <d v="2025-08-02T00:00:00"/>
    <x v="0"/>
    <n v="458885"/>
    <s v="مورد"/>
    <n v="5"/>
    <n v="150"/>
    <m/>
    <n v="750"/>
    <n v="0"/>
    <m/>
    <m/>
  </r>
  <r>
    <d v="2025-05-07T00:00:00"/>
    <x v="1"/>
    <n v="458886"/>
    <s v="مورد"/>
    <n v="10"/>
    <n v="200"/>
    <m/>
    <n v="2000"/>
    <n v="0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n v="0"/>
    <s v=""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  <r>
    <m/>
    <x v="2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x v="0"/>
    <s v="اكسليرا 13/175/70"/>
    <x v="0"/>
    <x v="0"/>
    <m/>
    <x v="0"/>
    <n v="1"/>
    <n v="1750"/>
    <n v="1750"/>
    <n v="1750"/>
    <n v="0"/>
  </r>
  <r>
    <x v="1"/>
    <x v="0"/>
    <s v="فيتور 14/195 عريض"/>
    <x v="1"/>
    <x v="0"/>
    <m/>
    <x v="1"/>
    <n v="2"/>
    <n v="4875"/>
    <n v="9750"/>
    <m/>
    <n v="9750"/>
  </r>
  <r>
    <x v="1"/>
    <x v="0"/>
    <s v="فيتور 14/195 عريض"/>
    <x v="1"/>
    <x v="0"/>
    <m/>
    <x v="2"/>
    <n v="1"/>
    <n v="5050"/>
    <n v="5050"/>
    <m/>
    <n v="5050"/>
  </r>
  <r>
    <x v="2"/>
    <x v="1"/>
    <s v="بطارية كلورايد 70 معكوسة"/>
    <x v="0"/>
    <x v="1"/>
    <m/>
    <x v="3"/>
    <n v="1"/>
    <n v="1750"/>
    <n v="1750"/>
    <n v="1750"/>
    <n v="0"/>
  </r>
  <r>
    <x v="3"/>
    <x v="1"/>
    <s v="بلف كتينة "/>
    <x v="0"/>
    <x v="2"/>
    <m/>
    <x v="4"/>
    <n v="5"/>
    <n v="190"/>
    <n v="950"/>
    <n v="950"/>
    <n v="0"/>
  </r>
  <r>
    <x v="3"/>
    <x v="1"/>
    <s v="مروحة تويوتا عريضة"/>
    <x v="0"/>
    <x v="2"/>
    <m/>
    <x v="4"/>
    <n v="5"/>
    <n v="220"/>
    <n v="1100"/>
    <n v="1100"/>
    <n v="0"/>
  </r>
  <r>
    <x v="3"/>
    <x v="1"/>
    <s v="قميص رداتير"/>
    <x v="0"/>
    <x v="2"/>
    <m/>
    <x v="4"/>
    <n v="5"/>
    <n v="220"/>
    <n v="1100"/>
    <n v="1100"/>
    <n v="0"/>
  </r>
  <r>
    <x v="3"/>
    <x v="1"/>
    <s v="طقم جوان تويوتا"/>
    <x v="0"/>
    <x v="2"/>
    <m/>
    <x v="4"/>
    <n v="1"/>
    <n v="400"/>
    <n v="400"/>
    <n v="400"/>
    <n v="0"/>
  </r>
  <r>
    <x v="4"/>
    <x v="1"/>
    <s v="طقم تيل امامى"/>
    <x v="0"/>
    <x v="2"/>
    <m/>
    <x v="3"/>
    <n v="1"/>
    <n v="325"/>
    <n v="325"/>
    <n v="325"/>
    <n v="0"/>
  </r>
  <r>
    <x v="4"/>
    <x v="1"/>
    <s v="غطاء تنك"/>
    <x v="0"/>
    <x v="2"/>
    <m/>
    <x v="3"/>
    <n v="1"/>
    <n v="70"/>
    <n v="70"/>
    <n v="70"/>
    <n v="0"/>
  </r>
  <r>
    <x v="4"/>
    <x v="1"/>
    <s v="طقم تيل امامى"/>
    <x v="0"/>
    <x v="2"/>
    <m/>
    <x v="5"/>
    <n v="1"/>
    <n v="325"/>
    <n v="325"/>
    <n v="325"/>
    <n v="0"/>
  </r>
  <r>
    <x v="4"/>
    <x v="1"/>
    <s v="طقم بلية صره امامى + اويل سيل"/>
    <x v="0"/>
    <x v="2"/>
    <m/>
    <x v="5"/>
    <n v="2"/>
    <n v="175"/>
    <n v="350"/>
    <n v="350"/>
    <n v="0"/>
  </r>
  <r>
    <x v="4"/>
    <x v="1"/>
    <s v="طقم تيل امامى"/>
    <x v="0"/>
    <x v="2"/>
    <m/>
    <x v="3"/>
    <n v="1"/>
    <n v="325"/>
    <n v="325"/>
    <n v="325"/>
    <n v="0"/>
  </r>
  <r>
    <x v="4"/>
    <x v="1"/>
    <s v="طقم تيل امامى"/>
    <x v="0"/>
    <x v="2"/>
    <m/>
    <x v="4"/>
    <n v="1"/>
    <n v="325"/>
    <n v="325"/>
    <n v="325"/>
    <n v="0"/>
  </r>
  <r>
    <x v="4"/>
    <x v="1"/>
    <s v="طقم تيل امامى"/>
    <x v="0"/>
    <x v="2"/>
    <m/>
    <x v="5"/>
    <n v="1"/>
    <n v="325"/>
    <n v="325"/>
    <n v="325"/>
    <n v="0"/>
  </r>
  <r>
    <x v="4"/>
    <x v="1"/>
    <s v="طقم تيل امامى"/>
    <x v="0"/>
    <x v="2"/>
    <m/>
    <x v="2"/>
    <n v="1"/>
    <n v="325"/>
    <n v="325"/>
    <n v="325"/>
    <n v="0"/>
  </r>
  <r>
    <x v="4"/>
    <x v="1"/>
    <s v="تيل خلفى 902317"/>
    <x v="0"/>
    <x v="2"/>
    <m/>
    <x v="2"/>
    <n v="1"/>
    <n v="920"/>
    <n v="920"/>
    <n v="920"/>
    <n v="0"/>
  </r>
  <r>
    <x v="4"/>
    <x v="1"/>
    <s v="بطارية نسر 70  "/>
    <x v="0"/>
    <x v="1"/>
    <m/>
    <x v="5"/>
    <n v="1"/>
    <n v="1350"/>
    <n v="1350"/>
    <n v="1350"/>
    <n v="0"/>
  </r>
  <r>
    <x v="4"/>
    <x v="1"/>
    <s v="شريحة اسبرتير"/>
    <x v="0"/>
    <x v="2"/>
    <m/>
    <x v="6"/>
    <n v="1"/>
    <n v="630"/>
    <n v="630"/>
    <n v="630"/>
    <n v="0"/>
  </r>
  <r>
    <x v="5"/>
    <x v="1"/>
    <s v="بطارية كلورايد 70  "/>
    <x v="0"/>
    <x v="1"/>
    <m/>
    <x v="7"/>
    <n v="1"/>
    <n v="1750"/>
    <n v="1750"/>
    <n v="1750"/>
    <n v="0"/>
  </r>
  <r>
    <x v="5"/>
    <x v="1"/>
    <s v="اكسليرا 13/175/70"/>
    <x v="0"/>
    <x v="0"/>
    <m/>
    <x v="3"/>
    <n v="2"/>
    <n v="1750"/>
    <n v="3500"/>
    <n v="3500"/>
    <n v="0"/>
  </r>
  <r>
    <x v="5"/>
    <x v="1"/>
    <s v="جوان وش سلندر"/>
    <x v="0"/>
    <x v="2"/>
    <m/>
    <x v="3"/>
    <n v="1"/>
    <n v="250"/>
    <n v="250"/>
    <n v="250"/>
    <n v="0"/>
  </r>
  <r>
    <x v="5"/>
    <x v="1"/>
    <s v="فلتر بنزين دايو /هيوندى"/>
    <x v="0"/>
    <x v="2"/>
    <m/>
    <x v="3"/>
    <n v="1"/>
    <n v="100"/>
    <n v="100"/>
    <n v="100"/>
    <n v="0"/>
  </r>
  <r>
    <x v="5"/>
    <x v="1"/>
    <s v="طقم تيل امامى "/>
    <x v="0"/>
    <x v="2"/>
    <m/>
    <x v="3"/>
    <n v="1"/>
    <n v="325"/>
    <n v="325"/>
    <n v="325"/>
    <n v="0"/>
  </r>
  <r>
    <x v="5"/>
    <x v="1"/>
    <s v="طقم تيل امامى "/>
    <x v="0"/>
    <x v="2"/>
    <m/>
    <x v="3"/>
    <n v="1"/>
    <n v="325"/>
    <n v="325"/>
    <n v="325"/>
    <n v="0"/>
  </r>
  <r>
    <x v="5"/>
    <x v="1"/>
    <s v="اسبراتير تويوتا سباركس"/>
    <x v="0"/>
    <x v="2"/>
    <m/>
    <x v="3"/>
    <n v="1"/>
    <n v="2650"/>
    <n v="2650"/>
    <n v="2650"/>
    <n v="0"/>
  </r>
  <r>
    <x v="5"/>
    <x v="1"/>
    <s v="بطارية كلورايد 90"/>
    <x v="0"/>
    <x v="1"/>
    <m/>
    <x v="8"/>
    <n v="1"/>
    <n v="2500"/>
    <n v="2500"/>
    <n v="2500"/>
    <n v="0"/>
  </r>
  <r>
    <x v="6"/>
    <x v="1"/>
    <s v="بطارية كلورايد 90"/>
    <x v="0"/>
    <x v="1"/>
    <m/>
    <x v="2"/>
    <n v="1"/>
    <n v="2500"/>
    <n v="2500"/>
    <n v="2500"/>
    <n v="0"/>
  </r>
  <r>
    <x v="6"/>
    <x v="1"/>
    <s v="بطارية كلورايد 70  "/>
    <x v="0"/>
    <x v="1"/>
    <m/>
    <x v="9"/>
    <n v="1"/>
    <n v="1750"/>
    <n v="1750"/>
    <n v="1750"/>
    <n v="0"/>
  </r>
  <r>
    <x v="6"/>
    <x v="1"/>
    <s v="نص كربراتير "/>
    <x v="0"/>
    <x v="2"/>
    <m/>
    <x v="3"/>
    <n v="1"/>
    <n v="630"/>
    <n v="630"/>
    <n v="630"/>
    <n v="0"/>
  </r>
  <r>
    <x v="6"/>
    <x v="1"/>
    <s v="جوان شكمان كعكة"/>
    <x v="0"/>
    <x v="2"/>
    <m/>
    <x v="3"/>
    <n v="1"/>
    <n v="60"/>
    <n v="60"/>
    <n v="60"/>
    <n v="0"/>
  </r>
  <r>
    <x v="6"/>
    <x v="1"/>
    <s v="جوان وش سلندر"/>
    <x v="0"/>
    <x v="2"/>
    <m/>
    <x v="3"/>
    <n v="1"/>
    <n v="250"/>
    <n v="250"/>
    <n v="250"/>
    <n v="0"/>
  </r>
  <r>
    <x v="5"/>
    <x v="1"/>
    <s v="غطاء اسبرتير"/>
    <x v="0"/>
    <x v="2"/>
    <m/>
    <x v="2"/>
    <n v="1"/>
    <n v="1600"/>
    <n v="1600"/>
    <n v="1600"/>
    <n v="0"/>
  </r>
  <r>
    <x v="7"/>
    <x v="1"/>
    <s v="بطارية كلورايد 80"/>
    <x v="0"/>
    <x v="1"/>
    <m/>
    <x v="10"/>
    <n v="1"/>
    <n v="2450"/>
    <n v="2450"/>
    <n v="2450"/>
    <n v="0"/>
  </r>
  <r>
    <x v="7"/>
    <x v="1"/>
    <s v="بطارية 70 نسر"/>
    <x v="0"/>
    <x v="1"/>
    <m/>
    <x v="11"/>
    <n v="1"/>
    <n v="1350"/>
    <n v="1350"/>
    <n v="1350"/>
    <n v="0"/>
  </r>
  <r>
    <x v="7"/>
    <x v="1"/>
    <s v="اكسليرا 15/195/65"/>
    <x v="0"/>
    <x v="0"/>
    <m/>
    <x v="12"/>
    <n v="2"/>
    <n v="2250"/>
    <n v="4500"/>
    <n v="4500"/>
    <n v="0"/>
  </r>
  <r>
    <x v="7"/>
    <x v="1"/>
    <s v="طقم بلية صره امامى + اويل سيل"/>
    <x v="0"/>
    <x v="2"/>
    <m/>
    <x v="10"/>
    <n v="1"/>
    <n v="250"/>
    <n v="250"/>
    <n v="250"/>
    <n v="0"/>
  </r>
  <r>
    <x v="7"/>
    <x v="1"/>
    <s v="كالون باب شنطة+ سكاكة"/>
    <x v="0"/>
    <x v="2"/>
    <m/>
    <x v="2"/>
    <n v="1"/>
    <n v="250"/>
    <n v="250"/>
    <n v="250"/>
    <n v="0"/>
  </r>
  <r>
    <x v="8"/>
    <x v="1"/>
    <s v="غطاء اسبرتير"/>
    <x v="0"/>
    <x v="2"/>
    <m/>
    <x v="10"/>
    <n v="1"/>
    <n v="280"/>
    <n v="280"/>
    <n v="280"/>
    <n v="0"/>
  </r>
  <r>
    <x v="8"/>
    <x v="1"/>
    <s v="بلية اكس خلفى"/>
    <x v="0"/>
    <x v="2"/>
    <m/>
    <x v="10"/>
    <n v="2"/>
    <n v="230"/>
    <n v="460"/>
    <n v="460"/>
    <n v="0"/>
  </r>
  <r>
    <x v="8"/>
    <x v="1"/>
    <s v="طقم تيل امامى "/>
    <x v="0"/>
    <x v="2"/>
    <m/>
    <x v="1"/>
    <n v="1"/>
    <n v="325"/>
    <n v="325"/>
    <n v="325"/>
    <n v="0"/>
  </r>
  <r>
    <x v="9"/>
    <x v="1"/>
    <s v="طلمة بنزين"/>
    <x v="0"/>
    <x v="2"/>
    <m/>
    <x v="3"/>
    <n v="1"/>
    <n v="350"/>
    <n v="350"/>
    <n v="350"/>
    <n v="0"/>
  </r>
  <r>
    <x v="9"/>
    <x v="1"/>
    <s v="طمبورة شداد باور "/>
    <x v="0"/>
    <x v="2"/>
    <m/>
    <x v="3"/>
    <n v="1"/>
    <n v="220"/>
    <n v="220"/>
    <n v="220"/>
    <n v="0"/>
  </r>
  <r>
    <x v="9"/>
    <x v="1"/>
    <s v="طقم تيل امامى "/>
    <x v="0"/>
    <x v="2"/>
    <m/>
    <x v="3"/>
    <n v="1"/>
    <n v="325"/>
    <n v="325"/>
    <n v="325"/>
    <n v="0"/>
  </r>
  <r>
    <x v="10"/>
    <x v="1"/>
    <s v="طقم تيل امامى "/>
    <x v="0"/>
    <x v="2"/>
    <m/>
    <x v="3"/>
    <n v="1"/>
    <n v="325"/>
    <n v="325"/>
    <n v="325"/>
    <n v="0"/>
  </r>
  <r>
    <x v="10"/>
    <x v="1"/>
    <s v="اسبراتير تويوتا سباركس"/>
    <x v="0"/>
    <x v="2"/>
    <m/>
    <x v="3"/>
    <n v="1"/>
    <n v="2600"/>
    <n v="2600"/>
    <n v="2600"/>
    <n v="0"/>
  </r>
  <r>
    <x v="10"/>
    <x v="1"/>
    <s v="طلمبة مياه يبانى"/>
    <x v="0"/>
    <x v="2"/>
    <m/>
    <x v="3"/>
    <n v="1"/>
    <n v="750"/>
    <n v="750"/>
    <n v="750"/>
    <n v="0"/>
  </r>
  <r>
    <x v="10"/>
    <x v="1"/>
    <s v="اربه مياه"/>
    <x v="0"/>
    <x v="2"/>
    <m/>
    <x v="3"/>
    <n v="1"/>
    <n v="200"/>
    <n v="200"/>
    <n v="200"/>
    <n v="0"/>
  </r>
  <r>
    <x v="10"/>
    <x v="1"/>
    <s v="غطاء اسبرتير"/>
    <x v="0"/>
    <x v="2"/>
    <m/>
    <x v="3"/>
    <n v="1"/>
    <n v="300"/>
    <n v="300"/>
    <n v="300"/>
    <n v="0"/>
  </r>
  <r>
    <x v="10"/>
    <x v="1"/>
    <s v="طقم تيل امامى "/>
    <x v="0"/>
    <x v="2"/>
    <m/>
    <x v="2"/>
    <n v="1"/>
    <n v="325"/>
    <n v="325"/>
    <n v="325"/>
    <n v="0"/>
  </r>
  <r>
    <x v="10"/>
    <x v="1"/>
    <s v="كوبات بوجهات اصلى"/>
    <x v="0"/>
    <x v="2"/>
    <m/>
    <x v="13"/>
    <n v="4"/>
    <n v="32.5"/>
    <n v="130"/>
    <n v="130"/>
    <n v="0"/>
  </r>
  <r>
    <x v="10"/>
    <x v="1"/>
    <s v="بوجيه تخين سن طويل/ كارت"/>
    <x v="0"/>
    <x v="2"/>
    <m/>
    <x v="13"/>
    <n v="4"/>
    <n v="67.5"/>
    <n v="270"/>
    <n v="270"/>
    <n v="0"/>
  </r>
  <r>
    <x v="10"/>
    <x v="1"/>
    <s v="طقم تيل امامى "/>
    <x v="0"/>
    <x v="2"/>
    <m/>
    <x v="3"/>
    <n v="1"/>
    <n v="325"/>
    <n v="325"/>
    <n v="325"/>
    <n v="0"/>
  </r>
  <r>
    <x v="10"/>
    <x v="1"/>
    <s v="بطارية كلورايد 90"/>
    <x v="0"/>
    <x v="1"/>
    <m/>
    <x v="2"/>
    <n v="1"/>
    <n v="2750"/>
    <n v="2750"/>
    <n v="2750"/>
    <n v="0"/>
  </r>
  <r>
    <x v="10"/>
    <x v="1"/>
    <s v=" NOZA ECO 15/185/65 كاوتش سومو اكينا صينى"/>
    <x v="0"/>
    <x v="0"/>
    <m/>
    <x v="10"/>
    <n v="2"/>
    <n v="1850"/>
    <n v="3700"/>
    <n v="3700"/>
    <n v="0"/>
  </r>
  <r>
    <x v="10"/>
    <x v="1"/>
    <s v="فيتور خط ابيض 14/195 عريض"/>
    <x v="0"/>
    <x v="0"/>
    <m/>
    <x v="13"/>
    <n v="4"/>
    <n v="3800"/>
    <n v="15200"/>
    <n v="15200"/>
    <n v="0"/>
  </r>
  <r>
    <x v="10"/>
    <x v="1"/>
    <s v="طقم شنبر تويوتا علبة حمراء"/>
    <x v="0"/>
    <x v="2"/>
    <m/>
    <x v="11"/>
    <n v="1"/>
    <n v="820"/>
    <n v="820"/>
    <n v="820"/>
    <n v="0"/>
  </r>
  <r>
    <x v="10"/>
    <x v="1"/>
    <s v="جوان وش سلندر"/>
    <x v="0"/>
    <x v="2"/>
    <m/>
    <x v="3"/>
    <n v="1"/>
    <n v="230"/>
    <n v="230"/>
    <n v="230"/>
    <n v="0"/>
  </r>
  <r>
    <x v="10"/>
    <x v="1"/>
    <s v="جلد صباب لف"/>
    <x v="0"/>
    <x v="2"/>
    <m/>
    <x v="3"/>
    <n v="1"/>
    <n v="150"/>
    <n v="150"/>
    <n v="150"/>
    <n v="0"/>
  </r>
  <r>
    <x v="10"/>
    <x v="1"/>
    <s v="طلمبة مياه يبانى"/>
    <x v="0"/>
    <x v="2"/>
    <m/>
    <x v="3"/>
    <n v="1"/>
    <n v="750"/>
    <n v="750"/>
    <n v="750"/>
    <n v="0"/>
  </r>
  <r>
    <x v="10"/>
    <x v="1"/>
    <s v="سير ديانمو"/>
    <x v="0"/>
    <x v="2"/>
    <m/>
    <x v="3"/>
    <n v="1"/>
    <n v="150"/>
    <n v="150"/>
    <n v="150"/>
    <n v="0"/>
  </r>
  <r>
    <x v="11"/>
    <x v="1"/>
    <s v="بوجيه تخين سن طويل/ كارت"/>
    <x v="0"/>
    <x v="2"/>
    <m/>
    <x v="5"/>
    <n v="4"/>
    <n v="67.5"/>
    <n v="270"/>
    <n v="270"/>
    <n v="0"/>
  </r>
  <r>
    <x v="11"/>
    <x v="1"/>
    <s v="طقم تيل امامى "/>
    <x v="0"/>
    <x v="2"/>
    <m/>
    <x v="13"/>
    <n v="1"/>
    <n v="325"/>
    <n v="325"/>
    <n v="325"/>
    <n v="0"/>
  </r>
  <r>
    <x v="11"/>
    <x v="1"/>
    <s v="طقم تيل امامى "/>
    <x v="0"/>
    <x v="2"/>
    <m/>
    <x v="11"/>
    <n v="1"/>
    <n v="325"/>
    <n v="325"/>
    <n v="325"/>
    <n v="0"/>
  </r>
  <r>
    <x v="11"/>
    <x v="1"/>
    <s v="بوجيه تخين سن طويل/ كارت"/>
    <x v="0"/>
    <x v="2"/>
    <m/>
    <x v="4"/>
    <n v="4"/>
    <n v="67.5"/>
    <n v="270"/>
    <n v="270"/>
    <n v="0"/>
  </r>
  <r>
    <x v="11"/>
    <x v="1"/>
    <s v="بطارية كلورايد 70 نسر"/>
    <x v="0"/>
    <x v="1"/>
    <m/>
    <x v="2"/>
    <n v="1"/>
    <n v="1800"/>
    <n v="1800"/>
    <n v="1800"/>
    <n v="0"/>
  </r>
  <r>
    <x v="11"/>
    <x v="1"/>
    <s v="بطارية كلورايد 70  "/>
    <x v="0"/>
    <x v="1"/>
    <m/>
    <x v="14"/>
    <n v="1"/>
    <n v="1700"/>
    <n v="1700"/>
    <n v="1700"/>
    <n v="0"/>
  </r>
  <r>
    <x v="12"/>
    <x v="1"/>
    <s v="فيتور خط ابيض 14/195 عريض"/>
    <x v="0"/>
    <x v="0"/>
    <m/>
    <x v="12"/>
    <n v="4"/>
    <n v="3750"/>
    <n v="15000"/>
    <n v="15000"/>
    <n v="0"/>
  </r>
  <r>
    <x v="12"/>
    <x v="1"/>
    <s v="14/5/114 جنط سبور صينى تويوتا غاطس SLP LG20-VL"/>
    <x v="0"/>
    <x v="0"/>
    <m/>
    <x v="12"/>
    <n v="4"/>
    <n v="7675"/>
    <n v="30700"/>
    <n v="30700"/>
    <n v="0"/>
  </r>
  <r>
    <x v="12"/>
    <x v="1"/>
    <s v="اصلاح دبرياج سفلى تايوانى تيوتا"/>
    <x v="0"/>
    <x v="2"/>
    <m/>
    <x v="3"/>
    <n v="1"/>
    <n v="70"/>
    <n v="70"/>
    <n v="70"/>
    <n v="0"/>
  </r>
  <r>
    <x v="12"/>
    <x v="1"/>
    <s v="زرار انتظار "/>
    <x v="0"/>
    <x v="2"/>
    <m/>
    <x v="3"/>
    <n v="1"/>
    <n v="80"/>
    <n v="80"/>
    <n v="80"/>
    <n v="0"/>
  </r>
  <r>
    <x v="12"/>
    <x v="1"/>
    <s v="مسمار عجل بالصمولة ديماكس"/>
    <x v="0"/>
    <x v="2"/>
    <m/>
    <x v="3"/>
    <n v="5"/>
    <n v="40"/>
    <n v="200"/>
    <n v="200"/>
    <n v="0"/>
  </r>
  <r>
    <x v="12"/>
    <x v="1"/>
    <s v="جوان وش سلندر"/>
    <x v="0"/>
    <x v="2"/>
    <m/>
    <x v="3"/>
    <n v="1"/>
    <n v="200"/>
    <n v="200"/>
    <n v="200"/>
    <n v="0"/>
  </r>
  <r>
    <x v="12"/>
    <x v="1"/>
    <s v="اصلاح دبرياج علوى تايوانى تيوتا"/>
    <x v="0"/>
    <x v="2"/>
    <m/>
    <x v="3"/>
    <n v="1"/>
    <n v="90"/>
    <n v="90"/>
    <n v="90"/>
    <n v="0"/>
  </r>
  <r>
    <x v="12"/>
    <x v="1"/>
    <s v="مسمار عجل بالصمولة ديماكس"/>
    <x v="0"/>
    <x v="2"/>
    <m/>
    <x v="3"/>
    <n v="20"/>
    <n v="30"/>
    <n v="600"/>
    <n v="600"/>
    <n v="0"/>
  </r>
  <r>
    <x v="12"/>
    <x v="1"/>
    <s v="طمبورة شداد باور "/>
    <x v="0"/>
    <x v="2"/>
    <m/>
    <x v="3"/>
    <n v="1"/>
    <n v="200"/>
    <n v="200"/>
    <n v="200"/>
    <n v="0"/>
  </r>
  <r>
    <x v="12"/>
    <x v="1"/>
    <s v="مجرة باب جرار وسط"/>
    <x v="0"/>
    <x v="2"/>
    <m/>
    <x v="12"/>
    <n v="1"/>
    <n v="700"/>
    <n v="700"/>
    <n v="700"/>
    <n v="0"/>
  </r>
  <r>
    <x v="12"/>
    <x v="1"/>
    <s v="زيت باكم نصف لتر"/>
    <x v="0"/>
    <x v="2"/>
    <m/>
    <x v="12"/>
    <n v="1"/>
    <n v="85"/>
    <n v="85"/>
    <n v="85"/>
    <n v="0"/>
  </r>
  <r>
    <x v="13"/>
    <x v="1"/>
    <s v="بطارية كلورايد 70"/>
    <x v="0"/>
    <x v="1"/>
    <m/>
    <x v="3"/>
    <n v="1"/>
    <n v="1700"/>
    <n v="1700"/>
    <n v="1700"/>
    <n v="0"/>
  </r>
  <r>
    <x v="13"/>
    <x v="1"/>
    <s v="بطارية كلورايد 70"/>
    <x v="0"/>
    <x v="1"/>
    <m/>
    <x v="2"/>
    <n v="1"/>
    <n v="1700"/>
    <n v="1700"/>
    <n v="1700"/>
    <n v="0"/>
  </r>
  <r>
    <x v="13"/>
    <x v="1"/>
    <s v="بطارية كلورايد 90"/>
    <x v="0"/>
    <x v="1"/>
    <m/>
    <x v="9"/>
    <n v="1"/>
    <n v="3250"/>
    <n v="3250"/>
    <n v="3250"/>
    <n v="0"/>
  </r>
  <r>
    <x v="13"/>
    <x v="1"/>
    <s v="اويل سيل كرنك امامى"/>
    <x v="0"/>
    <x v="2"/>
    <m/>
    <x v="3"/>
    <n v="1"/>
    <n v="70"/>
    <n v="70"/>
    <n v="70"/>
    <n v="0"/>
  </r>
  <r>
    <x v="13"/>
    <x v="1"/>
    <s v="كفه اكسرتير بدال"/>
    <x v="0"/>
    <x v="2"/>
    <m/>
    <x v="3"/>
    <n v="1"/>
    <n v="350"/>
    <n v="350"/>
    <n v="350"/>
    <n v="0"/>
  </r>
  <r>
    <x v="13"/>
    <x v="1"/>
    <s v="لى شكمان"/>
    <x v="0"/>
    <x v="2"/>
    <m/>
    <x v="3"/>
    <n v="1"/>
    <n v="250"/>
    <n v="250"/>
    <n v="250"/>
    <n v="0"/>
  </r>
  <r>
    <x v="13"/>
    <x v="1"/>
    <s v="منفل شكمان"/>
    <x v="0"/>
    <x v="2"/>
    <m/>
    <x v="3"/>
    <n v="1"/>
    <n v="150"/>
    <n v="150"/>
    <n v="150"/>
    <n v="0"/>
  </r>
  <r>
    <x v="14"/>
    <x v="1"/>
    <s v="سير ديانمو"/>
    <x v="0"/>
    <x v="2"/>
    <m/>
    <x v="12"/>
    <n v="1"/>
    <n v="150"/>
    <n v="150"/>
    <n v="150"/>
    <n v="0"/>
  </r>
  <r>
    <x v="14"/>
    <x v="1"/>
    <s v="زيت باكم  - فرامل- حجم صغير"/>
    <x v="0"/>
    <x v="2"/>
    <m/>
    <x v="3"/>
    <n v="1"/>
    <n v="30"/>
    <n v="30"/>
    <n v="30"/>
    <n v="0"/>
  </r>
  <r>
    <x v="14"/>
    <x v="1"/>
    <s v="اويل سيل كرنك امامى"/>
    <x v="0"/>
    <x v="2"/>
    <m/>
    <x v="3"/>
    <n v="1"/>
    <n v="70"/>
    <n v="70"/>
    <n v="70"/>
    <n v="0"/>
  </r>
  <r>
    <x v="14"/>
    <x v="1"/>
    <s v="فانوس اشارة jimbe شمال"/>
    <x v="0"/>
    <x v="2"/>
    <m/>
    <x v="12"/>
    <n v="1"/>
    <n v="260"/>
    <n v="260"/>
    <n v="260"/>
    <n v="0"/>
  </r>
  <r>
    <x v="14"/>
    <x v="1"/>
    <s v="طقم تيل امامى "/>
    <x v="0"/>
    <x v="2"/>
    <m/>
    <x v="4"/>
    <n v="1"/>
    <n v="350"/>
    <n v="350"/>
    <n v="350"/>
    <n v="0"/>
  </r>
  <r>
    <x v="14"/>
    <x v="1"/>
    <s v="طقم بلية صره امامى + اويل سيل"/>
    <x v="0"/>
    <x v="2"/>
    <m/>
    <x v="4"/>
    <n v="1"/>
    <n v="230"/>
    <n v="230"/>
    <n v="230"/>
    <n v="0"/>
  </r>
  <r>
    <x v="14"/>
    <x v="1"/>
    <s v="سلك اكسرتير"/>
    <x v="0"/>
    <x v="2"/>
    <m/>
    <x v="2"/>
    <n v="1"/>
    <n v="200"/>
    <n v="200"/>
    <n v="200"/>
    <n v="0"/>
  </r>
  <r>
    <x v="14"/>
    <x v="1"/>
    <s v="مسمار عجل بالصمولة ديماكس"/>
    <x v="0"/>
    <x v="2"/>
    <m/>
    <x v="1"/>
    <n v="20"/>
    <n v="35"/>
    <n v="700"/>
    <n v="700"/>
    <n v="0"/>
  </r>
  <r>
    <x v="14"/>
    <x v="1"/>
    <s v="شريحة اسبرتير"/>
    <x v="0"/>
    <x v="2"/>
    <m/>
    <x v="14"/>
    <n v="1"/>
    <n v="1200"/>
    <n v="1200"/>
    <n v="1200"/>
    <n v="0"/>
  </r>
  <r>
    <x v="14"/>
    <x v="1"/>
    <s v="طقم بلية صره امامى + اويل سيل"/>
    <x v="0"/>
    <x v="2"/>
    <m/>
    <x v="3"/>
    <n v="1"/>
    <n v="230"/>
    <n v="230"/>
    <n v="230"/>
    <n v="0"/>
  </r>
  <r>
    <x v="14"/>
    <x v="1"/>
    <s v="طقم تيل امامى "/>
    <x v="0"/>
    <x v="2"/>
    <m/>
    <x v="3"/>
    <n v="1"/>
    <n v="350"/>
    <n v="350"/>
    <n v="350"/>
    <n v="0"/>
  </r>
  <r>
    <x v="14"/>
    <x v="1"/>
    <s v="بوجيه تخين سن طويل/ كارت"/>
    <x v="0"/>
    <x v="2"/>
    <m/>
    <x v="3"/>
    <n v="4"/>
    <n v="67.5"/>
    <n v="270"/>
    <n v="270"/>
    <n v="0"/>
  </r>
  <r>
    <x v="15"/>
    <x v="1"/>
    <s v="14/5/114 جنط سبور صينى تويوتا غاطس"/>
    <x v="0"/>
    <x v="0"/>
    <m/>
    <x v="3"/>
    <n v="4"/>
    <n v="3875"/>
    <n v="15500"/>
    <n v="15500"/>
    <n v="0"/>
  </r>
  <r>
    <x v="15"/>
    <x v="1"/>
    <s v="رداتير جان بى"/>
    <x v="0"/>
    <x v="2"/>
    <m/>
    <x v="12"/>
    <n v="1"/>
    <n v="2450"/>
    <n v="2450"/>
    <n v="2450"/>
    <n v="0"/>
  </r>
  <r>
    <x v="15"/>
    <x v="1"/>
    <s v="سير ديانمو"/>
    <x v="0"/>
    <x v="2"/>
    <m/>
    <x v="12"/>
    <n v="1"/>
    <n v="150"/>
    <n v="150"/>
    <n v="150"/>
    <n v="0"/>
  </r>
  <r>
    <x v="15"/>
    <x v="1"/>
    <s v="سير مشرشر 13*1050 "/>
    <x v="0"/>
    <x v="2"/>
    <m/>
    <x v="12"/>
    <n v="1"/>
    <n v="150"/>
    <n v="150"/>
    <n v="150"/>
    <n v="0"/>
  </r>
  <r>
    <x v="15"/>
    <x v="1"/>
    <s v="سلك بوجيهات جان بى"/>
    <x v="0"/>
    <x v="2"/>
    <m/>
    <x v="12"/>
    <n v="1"/>
    <n v="250"/>
    <n v="250"/>
    <n v="250"/>
    <n v="0"/>
  </r>
  <r>
    <x v="16"/>
    <x v="1"/>
    <s v="بطارية كلورايد 70"/>
    <x v="0"/>
    <x v="1"/>
    <m/>
    <x v="12"/>
    <n v="1"/>
    <n v="1750"/>
    <n v="1750"/>
    <n v="1750"/>
    <n v="0"/>
  </r>
  <r>
    <x v="16"/>
    <x v="1"/>
    <s v="بطارية كلورايد 70"/>
    <x v="0"/>
    <x v="1"/>
    <m/>
    <x v="1"/>
    <n v="1"/>
    <n v="1700"/>
    <n v="1700"/>
    <n v="1700"/>
    <n v="0"/>
  </r>
  <r>
    <x v="16"/>
    <x v="1"/>
    <s v="زيت باكم  - فرامل- حجم صغير"/>
    <x v="0"/>
    <x v="2"/>
    <m/>
    <x v="3"/>
    <n v="1"/>
    <n v="30"/>
    <n v="30"/>
    <n v="30"/>
    <n v="0"/>
  </r>
  <r>
    <x v="16"/>
    <x v="1"/>
    <s v="زيت باكم  - فرامل- حجم صغير"/>
    <x v="0"/>
    <x v="2"/>
    <m/>
    <x v="3"/>
    <n v="1"/>
    <n v="30"/>
    <n v="30"/>
    <n v="30"/>
    <n v="0"/>
  </r>
  <r>
    <x v="16"/>
    <x v="1"/>
    <s v="فانوس اشارة شوقى"/>
    <x v="0"/>
    <x v="2"/>
    <m/>
    <x v="3"/>
    <n v="2"/>
    <n v="280"/>
    <n v="560"/>
    <n v="560"/>
    <n v="0"/>
  </r>
  <r>
    <x v="16"/>
    <x v="1"/>
    <s v="فانوس كشاف شوقى"/>
    <x v="0"/>
    <x v="2"/>
    <m/>
    <x v="3"/>
    <n v="2"/>
    <n v="900"/>
    <n v="1800"/>
    <n v="1800"/>
    <n v="0"/>
  </r>
  <r>
    <x v="16"/>
    <x v="1"/>
    <s v="اكصدام خلفى"/>
    <x v="0"/>
    <x v="2"/>
    <m/>
    <x v="3"/>
    <n v="1"/>
    <n v="200"/>
    <n v="200"/>
    <n v="200"/>
    <n v="0"/>
  </r>
  <r>
    <x v="16"/>
    <x v="1"/>
    <s v="اكصدام  امامى"/>
    <x v="0"/>
    <x v="2"/>
    <m/>
    <x v="3"/>
    <n v="1"/>
    <n v="550"/>
    <n v="550"/>
    <n v="550"/>
    <n v="0"/>
  </r>
  <r>
    <x v="16"/>
    <x v="1"/>
    <s v="فانوس خلفى كريستال هاى اس يمين"/>
    <x v="0"/>
    <x v="2"/>
    <m/>
    <x v="3"/>
    <n v="2"/>
    <n v="270"/>
    <n v="540"/>
    <n v="540"/>
    <n v="0"/>
  </r>
  <r>
    <x v="16"/>
    <x v="1"/>
    <s v="كوعة منفول هواء شوقى"/>
    <x v="0"/>
    <x v="2"/>
    <m/>
    <x v="13"/>
    <n v="1"/>
    <n v="350"/>
    <n v="350"/>
    <n v="350"/>
    <n v="0"/>
  </r>
  <r>
    <x v="16"/>
    <x v="1"/>
    <s v="كفه اكسرتير بدال"/>
    <x v="0"/>
    <x v="2"/>
    <m/>
    <x v="3"/>
    <n v="1"/>
    <n v="350"/>
    <n v="350"/>
    <n v="350"/>
    <n v="0"/>
  </r>
  <r>
    <x v="16"/>
    <x v="1"/>
    <s v="طمبورة شداد باور "/>
    <x v="0"/>
    <x v="2"/>
    <m/>
    <x v="3"/>
    <n v="5"/>
    <n v="130"/>
    <n v="650"/>
    <n v="650"/>
    <n v="0"/>
  </r>
  <r>
    <x v="16"/>
    <x v="1"/>
    <s v="بوجيه تخين سن قصير/علبه صفراء بدون مقاومة"/>
    <x v="0"/>
    <x v="2"/>
    <m/>
    <x v="3"/>
    <n v="4"/>
    <n v="70"/>
    <n v="280"/>
    <n v="280"/>
    <n v="0"/>
  </r>
  <r>
    <x v="16"/>
    <x v="1"/>
    <s v="سير ديانمو"/>
    <x v="0"/>
    <x v="2"/>
    <m/>
    <x v="3"/>
    <n v="1"/>
    <n v="150"/>
    <n v="150"/>
    <n v="150"/>
    <n v="0"/>
  </r>
  <r>
    <x v="17"/>
    <x v="1"/>
    <s v="اكصدام خلفى"/>
    <x v="0"/>
    <x v="2"/>
    <m/>
    <x v="1"/>
    <n v="2"/>
    <n v="1445"/>
    <n v="2890"/>
    <n v="2890"/>
    <n v="0"/>
  </r>
  <r>
    <x v="17"/>
    <x v="1"/>
    <s v="اكصدام  امامى"/>
    <x v="0"/>
    <x v="2"/>
    <m/>
    <x v="1"/>
    <n v="1"/>
    <n v="1950"/>
    <n v="1950"/>
    <n v="1950"/>
    <n v="0"/>
  </r>
  <r>
    <x v="17"/>
    <x v="1"/>
    <s v="اكصدام خلفى"/>
    <x v="0"/>
    <x v="2"/>
    <m/>
    <x v="2"/>
    <n v="1"/>
    <n v="175"/>
    <n v="175"/>
    <n v="175"/>
    <n v="0"/>
  </r>
  <r>
    <x v="17"/>
    <x v="1"/>
    <s v="طقم تيل امامى "/>
    <x v="0"/>
    <x v="2"/>
    <m/>
    <x v="15"/>
    <n v="1"/>
    <n v="300"/>
    <n v="300"/>
    <n v="300"/>
    <n v="0"/>
  </r>
  <r>
    <x v="17"/>
    <x v="1"/>
    <s v="اصلاح دبرياج سفلى تايوانى تيوتا"/>
    <x v="0"/>
    <x v="2"/>
    <m/>
    <x v="15"/>
    <n v="1"/>
    <n v="60"/>
    <n v="60"/>
    <n v="60"/>
    <n v="0"/>
  </r>
  <r>
    <x v="17"/>
    <x v="1"/>
    <s v="طقم شنبر تويوتا NPR صفراء"/>
    <x v="0"/>
    <x v="2"/>
    <m/>
    <x v="14"/>
    <n v="1"/>
    <n v="800"/>
    <n v="800"/>
    <n v="800"/>
    <n v="0"/>
  </r>
  <r>
    <x v="17"/>
    <x v="1"/>
    <s v="بلف كتينة "/>
    <x v="0"/>
    <x v="2"/>
    <m/>
    <x v="14"/>
    <n v="1"/>
    <n v="230"/>
    <n v="230"/>
    <n v="230"/>
    <n v="0"/>
  </r>
  <r>
    <x v="17"/>
    <x v="1"/>
    <s v="سير كتينه حديد"/>
    <x v="0"/>
    <x v="2"/>
    <m/>
    <x v="14"/>
    <n v="1"/>
    <n v="320"/>
    <n v="320"/>
    <n v="320"/>
    <n v="0"/>
  </r>
  <r>
    <x v="17"/>
    <x v="1"/>
    <s v="طقم كوستبان جان بى"/>
    <x v="0"/>
    <x v="2"/>
    <m/>
    <x v="14"/>
    <n v="1"/>
    <n v="620"/>
    <n v="620"/>
    <n v="620"/>
    <n v="0"/>
  </r>
  <r>
    <x v="17"/>
    <x v="1"/>
    <s v="جوان كرتيرة شكمان جوان"/>
    <x v="0"/>
    <x v="2"/>
    <m/>
    <x v="14"/>
    <n v="1"/>
    <n v="150"/>
    <n v="150"/>
    <n v="150"/>
    <n v="0"/>
  </r>
  <r>
    <x v="17"/>
    <x v="1"/>
    <s v="وش تقسيمة جوان"/>
    <x v="0"/>
    <x v="2"/>
    <m/>
    <x v="14"/>
    <n v="1"/>
    <n v="30"/>
    <n v="30"/>
    <n v="30"/>
    <n v="0"/>
  </r>
  <r>
    <x v="17"/>
    <x v="1"/>
    <s v="جوان وش سلندر"/>
    <x v="0"/>
    <x v="2"/>
    <m/>
    <x v="14"/>
    <n v="1"/>
    <n v="250"/>
    <n v="250"/>
    <n v="250"/>
    <n v="0"/>
  </r>
  <r>
    <x v="17"/>
    <x v="1"/>
    <s v="باور كينج لونج"/>
    <x v="0"/>
    <x v="2"/>
    <m/>
    <x v="13"/>
    <n v="1"/>
    <n v="2300"/>
    <n v="2300"/>
    <n v="2300"/>
    <n v="0"/>
  </r>
  <r>
    <x v="17"/>
    <x v="1"/>
    <s v="تيل خلفى 902317"/>
    <x v="0"/>
    <x v="2"/>
    <m/>
    <x v="10"/>
    <n v="1"/>
    <n v="850"/>
    <n v="850"/>
    <n v="850"/>
    <n v="0"/>
  </r>
  <r>
    <x v="17"/>
    <x v="1"/>
    <s v="طقم تيل امامى "/>
    <x v="0"/>
    <x v="2"/>
    <m/>
    <x v="10"/>
    <n v="1"/>
    <n v="325"/>
    <n v="325"/>
    <n v="325"/>
    <n v="0"/>
  </r>
  <r>
    <x v="17"/>
    <x v="1"/>
    <s v="سير كتينه حديد"/>
    <x v="0"/>
    <x v="2"/>
    <m/>
    <x v="2"/>
    <n v="1"/>
    <n v="320"/>
    <n v="320"/>
    <n v="320"/>
    <n v="0"/>
  </r>
  <r>
    <x v="17"/>
    <x v="1"/>
    <s v="وش تقسيمة جوان"/>
    <x v="0"/>
    <x v="2"/>
    <m/>
    <x v="3"/>
    <n v="1"/>
    <n v="30"/>
    <n v="30"/>
    <n v="30"/>
    <n v="0"/>
  </r>
  <r>
    <x v="17"/>
    <x v="1"/>
    <s v="سير ديانمو"/>
    <x v="0"/>
    <x v="2"/>
    <m/>
    <x v="10"/>
    <n v="1"/>
    <n v="150"/>
    <n v="150"/>
    <n v="150"/>
    <n v="0"/>
  </r>
  <r>
    <x v="17"/>
    <x v="1"/>
    <s v="سير باور"/>
    <x v="0"/>
    <x v="2"/>
    <m/>
    <x v="3"/>
    <n v="1"/>
    <n v="150"/>
    <n v="150"/>
    <n v="150"/>
    <n v="0"/>
  </r>
  <r>
    <x v="17"/>
    <x v="1"/>
    <s v="جلد صباب يابانى لف"/>
    <x v="0"/>
    <x v="2"/>
    <m/>
    <x v="14"/>
    <n v="1"/>
    <n v="150"/>
    <n v="150"/>
    <n v="150"/>
    <n v="0"/>
  </r>
  <r>
    <x v="17"/>
    <x v="1"/>
    <s v="سير ديانمو"/>
    <x v="0"/>
    <x v="2"/>
    <m/>
    <x v="14"/>
    <n v="1"/>
    <n v="150"/>
    <n v="150"/>
    <n v="150"/>
    <n v="0"/>
  </r>
  <r>
    <x v="17"/>
    <x v="1"/>
    <s v="سلك بوجيهات جان بى"/>
    <x v="0"/>
    <x v="2"/>
    <m/>
    <x v="3"/>
    <n v="1"/>
    <n v="270"/>
    <n v="270"/>
    <n v="270"/>
    <n v="0"/>
  </r>
  <r>
    <x v="17"/>
    <x v="1"/>
    <s v=" NOZA ECO 15/185/65 كاوتش سومو اكينا صينى"/>
    <x v="0"/>
    <x v="0"/>
    <m/>
    <x v="4"/>
    <n v="4"/>
    <n v="1850"/>
    <n v="7400"/>
    <n v="7400"/>
    <n v="0"/>
  </r>
  <r>
    <x v="17"/>
    <x v="1"/>
    <s v="بطارية كلورايد 70"/>
    <x v="0"/>
    <x v="1"/>
    <m/>
    <x v="2"/>
    <n v="1"/>
    <n v="1600"/>
    <n v="1600"/>
    <n v="1600"/>
    <n v="0"/>
  </r>
  <r>
    <x v="17"/>
    <x v="1"/>
    <s v="بطارية كلورايد 70"/>
    <x v="0"/>
    <x v="1"/>
    <m/>
    <x v="2"/>
    <n v="1"/>
    <n v="1750"/>
    <n v="1750"/>
    <n v="1750"/>
    <n v="0"/>
  </r>
  <r>
    <x v="18"/>
    <x v="1"/>
    <s v="خزنة فرامل عمومى"/>
    <x v="0"/>
    <x v="2"/>
    <m/>
    <x v="3"/>
    <n v="1"/>
    <n v="830"/>
    <n v="830"/>
    <n v="830"/>
    <n v="0"/>
  </r>
  <r>
    <x v="18"/>
    <x v="1"/>
    <s v="اكرة باب زجاج تويوتا 90"/>
    <x v="0"/>
    <x v="2"/>
    <m/>
    <x v="3"/>
    <n v="1"/>
    <n v="30"/>
    <n v="30"/>
    <n v="30"/>
    <n v="0"/>
  </r>
  <r>
    <x v="18"/>
    <x v="1"/>
    <s v="خزنة فرامل عمومى"/>
    <x v="0"/>
    <x v="2"/>
    <m/>
    <x v="3"/>
    <n v="1"/>
    <n v="850"/>
    <n v="850"/>
    <n v="850"/>
    <n v="0"/>
  </r>
  <r>
    <x v="18"/>
    <x v="1"/>
    <s v="ديسك دبرياج تويوتا عالى يابانى"/>
    <x v="0"/>
    <x v="2"/>
    <m/>
    <x v="3"/>
    <n v="1"/>
    <n v="2000"/>
    <n v="2000"/>
    <n v="2000"/>
    <n v="0"/>
  </r>
  <r>
    <x v="18"/>
    <x v="1"/>
    <s v="جلب كامة تويوتا"/>
    <x v="0"/>
    <x v="2"/>
    <m/>
    <x v="10"/>
    <n v="1"/>
    <n v="300"/>
    <n v="300"/>
    <n v="300"/>
    <n v="0"/>
  </r>
  <r>
    <x v="18"/>
    <x v="1"/>
    <s v="طقم بستم تيوتا"/>
    <x v="0"/>
    <x v="2"/>
    <m/>
    <x v="10"/>
    <n v="1"/>
    <n v="1700"/>
    <n v="1700"/>
    <n v="1700"/>
    <n v="0"/>
  </r>
  <r>
    <x v="18"/>
    <x v="1"/>
    <s v="طقم جوان تويوتا"/>
    <x v="0"/>
    <x v="2"/>
    <m/>
    <x v="10"/>
    <n v="1"/>
    <n v="450"/>
    <n v="450"/>
    <n v="450"/>
    <n v="0"/>
  </r>
  <r>
    <x v="18"/>
    <x v="1"/>
    <s v="طقم شنبر تويوتا NPR صفراء"/>
    <x v="0"/>
    <x v="2"/>
    <m/>
    <x v="10"/>
    <n v="1"/>
    <n v="700"/>
    <n v="700"/>
    <n v="700"/>
    <n v="0"/>
  </r>
  <r>
    <x v="18"/>
    <x v="1"/>
    <s v="فلتر بنزين دايو /هيوندى"/>
    <x v="0"/>
    <x v="2"/>
    <m/>
    <x v="14"/>
    <n v="1"/>
    <n v="150"/>
    <n v="150"/>
    <n v="150"/>
    <n v="0"/>
  </r>
  <r>
    <x v="18"/>
    <x v="1"/>
    <s v="مساعد امامى تويوتا"/>
    <x v="0"/>
    <x v="2"/>
    <m/>
    <x v="10"/>
    <n v="2"/>
    <n v="2500"/>
    <n v="5000"/>
    <n v="5000"/>
    <n v="0"/>
  </r>
  <r>
    <x v="18"/>
    <x v="1"/>
    <s v="مساعد خلفى تويوتا هاى اس"/>
    <x v="0"/>
    <x v="2"/>
    <m/>
    <x v="10"/>
    <n v="1"/>
    <n v="2500"/>
    <n v="2500"/>
    <n v="2500"/>
    <n v="0"/>
  </r>
  <r>
    <x v="18"/>
    <x v="1"/>
    <s v="اكصدام  امامى"/>
    <x v="0"/>
    <x v="2"/>
    <m/>
    <x v="10"/>
    <n v="1"/>
    <n v="2690"/>
    <n v="2690"/>
    <n v="2690"/>
    <n v="0"/>
  </r>
  <r>
    <x v="18"/>
    <x v="1"/>
    <s v="ديسك دبرياج تويوتا عالى يابانى"/>
    <x v="0"/>
    <x v="2"/>
    <m/>
    <x v="15"/>
    <n v="1"/>
    <n v="4690"/>
    <n v="4690"/>
    <n v="4690"/>
    <n v="0"/>
  </r>
  <r>
    <x v="18"/>
    <x v="1"/>
    <s v="بلف كتينة "/>
    <x v="0"/>
    <x v="2"/>
    <m/>
    <x v="15"/>
    <n v="5"/>
    <n v="175"/>
    <n v="875"/>
    <n v="875"/>
    <n v="0"/>
  </r>
  <r>
    <x v="18"/>
    <x v="1"/>
    <s v="سلك بوجيهات جان بى"/>
    <x v="0"/>
    <x v="2"/>
    <m/>
    <x v="11"/>
    <n v="1"/>
    <n v="250"/>
    <n v="250"/>
    <n v="250"/>
    <n v="0"/>
  </r>
  <r>
    <x v="18"/>
    <x v="1"/>
    <s v="شريحة اسبرتير"/>
    <x v="0"/>
    <x v="2"/>
    <m/>
    <x v="16"/>
    <n v="1"/>
    <n v="620"/>
    <n v="620"/>
    <n v="620"/>
    <n v="0"/>
  </r>
  <r>
    <x v="18"/>
    <x v="1"/>
    <s v="فانوس اشارة jimbe يمين"/>
    <x v="0"/>
    <x v="2"/>
    <m/>
    <x v="16"/>
    <n v="1"/>
    <n v="250"/>
    <n v="250"/>
    <n v="250"/>
    <n v="0"/>
  </r>
  <r>
    <x v="18"/>
    <x v="1"/>
    <s v="بطارية كلورايد 80"/>
    <x v="0"/>
    <x v="1"/>
    <m/>
    <x v="6"/>
    <n v="1"/>
    <n v="2500"/>
    <n v="2500"/>
    <n v="2500"/>
    <n v="0"/>
  </r>
  <r>
    <x v="19"/>
    <x v="1"/>
    <s v="بطارية كلورايد 70"/>
    <x v="0"/>
    <x v="1"/>
    <m/>
    <x v="3"/>
    <n v="1"/>
    <n v="1650"/>
    <n v="1650"/>
    <n v="1650"/>
    <n v="0"/>
  </r>
  <r>
    <x v="19"/>
    <x v="1"/>
    <s v="سير باور"/>
    <x v="0"/>
    <x v="2"/>
    <m/>
    <x v="2"/>
    <n v="1"/>
    <n v="150"/>
    <n v="150"/>
    <n v="150"/>
    <n v="0"/>
  </r>
  <r>
    <x v="19"/>
    <x v="1"/>
    <s v="طمبورة شداد باور "/>
    <x v="0"/>
    <x v="2"/>
    <m/>
    <x v="3"/>
    <n v="1"/>
    <n v="220"/>
    <n v="220"/>
    <n v="220"/>
    <n v="0"/>
  </r>
  <r>
    <x v="19"/>
    <x v="1"/>
    <s v="طقم تيل امامى "/>
    <x v="0"/>
    <x v="2"/>
    <m/>
    <x v="1"/>
    <n v="1"/>
    <n v="350"/>
    <n v="350"/>
    <n v="350"/>
    <n v="0"/>
  </r>
  <r>
    <x v="19"/>
    <x v="1"/>
    <s v="اصلاح دبرياج سفلى تايوانى تيوتا"/>
    <x v="0"/>
    <x v="2"/>
    <m/>
    <x v="12"/>
    <n v="4"/>
    <n v="60"/>
    <n v="240"/>
    <n v="240"/>
    <n v="0"/>
  </r>
  <r>
    <x v="19"/>
    <x v="1"/>
    <s v="زيت باكم نصف لتر"/>
    <x v="0"/>
    <x v="2"/>
    <m/>
    <x v="3"/>
    <n v="1"/>
    <n v="100"/>
    <n v="100"/>
    <n v="100"/>
    <n v="0"/>
  </r>
  <r>
    <x v="19"/>
    <x v="1"/>
    <s v="سير باور"/>
    <x v="0"/>
    <x v="2"/>
    <m/>
    <x v="13"/>
    <n v="1"/>
    <n v="150"/>
    <n v="150"/>
    <n v="150"/>
    <n v="0"/>
  </r>
  <r>
    <x v="19"/>
    <x v="1"/>
    <s v="اربه مياه "/>
    <x v="0"/>
    <x v="2"/>
    <m/>
    <x v="1"/>
    <n v="1"/>
    <n v="220"/>
    <n v="220"/>
    <n v="220"/>
    <n v="0"/>
  </r>
  <r>
    <x v="19"/>
    <x v="1"/>
    <s v="قميص رداتير"/>
    <x v="0"/>
    <x v="2"/>
    <m/>
    <x v="1"/>
    <n v="1"/>
    <n v="300"/>
    <n v="300"/>
    <n v="300"/>
    <n v="0"/>
  </r>
  <r>
    <x v="19"/>
    <x v="1"/>
    <s v="اصلاح دبرياج سفلى تايوانى تيوتا"/>
    <x v="0"/>
    <x v="2"/>
    <m/>
    <x v="3"/>
    <n v="1"/>
    <n v="60"/>
    <n v="60"/>
    <n v="60"/>
    <n v="0"/>
  </r>
  <r>
    <x v="19"/>
    <x v="1"/>
    <s v="زيت باكم  - فرامل- حجم صغير"/>
    <x v="0"/>
    <x v="2"/>
    <m/>
    <x v="3"/>
    <n v="1"/>
    <n v="30"/>
    <n v="30"/>
    <n v="30"/>
    <n v="0"/>
  </r>
  <r>
    <x v="19"/>
    <x v="1"/>
    <s v="غطاء زيت"/>
    <x v="0"/>
    <x v="2"/>
    <m/>
    <x v="3"/>
    <n v="1"/>
    <n v="70"/>
    <n v="70"/>
    <n v="70"/>
    <n v="0"/>
  </r>
  <r>
    <x v="19"/>
    <x v="1"/>
    <s v="اسطوانة تويوتا بكر سباركس"/>
    <x v="0"/>
    <x v="2"/>
    <m/>
    <x v="14"/>
    <n v="1"/>
    <n v="800"/>
    <n v="800"/>
    <n v="800"/>
    <n v="0"/>
  </r>
  <r>
    <x v="19"/>
    <x v="1"/>
    <s v="فرش دبرياش"/>
    <x v="0"/>
    <x v="2"/>
    <m/>
    <x v="14"/>
    <n v="1"/>
    <n v="100"/>
    <n v="100"/>
    <n v="100"/>
    <n v="0"/>
  </r>
  <r>
    <x v="19"/>
    <x v="1"/>
    <s v="طقم سياخ"/>
    <x v="0"/>
    <x v="2"/>
    <m/>
    <x v="3"/>
    <n v="1"/>
    <n v="100"/>
    <n v="100"/>
    <n v="100"/>
    <n v="0"/>
  </r>
  <r>
    <x v="19"/>
    <x v="1"/>
    <s v="هواية فبر منفو"/>
    <x v="0"/>
    <x v="2"/>
    <m/>
    <x v="3"/>
    <n v="1"/>
    <n v="50"/>
    <n v="50"/>
    <n v="50"/>
    <n v="0"/>
  </r>
  <r>
    <x v="19"/>
    <x v="1"/>
    <s v="خزنة دبرياج سفلى"/>
    <x v="0"/>
    <x v="2"/>
    <m/>
    <x v="3"/>
    <n v="1"/>
    <n v="320"/>
    <n v="320"/>
    <n v="320"/>
    <n v="0"/>
  </r>
  <r>
    <x v="19"/>
    <x v="1"/>
    <s v="زيت باكم  - فرامل- حجم صغير"/>
    <x v="0"/>
    <x v="2"/>
    <m/>
    <x v="3"/>
    <n v="1"/>
    <n v="30"/>
    <n v="30"/>
    <n v="30"/>
    <n v="0"/>
  </r>
  <r>
    <x v="20"/>
    <x v="1"/>
    <s v="اكرة باب زجاج تويوتا 90"/>
    <x v="0"/>
    <x v="2"/>
    <m/>
    <x v="3"/>
    <n v="2"/>
    <n v="25"/>
    <n v="50"/>
    <n v="50"/>
    <n v="0"/>
  </r>
  <r>
    <x v="20"/>
    <x v="1"/>
    <s v="مرايا جنب هاى اس بدون قاعدة  ابيض شمال"/>
    <x v="0"/>
    <x v="2"/>
    <m/>
    <x v="3"/>
    <n v="1"/>
    <n v="125"/>
    <n v="125"/>
    <n v="125"/>
    <n v="0"/>
  </r>
  <r>
    <x v="20"/>
    <x v="1"/>
    <s v="مروحة تويوتا عريضة"/>
    <x v="0"/>
    <x v="2"/>
    <m/>
    <x v="3"/>
    <n v="1"/>
    <n v="300"/>
    <n v="300"/>
    <n v="300"/>
    <n v="0"/>
  </r>
  <r>
    <x v="20"/>
    <x v="1"/>
    <s v="طلمبة مياه يبانى"/>
    <x v="0"/>
    <x v="2"/>
    <m/>
    <x v="3"/>
    <n v="1"/>
    <n v="700"/>
    <n v="700"/>
    <n v="700"/>
    <n v="0"/>
  </r>
  <r>
    <x v="20"/>
    <x v="1"/>
    <s v="اكرة باب جر داخلية تويوتا 90"/>
    <x v="0"/>
    <x v="2"/>
    <m/>
    <x v="3"/>
    <n v="1"/>
    <n v="80"/>
    <n v="80"/>
    <n v="80"/>
    <n v="0"/>
  </r>
  <r>
    <x v="20"/>
    <x v="1"/>
    <s v="طقم تيل امامى "/>
    <x v="0"/>
    <x v="2"/>
    <m/>
    <x v="3"/>
    <n v="1"/>
    <n v="325"/>
    <n v="325"/>
    <n v="325"/>
    <n v="0"/>
  </r>
  <r>
    <x v="20"/>
    <x v="1"/>
    <s v="سير ديانمو"/>
    <x v="0"/>
    <x v="2"/>
    <m/>
    <x v="3"/>
    <n v="1"/>
    <n v="150"/>
    <n v="150"/>
    <n v="150"/>
    <n v="0"/>
  </r>
  <r>
    <x v="20"/>
    <x v="1"/>
    <s v="مرايا جنب هاى اس بدون قاعدة  ابيض شمال"/>
    <x v="0"/>
    <x v="2"/>
    <m/>
    <x v="3"/>
    <n v="1"/>
    <n v="120"/>
    <n v="120"/>
    <n v="120"/>
    <n v="0"/>
  </r>
  <r>
    <x v="20"/>
    <x v="1"/>
    <s v="كتينة تويوتا"/>
    <x v="0"/>
    <x v="2"/>
    <m/>
    <x v="14"/>
    <n v="1"/>
    <n v="275"/>
    <n v="275"/>
    <n v="275"/>
    <n v="0"/>
  </r>
  <r>
    <x v="20"/>
    <x v="1"/>
    <s v="طقم شنبر تويوتا"/>
    <x v="0"/>
    <x v="2"/>
    <m/>
    <x v="14"/>
    <n v="1"/>
    <n v="800"/>
    <n v="800"/>
    <n v="800"/>
    <n v="0"/>
  </r>
  <r>
    <x v="20"/>
    <x v="1"/>
    <s v="جوان كرتيرة شكمان جوان"/>
    <x v="0"/>
    <x v="2"/>
    <m/>
    <x v="14"/>
    <n v="1"/>
    <n v="150"/>
    <n v="150"/>
    <n v="150"/>
    <n v="0"/>
  </r>
  <r>
    <x v="21"/>
    <x v="1"/>
    <s v="اكرة باب امامى داخلى تويوتا 90"/>
    <x v="0"/>
    <x v="2"/>
    <m/>
    <x v="2"/>
    <n v="1"/>
    <n v="80"/>
    <n v="80"/>
    <n v="80"/>
    <n v="0"/>
  </r>
  <r>
    <x v="21"/>
    <x v="1"/>
    <s v="بوجيه تخين سن طويل/ كارت"/>
    <x v="0"/>
    <x v="2"/>
    <m/>
    <x v="13"/>
    <n v="4"/>
    <n v="67.5"/>
    <n v="270"/>
    <n v="270"/>
    <n v="0"/>
  </r>
  <r>
    <x v="21"/>
    <x v="1"/>
    <s v="كوبات بوجهات اصلى"/>
    <x v="0"/>
    <x v="2"/>
    <m/>
    <x v="13"/>
    <n v="4"/>
    <n v="37.5"/>
    <n v="150"/>
    <n v="150"/>
    <n v="0"/>
  </r>
  <r>
    <x v="21"/>
    <x v="1"/>
    <s v="زيت باكم  - فرامل- حجم صغير"/>
    <x v="0"/>
    <x v="2"/>
    <m/>
    <x v="3"/>
    <n v="1"/>
    <n v="30"/>
    <n v="30"/>
    <n v="30"/>
    <n v="0"/>
  </r>
  <r>
    <x v="21"/>
    <x v="1"/>
    <s v="بوجيه تخين سن طويل/ كارت"/>
    <x v="0"/>
    <x v="2"/>
    <m/>
    <x v="14"/>
    <n v="4"/>
    <n v="67.5"/>
    <n v="270"/>
    <n v="270"/>
    <n v="0"/>
  </r>
  <r>
    <x v="21"/>
    <x v="1"/>
    <s v="منفل شكمان"/>
    <x v="0"/>
    <x v="2"/>
    <m/>
    <x v="14"/>
    <n v="1"/>
    <n v="150"/>
    <n v="150"/>
    <n v="150"/>
    <n v="0"/>
  </r>
  <r>
    <x v="21"/>
    <x v="1"/>
    <s v="وش تقسيمة جوان"/>
    <x v="0"/>
    <x v="2"/>
    <m/>
    <x v="14"/>
    <n v="1"/>
    <n v="30"/>
    <n v="30"/>
    <n v="30"/>
    <n v="0"/>
  </r>
  <r>
    <x v="21"/>
    <x v="1"/>
    <s v="اويل سيل كرنك امامى"/>
    <x v="0"/>
    <x v="2"/>
    <m/>
    <x v="14"/>
    <n v="1"/>
    <n v="70"/>
    <n v="70"/>
    <n v="70"/>
    <n v="0"/>
  </r>
  <r>
    <x v="21"/>
    <x v="1"/>
    <s v="بازبوز مسحات طقم "/>
    <x v="0"/>
    <x v="2"/>
    <m/>
    <x v="1"/>
    <n v="2"/>
    <n v="75"/>
    <n v="150"/>
    <n v="150"/>
    <n v="0"/>
  </r>
  <r>
    <x v="21"/>
    <x v="1"/>
    <s v="زيت باكم  - فرامل- حجم صغير"/>
    <x v="0"/>
    <x v="2"/>
    <m/>
    <x v="3"/>
    <n v="1"/>
    <n v="30"/>
    <n v="30"/>
    <n v="30"/>
    <n v="0"/>
  </r>
  <r>
    <x v="21"/>
    <x v="1"/>
    <s v="فانوس اشارة شمال فطيم"/>
    <x v="0"/>
    <x v="2"/>
    <m/>
    <x v="3"/>
    <n v="1"/>
    <n v="250"/>
    <n v="250"/>
    <n v="250"/>
    <n v="0"/>
  </r>
  <r>
    <x v="21"/>
    <x v="1"/>
    <s v="مروحة تويوتا عريضة"/>
    <x v="0"/>
    <x v="2"/>
    <m/>
    <x v="3"/>
    <n v="1"/>
    <n v="250"/>
    <n v="250"/>
    <n v="250"/>
    <n v="0"/>
  </r>
  <r>
    <x v="21"/>
    <x v="1"/>
    <s v="شبكة تعديل سوداء"/>
    <x v="0"/>
    <x v="2"/>
    <m/>
    <x v="3"/>
    <n v="1"/>
    <n v="450"/>
    <n v="450"/>
    <n v="450"/>
    <n v="0"/>
  </r>
  <r>
    <x v="21"/>
    <x v="1"/>
    <s v="فيتور خط ابيض 14/195 عريض"/>
    <x v="0"/>
    <x v="0"/>
    <m/>
    <x v="9"/>
    <n v="1"/>
    <n v="3900"/>
    <n v="3900"/>
    <n v="3900"/>
    <n v="0"/>
  </r>
  <r>
    <x v="21"/>
    <x v="1"/>
    <s v="بطارية كلورايد 70 فيلدا"/>
    <x v="0"/>
    <x v="1"/>
    <m/>
    <x v="3"/>
    <n v="1"/>
    <n v="1250"/>
    <n v="1250"/>
    <n v="1250"/>
    <n v="0"/>
  </r>
  <r>
    <x v="21"/>
    <x v="1"/>
    <s v="فانوس كشاف شوقى"/>
    <x v="0"/>
    <x v="2"/>
    <m/>
    <x v="1"/>
    <n v="2"/>
    <n v="3600"/>
    <n v="7200"/>
    <n v="7200"/>
    <n v="0"/>
  </r>
  <r>
    <x v="22"/>
    <x v="1"/>
    <s v="فيتور خط ابيض 14/195 عريض"/>
    <x v="0"/>
    <x v="0"/>
    <m/>
    <x v="0"/>
    <n v="2"/>
    <n v="3700"/>
    <n v="7400"/>
    <n v="7400"/>
    <n v="0"/>
  </r>
  <r>
    <x v="22"/>
    <x v="1"/>
    <s v="مرايا جنب هاى اس بدون قاعدة  سودا  شمال"/>
    <x v="0"/>
    <x v="2"/>
    <m/>
    <x v="3"/>
    <n v="1"/>
    <n v="120"/>
    <n v="120"/>
    <n v="120"/>
    <n v="0"/>
  </r>
  <r>
    <x v="22"/>
    <x v="1"/>
    <s v="طمبورة شداد باور "/>
    <x v="0"/>
    <x v="2"/>
    <m/>
    <x v="3"/>
    <n v="1"/>
    <n v="230"/>
    <n v="230"/>
    <n v="230"/>
    <n v="0"/>
  </r>
  <r>
    <x v="22"/>
    <x v="1"/>
    <s v="سير ديانمو"/>
    <x v="0"/>
    <x v="2"/>
    <m/>
    <x v="3"/>
    <n v="1"/>
    <n v="150"/>
    <n v="150"/>
    <n v="150"/>
    <n v="0"/>
  </r>
  <r>
    <x v="22"/>
    <x v="1"/>
    <s v="طقم تيل امامى "/>
    <x v="0"/>
    <x v="2"/>
    <m/>
    <x v="3"/>
    <n v="1"/>
    <n v="350"/>
    <n v="350"/>
    <n v="350"/>
    <n v="0"/>
  </r>
  <r>
    <x v="22"/>
    <x v="1"/>
    <s v="كوعة عمه هواء"/>
    <x v="0"/>
    <x v="2"/>
    <m/>
    <x v="3"/>
    <n v="1"/>
    <n v="250"/>
    <n v="250"/>
    <n v="250"/>
    <n v="0"/>
  </r>
  <r>
    <x v="22"/>
    <x v="1"/>
    <s v="طقم تيل امامى "/>
    <x v="0"/>
    <x v="2"/>
    <m/>
    <x v="3"/>
    <n v="1"/>
    <n v="350"/>
    <n v="350"/>
    <n v="350"/>
    <n v="0"/>
  </r>
  <r>
    <x v="22"/>
    <x v="1"/>
    <s v="سير كتينه حديد"/>
    <x v="0"/>
    <x v="2"/>
    <m/>
    <x v="3"/>
    <n v="1"/>
    <n v="320"/>
    <n v="320"/>
    <n v="320"/>
    <n v="0"/>
  </r>
  <r>
    <x v="22"/>
    <x v="1"/>
    <s v="بلف كتينة "/>
    <x v="0"/>
    <x v="2"/>
    <m/>
    <x v="3"/>
    <n v="1"/>
    <n v="250"/>
    <n v="250"/>
    <n v="250"/>
    <n v="0"/>
  </r>
  <r>
    <x v="22"/>
    <x v="1"/>
    <s v="طقم تيل امامى "/>
    <x v="0"/>
    <x v="2"/>
    <m/>
    <x v="3"/>
    <n v="1"/>
    <n v="325"/>
    <n v="325"/>
    <n v="325"/>
    <n v="0"/>
  </r>
  <r>
    <x v="22"/>
    <x v="1"/>
    <s v="بطارية كلورايد 70"/>
    <x v="0"/>
    <x v="1"/>
    <m/>
    <x v="2"/>
    <n v="1"/>
    <n v="1600"/>
    <n v="1600"/>
    <n v="1600"/>
    <n v="0"/>
  </r>
  <r>
    <x v="22"/>
    <x v="1"/>
    <s v="فانوس اشارة شوقى"/>
    <x v="0"/>
    <x v="2"/>
    <m/>
    <x v="1"/>
    <n v="1"/>
    <n v="300"/>
    <n v="300"/>
    <n v="300"/>
    <n v="0"/>
  </r>
  <r>
    <x v="23"/>
    <x v="1"/>
    <s v="جوان كرتيرة شكمان جوان"/>
    <x v="0"/>
    <x v="2"/>
    <m/>
    <x v="15"/>
    <n v="1"/>
    <n v="150"/>
    <n v="150"/>
    <n v="150"/>
    <n v="0"/>
  </r>
  <r>
    <x v="23"/>
    <x v="1"/>
    <s v="كوستبان"/>
    <x v="0"/>
    <x v="2"/>
    <m/>
    <x v="11"/>
    <n v="1"/>
    <n v="800"/>
    <n v="800"/>
    <n v="800"/>
    <n v="0"/>
  </r>
  <r>
    <x v="23"/>
    <x v="1"/>
    <s v="بوجيه تخين سن طويل/ كارت"/>
    <x v="0"/>
    <x v="2"/>
    <m/>
    <x v="11"/>
    <n v="4"/>
    <n v="67.5"/>
    <n v="270"/>
    <n v="270"/>
    <n v="0"/>
  </r>
  <r>
    <x v="23"/>
    <x v="1"/>
    <s v="فانوس اشارة شمال فطيم"/>
    <x v="0"/>
    <x v="2"/>
    <m/>
    <x v="11"/>
    <n v="1"/>
    <n v="240"/>
    <n v="240"/>
    <n v="240"/>
    <n v="0"/>
  </r>
  <r>
    <x v="23"/>
    <x v="1"/>
    <s v="بلية دبرياج عالية"/>
    <x v="0"/>
    <x v="2"/>
    <m/>
    <x v="2"/>
    <n v="1"/>
    <n v="350"/>
    <n v="350"/>
    <n v="350"/>
    <n v="0"/>
  </r>
  <r>
    <x v="23"/>
    <x v="1"/>
    <s v="سير كتينه حديد"/>
    <x v="0"/>
    <x v="2"/>
    <m/>
    <x v="9"/>
    <n v="1"/>
    <n v="350"/>
    <n v="350"/>
    <n v="350"/>
    <n v="0"/>
  </r>
  <r>
    <x v="23"/>
    <x v="1"/>
    <s v="قميص رداتير"/>
    <x v="0"/>
    <x v="2"/>
    <m/>
    <x v="3"/>
    <n v="1"/>
    <n v="300"/>
    <n v="300"/>
    <n v="300"/>
    <n v="0"/>
  </r>
  <r>
    <x v="23"/>
    <x v="1"/>
    <s v="جنط تويوتا 5 خرم"/>
    <x v="0"/>
    <x v="2"/>
    <m/>
    <x v="2"/>
    <n v="2"/>
    <n v="4500"/>
    <n v="9000"/>
    <n v="9000"/>
    <n v="0"/>
  </r>
  <r>
    <x v="23"/>
    <x v="1"/>
    <s v="بلف كتينة "/>
    <x v="0"/>
    <x v="2"/>
    <m/>
    <x v="3"/>
    <n v="1"/>
    <n v="250"/>
    <n v="250"/>
    <n v="250"/>
    <n v="0"/>
  </r>
  <r>
    <x v="23"/>
    <x v="1"/>
    <s v="اربه مياه "/>
    <x v="0"/>
    <x v="2"/>
    <m/>
    <x v="3"/>
    <n v="1"/>
    <n v="150"/>
    <n v="150"/>
    <n v="150"/>
    <n v="0"/>
  </r>
  <r>
    <x v="23"/>
    <x v="1"/>
    <s v="اويل سيل كرنك امامى"/>
    <x v="0"/>
    <x v="2"/>
    <m/>
    <x v="3"/>
    <n v="1"/>
    <n v="70"/>
    <n v="70"/>
    <n v="70"/>
    <n v="0"/>
  </r>
  <r>
    <x v="23"/>
    <x v="1"/>
    <s v="فانوس اشارة يمين فطيم"/>
    <x v="0"/>
    <x v="2"/>
    <m/>
    <x v="6"/>
    <n v="1"/>
    <n v="250"/>
    <n v="250"/>
    <n v="250"/>
    <n v="0"/>
  </r>
  <r>
    <x v="23"/>
    <x v="1"/>
    <s v="سلك بوجيهات جان بى"/>
    <x v="0"/>
    <x v="2"/>
    <m/>
    <x v="1"/>
    <n v="1"/>
    <n v="270"/>
    <n v="270"/>
    <n v="270"/>
    <n v="0"/>
  </r>
  <r>
    <x v="23"/>
    <x v="1"/>
    <s v="بوجيه تخين سن طويل/ كارت"/>
    <x v="0"/>
    <x v="2"/>
    <m/>
    <x v="1"/>
    <n v="4"/>
    <n v="67.5"/>
    <n v="270"/>
    <n v="270"/>
    <n v="0"/>
  </r>
  <r>
    <x v="23"/>
    <x v="1"/>
    <s v="فلتر بنزين دايو /هيوندى"/>
    <x v="0"/>
    <x v="2"/>
    <m/>
    <x v="1"/>
    <n v="1"/>
    <n v="100"/>
    <n v="100"/>
    <n v="100"/>
    <n v="0"/>
  </r>
  <r>
    <x v="23"/>
    <x v="1"/>
    <s v="طمبورة شداد باور "/>
    <x v="0"/>
    <x v="2"/>
    <m/>
    <x v="1"/>
    <n v="1"/>
    <n v="200"/>
    <n v="200"/>
    <n v="200"/>
    <n v="0"/>
  </r>
  <r>
    <x v="23"/>
    <x v="1"/>
    <s v="تيل خلفى 902317"/>
    <x v="0"/>
    <x v="2"/>
    <m/>
    <x v="2"/>
    <n v="1"/>
    <n v="850"/>
    <n v="850"/>
    <n v="850"/>
    <n v="0"/>
  </r>
  <r>
    <x v="23"/>
    <x v="1"/>
    <s v="اويل سيل كرونة"/>
    <x v="0"/>
    <x v="2"/>
    <m/>
    <x v="11"/>
    <n v="1"/>
    <n v="70"/>
    <n v="70"/>
    <n v="70"/>
    <n v="0"/>
  </r>
  <r>
    <x v="23"/>
    <x v="1"/>
    <s v="زيت باكم نصف لتر"/>
    <x v="0"/>
    <x v="2"/>
    <m/>
    <x v="3"/>
    <n v="1"/>
    <n v="90"/>
    <n v="90"/>
    <n v="90"/>
    <n v="0"/>
  </r>
  <r>
    <x v="23"/>
    <x v="1"/>
    <s v="اويل سيل فتيس خلفى"/>
    <x v="0"/>
    <x v="2"/>
    <m/>
    <x v="3"/>
    <n v="1"/>
    <n v="70"/>
    <n v="70"/>
    <n v="70"/>
    <n v="0"/>
  </r>
  <r>
    <x v="23"/>
    <x v="1"/>
    <s v="اويل سيل كرونة"/>
    <x v="0"/>
    <x v="2"/>
    <m/>
    <x v="3"/>
    <n v="1"/>
    <n v="70"/>
    <n v="70"/>
    <n v="70"/>
    <n v="0"/>
  </r>
  <r>
    <x v="23"/>
    <x v="1"/>
    <s v="بلية دبرياج عالية"/>
    <x v="0"/>
    <x v="2"/>
    <m/>
    <x v="3"/>
    <n v="1"/>
    <n v="220"/>
    <n v="220"/>
    <n v="220"/>
    <n v="0"/>
  </r>
  <r>
    <x v="23"/>
    <x v="1"/>
    <s v="فرش دبرياش"/>
    <x v="0"/>
    <x v="2"/>
    <m/>
    <x v="14"/>
    <n v="1"/>
    <n v="150"/>
    <n v="150"/>
    <n v="150"/>
    <n v="0"/>
  </r>
  <r>
    <x v="23"/>
    <x v="1"/>
    <s v="جلبة مقص سفلى وسط"/>
    <x v="0"/>
    <x v="2"/>
    <m/>
    <x v="11"/>
    <n v="2"/>
    <n v="175"/>
    <n v="350"/>
    <n v="350"/>
    <n v="0"/>
  </r>
  <r>
    <x v="23"/>
    <x v="1"/>
    <s v="جلبة مقص علوى كبير"/>
    <x v="0"/>
    <x v="2"/>
    <m/>
    <x v="11"/>
    <n v="2"/>
    <n v="200"/>
    <n v="400"/>
    <n v="400"/>
    <n v="0"/>
  </r>
  <r>
    <x v="23"/>
    <x v="1"/>
    <s v="بيض علوى تويوتا "/>
    <x v="0"/>
    <x v="2"/>
    <m/>
    <x v="11"/>
    <n v="2"/>
    <n v="350"/>
    <n v="700"/>
    <n v="700"/>
    <n v="0"/>
  </r>
  <r>
    <x v="23"/>
    <x v="1"/>
    <s v="كاوتشة ميزان سوبر"/>
    <x v="0"/>
    <x v="2"/>
    <m/>
    <x v="11"/>
    <n v="2"/>
    <n v="50"/>
    <n v="100"/>
    <n v="100"/>
    <n v="0"/>
  </r>
  <r>
    <x v="23"/>
    <x v="1"/>
    <s v="طقم تيل امامى "/>
    <x v="0"/>
    <x v="2"/>
    <m/>
    <x v="3"/>
    <n v="1"/>
    <n v="350"/>
    <n v="350"/>
    <n v="350"/>
    <n v="0"/>
  </r>
  <r>
    <x v="23"/>
    <x v="1"/>
    <s v="اكسليرا 13/175/70"/>
    <x v="0"/>
    <x v="0"/>
    <m/>
    <x v="3"/>
    <n v="2"/>
    <n v="1800"/>
    <n v="3600"/>
    <n v="3600"/>
    <n v="0"/>
  </r>
  <r>
    <x v="23"/>
    <x v="1"/>
    <s v="بطارية كلورايد 70 ك"/>
    <x v="0"/>
    <x v="1"/>
    <m/>
    <x v="12"/>
    <n v="1"/>
    <n v="1750"/>
    <n v="1750"/>
    <n v="1750"/>
    <n v="0"/>
  </r>
  <r>
    <x v="24"/>
    <x v="1"/>
    <s v="بطارية كلورايد 70 الالمانية"/>
    <x v="0"/>
    <x v="1"/>
    <m/>
    <x v="9"/>
    <n v="1"/>
    <n v="2000"/>
    <n v="2000"/>
    <n v="2000"/>
    <n v="0"/>
  </r>
  <r>
    <x v="24"/>
    <x v="1"/>
    <s v="بطارية كلورايد 70"/>
    <x v="0"/>
    <x v="1"/>
    <m/>
    <x v="10"/>
    <n v="1"/>
    <n v="1700"/>
    <n v="1700"/>
    <n v="1700"/>
    <n v="0"/>
  </r>
  <r>
    <x v="24"/>
    <x v="1"/>
    <s v="طقم تيل امامى "/>
    <x v="0"/>
    <x v="2"/>
    <m/>
    <x v="17"/>
    <n v="1"/>
    <n v="350"/>
    <n v="350"/>
    <n v="350"/>
    <n v="0"/>
  </r>
  <r>
    <x v="24"/>
    <x v="1"/>
    <s v="طقم تيل امامى "/>
    <x v="0"/>
    <x v="2"/>
    <m/>
    <x v="3"/>
    <n v="1"/>
    <n v="350"/>
    <n v="350"/>
    <n v="350"/>
    <n v="0"/>
  </r>
  <r>
    <x v="25"/>
    <x v="1"/>
    <s v="بطارية كلورايد 90"/>
    <x v="0"/>
    <x v="1"/>
    <m/>
    <x v="14"/>
    <n v="1"/>
    <n v="2550"/>
    <n v="2550"/>
    <n v="2550"/>
    <n v="0"/>
  </r>
  <r>
    <x v="25"/>
    <x v="1"/>
    <s v="بطارية كلورايد 70"/>
    <x v="0"/>
    <x v="1"/>
    <m/>
    <x v="12"/>
    <n v="1"/>
    <n v="1700"/>
    <n v="1700"/>
    <n v="1700"/>
    <n v="0"/>
  </r>
  <r>
    <x v="25"/>
    <x v="1"/>
    <s v="زيت باكم  - فرامل- حجم صغير"/>
    <x v="0"/>
    <x v="2"/>
    <m/>
    <x v="3"/>
    <n v="1"/>
    <n v="30"/>
    <n v="30"/>
    <n v="30"/>
    <n v="0"/>
  </r>
  <r>
    <x v="25"/>
    <x v="1"/>
    <s v="طقم تيل امامى "/>
    <x v="0"/>
    <x v="2"/>
    <m/>
    <x v="11"/>
    <n v="1"/>
    <n v="325"/>
    <n v="325"/>
    <n v="325"/>
    <n v="0"/>
  </r>
  <r>
    <x v="25"/>
    <x v="1"/>
    <s v="كوبات بوجهات اصلى"/>
    <x v="0"/>
    <x v="2"/>
    <m/>
    <x v="2"/>
    <n v="4"/>
    <n v="37.5"/>
    <n v="150"/>
    <n v="150"/>
    <n v="0"/>
  </r>
  <r>
    <x v="25"/>
    <x v="1"/>
    <s v="فلتر بنزين دايو /هيوندى"/>
    <x v="0"/>
    <x v="2"/>
    <m/>
    <x v="3"/>
    <n v="1"/>
    <n v="100"/>
    <n v="100"/>
    <n v="100"/>
    <n v="0"/>
  </r>
  <r>
    <x v="25"/>
    <x v="1"/>
    <s v="بلف كتينة "/>
    <x v="0"/>
    <x v="2"/>
    <m/>
    <x v="14"/>
    <n v="1"/>
    <n v="300"/>
    <n v="300"/>
    <n v="300"/>
    <n v="0"/>
  </r>
  <r>
    <x v="25"/>
    <x v="1"/>
    <s v="طقم سياخ"/>
    <x v="0"/>
    <x v="2"/>
    <m/>
    <x v="14"/>
    <n v="2"/>
    <n v="50"/>
    <n v="100"/>
    <n v="100"/>
    <n v="0"/>
  </r>
  <r>
    <x v="25"/>
    <x v="1"/>
    <s v="خرطوم  راجع باور"/>
    <x v="0"/>
    <x v="2"/>
    <m/>
    <x v="3"/>
    <n v="1"/>
    <n v="100"/>
    <n v="100"/>
    <n v="100"/>
    <n v="0"/>
  </r>
  <r>
    <x v="25"/>
    <x v="1"/>
    <s v="تيل خلفى 902317"/>
    <x v="0"/>
    <x v="2"/>
    <m/>
    <x v="3"/>
    <n v="1"/>
    <n v="850"/>
    <n v="850"/>
    <n v="850"/>
    <n v="0"/>
  </r>
  <r>
    <x v="25"/>
    <x v="1"/>
    <s v="بلف غطاء"/>
    <x v="0"/>
    <x v="2"/>
    <m/>
    <x v="11"/>
    <n v="1"/>
    <n v="100"/>
    <n v="100"/>
    <n v="100"/>
    <n v="0"/>
  </r>
  <r>
    <x v="25"/>
    <x v="1"/>
    <s v="بوجيه تخين سن طويل/ كارت"/>
    <x v="0"/>
    <x v="2"/>
    <m/>
    <x v="3"/>
    <n v="4"/>
    <n v="70"/>
    <n v="280"/>
    <n v="280"/>
    <n v="0"/>
  </r>
  <r>
    <x v="25"/>
    <x v="1"/>
    <s v="سير باور"/>
    <x v="0"/>
    <x v="2"/>
    <m/>
    <x v="3"/>
    <n v="1"/>
    <n v="150"/>
    <n v="150"/>
    <n v="150"/>
    <n v="0"/>
  </r>
  <r>
    <x v="25"/>
    <x v="1"/>
    <s v="سير كتينه حديد"/>
    <x v="0"/>
    <x v="2"/>
    <m/>
    <x v="11"/>
    <n v="1"/>
    <n v="1930"/>
    <n v="1930"/>
    <n v="1930"/>
    <n v="0"/>
  </r>
  <r>
    <x v="26"/>
    <x v="1"/>
    <s v="كفه اكسرتير بدال"/>
    <x v="0"/>
    <x v="2"/>
    <m/>
    <x v="3"/>
    <n v="1"/>
    <n v="350"/>
    <n v="350"/>
    <n v="350"/>
    <n v="0"/>
  </r>
  <r>
    <x v="26"/>
    <x v="1"/>
    <s v="فرش دبرياش"/>
    <x v="0"/>
    <x v="2"/>
    <m/>
    <x v="3"/>
    <n v="1"/>
    <n v="150"/>
    <n v="150"/>
    <n v="150"/>
    <n v="0"/>
  </r>
  <r>
    <x v="26"/>
    <x v="1"/>
    <s v="طلمبه مياة"/>
    <x v="0"/>
    <x v="2"/>
    <m/>
    <x v="3"/>
    <n v="1"/>
    <n v="430"/>
    <n v="430"/>
    <n v="430"/>
    <n v="0"/>
  </r>
  <r>
    <x v="26"/>
    <x v="1"/>
    <s v="بلية اكس خلفى"/>
    <x v="0"/>
    <x v="2"/>
    <m/>
    <x v="3"/>
    <n v="1"/>
    <n v="200"/>
    <n v="200"/>
    <n v="200"/>
    <n v="0"/>
  </r>
  <r>
    <x v="27"/>
    <x v="1"/>
    <s v="مسمار ميزان سوبر"/>
    <x v="0"/>
    <x v="2"/>
    <m/>
    <x v="15"/>
    <n v="1"/>
    <n v="100"/>
    <n v="100"/>
    <n v="100"/>
    <n v="0"/>
  </r>
  <r>
    <x v="27"/>
    <x v="1"/>
    <s v="حامل باب جر علوى"/>
    <x v="0"/>
    <x v="2"/>
    <m/>
    <x v="3"/>
    <n v="1"/>
    <n v="60"/>
    <n v="60"/>
    <n v="60"/>
    <n v="0"/>
  </r>
  <r>
    <x v="27"/>
    <x v="1"/>
    <s v="جوان وش سلندر"/>
    <x v="0"/>
    <x v="2"/>
    <m/>
    <x v="3"/>
    <n v="1"/>
    <n v="230"/>
    <n v="230"/>
    <n v="230"/>
    <n v="0"/>
  </r>
  <r>
    <x v="27"/>
    <x v="1"/>
    <s v="خزنة فرامل عمومى"/>
    <x v="0"/>
    <x v="2"/>
    <m/>
    <x v="18"/>
    <n v="1"/>
    <n v="820"/>
    <n v="820"/>
    <n v="820"/>
    <n v="0"/>
  </r>
  <r>
    <x v="27"/>
    <x v="1"/>
    <s v="كاوتشة شداد"/>
    <x v="0"/>
    <x v="2"/>
    <m/>
    <x v="18"/>
    <n v="1"/>
    <n v="160"/>
    <n v="160"/>
    <n v="160"/>
    <n v="0"/>
  </r>
  <r>
    <x v="27"/>
    <x v="1"/>
    <s v="مرايا جنب هاى اس بدون قاعدة  ابيض شمال"/>
    <x v="0"/>
    <x v="2"/>
    <m/>
    <x v="3"/>
    <n v="1"/>
    <n v="120"/>
    <n v="120"/>
    <n v="120"/>
    <n v="0"/>
  </r>
  <r>
    <x v="27"/>
    <x v="1"/>
    <s v="فيتور خط ابيض 14/195 كنزة"/>
    <x v="0"/>
    <x v="0"/>
    <m/>
    <x v="19"/>
    <n v="2"/>
    <n v="3200"/>
    <n v="6400"/>
    <n v="6400"/>
    <n v="0"/>
  </r>
  <r>
    <x v="27"/>
    <x v="1"/>
    <s v="طقم جانط 5 خرم ملاكى 15"/>
    <x v="0"/>
    <x v="0"/>
    <m/>
    <x v="3"/>
    <n v="4"/>
    <n v="5675"/>
    <n v="22700"/>
    <n v="22700"/>
    <n v="0"/>
  </r>
  <r>
    <x v="27"/>
    <x v="1"/>
    <s v="فيتور خط ابيض 14/195 عريض"/>
    <x v="0"/>
    <x v="0"/>
    <m/>
    <x v="3"/>
    <n v="2"/>
    <n v="3800"/>
    <n v="7600"/>
    <n v="7600"/>
    <n v="0"/>
  </r>
  <r>
    <x v="27"/>
    <x v="1"/>
    <s v="بطارية كلورايد 40"/>
    <x v="0"/>
    <x v="1"/>
    <m/>
    <x v="6"/>
    <n v="1"/>
    <n v="1300"/>
    <n v="1300"/>
    <n v="1300"/>
    <n v="0"/>
  </r>
  <r>
    <x v="27"/>
    <x v="1"/>
    <s v="بطارية كلورايد 70"/>
    <x v="0"/>
    <x v="1"/>
    <m/>
    <x v="1"/>
    <n v="1"/>
    <n v="1700"/>
    <n v="1700"/>
    <n v="1700"/>
    <n v="0"/>
  </r>
  <r>
    <x v="27"/>
    <x v="1"/>
    <s v="كوبات بوجهات اصلى"/>
    <x v="0"/>
    <x v="2"/>
    <m/>
    <x v="3"/>
    <n v="4"/>
    <n v="37.5"/>
    <n v="150"/>
    <n v="150"/>
    <n v="0"/>
  </r>
  <r>
    <x v="27"/>
    <x v="1"/>
    <s v="خزنة فرامل عمومى"/>
    <x v="0"/>
    <x v="2"/>
    <m/>
    <x v="3"/>
    <n v="1"/>
    <n v="800"/>
    <n v="800"/>
    <n v="800"/>
    <n v="0"/>
  </r>
  <r>
    <x v="27"/>
    <x v="1"/>
    <s v="بوجيه تخين سن طويل/ كارت"/>
    <x v="0"/>
    <x v="2"/>
    <m/>
    <x v="3"/>
    <n v="4"/>
    <n v="67.5"/>
    <n v="270"/>
    <n v="270"/>
    <n v="0"/>
  </r>
  <r>
    <x v="28"/>
    <x v="1"/>
    <s v="زيت باكم نصف لتر"/>
    <x v="0"/>
    <x v="2"/>
    <m/>
    <x v="3"/>
    <n v="1"/>
    <n v="100"/>
    <n v="100"/>
    <n v="100"/>
    <n v="0"/>
  </r>
  <r>
    <x v="28"/>
    <x v="1"/>
    <s v="تيل خلفى 902317"/>
    <x v="0"/>
    <x v="2"/>
    <m/>
    <x v="1"/>
    <n v="1"/>
    <n v="900"/>
    <n v="900"/>
    <n v="900"/>
    <n v="0"/>
  </r>
  <r>
    <x v="28"/>
    <x v="1"/>
    <s v="كتينة تويوتا"/>
    <x v="0"/>
    <x v="2"/>
    <m/>
    <x v="1"/>
    <n v="1"/>
    <n v="300"/>
    <n v="300"/>
    <n v="300"/>
    <n v="0"/>
  </r>
  <r>
    <x v="28"/>
    <x v="1"/>
    <s v="بلف كتينة "/>
    <x v="0"/>
    <x v="2"/>
    <m/>
    <x v="1"/>
    <n v="1"/>
    <n v="250"/>
    <n v="250"/>
    <n v="250"/>
    <n v="0"/>
  </r>
  <r>
    <x v="28"/>
    <x v="1"/>
    <s v="دسك تويوتا"/>
    <x v="0"/>
    <x v="2"/>
    <m/>
    <x v="6"/>
    <n v="1"/>
    <n v="1200"/>
    <n v="1200"/>
    <n v="1200"/>
    <n v="0"/>
  </r>
  <r>
    <x v="28"/>
    <x v="1"/>
    <s v="اسطوانة دبرياج تويوتا يابانى"/>
    <x v="0"/>
    <x v="2"/>
    <m/>
    <x v="6"/>
    <n v="1"/>
    <n v="1200"/>
    <n v="1200"/>
    <n v="1200"/>
    <n v="0"/>
  </r>
  <r>
    <x v="28"/>
    <x v="1"/>
    <s v="بلية دبرياج عالية"/>
    <x v="0"/>
    <x v="2"/>
    <m/>
    <x v="6"/>
    <n v="1"/>
    <n v="200"/>
    <n v="200"/>
    <n v="200"/>
    <n v="0"/>
  </r>
  <r>
    <x v="28"/>
    <x v="1"/>
    <s v="زيت باكم  - فرامل- حجم صغير"/>
    <x v="0"/>
    <x v="2"/>
    <m/>
    <x v="3"/>
    <n v="1"/>
    <n v="30"/>
    <n v="30"/>
    <n v="30"/>
    <n v="0"/>
  </r>
  <r>
    <x v="28"/>
    <x v="1"/>
    <s v="سير كتينه حديد"/>
    <x v="0"/>
    <x v="2"/>
    <m/>
    <x v="6"/>
    <n v="1"/>
    <n v="320"/>
    <n v="320"/>
    <n v="320"/>
    <n v="0"/>
  </r>
  <r>
    <x v="28"/>
    <x v="1"/>
    <s v="جلد صباب يابانى لف"/>
    <x v="0"/>
    <x v="2"/>
    <m/>
    <x v="6"/>
    <n v="1"/>
    <n v="150"/>
    <n v="150"/>
    <n v="150"/>
    <n v="0"/>
  </r>
  <r>
    <x v="28"/>
    <x v="1"/>
    <s v="طقم شنبر تويوتا"/>
    <x v="0"/>
    <x v="2"/>
    <m/>
    <x v="6"/>
    <n v="1"/>
    <n v="800"/>
    <n v="800"/>
    <n v="800"/>
    <n v="0"/>
  </r>
  <r>
    <x v="28"/>
    <x v="1"/>
    <s v="كوبات بوجهات اصلى"/>
    <x v="0"/>
    <x v="2"/>
    <m/>
    <x v="6"/>
    <n v="4"/>
    <n v="32.5"/>
    <n v="130"/>
    <n v="130"/>
    <n v="0"/>
  </r>
  <r>
    <x v="28"/>
    <x v="1"/>
    <s v="بلف كتينة "/>
    <x v="0"/>
    <x v="2"/>
    <m/>
    <x v="6"/>
    <n v="1"/>
    <n v="250"/>
    <n v="250"/>
    <n v="250"/>
    <n v="0"/>
  </r>
  <r>
    <x v="28"/>
    <x v="1"/>
    <s v="جوان وش سلندر"/>
    <x v="0"/>
    <x v="2"/>
    <m/>
    <x v="6"/>
    <n v="1"/>
    <n v="230"/>
    <n v="230"/>
    <n v="230"/>
    <n v="0"/>
  </r>
  <r>
    <x v="28"/>
    <x v="1"/>
    <s v="جوان شكمان بالكحكة "/>
    <x v="0"/>
    <x v="2"/>
    <m/>
    <x v="6"/>
    <n v="1"/>
    <n v="100"/>
    <n v="100"/>
    <n v="100"/>
    <n v="0"/>
  </r>
  <r>
    <x v="28"/>
    <x v="1"/>
    <s v="بوجيه تخين سن طويل/ كارت"/>
    <x v="0"/>
    <x v="2"/>
    <m/>
    <x v="6"/>
    <n v="4"/>
    <n v="67.5"/>
    <n v="270"/>
    <n v="270"/>
    <n v="0"/>
  </r>
  <r>
    <x v="28"/>
    <x v="1"/>
    <s v="بلية اكس خلفى"/>
    <x v="0"/>
    <x v="2"/>
    <m/>
    <x v="2"/>
    <n v="1"/>
    <n v="440"/>
    <n v="440"/>
    <n v="440"/>
    <n v="0"/>
  </r>
  <r>
    <x v="28"/>
    <x v="1"/>
    <s v="طقم تيل امامى "/>
    <x v="0"/>
    <x v="2"/>
    <m/>
    <x v="2"/>
    <n v="1"/>
    <n v="350"/>
    <n v="350"/>
    <n v="350"/>
    <n v="0"/>
  </r>
  <r>
    <x v="28"/>
    <x v="1"/>
    <s v="طقم شنبر تويوتا علبة حمراء"/>
    <x v="0"/>
    <x v="2"/>
    <m/>
    <x v="2"/>
    <n v="1"/>
    <n v="800"/>
    <n v="800"/>
    <n v="800"/>
    <n v="0"/>
  </r>
  <r>
    <x v="28"/>
    <x v="1"/>
    <s v="جوان وش سلندر"/>
    <x v="0"/>
    <x v="2"/>
    <m/>
    <x v="2"/>
    <n v="1"/>
    <n v="230"/>
    <n v="230"/>
    <n v="230"/>
    <n v="0"/>
  </r>
  <r>
    <x v="28"/>
    <x v="1"/>
    <s v="جوان كرتيرة شكمان جوان"/>
    <x v="0"/>
    <x v="2"/>
    <m/>
    <x v="2"/>
    <n v="1"/>
    <n v="150"/>
    <n v="150"/>
    <n v="150"/>
    <n v="0"/>
  </r>
  <r>
    <x v="28"/>
    <x v="1"/>
    <s v="بطارية كلورايد 90"/>
    <x v="0"/>
    <x v="1"/>
    <m/>
    <x v="20"/>
    <n v="1"/>
    <n v="2550"/>
    <n v="2550"/>
    <n v="2550"/>
    <n v="0"/>
  </r>
  <r>
    <x v="28"/>
    <x v="1"/>
    <s v="دسك تويوتا"/>
    <x v="0"/>
    <x v="2"/>
    <m/>
    <x v="9"/>
    <n v="1"/>
    <n v="1200"/>
    <n v="1200"/>
    <n v="1200"/>
    <n v="0"/>
  </r>
  <r>
    <x v="28"/>
    <x v="1"/>
    <s v="اسطوانة دبرياج تويوتا يابانى"/>
    <x v="0"/>
    <x v="2"/>
    <m/>
    <x v="9"/>
    <n v="1"/>
    <n v="1200"/>
    <n v="1200"/>
    <n v="1200"/>
    <n v="0"/>
  </r>
  <r>
    <x v="28"/>
    <x v="1"/>
    <s v="زيت باكم نصف لتر"/>
    <x v="0"/>
    <x v="2"/>
    <m/>
    <x v="3"/>
    <n v="1"/>
    <n v="90"/>
    <n v="90"/>
    <n v="90"/>
    <n v="0"/>
  </r>
  <r>
    <x v="29"/>
    <x v="1"/>
    <s v="سلك بوجيهات جان بى"/>
    <x v="0"/>
    <x v="2"/>
    <m/>
    <x v="2"/>
    <n v="1"/>
    <n v="250"/>
    <n v="250"/>
    <n v="250"/>
    <n v="0"/>
  </r>
  <r>
    <x v="29"/>
    <x v="1"/>
    <s v="زرار انتظار "/>
    <x v="0"/>
    <x v="2"/>
    <m/>
    <x v="3"/>
    <n v="1"/>
    <n v="100"/>
    <n v="100"/>
    <n v="100"/>
    <n v="0"/>
  </r>
  <r>
    <x v="29"/>
    <x v="1"/>
    <s v="طمبورة شداد باور "/>
    <x v="0"/>
    <x v="2"/>
    <m/>
    <x v="3"/>
    <n v="1"/>
    <n v="220"/>
    <n v="220"/>
    <n v="220"/>
    <n v="0"/>
  </r>
  <r>
    <x v="29"/>
    <x v="1"/>
    <s v="نص كربراتير "/>
    <x v="0"/>
    <x v="2"/>
    <m/>
    <x v="3"/>
    <n v="1"/>
    <n v="550"/>
    <n v="550"/>
    <n v="550"/>
    <n v="0"/>
  </r>
  <r>
    <x v="29"/>
    <x v="1"/>
    <s v="وش كربرتير جوان"/>
    <x v="0"/>
    <x v="2"/>
    <m/>
    <x v="3"/>
    <n v="1"/>
    <n v="30"/>
    <n v="30"/>
    <n v="30"/>
    <n v="0"/>
  </r>
  <r>
    <x v="29"/>
    <x v="1"/>
    <s v="طمبورة امامى شوقى"/>
    <x v="0"/>
    <x v="2"/>
    <m/>
    <x v="3"/>
    <n v="1"/>
    <n v="750"/>
    <n v="750"/>
    <n v="750"/>
    <n v="0"/>
  </r>
  <r>
    <x v="29"/>
    <x v="1"/>
    <s v="طقم بلية صره امامى + اويل سيل"/>
    <x v="0"/>
    <x v="2"/>
    <m/>
    <x v="3"/>
    <n v="1"/>
    <n v="200"/>
    <n v="200"/>
    <n v="200"/>
    <n v="0"/>
  </r>
  <r>
    <x v="29"/>
    <x v="1"/>
    <s v="بطارية كلورايد 70"/>
    <x v="0"/>
    <x v="1"/>
    <m/>
    <x v="13"/>
    <n v="1"/>
    <n v="1700"/>
    <n v="1700"/>
    <n v="1700"/>
    <n v="0"/>
  </r>
  <r>
    <x v="30"/>
    <x v="1"/>
    <s v="شبكة تعديل سوداء"/>
    <x v="0"/>
    <x v="2"/>
    <m/>
    <x v="11"/>
    <n v="1"/>
    <n v="450"/>
    <n v="450"/>
    <n v="450"/>
    <n v="0"/>
  </r>
  <r>
    <x v="30"/>
    <x v="1"/>
    <s v="جوان وش سلندر"/>
    <x v="0"/>
    <x v="2"/>
    <m/>
    <x v="9"/>
    <n v="2"/>
    <n v="250"/>
    <n v="500"/>
    <n v="500"/>
    <n v="0"/>
  </r>
  <r>
    <x v="30"/>
    <x v="1"/>
    <s v="جلد صباب يابانى لف"/>
    <x v="0"/>
    <x v="2"/>
    <m/>
    <x v="3"/>
    <n v="1"/>
    <n v="150"/>
    <n v="150"/>
    <n v="150"/>
    <n v="0"/>
  </r>
  <r>
    <x v="30"/>
    <x v="1"/>
    <s v="سلك اكسرتير يبانى"/>
    <x v="0"/>
    <x v="2"/>
    <m/>
    <x v="15"/>
    <n v="1"/>
    <n v="400"/>
    <n v="400"/>
    <n v="400"/>
    <n v="0"/>
  </r>
  <r>
    <x v="30"/>
    <x v="1"/>
    <s v="بلية دبرياج عالية 90"/>
    <x v="0"/>
    <x v="2"/>
    <m/>
    <x v="0"/>
    <n v="1"/>
    <n v="250"/>
    <n v="250"/>
    <n v="250"/>
    <n v="0"/>
  </r>
  <r>
    <x v="30"/>
    <x v="1"/>
    <s v="جوان كرتيرة شكمان جوان"/>
    <x v="0"/>
    <x v="2"/>
    <m/>
    <x v="12"/>
    <n v="1"/>
    <n v="5070"/>
    <n v="5070"/>
    <n v="5070"/>
    <n v="0"/>
  </r>
  <r>
    <x v="30"/>
    <x v="1"/>
    <s v="طقم شنبر تويوتا علبة حمراء"/>
    <x v="0"/>
    <x v="2"/>
    <m/>
    <x v="9"/>
    <n v="1"/>
    <n v="800"/>
    <n v="800"/>
    <n v="800"/>
    <n v="0"/>
  </r>
  <r>
    <x v="30"/>
    <x v="1"/>
    <s v="جوان وش سلندر"/>
    <x v="0"/>
    <x v="2"/>
    <m/>
    <x v="9"/>
    <n v="1"/>
    <n v="230"/>
    <n v="230"/>
    <n v="230"/>
    <n v="0"/>
  </r>
  <r>
    <x v="30"/>
    <x v="1"/>
    <s v="سير كتينه حديد"/>
    <x v="0"/>
    <x v="2"/>
    <m/>
    <x v="9"/>
    <n v="1"/>
    <n v="320"/>
    <n v="320"/>
    <n v="320"/>
    <n v="0"/>
  </r>
  <r>
    <x v="30"/>
    <x v="1"/>
    <s v="سير كتينه حديد"/>
    <x v="0"/>
    <x v="2"/>
    <m/>
    <x v="2"/>
    <n v="1"/>
    <n v="320"/>
    <n v="320"/>
    <n v="320"/>
    <n v="0"/>
  </r>
  <r>
    <x v="30"/>
    <x v="1"/>
    <s v="خزنة فرامل عمومى"/>
    <x v="0"/>
    <x v="2"/>
    <m/>
    <x v="10"/>
    <n v="1"/>
    <n v="850"/>
    <n v="850"/>
    <n v="850"/>
    <n v="0"/>
  </r>
  <r>
    <x v="30"/>
    <x v="1"/>
    <s v="اسبراتير تويوتا سباركس"/>
    <x v="0"/>
    <x v="2"/>
    <m/>
    <x v="2"/>
    <n v="1"/>
    <n v="2950"/>
    <n v="2950"/>
    <n v="2950"/>
    <n v="0"/>
  </r>
  <r>
    <x v="30"/>
    <x v="1"/>
    <s v="تيل خلفى 902317"/>
    <x v="0"/>
    <x v="2"/>
    <m/>
    <x v="11"/>
    <n v="1"/>
    <n v="900"/>
    <n v="900"/>
    <n v="900"/>
    <n v="0"/>
  </r>
  <r>
    <x v="30"/>
    <x v="1"/>
    <s v="فيتور خط ابيض 13/185/60 GALAXY F1"/>
    <x v="0"/>
    <x v="0"/>
    <m/>
    <x v="3"/>
    <n v="4"/>
    <n v="1800"/>
    <n v="7200"/>
    <n v="7200"/>
    <n v="0"/>
  </r>
  <r>
    <x v="30"/>
    <x v="1"/>
    <s v="باغة فانوس خلفى كريستال هاى اس شمال"/>
    <x v="0"/>
    <x v="2"/>
    <m/>
    <x v="3"/>
    <n v="1"/>
    <n v="100"/>
    <n v="100"/>
    <n v="100"/>
    <n v="0"/>
  </r>
  <r>
    <x v="4"/>
    <x v="1"/>
    <s v="بطارية 80 كلورايد"/>
    <x v="1"/>
    <x v="1"/>
    <m/>
    <x v="6"/>
    <n v="1"/>
    <n v="2850"/>
    <n v="2850"/>
    <m/>
    <n v="2850"/>
  </r>
  <r>
    <x v="6"/>
    <x v="1"/>
    <s v="فيتور 14/195 كنزة"/>
    <x v="1"/>
    <x v="0"/>
    <m/>
    <x v="13"/>
    <n v="1"/>
    <n v="3800"/>
    <n v="3800"/>
    <m/>
    <n v="3800"/>
  </r>
  <r>
    <x v="8"/>
    <x v="1"/>
    <s v="فيتور 14/195 عريض"/>
    <x v="1"/>
    <x v="0"/>
    <m/>
    <x v="13"/>
    <n v="2"/>
    <n v="4675"/>
    <n v="9350"/>
    <m/>
    <n v="9350"/>
  </r>
  <r>
    <x v="9"/>
    <x v="1"/>
    <s v="فيتور 14/195 عريض"/>
    <x v="1"/>
    <x v="0"/>
    <m/>
    <x v="6"/>
    <n v="4"/>
    <n v="4612.5"/>
    <n v="18450"/>
    <m/>
    <n v="18450"/>
  </r>
  <r>
    <x v="9"/>
    <x v="1"/>
    <s v="طقم جانط 14  BLP LG20-VL"/>
    <x v="1"/>
    <x v="0"/>
    <m/>
    <x v="1"/>
    <n v="4"/>
    <n v="4412.5"/>
    <n v="17650"/>
    <m/>
    <n v="17650"/>
  </r>
  <r>
    <x v="11"/>
    <x v="1"/>
    <s v="فيتور 14/195 كنزة"/>
    <x v="1"/>
    <x v="0"/>
    <m/>
    <x v="2"/>
    <n v="4"/>
    <n v="5000"/>
    <n v="20000"/>
    <m/>
    <n v="20000"/>
  </r>
  <r>
    <x v="11"/>
    <x v="1"/>
    <s v="فيتور 14/195 عريض"/>
    <x v="1"/>
    <x v="0"/>
    <m/>
    <x v="10"/>
    <n v="1"/>
    <n v="5150"/>
    <n v="5150"/>
    <m/>
    <n v="5150"/>
  </r>
  <r>
    <x v="15"/>
    <x v="1"/>
    <s v="فيتور 14/195 كنزة"/>
    <x v="1"/>
    <x v="0"/>
    <m/>
    <x v="9"/>
    <n v="2"/>
    <n v="4000"/>
    <n v="8000"/>
    <m/>
    <n v="8000"/>
  </r>
  <r>
    <x v="15"/>
    <x v="1"/>
    <s v="فيتور 14/195 كنزة"/>
    <x v="1"/>
    <x v="0"/>
    <m/>
    <x v="2"/>
    <n v="2"/>
    <n v="3975"/>
    <n v="7950"/>
    <m/>
    <n v="7950"/>
  </r>
  <r>
    <x v="22"/>
    <x v="1"/>
    <s v="كاوتش توكتوك"/>
    <x v="1"/>
    <x v="0"/>
    <m/>
    <x v="12"/>
    <n v="2"/>
    <n v="1250"/>
    <n v="2500"/>
    <m/>
    <n v="2500"/>
  </r>
  <r>
    <x v="22"/>
    <x v="1"/>
    <s v="فيتور 14/195 عريض"/>
    <x v="1"/>
    <x v="0"/>
    <m/>
    <x v="15"/>
    <n v="2"/>
    <n v="3975"/>
    <n v="7950"/>
    <m/>
    <n v="7950"/>
  </r>
  <r>
    <x v="22"/>
    <x v="1"/>
    <s v="  14/5/144 BM-657-VL جنط سبور صينى غاطس"/>
    <x v="1"/>
    <x v="0"/>
    <m/>
    <x v="1"/>
    <n v="4"/>
    <n v="4287.5"/>
    <n v="17150"/>
    <m/>
    <n v="17150"/>
  </r>
  <r>
    <x v="24"/>
    <x v="1"/>
    <s v="فيتور 14/195 عريض"/>
    <x v="1"/>
    <x v="0"/>
    <m/>
    <x v="2"/>
    <n v="3"/>
    <n v="4850"/>
    <n v="14550"/>
    <m/>
    <n v="14550"/>
  </r>
  <r>
    <x v="24"/>
    <x v="1"/>
    <s v="R14(5X114) BM/657 14/5/144 BM-657-VL جنط سبور صينى تويوتا غاطس"/>
    <x v="1"/>
    <x v="0"/>
    <m/>
    <x v="2"/>
    <n v="4"/>
    <n v="4750"/>
    <n v="19000"/>
    <m/>
    <n v="19000"/>
  </r>
  <r>
    <x v="25"/>
    <x v="1"/>
    <s v=" NOZA ECO 14/185/65 كاوتش سومو اكينا صينى"/>
    <x v="1"/>
    <x v="0"/>
    <m/>
    <x v="12"/>
    <n v="2"/>
    <n v="2100"/>
    <n v="4200"/>
    <m/>
    <n v="4200"/>
  </r>
  <r>
    <x v="27"/>
    <x v="1"/>
    <s v="فيتور 14/195 عريض"/>
    <x v="1"/>
    <x v="0"/>
    <m/>
    <x v="18"/>
    <n v="2"/>
    <n v="4775"/>
    <n v="9550"/>
    <m/>
    <n v="9550"/>
  </r>
  <r>
    <x v="14"/>
    <x v="1"/>
    <s v="اكراميات"/>
    <x v="2"/>
    <x v="3"/>
    <m/>
    <x v="21"/>
    <m/>
    <m/>
    <n v="0"/>
    <m/>
    <n v="0"/>
  </r>
  <r>
    <x v="30"/>
    <x v="1"/>
    <s v="اكرامية +نقل"/>
    <x v="2"/>
    <x v="3"/>
    <m/>
    <x v="21"/>
    <m/>
    <m/>
    <n v="0"/>
    <m/>
    <n v="0"/>
  </r>
  <r>
    <x v="21"/>
    <x v="1"/>
    <s v="اكرامية فاتورة اشرفكو"/>
    <x v="2"/>
    <x v="3"/>
    <m/>
    <x v="21"/>
    <m/>
    <m/>
    <n v="0"/>
    <m/>
    <n v="0"/>
  </r>
  <r>
    <x v="13"/>
    <x v="1"/>
    <s v="اكرامية فاتورة الفطيم"/>
    <x v="2"/>
    <x v="3"/>
    <m/>
    <x v="21"/>
    <m/>
    <m/>
    <n v="0"/>
    <m/>
    <n v="0"/>
  </r>
  <r>
    <x v="17"/>
    <x v="1"/>
    <s v="انتقالات"/>
    <x v="2"/>
    <x v="4"/>
    <m/>
    <x v="21"/>
    <m/>
    <m/>
    <n v="0"/>
    <m/>
    <n v="0"/>
  </r>
  <r>
    <x v="7"/>
    <x v="1"/>
    <s v="ايجار مخزن شهر 7 - 2025"/>
    <x v="2"/>
    <x v="5"/>
    <n v="0"/>
    <x v="21"/>
    <n v="0"/>
    <n v="0"/>
    <n v="0"/>
    <m/>
    <n v="0"/>
  </r>
  <r>
    <x v="13"/>
    <x v="1"/>
    <s v="مرتب - عمر"/>
    <x v="2"/>
    <x v="6"/>
    <m/>
    <x v="21"/>
    <m/>
    <m/>
    <n v="0"/>
    <m/>
    <n v="0"/>
  </r>
  <r>
    <x v="12"/>
    <x v="1"/>
    <s v="بن"/>
    <x v="2"/>
    <x v="7"/>
    <n v="0"/>
    <x v="21"/>
    <n v="0"/>
    <n v="0"/>
    <n v="0"/>
    <m/>
    <n v="0"/>
  </r>
  <r>
    <x v="13"/>
    <x v="1"/>
    <s v="بن"/>
    <x v="2"/>
    <x v="7"/>
    <m/>
    <x v="21"/>
    <m/>
    <m/>
    <n v="0"/>
    <m/>
    <n v="0"/>
  </r>
  <r>
    <x v="21"/>
    <x v="1"/>
    <s v="بن"/>
    <x v="2"/>
    <x v="7"/>
    <m/>
    <x v="21"/>
    <m/>
    <m/>
    <n v="0"/>
    <m/>
    <n v="0"/>
  </r>
  <r>
    <x v="10"/>
    <x v="1"/>
    <s v="بن "/>
    <x v="2"/>
    <x v="7"/>
    <m/>
    <x v="21"/>
    <m/>
    <m/>
    <n v="0"/>
    <m/>
    <n v="0"/>
  </r>
  <r>
    <x v="10"/>
    <x v="1"/>
    <s v="بنزين"/>
    <x v="2"/>
    <x v="4"/>
    <m/>
    <x v="21"/>
    <m/>
    <m/>
    <n v="0"/>
    <m/>
    <n v="0"/>
  </r>
  <r>
    <x v="17"/>
    <x v="1"/>
    <s v="بنزين"/>
    <x v="2"/>
    <x v="4"/>
    <m/>
    <x v="21"/>
    <m/>
    <m/>
    <n v="0"/>
    <m/>
    <n v="0"/>
  </r>
  <r>
    <x v="7"/>
    <x v="1"/>
    <s v="تبرعات"/>
    <x v="2"/>
    <x v="8"/>
    <m/>
    <x v="21"/>
    <m/>
    <m/>
    <n v="0"/>
    <m/>
    <n v="0"/>
  </r>
  <r>
    <x v="9"/>
    <x v="1"/>
    <s v="تبرعات"/>
    <x v="2"/>
    <x v="8"/>
    <m/>
    <x v="21"/>
    <m/>
    <m/>
    <n v="0"/>
    <m/>
    <n v="0"/>
  </r>
  <r>
    <x v="10"/>
    <x v="1"/>
    <s v="ثلج"/>
    <x v="2"/>
    <x v="7"/>
    <m/>
    <x v="21"/>
    <m/>
    <m/>
    <n v="0"/>
    <m/>
    <n v="0"/>
  </r>
  <r>
    <x v="12"/>
    <x v="1"/>
    <s v="ثلج"/>
    <x v="2"/>
    <x v="7"/>
    <m/>
    <x v="21"/>
    <m/>
    <m/>
    <n v="0"/>
    <m/>
    <n v="0"/>
  </r>
  <r>
    <x v="14"/>
    <x v="1"/>
    <s v="ثلج"/>
    <x v="2"/>
    <x v="7"/>
    <m/>
    <x v="21"/>
    <m/>
    <m/>
    <n v="0"/>
    <m/>
    <n v="0"/>
  </r>
  <r>
    <x v="15"/>
    <x v="1"/>
    <s v="ثلج"/>
    <x v="2"/>
    <x v="7"/>
    <m/>
    <x v="21"/>
    <m/>
    <m/>
    <n v="0"/>
    <m/>
    <n v="0"/>
  </r>
  <r>
    <x v="16"/>
    <x v="1"/>
    <s v="ثلج"/>
    <x v="2"/>
    <x v="7"/>
    <m/>
    <x v="21"/>
    <m/>
    <m/>
    <n v="0"/>
    <m/>
    <n v="0"/>
  </r>
  <r>
    <x v="21"/>
    <x v="1"/>
    <s v="ثلج"/>
    <x v="2"/>
    <x v="7"/>
    <m/>
    <x v="21"/>
    <m/>
    <m/>
    <n v="0"/>
    <m/>
    <n v="0"/>
  </r>
  <r>
    <x v="22"/>
    <x v="1"/>
    <s v="ثلج"/>
    <x v="2"/>
    <x v="7"/>
    <m/>
    <x v="21"/>
    <m/>
    <m/>
    <n v="0"/>
    <m/>
    <n v="0"/>
  </r>
  <r>
    <x v="23"/>
    <x v="1"/>
    <s v="ثلج"/>
    <x v="2"/>
    <x v="7"/>
    <m/>
    <x v="21"/>
    <m/>
    <m/>
    <n v="0"/>
    <m/>
    <n v="0"/>
  </r>
  <r>
    <x v="24"/>
    <x v="1"/>
    <s v="ثلج"/>
    <x v="2"/>
    <x v="7"/>
    <m/>
    <x v="21"/>
    <m/>
    <m/>
    <n v="0"/>
    <m/>
    <n v="0"/>
  </r>
  <r>
    <x v="25"/>
    <x v="1"/>
    <s v="ثلج"/>
    <x v="2"/>
    <x v="7"/>
    <m/>
    <x v="21"/>
    <m/>
    <m/>
    <n v="0"/>
    <m/>
    <n v="0"/>
  </r>
  <r>
    <x v="26"/>
    <x v="1"/>
    <s v="ثلج"/>
    <x v="2"/>
    <x v="7"/>
    <m/>
    <x v="21"/>
    <m/>
    <m/>
    <n v="0"/>
    <m/>
    <n v="0"/>
  </r>
  <r>
    <x v="27"/>
    <x v="1"/>
    <s v="ثلج"/>
    <x v="2"/>
    <x v="7"/>
    <m/>
    <x v="21"/>
    <m/>
    <m/>
    <n v="0"/>
    <m/>
    <n v="0"/>
  </r>
  <r>
    <x v="28"/>
    <x v="1"/>
    <s v="ثلج"/>
    <x v="2"/>
    <x v="7"/>
    <m/>
    <x v="21"/>
    <m/>
    <m/>
    <n v="0"/>
    <m/>
    <n v="0"/>
  </r>
  <r>
    <x v="29"/>
    <x v="1"/>
    <s v="ثلج"/>
    <x v="2"/>
    <x v="7"/>
    <m/>
    <x v="21"/>
    <m/>
    <m/>
    <n v="0"/>
    <m/>
    <n v="0"/>
  </r>
  <r>
    <x v="30"/>
    <x v="1"/>
    <s v="ثلج"/>
    <x v="2"/>
    <x v="7"/>
    <m/>
    <x v="21"/>
    <m/>
    <m/>
    <n v="0"/>
    <m/>
    <n v="0"/>
  </r>
  <r>
    <x v="18"/>
    <x v="1"/>
    <s v="ثلج +طباعة"/>
    <x v="2"/>
    <x v="7"/>
    <m/>
    <x v="21"/>
    <m/>
    <m/>
    <n v="0"/>
    <m/>
    <n v="0"/>
  </r>
  <r>
    <x v="19"/>
    <x v="1"/>
    <s v="ثلج+ بن"/>
    <x v="2"/>
    <x v="7"/>
    <m/>
    <x v="21"/>
    <m/>
    <m/>
    <n v="0"/>
    <m/>
    <n v="0"/>
  </r>
  <r>
    <x v="17"/>
    <x v="1"/>
    <s v="ثلج+ ضيافة"/>
    <x v="2"/>
    <x v="7"/>
    <m/>
    <x v="21"/>
    <m/>
    <m/>
    <n v="0"/>
    <m/>
    <n v="0"/>
  </r>
  <r>
    <x v="6"/>
    <x v="1"/>
    <s v="مرتب - محمد هشام"/>
    <x v="2"/>
    <x v="6"/>
    <m/>
    <x v="21"/>
    <m/>
    <m/>
    <n v="0"/>
    <m/>
    <n v="0"/>
  </r>
  <r>
    <x v="29"/>
    <x v="1"/>
    <s v="مرتب - محمد هشام"/>
    <x v="2"/>
    <x v="6"/>
    <m/>
    <x v="21"/>
    <m/>
    <m/>
    <n v="0"/>
    <m/>
    <n v="0"/>
  </r>
  <r>
    <x v="13"/>
    <x v="1"/>
    <s v="ضيافة"/>
    <x v="2"/>
    <x v="7"/>
    <m/>
    <x v="21"/>
    <m/>
    <m/>
    <n v="0"/>
    <m/>
    <n v="0"/>
  </r>
  <r>
    <x v="14"/>
    <x v="1"/>
    <s v="ضيافة"/>
    <x v="2"/>
    <x v="7"/>
    <m/>
    <x v="21"/>
    <m/>
    <m/>
    <n v="0"/>
    <m/>
    <n v="0"/>
  </r>
  <r>
    <x v="29"/>
    <x v="1"/>
    <s v="ضيافة"/>
    <x v="2"/>
    <x v="7"/>
    <m/>
    <x v="21"/>
    <m/>
    <m/>
    <n v="0"/>
    <m/>
    <n v="0"/>
  </r>
  <r>
    <x v="10"/>
    <x v="1"/>
    <s v="فطور"/>
    <x v="2"/>
    <x v="7"/>
    <m/>
    <x v="21"/>
    <m/>
    <m/>
    <n v="0"/>
    <m/>
    <n v="0"/>
  </r>
  <r>
    <x v="11"/>
    <x v="1"/>
    <s v="فطور"/>
    <x v="2"/>
    <x v="7"/>
    <m/>
    <x v="21"/>
    <m/>
    <m/>
    <n v="0"/>
    <m/>
    <n v="0"/>
  </r>
  <r>
    <x v="18"/>
    <x v="1"/>
    <s v="فطور"/>
    <x v="2"/>
    <x v="7"/>
    <m/>
    <x v="21"/>
    <m/>
    <m/>
    <n v="0"/>
    <m/>
    <n v="0"/>
  </r>
  <r>
    <x v="25"/>
    <x v="1"/>
    <s v="فطور"/>
    <x v="2"/>
    <x v="7"/>
    <m/>
    <x v="21"/>
    <m/>
    <m/>
    <n v="0"/>
    <m/>
    <n v="0"/>
  </r>
  <r>
    <x v="26"/>
    <x v="1"/>
    <s v="فطور"/>
    <x v="2"/>
    <x v="7"/>
    <m/>
    <x v="21"/>
    <m/>
    <m/>
    <n v="0"/>
    <m/>
    <n v="0"/>
  </r>
  <r>
    <x v="28"/>
    <x v="1"/>
    <s v="فطور"/>
    <x v="2"/>
    <x v="7"/>
    <m/>
    <x v="21"/>
    <m/>
    <m/>
    <n v="0"/>
    <m/>
    <n v="0"/>
  </r>
  <r>
    <x v="30"/>
    <x v="1"/>
    <s v="فطور"/>
    <x v="2"/>
    <x v="7"/>
    <m/>
    <x v="21"/>
    <m/>
    <m/>
    <n v="0"/>
    <m/>
    <n v="0"/>
  </r>
  <r>
    <x v="5"/>
    <x v="1"/>
    <s v="مرتب - عمر"/>
    <x v="2"/>
    <x v="6"/>
    <m/>
    <x v="21"/>
    <m/>
    <m/>
    <n v="0"/>
    <m/>
    <n v="0"/>
  </r>
  <r>
    <x v="9"/>
    <x v="1"/>
    <s v="مرتب - نانا"/>
    <x v="2"/>
    <x v="6"/>
    <m/>
    <x v="21"/>
    <m/>
    <m/>
    <n v="0"/>
    <m/>
    <n v="0"/>
  </r>
  <r>
    <x v="10"/>
    <x v="1"/>
    <s v="مرتب - نانا"/>
    <x v="2"/>
    <x v="6"/>
    <m/>
    <x v="21"/>
    <m/>
    <m/>
    <n v="0"/>
    <m/>
    <n v="0"/>
  </r>
  <r>
    <x v="25"/>
    <x v="1"/>
    <s v="مرتب - نانا"/>
    <x v="2"/>
    <x v="6"/>
    <m/>
    <x v="21"/>
    <m/>
    <m/>
    <n v="0"/>
    <m/>
    <n v="0"/>
  </r>
  <r>
    <x v="27"/>
    <x v="1"/>
    <s v="مرتب - نانا"/>
    <x v="2"/>
    <x v="6"/>
    <m/>
    <x v="21"/>
    <m/>
    <m/>
    <n v="0"/>
    <m/>
    <n v="0"/>
  </r>
  <r>
    <x v="28"/>
    <x v="1"/>
    <s v="مرتب - نانا"/>
    <x v="2"/>
    <x v="6"/>
    <m/>
    <x v="21"/>
    <m/>
    <m/>
    <n v="0"/>
    <m/>
    <n v="0"/>
  </r>
  <r>
    <x v="29"/>
    <x v="1"/>
    <s v="مرتب - نانا"/>
    <x v="2"/>
    <x v="6"/>
    <m/>
    <x v="21"/>
    <m/>
    <m/>
    <n v="0"/>
    <m/>
    <n v="0"/>
  </r>
  <r>
    <x v="30"/>
    <x v="1"/>
    <s v="مرتب - نانا"/>
    <x v="2"/>
    <x v="6"/>
    <m/>
    <x v="21"/>
    <m/>
    <m/>
    <n v="0"/>
    <m/>
    <n v="0"/>
  </r>
  <r>
    <x v="7"/>
    <x v="1"/>
    <s v="مرتب - هاني"/>
    <x v="2"/>
    <x v="6"/>
    <m/>
    <x v="21"/>
    <m/>
    <m/>
    <n v="0"/>
    <m/>
    <n v="0"/>
  </r>
  <r>
    <x v="19"/>
    <x v="1"/>
    <s v="مرتب - هاني"/>
    <x v="2"/>
    <x v="6"/>
    <m/>
    <x v="21"/>
    <m/>
    <m/>
    <n v="0"/>
    <m/>
    <n v="0"/>
  </r>
  <r>
    <x v="25"/>
    <x v="1"/>
    <s v="مرتب - هاني"/>
    <x v="2"/>
    <x v="6"/>
    <m/>
    <x v="21"/>
    <m/>
    <m/>
    <n v="0"/>
    <m/>
    <n v="0"/>
  </r>
  <r>
    <x v="28"/>
    <x v="1"/>
    <s v="مرتب - هاني"/>
    <x v="2"/>
    <x v="6"/>
    <m/>
    <x v="21"/>
    <m/>
    <m/>
    <n v="0"/>
    <m/>
    <n v="0"/>
  </r>
  <r>
    <x v="31"/>
    <x v="2"/>
    <s v="مساعد امامى تويوتا"/>
    <x v="0"/>
    <x v="2"/>
    <m/>
    <x v="2"/>
    <n v="2"/>
    <n v="1100"/>
    <n v="2200"/>
    <n v="2200"/>
    <n v="0"/>
  </r>
  <r>
    <x v="31"/>
    <x v="2"/>
    <s v="صدادة باب جرار"/>
    <x v="0"/>
    <x v="2"/>
    <m/>
    <x v="2"/>
    <n v="1"/>
    <n v="40"/>
    <n v="40"/>
    <n v="40"/>
    <n v="0"/>
  </r>
  <r>
    <x v="31"/>
    <x v="2"/>
    <s v="كاوتشة شداد"/>
    <x v="0"/>
    <x v="2"/>
    <m/>
    <x v="11"/>
    <n v="6"/>
    <n v="40"/>
    <n v="240"/>
    <n v="240"/>
    <n v="0"/>
  </r>
  <r>
    <x v="31"/>
    <x v="2"/>
    <s v="اكصدام امامى"/>
    <x v="0"/>
    <x v="2"/>
    <m/>
    <x v="0"/>
    <n v="1"/>
    <n v="600"/>
    <n v="600"/>
    <n v="600"/>
    <n v="0"/>
  </r>
  <r>
    <x v="31"/>
    <x v="2"/>
    <s v="  افيس بلاستيك"/>
    <x v="0"/>
    <x v="2"/>
    <m/>
    <x v="0"/>
    <n v="8"/>
    <n v="1.875"/>
    <n v="15"/>
    <n v="15"/>
    <n v="0"/>
  </r>
  <r>
    <x v="31"/>
    <x v="2"/>
    <s v="فلتر بنزين دايو /هيوندى"/>
    <x v="0"/>
    <x v="2"/>
    <m/>
    <x v="12"/>
    <n v="1"/>
    <n v="70"/>
    <n v="70"/>
    <n v="70"/>
    <n v="0"/>
  </r>
  <r>
    <x v="31"/>
    <x v="2"/>
    <s v="اصلاح دبرياج سفلى تايوانى تيوتا"/>
    <x v="0"/>
    <x v="2"/>
    <m/>
    <x v="12"/>
    <n v="1"/>
    <n v="60"/>
    <n v="60"/>
    <n v="60"/>
    <n v="0"/>
  </r>
  <r>
    <x v="31"/>
    <x v="2"/>
    <s v="زيت باكم نصف لتر"/>
    <x v="0"/>
    <x v="2"/>
    <m/>
    <x v="12"/>
    <n v="1"/>
    <n v="90"/>
    <n v="90"/>
    <n v="90"/>
    <n v="0"/>
  </r>
  <r>
    <x v="31"/>
    <x v="2"/>
    <s v="اكصدام امامى"/>
    <x v="0"/>
    <x v="2"/>
    <m/>
    <x v="6"/>
    <n v="1"/>
    <n v="600"/>
    <n v="600"/>
    <n v="600"/>
    <n v="0"/>
  </r>
  <r>
    <x v="31"/>
    <x v="2"/>
    <s v="طقم تيل امامى "/>
    <x v="0"/>
    <x v="2"/>
    <m/>
    <x v="9"/>
    <n v="1"/>
    <n v="350"/>
    <n v="350"/>
    <n v="350"/>
    <n v="0"/>
  </r>
  <r>
    <x v="31"/>
    <x v="2"/>
    <s v="طقم بلية صره امامى + اويل سيل"/>
    <x v="0"/>
    <x v="2"/>
    <m/>
    <x v="9"/>
    <n v="1"/>
    <n v="200"/>
    <n v="200"/>
    <n v="200"/>
    <n v="0"/>
  </r>
  <r>
    <x v="31"/>
    <x v="2"/>
    <s v="منفل شكمان"/>
    <x v="0"/>
    <x v="2"/>
    <m/>
    <x v="11"/>
    <n v="1"/>
    <n v="150"/>
    <n v="150"/>
    <n v="150"/>
    <n v="0"/>
  </r>
  <r>
    <x v="31"/>
    <x v="2"/>
    <s v="اصلاح دبرياج سفلى تايوانى تيوتا"/>
    <x v="0"/>
    <x v="2"/>
    <m/>
    <x v="1"/>
    <n v="1"/>
    <n v="60"/>
    <n v="60"/>
    <n v="60"/>
    <n v="0"/>
  </r>
  <r>
    <x v="31"/>
    <x v="2"/>
    <s v="زيت باكم نصف لتر"/>
    <x v="0"/>
    <x v="2"/>
    <m/>
    <x v="1"/>
    <n v="1"/>
    <n v="100"/>
    <n v="100"/>
    <n v="100"/>
    <n v="0"/>
  </r>
  <r>
    <x v="31"/>
    <x v="2"/>
    <s v="طقم كالون باب كامل "/>
    <x v="0"/>
    <x v="2"/>
    <m/>
    <x v="13"/>
    <n v="1"/>
    <n v="450"/>
    <n v="450"/>
    <n v="450"/>
    <n v="0"/>
  </r>
  <r>
    <x v="31"/>
    <x v="2"/>
    <s v="فانوس اشارة يمين فطيم"/>
    <x v="0"/>
    <x v="2"/>
    <m/>
    <x v="10"/>
    <n v="1"/>
    <n v="250"/>
    <n v="250"/>
    <n v="250"/>
    <n v="0"/>
  </r>
  <r>
    <x v="31"/>
    <x v="2"/>
    <s v="بطارية كلورايد 70"/>
    <x v="0"/>
    <x v="1"/>
    <m/>
    <x v="10"/>
    <n v="1"/>
    <n v="1750"/>
    <n v="1750"/>
    <n v="1750"/>
    <n v="0"/>
  </r>
  <r>
    <x v="31"/>
    <x v="2"/>
    <s v="بطارية كلورايد 90"/>
    <x v="1"/>
    <x v="1"/>
    <m/>
    <x v="6"/>
    <n v="1"/>
    <n v="3050"/>
    <n v="3050"/>
    <m/>
    <n v="3050"/>
  </r>
  <r>
    <x v="31"/>
    <x v="2"/>
    <s v="بطارية كلورايد 70 فيلدا"/>
    <x v="1"/>
    <x v="1"/>
    <m/>
    <x v="10"/>
    <n v="1"/>
    <n v="1950"/>
    <n v="1950"/>
    <m/>
    <n v="1950"/>
  </r>
  <r>
    <x v="31"/>
    <x v="2"/>
    <s v="اكرامية"/>
    <x v="2"/>
    <x v="3"/>
    <m/>
    <x v="21"/>
    <m/>
    <m/>
    <n v="0"/>
    <m/>
    <n v="0"/>
  </r>
  <r>
    <x v="31"/>
    <x v="2"/>
    <s v="مرتب - محمد هشام"/>
    <x v="2"/>
    <x v="6"/>
    <m/>
    <x v="21"/>
    <m/>
    <m/>
    <n v="0"/>
    <m/>
    <n v="0"/>
  </r>
  <r>
    <x v="31"/>
    <x v="2"/>
    <s v="ثلج"/>
    <x v="2"/>
    <x v="7"/>
    <m/>
    <x v="21"/>
    <m/>
    <m/>
    <n v="0"/>
    <m/>
    <n v="0"/>
  </r>
  <r>
    <x v="31"/>
    <x v="2"/>
    <s v="مرتب - هاني"/>
    <x v="2"/>
    <x v="6"/>
    <m/>
    <x v="21"/>
    <m/>
    <m/>
    <n v="0"/>
    <m/>
    <n v="0"/>
  </r>
  <r>
    <x v="31"/>
    <x v="2"/>
    <s v="مرتب - نانا"/>
    <x v="2"/>
    <x v="6"/>
    <m/>
    <x v="21"/>
    <n v="1"/>
    <n v="1000"/>
    <n v="1000"/>
    <m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49BA3-F3E6-469B-B7AA-A8362C1E1EB9}" name="PivotTable2" cacheId="10" applyNumberFormats="0" applyBorderFormats="0" applyFontFormats="0" applyPatternFormats="0" applyAlignmentFormats="0" applyWidthHeightFormats="1" dataCaption="Values" grandTotalCaption="الاجمالي" updatedVersion="8" minRefreshableVersion="3" useAutoFormatting="1" itemPrintTitles="1" createdVersion="8" indent="0" outline="1" outlineData="1" multipleFieldFilters="0" rowHeaderCaption="العميل">
  <location ref="A5:D16" firstHeaderRow="0" firstDataRow="1" firstDataCol="1" rowPageCount="2" colPageCount="1"/>
  <pivotFields count="12">
    <pivotField outline="0" showAll="0" includeNewItemsInFilter="1" defaultSubtotal="0">
      <items count="36">
        <item x="11"/>
        <item x="10"/>
        <item x="14"/>
        <item x="31"/>
        <item x="30"/>
        <item x="21"/>
        <item x="13"/>
        <item x="4"/>
        <item x="3"/>
        <item x="26"/>
        <item x="17"/>
        <item x="7"/>
        <item x="12"/>
        <item x="28"/>
        <item x="27"/>
        <item x="16"/>
        <item x="24"/>
        <item x="25"/>
        <item x="23"/>
        <item x="19"/>
        <item x="29"/>
        <item x="2"/>
        <item x="5"/>
        <item x="6"/>
        <item x="9"/>
        <item x="8"/>
        <item x="15"/>
        <item x="18"/>
        <item x="20"/>
        <item x="22"/>
        <item m="1" x="32"/>
        <item m="1" x="33"/>
        <item x="1"/>
        <item m="1" x="34"/>
        <item x="0"/>
        <item m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numFmtId="165" multipleItemSelectionAllowed="1" showAll="0">
      <items count="5">
        <item m="1" x="3"/>
        <item x="0"/>
        <item x="1"/>
        <item x="2"/>
        <item t="default"/>
      </items>
    </pivotField>
    <pivotField showAll="0"/>
    <pivotField axis="axisPage" outline="0" multipleItemSelectionAllowed="1" showAll="0" defaultSubtotal="0">
      <items count="8">
        <item h="1" m="1" x="3"/>
        <item x="2"/>
        <item m="1" x="4"/>
        <item h="1" x="0"/>
        <item m="1" x="7"/>
        <item m="1" x="6"/>
        <item x="1"/>
        <item m="1" x="5"/>
      </items>
    </pivotField>
    <pivotField showAll="0">
      <items count="15">
        <item m="1" x="13"/>
        <item x="3"/>
        <item x="4"/>
        <item x="5"/>
        <item x="1"/>
        <item x="7"/>
        <item x="8"/>
        <item m="1" x="11"/>
        <item x="2"/>
        <item x="0"/>
        <item x="6"/>
        <item m="1" x="12"/>
        <item m="1" x="9"/>
        <item m="1" x="10"/>
        <item t="default"/>
      </items>
    </pivotField>
    <pivotField showAll="0"/>
    <pivotField axis="axisRow" outline="0" showAll="0" defaultSubtotal="0">
      <items count="139">
        <item x="21"/>
        <item m="1" x="112"/>
        <item m="1" x="138"/>
        <item m="1" x="129"/>
        <item m="1" x="130"/>
        <item m="1" x="126"/>
        <item m="1" x="131"/>
        <item m="1" x="64"/>
        <item m="1" x="132"/>
        <item m="1" x="133"/>
        <item m="1" x="37"/>
        <item m="1" x="95"/>
        <item m="1" x="71"/>
        <item m="1" x="94"/>
        <item m="1" x="134"/>
        <item m="1" x="83"/>
        <item m="1" x="135"/>
        <item m="1" x="99"/>
        <item m="1" x="105"/>
        <item m="1" x="136"/>
        <item m="1" x="137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5"/>
        <item m="1" x="66"/>
        <item m="1" x="67"/>
        <item m="1" x="68"/>
        <item m="1" x="69"/>
        <item m="1" x="70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6"/>
        <item m="1" x="97"/>
        <item m="1" x="98"/>
        <item m="1" x="100"/>
        <item m="1" x="101"/>
        <item m="1" x="102"/>
        <item m="1" x="103"/>
        <item m="1" x="104"/>
        <item m="1" x="106"/>
        <item m="1" x="107"/>
        <item m="1" x="108"/>
        <item m="1" x="109"/>
        <item m="1" x="110"/>
        <item m="1" x="111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7"/>
        <item m="1" x="1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dataField="1" numFmtId="38" showAll="0"/>
    <pivotField dataField="1" showAll="0"/>
    <pivotField dataField="1" numFmtId="38" showAll="0"/>
  </pivotFields>
  <rowFields count="1">
    <field x="6"/>
  </rowFields>
  <rowItems count="11">
    <i>
      <x/>
    </i>
    <i>
      <x v="119"/>
    </i>
    <i>
      <x v="120"/>
    </i>
    <i>
      <x v="124"/>
    </i>
    <i>
      <x v="127"/>
    </i>
    <i>
      <x v="128"/>
    </i>
    <i>
      <x v="130"/>
    </i>
    <i>
      <x v="131"/>
    </i>
    <i>
      <x v="133"/>
    </i>
    <i>
      <x v="13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" hier="-1"/>
  </pageFields>
  <dataFields count="3">
    <dataField name=" الاجمالي" fld="9" baseField="0" baseItem="0" numFmtId="38"/>
    <dataField name=" المسدد / المحصل" fld="10" baseField="0" baseItem="0" numFmtId="165"/>
    <dataField name=" المتبقى" fld="11" baseField="0" baseItem="0" numFmtId="38"/>
  </dataFields>
  <formats count="6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6" type="button" dataOnly="0" labelOnly="1" outline="0" axis="axisRow" fieldPosition="0"/>
    </format>
    <format dxfId="74">
      <pivotArea dataOnly="0" labelOnly="1" fieldPosition="0">
        <references count="1">
          <reference field="6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0">
      <pivotArea field="6" type="button" dataOnly="0" labelOnly="1" outline="0" axis="axisRow" fieldPosition="0"/>
    </format>
    <format dxfId="69">
      <pivotArea field="0" type="button" dataOnly="0" labelOnly="1" outline="0"/>
    </format>
    <format dxfId="68">
      <pivotArea field="3" type="button" dataOnly="0" labelOnly="1" outline="0" axis="axisPage" fieldPosition="0"/>
    </format>
    <format dxfId="67">
      <pivotArea field="4" type="button" dataOnly="0" labelOnly="1" outline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field="6" type="button" dataOnly="0" labelOnly="1" outline="0" axis="axisRow" fieldPosition="0"/>
    </format>
    <format dxfId="64">
      <pivotArea field="0" type="button" dataOnly="0" labelOnly="1" outline="0"/>
    </format>
    <format dxfId="63">
      <pivotArea field="3" type="button" dataOnly="0" labelOnly="1" outline="0" axis="axisPage" fieldPosition="0"/>
    </format>
    <format dxfId="62">
      <pivotArea field="4" type="button" dataOnly="0" labelOnly="1" outline="0"/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field="3" type="button" dataOnly="0" labelOnly="1" outline="0" axis="axisPage" fieldPosition="0"/>
    </format>
    <format dxfId="59">
      <pivotArea dataOnly="0" labelOnly="1" outline="0" fieldPosition="0">
        <references count="1">
          <reference field="3" count="0"/>
        </references>
      </pivotArea>
    </format>
    <format dxfId="58">
      <pivotArea field="6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field="6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field="6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field="6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field="6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6" type="button" dataOnly="0" labelOnly="1" outline="0" axis="axisRow" fieldPosition="0"/>
    </format>
    <format dxfId="35">
      <pivotArea dataOnly="0" labelOnly="1" fieldPosition="0">
        <references count="1">
          <reference field="6" count="19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field="6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3" type="button" dataOnly="0" labelOnly="1" outline="0" axis="axisPage" fieldPosition="0"/>
    </format>
    <format dxfId="23">
      <pivotArea field="3" type="button" dataOnly="0" labelOnly="1" outline="0" axis="axisPage" fieldPosition="0"/>
    </format>
    <format dxfId="22">
      <pivotArea outline="0" collapsedLevelsAreSubtotals="1" fieldPosition="0">
        <references count="2">
          <reference field="4294967294" count="1" selected="0">
            <x v="2"/>
          </reference>
          <reference field="6" count="19" selected="0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19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19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348D1-7B50-444C-8AC9-F5D743BD259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P1:AS22" firstHeaderRow="0" firstDataRow="1" firstDataCol="1"/>
  <pivotFields count="4">
    <pivotField axis="axisRow" showAll="0">
      <items count="21">
        <item x="16"/>
        <item x="2"/>
        <item x="5"/>
        <item x="17"/>
        <item x="12"/>
        <item x="18"/>
        <item x="8"/>
        <item x="7"/>
        <item x="14"/>
        <item x="10"/>
        <item x="1"/>
        <item x="9"/>
        <item x="13"/>
        <item x="15"/>
        <item x="0"/>
        <item x="6"/>
        <item x="3"/>
        <item x="11"/>
        <item x="4"/>
        <item x="19"/>
        <item t="default"/>
      </items>
    </pivotField>
    <pivotField dataField="1" showAll="0">
      <items count="21">
        <item x="18"/>
        <item x="17"/>
        <item x="11"/>
        <item x="2"/>
        <item x="16"/>
        <item x="3"/>
        <item x="14"/>
        <item x="1"/>
        <item x="8"/>
        <item x="10"/>
        <item x="9"/>
        <item x="4"/>
        <item x="15"/>
        <item x="0"/>
        <item x="12"/>
        <item x="6"/>
        <item x="5"/>
        <item x="7"/>
        <item x="13"/>
        <item x="19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إجمالي المسدد" fld="2" baseField="0" baseItem="0"/>
    <dataField name="إجمالي المبيعات الآجل." fld="1" baseField="0" baseItem="0"/>
    <dataField name=" المتبقي" fld="3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0E03E-F9A7-4CB5-B09D-1044AE4809A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الصنف">
  <location ref="AO1:AP4" firstHeaderRow="1" firstDataRow="1" firstDataCol="1"/>
  <pivotFields count="11"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 اجمالي التكلفة" fld="7" baseField="1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9C734-9D37-4E61-93F3-A006BE3F1913}" name="Table1" displayName="Table1" ref="B5:F305" totalsRowShown="0" headerRowDxfId="11" dataDxfId="9" headerRowBorderDxfId="10" tableBorderDxfId="8" totalsRowBorderDxfId="7">
  <autoFilter ref="B5:F305" xr:uid="{9DB9C734-9D37-4E61-93F3-A006BE3F1913}"/>
  <tableColumns count="5">
    <tableColumn id="1" xr3:uid="{D33C083A-B894-4A14-BD39-5DB6D2C1D614}" name="رقم العميل " dataDxfId="6"/>
    <tableColumn id="2" xr3:uid="{3CE8A701-751D-4D5B-88F1-6D39AD632283}" name="اسم العميل / المورد" dataDxfId="5"/>
    <tableColumn id="3" xr3:uid="{7035D2DF-F033-439E-89C4-01EC119E3B2B}" name="النوع" dataDxfId="4"/>
    <tableColumn id="4" xr3:uid="{889F581B-FEA6-4115-9DF1-A75E3240FEB3}" name="تصنيف" dataDxfId="3"/>
    <tableColumn id="5" xr3:uid="{F676D207-D8D6-4045-A0BB-CFE0098B40FA}" name="طريقة التحصيل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48A3-94A1-4ACB-901D-1DE01FFEF52F}">
  <dimension ref="A1:I5002"/>
  <sheetViews>
    <sheetView rightToLeft="1" workbookViewId="0">
      <selection activeCell="I2" sqref="I2:I428"/>
    </sheetView>
  </sheetViews>
  <sheetFormatPr defaultRowHeight="18" x14ac:dyDescent="0.35"/>
  <cols>
    <col min="1" max="1" width="29" style="64" customWidth="1"/>
    <col min="2" max="2" width="10.5546875" bestFit="1" customWidth="1"/>
  </cols>
  <sheetData>
    <row r="1" spans="1:9" ht="15.6" x14ac:dyDescent="0.3">
      <c r="A1" s="70" t="s">
        <v>228</v>
      </c>
      <c r="B1" t="s">
        <v>203</v>
      </c>
    </row>
    <row r="2" spans="1:9" ht="15.6" x14ac:dyDescent="0.3">
      <c r="A2" s="70" t="s">
        <v>7</v>
      </c>
      <c r="B2" t="s">
        <v>0</v>
      </c>
      <c r="I2" s="71" t="s">
        <v>209</v>
      </c>
    </row>
    <row r="3" spans="1:9" ht="15.6" x14ac:dyDescent="0.3">
      <c r="A3" s="70" t="s">
        <v>34</v>
      </c>
      <c r="B3" t="s">
        <v>0</v>
      </c>
      <c r="D3" t="s">
        <v>209</v>
      </c>
      <c r="I3" s="71" t="s">
        <v>219</v>
      </c>
    </row>
    <row r="4" spans="1:9" ht="15.6" x14ac:dyDescent="0.3">
      <c r="A4" s="70" t="s">
        <v>50</v>
      </c>
      <c r="B4" t="s">
        <v>0</v>
      </c>
      <c r="D4" t="s">
        <v>219</v>
      </c>
      <c r="I4" s="71" t="s">
        <v>219</v>
      </c>
    </row>
    <row r="5" spans="1:9" ht="15.6" x14ac:dyDescent="0.3">
      <c r="A5" s="70" t="s">
        <v>56</v>
      </c>
      <c r="B5" t="s">
        <v>0</v>
      </c>
      <c r="D5" t="s">
        <v>210</v>
      </c>
      <c r="I5" s="71" t="s">
        <v>209</v>
      </c>
    </row>
    <row r="6" spans="1:9" ht="15.6" x14ac:dyDescent="0.3">
      <c r="A6" s="70" t="s">
        <v>62</v>
      </c>
      <c r="B6" t="s">
        <v>0</v>
      </c>
      <c r="D6" t="s">
        <v>444</v>
      </c>
      <c r="I6" s="71" t="s">
        <v>209</v>
      </c>
    </row>
    <row r="7" spans="1:9" ht="15.6" x14ac:dyDescent="0.3">
      <c r="A7" s="70" t="s">
        <v>84</v>
      </c>
      <c r="B7" t="s">
        <v>0</v>
      </c>
      <c r="I7" s="71" t="s">
        <v>209</v>
      </c>
    </row>
    <row r="8" spans="1:9" ht="15.6" x14ac:dyDescent="0.3">
      <c r="A8" s="70" t="s">
        <v>176</v>
      </c>
      <c r="B8" t="s">
        <v>0</v>
      </c>
      <c r="I8" s="71" t="s">
        <v>209</v>
      </c>
    </row>
    <row r="9" spans="1:9" ht="15.6" x14ac:dyDescent="0.3">
      <c r="A9" s="70" t="s">
        <v>178</v>
      </c>
      <c r="B9" t="s">
        <v>0</v>
      </c>
      <c r="I9" s="71" t="s">
        <v>209</v>
      </c>
    </row>
    <row r="10" spans="1:9" ht="15.6" x14ac:dyDescent="0.3">
      <c r="A10" s="74" t="s">
        <v>192</v>
      </c>
      <c r="B10" t="s">
        <v>0</v>
      </c>
      <c r="I10" s="71" t="s">
        <v>209</v>
      </c>
    </row>
    <row r="11" spans="1:9" ht="15.6" x14ac:dyDescent="0.3">
      <c r="A11" s="74" t="s">
        <v>13</v>
      </c>
      <c r="B11" t="s">
        <v>0</v>
      </c>
      <c r="I11" s="71" t="s">
        <v>209</v>
      </c>
    </row>
    <row r="12" spans="1:9" ht="15.6" x14ac:dyDescent="0.3">
      <c r="A12" s="74" t="s">
        <v>32</v>
      </c>
      <c r="B12" t="s">
        <v>0</v>
      </c>
      <c r="I12" s="71" t="s">
        <v>209</v>
      </c>
    </row>
    <row r="13" spans="1:9" ht="15.6" x14ac:dyDescent="0.3">
      <c r="A13" s="74" t="s">
        <v>61</v>
      </c>
      <c r="B13" t="s">
        <v>0</v>
      </c>
      <c r="I13" s="71" t="s">
        <v>209</v>
      </c>
    </row>
    <row r="14" spans="1:9" ht="15.6" x14ac:dyDescent="0.3">
      <c r="A14" s="74" t="s">
        <v>143</v>
      </c>
      <c r="B14" t="s">
        <v>0</v>
      </c>
      <c r="I14" s="71" t="s">
        <v>209</v>
      </c>
    </row>
    <row r="15" spans="1:9" ht="15.6" x14ac:dyDescent="0.3">
      <c r="A15" s="74" t="s">
        <v>149</v>
      </c>
      <c r="B15" t="s">
        <v>0</v>
      </c>
      <c r="I15" s="71" t="s">
        <v>209</v>
      </c>
    </row>
    <row r="16" spans="1:9" ht="15.6" x14ac:dyDescent="0.3">
      <c r="A16" s="74" t="s">
        <v>164</v>
      </c>
      <c r="B16" t="s">
        <v>0</v>
      </c>
      <c r="I16" s="71" t="s">
        <v>209</v>
      </c>
    </row>
    <row r="17" spans="1:9" x14ac:dyDescent="0.35">
      <c r="A17" s="102" t="s">
        <v>165</v>
      </c>
      <c r="B17" t="s">
        <v>0</v>
      </c>
      <c r="I17" s="71" t="s">
        <v>209</v>
      </c>
    </row>
    <row r="18" spans="1:9" ht="15.6" x14ac:dyDescent="0.3">
      <c r="A18" s="70" t="s">
        <v>94</v>
      </c>
      <c r="B18" t="s">
        <v>204</v>
      </c>
      <c r="I18" s="71" t="s">
        <v>209</v>
      </c>
    </row>
    <row r="19" spans="1:9" ht="15.6" x14ac:dyDescent="0.3">
      <c r="A19" s="70" t="s">
        <v>129</v>
      </c>
      <c r="B19" t="s">
        <v>204</v>
      </c>
      <c r="I19" s="71" t="s">
        <v>209</v>
      </c>
    </row>
    <row r="20" spans="1:9" ht="15.6" x14ac:dyDescent="0.3">
      <c r="A20" s="70" t="s">
        <v>11</v>
      </c>
      <c r="B20" t="s">
        <v>204</v>
      </c>
      <c r="I20" s="71" t="s">
        <v>209</v>
      </c>
    </row>
    <row r="21" spans="1:9" ht="15.6" x14ac:dyDescent="0.3">
      <c r="A21" s="70" t="s">
        <v>159</v>
      </c>
      <c r="B21" t="s">
        <v>204</v>
      </c>
      <c r="I21" s="71" t="s">
        <v>209</v>
      </c>
    </row>
    <row r="22" spans="1:9" ht="15.6" x14ac:dyDescent="0.3">
      <c r="A22" s="70" t="s">
        <v>12</v>
      </c>
      <c r="B22" t="s">
        <v>204</v>
      </c>
      <c r="I22" s="71" t="s">
        <v>209</v>
      </c>
    </row>
    <row r="23" spans="1:9" ht="15.6" x14ac:dyDescent="0.3">
      <c r="A23" s="70" t="s">
        <v>17</v>
      </c>
      <c r="B23" t="s">
        <v>204</v>
      </c>
      <c r="I23" s="71" t="s">
        <v>209</v>
      </c>
    </row>
    <row r="24" spans="1:9" ht="15.6" x14ac:dyDescent="0.3">
      <c r="A24" s="70" t="s">
        <v>35</v>
      </c>
      <c r="B24" t="s">
        <v>204</v>
      </c>
      <c r="I24" s="71" t="s">
        <v>209</v>
      </c>
    </row>
    <row r="25" spans="1:9" ht="15.6" x14ac:dyDescent="0.3">
      <c r="A25" s="70" t="s">
        <v>102</v>
      </c>
      <c r="B25" t="s">
        <v>204</v>
      </c>
      <c r="I25" s="71" t="s">
        <v>209</v>
      </c>
    </row>
    <row r="26" spans="1:9" ht="15.6" x14ac:dyDescent="0.3">
      <c r="A26" s="70" t="s">
        <v>79</v>
      </c>
      <c r="B26" t="s">
        <v>204</v>
      </c>
      <c r="I26" s="71" t="s">
        <v>209</v>
      </c>
    </row>
    <row r="27" spans="1:9" ht="15.6" x14ac:dyDescent="0.3">
      <c r="A27" s="70" t="s">
        <v>23</v>
      </c>
      <c r="B27" t="s">
        <v>204</v>
      </c>
      <c r="I27" s="71" t="s">
        <v>209</v>
      </c>
    </row>
    <row r="28" spans="1:9" ht="15.6" x14ac:dyDescent="0.3">
      <c r="A28" s="70" t="s">
        <v>24</v>
      </c>
      <c r="B28" t="s">
        <v>204</v>
      </c>
      <c r="I28" s="71" t="s">
        <v>209</v>
      </c>
    </row>
    <row r="29" spans="1:9" ht="15.6" x14ac:dyDescent="0.3">
      <c r="A29" s="70" t="s">
        <v>25</v>
      </c>
      <c r="B29" t="s">
        <v>204</v>
      </c>
      <c r="I29" s="71" t="s">
        <v>209</v>
      </c>
    </row>
    <row r="30" spans="1:9" ht="15.6" x14ac:dyDescent="0.3">
      <c r="A30" s="70" t="s">
        <v>22</v>
      </c>
      <c r="B30" t="s">
        <v>204</v>
      </c>
      <c r="I30" s="71" t="s">
        <v>209</v>
      </c>
    </row>
    <row r="31" spans="1:9" ht="15.6" x14ac:dyDescent="0.3">
      <c r="A31" s="70" t="s">
        <v>26</v>
      </c>
      <c r="B31" t="s">
        <v>204</v>
      </c>
      <c r="I31" s="71" t="s">
        <v>209</v>
      </c>
    </row>
    <row r="32" spans="1:9" ht="15.6" x14ac:dyDescent="0.3">
      <c r="A32" s="70" t="s">
        <v>27</v>
      </c>
      <c r="B32" t="s">
        <v>204</v>
      </c>
      <c r="I32" s="71" t="s">
        <v>209</v>
      </c>
    </row>
    <row r="33" spans="1:9" ht="15.6" x14ac:dyDescent="0.3">
      <c r="A33" s="70" t="s">
        <v>28</v>
      </c>
      <c r="B33" t="s">
        <v>204</v>
      </c>
      <c r="I33" s="71" t="s">
        <v>209</v>
      </c>
    </row>
    <row r="34" spans="1:9" ht="15.6" x14ac:dyDescent="0.3">
      <c r="A34" s="70" t="s">
        <v>37</v>
      </c>
      <c r="B34" t="s">
        <v>204</v>
      </c>
      <c r="I34" s="71" t="s">
        <v>209</v>
      </c>
    </row>
    <row r="35" spans="1:9" ht="15.6" x14ac:dyDescent="0.3">
      <c r="A35" s="70" t="s">
        <v>39</v>
      </c>
      <c r="B35" t="s">
        <v>204</v>
      </c>
      <c r="I35" s="71" t="s">
        <v>209</v>
      </c>
    </row>
    <row r="36" spans="1:9" ht="15.6" x14ac:dyDescent="0.3">
      <c r="A36" s="70" t="s">
        <v>44</v>
      </c>
      <c r="B36" t="s">
        <v>204</v>
      </c>
      <c r="I36" s="71" t="s">
        <v>209</v>
      </c>
    </row>
    <row r="37" spans="1:9" ht="15.6" x14ac:dyDescent="0.3">
      <c r="A37" s="70" t="s">
        <v>43</v>
      </c>
      <c r="B37" t="s">
        <v>204</v>
      </c>
      <c r="I37" s="71" t="s">
        <v>209</v>
      </c>
    </row>
    <row r="38" spans="1:9" ht="15.6" x14ac:dyDescent="0.3">
      <c r="A38" s="70" t="s">
        <v>45</v>
      </c>
      <c r="B38" t="s">
        <v>204</v>
      </c>
      <c r="I38" s="71" t="s">
        <v>209</v>
      </c>
    </row>
    <row r="39" spans="1:9" ht="15.6" x14ac:dyDescent="0.3">
      <c r="A39" s="70" t="s">
        <v>46</v>
      </c>
      <c r="B39" t="s">
        <v>204</v>
      </c>
      <c r="I39" s="71" t="s">
        <v>209</v>
      </c>
    </row>
    <row r="40" spans="1:9" ht="15.6" x14ac:dyDescent="0.3">
      <c r="A40" s="70" t="s">
        <v>48</v>
      </c>
      <c r="B40" t="s">
        <v>204</v>
      </c>
      <c r="I40" s="71" t="s">
        <v>209</v>
      </c>
    </row>
    <row r="41" spans="1:9" ht="15.6" x14ac:dyDescent="0.3">
      <c r="A41" s="70" t="s">
        <v>47</v>
      </c>
      <c r="B41" t="s">
        <v>204</v>
      </c>
      <c r="I41" s="71" t="s">
        <v>209</v>
      </c>
    </row>
    <row r="42" spans="1:9" ht="15.6" x14ac:dyDescent="0.3">
      <c r="A42" s="70" t="s">
        <v>99</v>
      </c>
      <c r="B42" t="s">
        <v>204</v>
      </c>
      <c r="I42" s="71" t="s">
        <v>209</v>
      </c>
    </row>
    <row r="43" spans="1:9" ht="15.6" x14ac:dyDescent="0.3">
      <c r="A43" s="70" t="s">
        <v>54</v>
      </c>
      <c r="B43" t="s">
        <v>204</v>
      </c>
      <c r="I43" s="71" t="s">
        <v>209</v>
      </c>
    </row>
    <row r="44" spans="1:9" ht="15.6" x14ac:dyDescent="0.3">
      <c r="A44" s="70" t="s">
        <v>59</v>
      </c>
      <c r="B44" t="s">
        <v>204</v>
      </c>
      <c r="I44" s="71" t="s">
        <v>209</v>
      </c>
    </row>
    <row r="45" spans="1:9" ht="15.6" x14ac:dyDescent="0.3">
      <c r="A45" s="70" t="s">
        <v>63</v>
      </c>
      <c r="B45" t="s">
        <v>204</v>
      </c>
      <c r="I45" s="71" t="s">
        <v>209</v>
      </c>
    </row>
    <row r="46" spans="1:9" ht="15.6" x14ac:dyDescent="0.3">
      <c r="A46" s="70" t="s">
        <v>65</v>
      </c>
      <c r="B46" t="s">
        <v>204</v>
      </c>
      <c r="I46" s="71" t="s">
        <v>209</v>
      </c>
    </row>
    <row r="47" spans="1:9" ht="15.6" x14ac:dyDescent="0.3">
      <c r="A47" s="70" t="s">
        <v>66</v>
      </c>
      <c r="B47" t="s">
        <v>204</v>
      </c>
      <c r="I47" s="71" t="s">
        <v>209</v>
      </c>
    </row>
    <row r="48" spans="1:9" ht="15.6" x14ac:dyDescent="0.3">
      <c r="A48" s="70" t="s">
        <v>64</v>
      </c>
      <c r="B48" t="s">
        <v>204</v>
      </c>
      <c r="I48" s="71" t="s">
        <v>209</v>
      </c>
    </row>
    <row r="49" spans="1:9" ht="15.6" x14ac:dyDescent="0.3">
      <c r="A49" s="70" t="s">
        <v>67</v>
      </c>
      <c r="B49" t="s">
        <v>204</v>
      </c>
      <c r="I49" s="71" t="s">
        <v>209</v>
      </c>
    </row>
    <row r="50" spans="1:9" ht="15.6" x14ac:dyDescent="0.3">
      <c r="A50" s="70" t="s">
        <v>68</v>
      </c>
      <c r="B50" t="s">
        <v>204</v>
      </c>
      <c r="I50" s="71" t="s">
        <v>209</v>
      </c>
    </row>
    <row r="51" spans="1:9" ht="15.6" x14ac:dyDescent="0.3">
      <c r="A51" s="70" t="s">
        <v>77</v>
      </c>
      <c r="B51" t="s">
        <v>204</v>
      </c>
      <c r="I51" s="71" t="s">
        <v>209</v>
      </c>
    </row>
    <row r="52" spans="1:9" ht="15.6" x14ac:dyDescent="0.3">
      <c r="A52" s="70" t="s">
        <v>69</v>
      </c>
      <c r="B52" t="s">
        <v>204</v>
      </c>
      <c r="I52" s="71" t="s">
        <v>209</v>
      </c>
    </row>
    <row r="53" spans="1:9" ht="15.6" x14ac:dyDescent="0.3">
      <c r="A53" s="70" t="s">
        <v>70</v>
      </c>
      <c r="B53" t="s">
        <v>204</v>
      </c>
      <c r="I53" s="71" t="s">
        <v>209</v>
      </c>
    </row>
    <row r="54" spans="1:9" ht="15.6" x14ac:dyDescent="0.3">
      <c r="A54" s="70" t="s">
        <v>71</v>
      </c>
      <c r="B54" t="s">
        <v>204</v>
      </c>
      <c r="I54" s="71" t="s">
        <v>209</v>
      </c>
    </row>
    <row r="55" spans="1:9" ht="15.6" x14ac:dyDescent="0.3">
      <c r="A55" s="70" t="s">
        <v>75</v>
      </c>
      <c r="B55" t="s">
        <v>204</v>
      </c>
      <c r="I55" s="71" t="s">
        <v>209</v>
      </c>
    </row>
    <row r="56" spans="1:9" ht="15.6" x14ac:dyDescent="0.3">
      <c r="A56" s="70" t="s">
        <v>119</v>
      </c>
      <c r="B56" t="s">
        <v>204</v>
      </c>
      <c r="I56" s="71" t="s">
        <v>209</v>
      </c>
    </row>
    <row r="57" spans="1:9" ht="15.6" x14ac:dyDescent="0.3">
      <c r="A57" s="70" t="s">
        <v>78</v>
      </c>
      <c r="B57" t="s">
        <v>204</v>
      </c>
      <c r="I57" s="71" t="s">
        <v>209</v>
      </c>
    </row>
    <row r="58" spans="1:9" ht="15.6" x14ac:dyDescent="0.3">
      <c r="A58" s="70" t="s">
        <v>85</v>
      </c>
      <c r="B58" t="s">
        <v>204</v>
      </c>
      <c r="I58" s="71" t="s">
        <v>209</v>
      </c>
    </row>
    <row r="59" spans="1:9" ht="15.6" x14ac:dyDescent="0.3">
      <c r="A59" s="70" t="s">
        <v>86</v>
      </c>
      <c r="B59" t="s">
        <v>204</v>
      </c>
      <c r="I59" s="71" t="s">
        <v>209</v>
      </c>
    </row>
    <row r="60" spans="1:9" ht="15.6" x14ac:dyDescent="0.3">
      <c r="A60" s="70" t="s">
        <v>87</v>
      </c>
      <c r="B60" t="s">
        <v>204</v>
      </c>
      <c r="I60" s="71" t="s">
        <v>209</v>
      </c>
    </row>
    <row r="61" spans="1:9" ht="15.6" x14ac:dyDescent="0.3">
      <c r="A61" s="70" t="s">
        <v>148</v>
      </c>
      <c r="B61" t="s">
        <v>204</v>
      </c>
      <c r="I61" s="71" t="s">
        <v>209</v>
      </c>
    </row>
    <row r="62" spans="1:9" ht="15.6" x14ac:dyDescent="0.3">
      <c r="A62" s="70" t="s">
        <v>93</v>
      </c>
      <c r="B62" t="s">
        <v>204</v>
      </c>
      <c r="I62" s="71" t="s">
        <v>209</v>
      </c>
    </row>
    <row r="63" spans="1:9" ht="15.6" x14ac:dyDescent="0.3">
      <c r="A63" s="70" t="s">
        <v>88</v>
      </c>
      <c r="B63" t="s">
        <v>204</v>
      </c>
      <c r="I63" s="71" t="s">
        <v>209</v>
      </c>
    </row>
    <row r="64" spans="1:9" ht="15.6" x14ac:dyDescent="0.3">
      <c r="A64" s="70" t="s">
        <v>132</v>
      </c>
      <c r="B64" t="s">
        <v>204</v>
      </c>
      <c r="I64" s="71" t="s">
        <v>209</v>
      </c>
    </row>
    <row r="65" spans="1:9" ht="15.6" x14ac:dyDescent="0.3">
      <c r="A65" s="70" t="s">
        <v>89</v>
      </c>
      <c r="B65" t="s">
        <v>204</v>
      </c>
      <c r="I65" s="71" t="s">
        <v>209</v>
      </c>
    </row>
    <row r="66" spans="1:9" ht="15.6" x14ac:dyDescent="0.3">
      <c r="A66" s="70" t="s">
        <v>90</v>
      </c>
      <c r="B66" t="s">
        <v>204</v>
      </c>
      <c r="I66" s="71" t="s">
        <v>209</v>
      </c>
    </row>
    <row r="67" spans="1:9" ht="15.6" x14ac:dyDescent="0.3">
      <c r="A67" s="70" t="s">
        <v>92</v>
      </c>
      <c r="B67" t="s">
        <v>204</v>
      </c>
      <c r="I67" s="71" t="s">
        <v>209</v>
      </c>
    </row>
    <row r="68" spans="1:9" ht="15.6" x14ac:dyDescent="0.3">
      <c r="A68" s="70" t="s">
        <v>100</v>
      </c>
      <c r="B68" t="s">
        <v>204</v>
      </c>
      <c r="I68" s="71" t="s">
        <v>209</v>
      </c>
    </row>
    <row r="69" spans="1:9" ht="15.6" x14ac:dyDescent="0.3">
      <c r="A69" s="70" t="s">
        <v>183</v>
      </c>
      <c r="B69" t="s">
        <v>204</v>
      </c>
      <c r="I69" s="71" t="s">
        <v>209</v>
      </c>
    </row>
    <row r="70" spans="1:9" ht="15.6" x14ac:dyDescent="0.3">
      <c r="A70" s="70" t="s">
        <v>96</v>
      </c>
      <c r="B70" t="s">
        <v>204</v>
      </c>
      <c r="I70" s="71" t="s">
        <v>209</v>
      </c>
    </row>
    <row r="71" spans="1:9" ht="15.6" x14ac:dyDescent="0.3">
      <c r="A71" s="70" t="s">
        <v>97</v>
      </c>
      <c r="B71" t="s">
        <v>204</v>
      </c>
      <c r="I71" s="71" t="s">
        <v>209</v>
      </c>
    </row>
    <row r="72" spans="1:9" ht="15.6" x14ac:dyDescent="0.3">
      <c r="A72" s="70" t="s">
        <v>98</v>
      </c>
      <c r="B72" t="s">
        <v>204</v>
      </c>
      <c r="I72" s="71" t="s">
        <v>209</v>
      </c>
    </row>
    <row r="73" spans="1:9" ht="15.6" x14ac:dyDescent="0.3">
      <c r="A73" s="70" t="s">
        <v>101</v>
      </c>
      <c r="B73" t="s">
        <v>204</v>
      </c>
      <c r="I73" s="71" t="s">
        <v>209</v>
      </c>
    </row>
    <row r="74" spans="1:9" ht="15.6" x14ac:dyDescent="0.3">
      <c r="A74" s="70" t="s">
        <v>103</v>
      </c>
      <c r="B74" t="s">
        <v>204</v>
      </c>
      <c r="I74" s="71" t="s">
        <v>209</v>
      </c>
    </row>
    <row r="75" spans="1:9" ht="15.6" x14ac:dyDescent="0.3">
      <c r="A75" s="70" t="s">
        <v>104</v>
      </c>
      <c r="B75" t="s">
        <v>204</v>
      </c>
      <c r="I75" s="71" t="s">
        <v>209</v>
      </c>
    </row>
    <row r="76" spans="1:9" ht="15.6" x14ac:dyDescent="0.3">
      <c r="A76" s="70" t="s">
        <v>109</v>
      </c>
      <c r="B76" t="s">
        <v>204</v>
      </c>
      <c r="I76" s="71" t="s">
        <v>209</v>
      </c>
    </row>
    <row r="77" spans="1:9" ht="15.6" x14ac:dyDescent="0.3">
      <c r="A77" s="70" t="s">
        <v>110</v>
      </c>
      <c r="B77" t="s">
        <v>204</v>
      </c>
      <c r="I77" s="71" t="s">
        <v>209</v>
      </c>
    </row>
    <row r="78" spans="1:9" ht="15.6" x14ac:dyDescent="0.3">
      <c r="A78" s="70" t="s">
        <v>117</v>
      </c>
      <c r="B78" t="s">
        <v>204</v>
      </c>
      <c r="I78" s="71" t="s">
        <v>209</v>
      </c>
    </row>
    <row r="79" spans="1:9" ht="15.6" x14ac:dyDescent="0.3">
      <c r="A79" s="70" t="s">
        <v>111</v>
      </c>
      <c r="B79" t="s">
        <v>204</v>
      </c>
      <c r="I79" s="71" t="s">
        <v>209</v>
      </c>
    </row>
    <row r="80" spans="1:9" ht="15.6" x14ac:dyDescent="0.3">
      <c r="A80" s="70" t="s">
        <v>112</v>
      </c>
      <c r="B80" t="s">
        <v>204</v>
      </c>
      <c r="I80" s="71" t="s">
        <v>209</v>
      </c>
    </row>
    <row r="81" spans="1:9" ht="15.6" x14ac:dyDescent="0.3">
      <c r="A81" s="70" t="s">
        <v>116</v>
      </c>
      <c r="B81" t="s">
        <v>204</v>
      </c>
      <c r="I81" s="71" t="s">
        <v>209</v>
      </c>
    </row>
    <row r="82" spans="1:9" ht="15.6" x14ac:dyDescent="0.3">
      <c r="A82" s="70" t="s">
        <v>131</v>
      </c>
      <c r="B82" t="s">
        <v>204</v>
      </c>
      <c r="I82" s="71" t="s">
        <v>209</v>
      </c>
    </row>
    <row r="83" spans="1:9" ht="15.6" x14ac:dyDescent="0.3">
      <c r="A83" s="70" t="s">
        <v>118</v>
      </c>
      <c r="B83" t="s">
        <v>204</v>
      </c>
      <c r="I83" s="71" t="s">
        <v>209</v>
      </c>
    </row>
    <row r="84" spans="1:9" ht="15.6" x14ac:dyDescent="0.3">
      <c r="A84" s="70" t="s">
        <v>122</v>
      </c>
      <c r="B84" t="s">
        <v>204</v>
      </c>
      <c r="I84" s="71" t="s">
        <v>209</v>
      </c>
    </row>
    <row r="85" spans="1:9" ht="15.6" x14ac:dyDescent="0.3">
      <c r="A85" s="70" t="s">
        <v>123</v>
      </c>
      <c r="B85" t="s">
        <v>204</v>
      </c>
      <c r="I85" s="71" t="s">
        <v>209</v>
      </c>
    </row>
    <row r="86" spans="1:9" ht="15.6" x14ac:dyDescent="0.3">
      <c r="A86" s="70" t="s">
        <v>124</v>
      </c>
      <c r="B86" t="s">
        <v>204</v>
      </c>
      <c r="I86" s="71" t="s">
        <v>209</v>
      </c>
    </row>
    <row r="87" spans="1:9" ht="15.6" x14ac:dyDescent="0.3">
      <c r="A87" s="70" t="s">
        <v>125</v>
      </c>
      <c r="B87" t="s">
        <v>204</v>
      </c>
      <c r="I87" s="71" t="s">
        <v>209</v>
      </c>
    </row>
    <row r="88" spans="1:9" ht="15.6" x14ac:dyDescent="0.3">
      <c r="A88" s="70" t="s">
        <v>127</v>
      </c>
      <c r="B88" t="s">
        <v>204</v>
      </c>
      <c r="I88" s="71" t="s">
        <v>209</v>
      </c>
    </row>
    <row r="89" spans="1:9" ht="15.6" x14ac:dyDescent="0.3">
      <c r="A89" s="70" t="s">
        <v>121</v>
      </c>
      <c r="B89" t="s">
        <v>204</v>
      </c>
      <c r="I89" s="71" t="s">
        <v>209</v>
      </c>
    </row>
    <row r="90" spans="1:9" ht="15.6" x14ac:dyDescent="0.3">
      <c r="A90" s="70" t="s">
        <v>126</v>
      </c>
      <c r="B90" t="s">
        <v>204</v>
      </c>
      <c r="I90" s="71" t="s">
        <v>209</v>
      </c>
    </row>
    <row r="91" spans="1:9" ht="15.6" x14ac:dyDescent="0.3">
      <c r="A91" s="70" t="s">
        <v>140</v>
      </c>
      <c r="B91" t="s">
        <v>204</v>
      </c>
      <c r="I91" s="71" t="s">
        <v>209</v>
      </c>
    </row>
    <row r="92" spans="1:9" ht="15.6" x14ac:dyDescent="0.3">
      <c r="A92" s="70" t="s">
        <v>130</v>
      </c>
      <c r="B92" t="s">
        <v>204</v>
      </c>
      <c r="I92" s="71" t="s">
        <v>209</v>
      </c>
    </row>
    <row r="93" spans="1:9" ht="15.6" x14ac:dyDescent="0.3">
      <c r="A93" s="70" t="s">
        <v>95</v>
      </c>
      <c r="B93" t="s">
        <v>204</v>
      </c>
      <c r="I93" s="71" t="s">
        <v>209</v>
      </c>
    </row>
    <row r="94" spans="1:9" ht="15.6" x14ac:dyDescent="0.3">
      <c r="A94" s="70" t="s">
        <v>133</v>
      </c>
      <c r="B94" t="s">
        <v>204</v>
      </c>
      <c r="I94" s="71" t="s">
        <v>209</v>
      </c>
    </row>
    <row r="95" spans="1:9" ht="15.6" x14ac:dyDescent="0.3">
      <c r="A95" s="70" t="s">
        <v>134</v>
      </c>
      <c r="B95" t="s">
        <v>204</v>
      </c>
      <c r="I95" s="71" t="s">
        <v>209</v>
      </c>
    </row>
    <row r="96" spans="1:9" ht="15.6" x14ac:dyDescent="0.3">
      <c r="A96" s="70" t="s">
        <v>135</v>
      </c>
      <c r="B96" t="s">
        <v>204</v>
      </c>
      <c r="I96" s="71" t="s">
        <v>209</v>
      </c>
    </row>
    <row r="97" spans="1:9" ht="15.6" x14ac:dyDescent="0.3">
      <c r="A97" s="70" t="s">
        <v>137</v>
      </c>
      <c r="B97" t="s">
        <v>204</v>
      </c>
      <c r="I97" s="71" t="s">
        <v>209</v>
      </c>
    </row>
    <row r="98" spans="1:9" ht="15.6" x14ac:dyDescent="0.3">
      <c r="A98" s="70" t="s">
        <v>138</v>
      </c>
      <c r="B98" t="s">
        <v>204</v>
      </c>
      <c r="I98" s="71" t="s">
        <v>209</v>
      </c>
    </row>
    <row r="99" spans="1:9" ht="15.6" x14ac:dyDescent="0.3">
      <c r="A99" s="70" t="s">
        <v>145</v>
      </c>
      <c r="B99" t="s">
        <v>204</v>
      </c>
      <c r="I99" s="71" t="s">
        <v>209</v>
      </c>
    </row>
    <row r="100" spans="1:9" ht="15.6" x14ac:dyDescent="0.3">
      <c r="A100" s="70" t="s">
        <v>146</v>
      </c>
      <c r="B100" t="s">
        <v>204</v>
      </c>
      <c r="I100" s="71" t="s">
        <v>209</v>
      </c>
    </row>
    <row r="101" spans="1:9" ht="15.6" x14ac:dyDescent="0.3">
      <c r="A101" s="70" t="s">
        <v>91</v>
      </c>
      <c r="B101" t="s">
        <v>204</v>
      </c>
      <c r="I101" s="71" t="s">
        <v>209</v>
      </c>
    </row>
    <row r="102" spans="1:9" ht="15.6" x14ac:dyDescent="0.3">
      <c r="A102" s="70" t="s">
        <v>151</v>
      </c>
      <c r="B102" t="s">
        <v>204</v>
      </c>
      <c r="I102" s="71" t="s">
        <v>209</v>
      </c>
    </row>
    <row r="103" spans="1:9" ht="15.6" x14ac:dyDescent="0.3">
      <c r="A103" s="70" t="s">
        <v>58</v>
      </c>
      <c r="B103" t="s">
        <v>204</v>
      </c>
      <c r="I103" s="71" t="s">
        <v>209</v>
      </c>
    </row>
    <row r="104" spans="1:9" ht="15.6" x14ac:dyDescent="0.3">
      <c r="A104" s="70" t="s">
        <v>152</v>
      </c>
      <c r="B104" t="s">
        <v>204</v>
      </c>
      <c r="I104" s="71" t="s">
        <v>209</v>
      </c>
    </row>
    <row r="105" spans="1:9" ht="15.6" x14ac:dyDescent="0.3">
      <c r="A105" s="70" t="s">
        <v>153</v>
      </c>
      <c r="B105" t="s">
        <v>204</v>
      </c>
      <c r="I105" s="71" t="s">
        <v>209</v>
      </c>
    </row>
    <row r="106" spans="1:9" ht="15.6" x14ac:dyDescent="0.3">
      <c r="A106" s="70" t="s">
        <v>154</v>
      </c>
      <c r="B106" t="s">
        <v>204</v>
      </c>
      <c r="I106" s="71" t="s">
        <v>209</v>
      </c>
    </row>
    <row r="107" spans="1:9" ht="15.6" x14ac:dyDescent="0.3">
      <c r="A107" s="70" t="s">
        <v>155</v>
      </c>
      <c r="B107" t="s">
        <v>204</v>
      </c>
      <c r="I107" s="71" t="s">
        <v>209</v>
      </c>
    </row>
    <row r="108" spans="1:9" ht="15.6" x14ac:dyDescent="0.3">
      <c r="A108" s="70" t="s">
        <v>158</v>
      </c>
      <c r="B108" t="s">
        <v>204</v>
      </c>
      <c r="I108" s="71" t="s">
        <v>209</v>
      </c>
    </row>
    <row r="109" spans="1:9" ht="15.6" x14ac:dyDescent="0.3">
      <c r="A109" s="70" t="s">
        <v>156</v>
      </c>
      <c r="B109" t="s">
        <v>204</v>
      </c>
      <c r="I109" s="71" t="s">
        <v>209</v>
      </c>
    </row>
    <row r="110" spans="1:9" ht="15.6" x14ac:dyDescent="0.3">
      <c r="A110" s="70" t="s">
        <v>157</v>
      </c>
      <c r="B110" t="s">
        <v>204</v>
      </c>
      <c r="I110" s="71" t="s">
        <v>209</v>
      </c>
    </row>
    <row r="111" spans="1:9" ht="15.6" x14ac:dyDescent="0.3">
      <c r="A111" s="70" t="s">
        <v>168</v>
      </c>
      <c r="B111" t="s">
        <v>204</v>
      </c>
      <c r="I111" s="71" t="s">
        <v>209</v>
      </c>
    </row>
    <row r="112" spans="1:9" ht="15.6" x14ac:dyDescent="0.3">
      <c r="A112" s="70" t="s">
        <v>169</v>
      </c>
      <c r="B112" t="s">
        <v>204</v>
      </c>
      <c r="I112" s="71" t="s">
        <v>209</v>
      </c>
    </row>
    <row r="113" spans="1:9" ht="15.6" x14ac:dyDescent="0.3">
      <c r="A113" s="70" t="s">
        <v>170</v>
      </c>
      <c r="B113" t="s">
        <v>204</v>
      </c>
      <c r="I113" s="71" t="s">
        <v>209</v>
      </c>
    </row>
    <row r="114" spans="1:9" ht="15.6" x14ac:dyDescent="0.3">
      <c r="A114" s="70" t="s">
        <v>172</v>
      </c>
      <c r="B114" t="s">
        <v>204</v>
      </c>
      <c r="I114" s="71" t="s">
        <v>209</v>
      </c>
    </row>
    <row r="115" spans="1:9" ht="15.6" x14ac:dyDescent="0.3">
      <c r="A115" s="70" t="s">
        <v>173</v>
      </c>
      <c r="B115" t="s">
        <v>204</v>
      </c>
      <c r="I115" s="71" t="s">
        <v>209</v>
      </c>
    </row>
    <row r="116" spans="1:9" ht="15.6" x14ac:dyDescent="0.3">
      <c r="A116" s="70" t="s">
        <v>174</v>
      </c>
      <c r="B116" t="s">
        <v>204</v>
      </c>
      <c r="I116" s="71" t="s">
        <v>209</v>
      </c>
    </row>
    <row r="117" spans="1:9" ht="15.6" x14ac:dyDescent="0.3">
      <c r="A117" s="70" t="s">
        <v>180</v>
      </c>
      <c r="B117" t="s">
        <v>204</v>
      </c>
      <c r="I117" s="71" t="s">
        <v>209</v>
      </c>
    </row>
    <row r="118" spans="1:9" ht="15.6" x14ac:dyDescent="0.3">
      <c r="A118" s="70" t="s">
        <v>181</v>
      </c>
      <c r="B118" t="s">
        <v>204</v>
      </c>
      <c r="I118" s="71" t="s">
        <v>209</v>
      </c>
    </row>
    <row r="119" spans="1:9" ht="15.6" x14ac:dyDescent="0.3">
      <c r="A119" s="74" t="s">
        <v>182</v>
      </c>
      <c r="B119" t="s">
        <v>204</v>
      </c>
      <c r="I119" s="71" t="s">
        <v>209</v>
      </c>
    </row>
    <row r="120" spans="1:9" ht="15.6" x14ac:dyDescent="0.3">
      <c r="A120" s="74" t="s">
        <v>184</v>
      </c>
      <c r="B120" t="s">
        <v>204</v>
      </c>
      <c r="I120" s="71" t="s">
        <v>209</v>
      </c>
    </row>
    <row r="121" spans="1:9" ht="15.6" x14ac:dyDescent="0.3">
      <c r="A121" s="74" t="s">
        <v>185</v>
      </c>
      <c r="B121" t="s">
        <v>204</v>
      </c>
      <c r="I121" s="71" t="s">
        <v>209</v>
      </c>
    </row>
    <row r="122" spans="1:9" ht="15.6" x14ac:dyDescent="0.3">
      <c r="A122" s="74" t="s">
        <v>189</v>
      </c>
      <c r="B122" t="s">
        <v>204</v>
      </c>
      <c r="I122" s="71" t="s">
        <v>209</v>
      </c>
    </row>
    <row r="123" spans="1:9" ht="15.6" x14ac:dyDescent="0.3">
      <c r="A123" s="74" t="s">
        <v>190</v>
      </c>
      <c r="B123" t="s">
        <v>204</v>
      </c>
      <c r="I123" s="71" t="s">
        <v>209</v>
      </c>
    </row>
    <row r="124" spans="1:9" ht="15.6" x14ac:dyDescent="0.3">
      <c r="A124" s="74" t="s">
        <v>195</v>
      </c>
      <c r="B124" t="s">
        <v>204</v>
      </c>
      <c r="I124" s="71" t="s">
        <v>209</v>
      </c>
    </row>
    <row r="125" spans="1:9" ht="15.6" x14ac:dyDescent="0.3">
      <c r="A125" s="74" t="s">
        <v>196</v>
      </c>
      <c r="B125" t="s">
        <v>204</v>
      </c>
      <c r="I125" s="71" t="s">
        <v>209</v>
      </c>
    </row>
    <row r="126" spans="1:9" ht="15.6" x14ac:dyDescent="0.3">
      <c r="A126" s="74" t="s">
        <v>160</v>
      </c>
      <c r="B126" t="s">
        <v>204</v>
      </c>
      <c r="I126" s="71" t="s">
        <v>209</v>
      </c>
    </row>
    <row r="127" spans="1:9" ht="15.6" x14ac:dyDescent="0.3">
      <c r="A127" s="74" t="s">
        <v>197</v>
      </c>
      <c r="B127" t="s">
        <v>204</v>
      </c>
      <c r="I127" s="71" t="s">
        <v>209</v>
      </c>
    </row>
    <row r="128" spans="1:9" ht="15.6" x14ac:dyDescent="0.3">
      <c r="A128" s="74" t="s">
        <v>198</v>
      </c>
      <c r="B128" t="s">
        <v>204</v>
      </c>
      <c r="I128" s="71" t="s">
        <v>209</v>
      </c>
    </row>
    <row r="129" spans="1:9" ht="15.6" x14ac:dyDescent="0.3">
      <c r="A129" s="70" t="s">
        <v>10</v>
      </c>
      <c r="B129" t="s">
        <v>1</v>
      </c>
      <c r="I129" s="71" t="s">
        <v>209</v>
      </c>
    </row>
    <row r="130" spans="1:9" ht="15.6" x14ac:dyDescent="0.3">
      <c r="A130" s="70" t="s">
        <v>18</v>
      </c>
      <c r="B130" t="s">
        <v>1</v>
      </c>
      <c r="I130" s="71" t="s">
        <v>209</v>
      </c>
    </row>
    <row r="131" spans="1:9" ht="15.6" x14ac:dyDescent="0.3">
      <c r="A131" s="70" t="s">
        <v>21</v>
      </c>
      <c r="B131" t="s">
        <v>1</v>
      </c>
      <c r="I131" s="71" t="s">
        <v>209</v>
      </c>
    </row>
    <row r="132" spans="1:9" ht="15.6" x14ac:dyDescent="0.3">
      <c r="A132" s="70" t="s">
        <v>49</v>
      </c>
      <c r="B132" t="s">
        <v>1</v>
      </c>
      <c r="I132" s="71" t="s">
        <v>209</v>
      </c>
    </row>
    <row r="133" spans="1:9" ht="15.6" x14ac:dyDescent="0.3">
      <c r="A133" s="70" t="s">
        <v>120</v>
      </c>
      <c r="B133" t="s">
        <v>1</v>
      </c>
      <c r="I133" s="71" t="s">
        <v>209</v>
      </c>
    </row>
    <row r="134" spans="1:9" ht="15.6" x14ac:dyDescent="0.3">
      <c r="A134" s="70" t="s">
        <v>33</v>
      </c>
      <c r="B134" t="s">
        <v>1</v>
      </c>
      <c r="I134" s="71" t="s">
        <v>209</v>
      </c>
    </row>
    <row r="135" spans="1:9" ht="15.6" x14ac:dyDescent="0.3">
      <c r="A135" s="70" t="s">
        <v>60</v>
      </c>
      <c r="B135" t="s">
        <v>1</v>
      </c>
      <c r="I135" s="71" t="s">
        <v>209</v>
      </c>
    </row>
    <row r="136" spans="1:9" ht="15.6" x14ac:dyDescent="0.3">
      <c r="A136" s="70" t="s">
        <v>76</v>
      </c>
      <c r="B136" t="s">
        <v>1</v>
      </c>
      <c r="I136" s="71" t="s">
        <v>209</v>
      </c>
    </row>
    <row r="137" spans="1:9" ht="15.6" x14ac:dyDescent="0.3">
      <c r="A137" s="70" t="s">
        <v>139</v>
      </c>
      <c r="B137" t="s">
        <v>1</v>
      </c>
      <c r="I137" s="71" t="s">
        <v>209</v>
      </c>
    </row>
    <row r="138" spans="1:9" ht="15.6" x14ac:dyDescent="0.3">
      <c r="A138" s="70" t="s">
        <v>186</v>
      </c>
      <c r="B138" t="s">
        <v>1</v>
      </c>
      <c r="I138" s="71" t="s">
        <v>209</v>
      </c>
    </row>
    <row r="139" spans="1:9" ht="15.6" x14ac:dyDescent="0.3">
      <c r="A139" s="70" t="s">
        <v>162</v>
      </c>
      <c r="B139" t="s">
        <v>1</v>
      </c>
      <c r="I139" s="71" t="s">
        <v>209</v>
      </c>
    </row>
    <row r="140" spans="1:9" ht="15.6" x14ac:dyDescent="0.3">
      <c r="A140" s="70" t="s">
        <v>179</v>
      </c>
      <c r="B140" t="s">
        <v>1</v>
      </c>
      <c r="I140" s="71" t="s">
        <v>209</v>
      </c>
    </row>
    <row r="141" spans="1:9" ht="15.6" x14ac:dyDescent="0.3">
      <c r="A141" s="74" t="s">
        <v>16</v>
      </c>
      <c r="B141" t="s">
        <v>1</v>
      </c>
      <c r="I141" s="71" t="s">
        <v>209</v>
      </c>
    </row>
    <row r="142" spans="1:9" x14ac:dyDescent="0.35">
      <c r="A142" s="102" t="s">
        <v>49</v>
      </c>
      <c r="B142" t="s">
        <v>1</v>
      </c>
      <c r="I142" s="71" t="s">
        <v>209</v>
      </c>
    </row>
    <row r="143" spans="1:9" x14ac:dyDescent="0.35">
      <c r="A143" s="102" t="s">
        <v>139</v>
      </c>
      <c r="B143" t="s">
        <v>1</v>
      </c>
      <c r="I143" s="71" t="s">
        <v>209</v>
      </c>
    </row>
    <row r="144" spans="1:9" x14ac:dyDescent="0.35">
      <c r="I144" s="71" t="s">
        <v>209</v>
      </c>
    </row>
    <row r="145" spans="1:9" ht="15.6" x14ac:dyDescent="0.3">
      <c r="A145"/>
      <c r="I145" s="71" t="s">
        <v>209</v>
      </c>
    </row>
    <row r="146" spans="1:9" ht="15.6" x14ac:dyDescent="0.3">
      <c r="A146"/>
      <c r="I146" s="71" t="s">
        <v>209</v>
      </c>
    </row>
    <row r="147" spans="1:9" ht="15.6" x14ac:dyDescent="0.3">
      <c r="A147"/>
      <c r="I147" s="71" t="s">
        <v>209</v>
      </c>
    </row>
    <row r="148" spans="1:9" ht="15.6" x14ac:dyDescent="0.3">
      <c r="A148"/>
      <c r="I148" s="71" t="s">
        <v>209</v>
      </c>
    </row>
    <row r="149" spans="1:9" ht="15.6" x14ac:dyDescent="0.3">
      <c r="A149"/>
      <c r="I149" s="71" t="s">
        <v>209</v>
      </c>
    </row>
    <row r="150" spans="1:9" ht="15.6" x14ac:dyDescent="0.3">
      <c r="A150"/>
      <c r="I150" s="71" t="s">
        <v>209</v>
      </c>
    </row>
    <row r="151" spans="1:9" ht="15.6" x14ac:dyDescent="0.3">
      <c r="A151"/>
      <c r="I151" s="71" t="s">
        <v>209</v>
      </c>
    </row>
    <row r="152" spans="1:9" ht="15.6" x14ac:dyDescent="0.3">
      <c r="A152"/>
      <c r="I152" s="71" t="s">
        <v>209</v>
      </c>
    </row>
    <row r="153" spans="1:9" ht="15.6" x14ac:dyDescent="0.3">
      <c r="A153"/>
      <c r="I153" s="71" t="s">
        <v>209</v>
      </c>
    </row>
    <row r="154" spans="1:9" ht="15.6" x14ac:dyDescent="0.3">
      <c r="A154"/>
      <c r="I154" s="71" t="s">
        <v>209</v>
      </c>
    </row>
    <row r="155" spans="1:9" ht="15.6" x14ac:dyDescent="0.3">
      <c r="A155"/>
      <c r="I155" s="71" t="s">
        <v>209</v>
      </c>
    </row>
    <row r="156" spans="1:9" ht="15.6" x14ac:dyDescent="0.3">
      <c r="A156"/>
      <c r="I156" s="71" t="s">
        <v>209</v>
      </c>
    </row>
    <row r="157" spans="1:9" ht="15.6" x14ac:dyDescent="0.3">
      <c r="A157"/>
      <c r="I157" s="71" t="s">
        <v>209</v>
      </c>
    </row>
    <row r="158" spans="1:9" ht="15.6" x14ac:dyDescent="0.3">
      <c r="A158"/>
      <c r="I158" s="71" t="s">
        <v>209</v>
      </c>
    </row>
    <row r="159" spans="1:9" ht="15.6" x14ac:dyDescent="0.3">
      <c r="A159"/>
      <c r="I159" s="71" t="s">
        <v>209</v>
      </c>
    </row>
    <row r="160" spans="1:9" ht="15.6" x14ac:dyDescent="0.3">
      <c r="A160"/>
      <c r="I160" s="71" t="s">
        <v>209</v>
      </c>
    </row>
    <row r="161" spans="1:9" ht="15.6" x14ac:dyDescent="0.3">
      <c r="A161"/>
      <c r="I161" s="71" t="s">
        <v>209</v>
      </c>
    </row>
    <row r="162" spans="1:9" ht="15.6" x14ac:dyDescent="0.3">
      <c r="A162"/>
      <c r="I162" s="71" t="s">
        <v>209</v>
      </c>
    </row>
    <row r="163" spans="1:9" ht="15.6" x14ac:dyDescent="0.3">
      <c r="A163"/>
      <c r="I163" s="71" t="s">
        <v>209</v>
      </c>
    </row>
    <row r="164" spans="1:9" ht="15.6" x14ac:dyDescent="0.3">
      <c r="A164"/>
      <c r="I164" s="71" t="s">
        <v>209</v>
      </c>
    </row>
    <row r="165" spans="1:9" ht="15.6" x14ac:dyDescent="0.3">
      <c r="A165"/>
      <c r="I165" s="71" t="s">
        <v>209</v>
      </c>
    </row>
    <row r="166" spans="1:9" ht="15.6" x14ac:dyDescent="0.3">
      <c r="A166"/>
      <c r="I166" s="71" t="s">
        <v>209</v>
      </c>
    </row>
    <row r="167" spans="1:9" ht="15.6" x14ac:dyDescent="0.3">
      <c r="A167"/>
      <c r="I167" s="71" t="s">
        <v>209</v>
      </c>
    </row>
    <row r="168" spans="1:9" ht="15.6" x14ac:dyDescent="0.3">
      <c r="A168"/>
      <c r="I168" s="71" t="s">
        <v>209</v>
      </c>
    </row>
    <row r="169" spans="1:9" ht="15.6" x14ac:dyDescent="0.3">
      <c r="A169"/>
      <c r="I169" s="71" t="s">
        <v>209</v>
      </c>
    </row>
    <row r="170" spans="1:9" ht="15.6" x14ac:dyDescent="0.3">
      <c r="A170"/>
      <c r="I170" s="71" t="s">
        <v>209</v>
      </c>
    </row>
    <row r="171" spans="1:9" ht="15.6" x14ac:dyDescent="0.3">
      <c r="A171"/>
      <c r="I171" s="71" t="s">
        <v>209</v>
      </c>
    </row>
    <row r="172" spans="1:9" ht="15.6" x14ac:dyDescent="0.3">
      <c r="A172"/>
      <c r="I172" s="71" t="s">
        <v>209</v>
      </c>
    </row>
    <row r="173" spans="1:9" ht="15.6" x14ac:dyDescent="0.3">
      <c r="A173"/>
      <c r="I173" s="71" t="s">
        <v>209</v>
      </c>
    </row>
    <row r="174" spans="1:9" ht="15.6" x14ac:dyDescent="0.3">
      <c r="A174"/>
      <c r="I174" s="71" t="s">
        <v>209</v>
      </c>
    </row>
    <row r="175" spans="1:9" ht="15.6" x14ac:dyDescent="0.3">
      <c r="A175"/>
      <c r="I175" s="71" t="s">
        <v>209</v>
      </c>
    </row>
    <row r="176" spans="1:9" ht="15.6" x14ac:dyDescent="0.3">
      <c r="A176"/>
      <c r="I176" s="71" t="s">
        <v>209</v>
      </c>
    </row>
    <row r="177" spans="1:9" ht="15.6" x14ac:dyDescent="0.3">
      <c r="A177"/>
      <c r="I177" s="71" t="s">
        <v>209</v>
      </c>
    </row>
    <row r="178" spans="1:9" ht="15.6" x14ac:dyDescent="0.3">
      <c r="A178"/>
      <c r="I178" s="71" t="s">
        <v>209</v>
      </c>
    </row>
    <row r="179" spans="1:9" ht="15.6" x14ac:dyDescent="0.3">
      <c r="A179"/>
      <c r="I179" s="71" t="s">
        <v>209</v>
      </c>
    </row>
    <row r="180" spans="1:9" ht="15.6" x14ac:dyDescent="0.3">
      <c r="A180"/>
      <c r="I180" s="71" t="s">
        <v>209</v>
      </c>
    </row>
    <row r="181" spans="1:9" ht="15.6" x14ac:dyDescent="0.3">
      <c r="A181"/>
      <c r="I181" s="71" t="s">
        <v>209</v>
      </c>
    </row>
    <row r="182" spans="1:9" ht="15.6" x14ac:dyDescent="0.3">
      <c r="A182"/>
      <c r="I182" s="71" t="s">
        <v>209</v>
      </c>
    </row>
    <row r="183" spans="1:9" ht="15.6" x14ac:dyDescent="0.3">
      <c r="A183"/>
      <c r="I183" s="71" t="s">
        <v>209</v>
      </c>
    </row>
    <row r="184" spans="1:9" ht="15.6" x14ac:dyDescent="0.3">
      <c r="A184"/>
      <c r="I184" s="71" t="s">
        <v>209</v>
      </c>
    </row>
    <row r="185" spans="1:9" ht="15.6" x14ac:dyDescent="0.3">
      <c r="A185"/>
      <c r="I185" s="71" t="s">
        <v>209</v>
      </c>
    </row>
    <row r="186" spans="1:9" ht="15.6" x14ac:dyDescent="0.3">
      <c r="A186"/>
      <c r="I186" s="71" t="s">
        <v>209</v>
      </c>
    </row>
    <row r="187" spans="1:9" ht="15.6" x14ac:dyDescent="0.3">
      <c r="A187"/>
      <c r="I187" s="71" t="s">
        <v>209</v>
      </c>
    </row>
    <row r="188" spans="1:9" ht="15.6" x14ac:dyDescent="0.3">
      <c r="A188"/>
      <c r="I188" s="71" t="s">
        <v>209</v>
      </c>
    </row>
    <row r="189" spans="1:9" ht="15.6" x14ac:dyDescent="0.3">
      <c r="A189"/>
      <c r="I189" s="71" t="s">
        <v>209</v>
      </c>
    </row>
    <row r="190" spans="1:9" ht="15.6" x14ac:dyDescent="0.3">
      <c r="A190"/>
      <c r="I190" s="71" t="s">
        <v>209</v>
      </c>
    </row>
    <row r="191" spans="1:9" ht="15.6" x14ac:dyDescent="0.3">
      <c r="A191"/>
      <c r="I191" s="71" t="s">
        <v>209</v>
      </c>
    </row>
    <row r="192" spans="1:9" ht="15.6" x14ac:dyDescent="0.3">
      <c r="A192"/>
      <c r="I192" s="71" t="s">
        <v>209</v>
      </c>
    </row>
    <row r="193" spans="1:9" ht="15.6" x14ac:dyDescent="0.3">
      <c r="A193"/>
      <c r="I193" s="71" t="s">
        <v>209</v>
      </c>
    </row>
    <row r="194" spans="1:9" ht="15.6" x14ac:dyDescent="0.3">
      <c r="A194"/>
      <c r="I194" s="71" t="s">
        <v>209</v>
      </c>
    </row>
    <row r="195" spans="1:9" ht="15.6" x14ac:dyDescent="0.3">
      <c r="A195"/>
      <c r="I195" s="71" t="s">
        <v>209</v>
      </c>
    </row>
    <row r="196" spans="1:9" ht="15.6" x14ac:dyDescent="0.3">
      <c r="A196"/>
      <c r="I196" s="71" t="s">
        <v>209</v>
      </c>
    </row>
    <row r="197" spans="1:9" ht="15.6" x14ac:dyDescent="0.3">
      <c r="A197"/>
      <c r="I197" s="71" t="s">
        <v>209</v>
      </c>
    </row>
    <row r="198" spans="1:9" ht="15.6" x14ac:dyDescent="0.3">
      <c r="A198"/>
      <c r="I198" s="71" t="s">
        <v>209</v>
      </c>
    </row>
    <row r="199" spans="1:9" ht="15.6" x14ac:dyDescent="0.3">
      <c r="A199"/>
      <c r="I199" s="71" t="s">
        <v>209</v>
      </c>
    </row>
    <row r="200" spans="1:9" ht="15.6" x14ac:dyDescent="0.3">
      <c r="A200"/>
      <c r="I200" s="71" t="s">
        <v>209</v>
      </c>
    </row>
    <row r="201" spans="1:9" ht="15.6" x14ac:dyDescent="0.3">
      <c r="A201"/>
      <c r="I201" s="71" t="s">
        <v>209</v>
      </c>
    </row>
    <row r="202" spans="1:9" ht="15.6" x14ac:dyDescent="0.3">
      <c r="A202"/>
      <c r="I202" s="71" t="s">
        <v>209</v>
      </c>
    </row>
    <row r="203" spans="1:9" ht="15.6" x14ac:dyDescent="0.3">
      <c r="A203"/>
      <c r="I203" s="71" t="s">
        <v>209</v>
      </c>
    </row>
    <row r="204" spans="1:9" ht="15.6" x14ac:dyDescent="0.3">
      <c r="A204"/>
      <c r="I204" s="71" t="s">
        <v>209</v>
      </c>
    </row>
    <row r="205" spans="1:9" ht="15.6" x14ac:dyDescent="0.3">
      <c r="A205"/>
      <c r="I205" s="71" t="s">
        <v>209</v>
      </c>
    </row>
    <row r="206" spans="1:9" ht="15.6" x14ac:dyDescent="0.3">
      <c r="A206"/>
      <c r="I206" s="71" t="s">
        <v>209</v>
      </c>
    </row>
    <row r="207" spans="1:9" ht="15.6" x14ac:dyDescent="0.3">
      <c r="A207"/>
      <c r="I207" s="71" t="s">
        <v>209</v>
      </c>
    </row>
    <row r="208" spans="1:9" ht="15.6" x14ac:dyDescent="0.3">
      <c r="A208"/>
      <c r="I208" s="71" t="s">
        <v>209</v>
      </c>
    </row>
    <row r="209" spans="1:9" ht="15.6" x14ac:dyDescent="0.3">
      <c r="A209"/>
      <c r="I209" s="71" t="s">
        <v>209</v>
      </c>
    </row>
    <row r="210" spans="1:9" ht="15.6" x14ac:dyDescent="0.3">
      <c r="A210"/>
      <c r="I210" s="71" t="s">
        <v>209</v>
      </c>
    </row>
    <row r="211" spans="1:9" ht="15.6" x14ac:dyDescent="0.3">
      <c r="A211"/>
      <c r="I211" s="71" t="s">
        <v>209</v>
      </c>
    </row>
    <row r="212" spans="1:9" ht="15.6" x14ac:dyDescent="0.3">
      <c r="A212"/>
      <c r="I212" s="71" t="s">
        <v>209</v>
      </c>
    </row>
    <row r="213" spans="1:9" ht="15.6" x14ac:dyDescent="0.3">
      <c r="A213"/>
      <c r="I213" s="71" t="s">
        <v>209</v>
      </c>
    </row>
    <row r="214" spans="1:9" ht="15.6" x14ac:dyDescent="0.3">
      <c r="A214"/>
      <c r="I214" s="71" t="s">
        <v>209</v>
      </c>
    </row>
    <row r="215" spans="1:9" ht="15.6" x14ac:dyDescent="0.3">
      <c r="A215"/>
      <c r="I215" s="71" t="s">
        <v>209</v>
      </c>
    </row>
    <row r="216" spans="1:9" ht="15.6" x14ac:dyDescent="0.3">
      <c r="A216"/>
      <c r="I216" s="71" t="s">
        <v>209</v>
      </c>
    </row>
    <row r="217" spans="1:9" ht="15.6" x14ac:dyDescent="0.3">
      <c r="A217"/>
      <c r="I217" s="71" t="s">
        <v>209</v>
      </c>
    </row>
    <row r="218" spans="1:9" ht="15.6" x14ac:dyDescent="0.3">
      <c r="A218"/>
      <c r="I218" s="71" t="s">
        <v>209</v>
      </c>
    </row>
    <row r="219" spans="1:9" ht="15.6" x14ac:dyDescent="0.3">
      <c r="A219"/>
      <c r="I219" s="71" t="s">
        <v>209</v>
      </c>
    </row>
    <row r="220" spans="1:9" ht="15.6" x14ac:dyDescent="0.3">
      <c r="A220"/>
      <c r="I220" s="71" t="s">
        <v>209</v>
      </c>
    </row>
    <row r="221" spans="1:9" ht="15.6" x14ac:dyDescent="0.3">
      <c r="A221"/>
      <c r="I221" s="71" t="s">
        <v>209</v>
      </c>
    </row>
    <row r="222" spans="1:9" ht="15.6" x14ac:dyDescent="0.3">
      <c r="A222"/>
      <c r="I222" s="71" t="s">
        <v>209</v>
      </c>
    </row>
    <row r="223" spans="1:9" ht="15.6" x14ac:dyDescent="0.3">
      <c r="A223"/>
      <c r="I223" s="71" t="s">
        <v>209</v>
      </c>
    </row>
    <row r="224" spans="1:9" ht="15.6" x14ac:dyDescent="0.3">
      <c r="A224"/>
      <c r="I224" s="71" t="s">
        <v>209</v>
      </c>
    </row>
    <row r="225" spans="1:9" ht="15.6" x14ac:dyDescent="0.3">
      <c r="A225"/>
      <c r="I225" s="71" t="s">
        <v>209</v>
      </c>
    </row>
    <row r="226" spans="1:9" ht="15.6" x14ac:dyDescent="0.3">
      <c r="A226"/>
      <c r="I226" s="71" t="s">
        <v>209</v>
      </c>
    </row>
    <row r="227" spans="1:9" ht="15.6" x14ac:dyDescent="0.3">
      <c r="A227"/>
      <c r="I227" s="71" t="s">
        <v>209</v>
      </c>
    </row>
    <row r="228" spans="1:9" ht="15.6" x14ac:dyDescent="0.3">
      <c r="A228"/>
      <c r="I228" s="71" t="s">
        <v>209</v>
      </c>
    </row>
    <row r="229" spans="1:9" ht="15.6" x14ac:dyDescent="0.3">
      <c r="A229"/>
      <c r="I229" s="71" t="s">
        <v>209</v>
      </c>
    </row>
    <row r="230" spans="1:9" ht="15.6" x14ac:dyDescent="0.3">
      <c r="A230"/>
      <c r="I230" s="71" t="s">
        <v>209</v>
      </c>
    </row>
    <row r="231" spans="1:9" ht="15.6" x14ac:dyDescent="0.3">
      <c r="A231"/>
      <c r="I231" s="71" t="s">
        <v>209</v>
      </c>
    </row>
    <row r="232" spans="1:9" ht="15.6" x14ac:dyDescent="0.3">
      <c r="A232"/>
      <c r="I232" s="71" t="s">
        <v>209</v>
      </c>
    </row>
    <row r="233" spans="1:9" ht="15.6" x14ac:dyDescent="0.3">
      <c r="A233"/>
      <c r="I233" s="71" t="s">
        <v>209</v>
      </c>
    </row>
    <row r="234" spans="1:9" ht="15.6" x14ac:dyDescent="0.3">
      <c r="A234"/>
      <c r="I234" s="71" t="s">
        <v>209</v>
      </c>
    </row>
    <row r="235" spans="1:9" ht="15.6" x14ac:dyDescent="0.3">
      <c r="A235"/>
      <c r="I235" s="71" t="s">
        <v>209</v>
      </c>
    </row>
    <row r="236" spans="1:9" ht="15.6" x14ac:dyDescent="0.3">
      <c r="A236"/>
      <c r="I236" s="71" t="s">
        <v>209</v>
      </c>
    </row>
    <row r="237" spans="1:9" ht="15.6" x14ac:dyDescent="0.3">
      <c r="A237"/>
      <c r="I237" s="71" t="s">
        <v>209</v>
      </c>
    </row>
    <row r="238" spans="1:9" ht="15.6" x14ac:dyDescent="0.3">
      <c r="A238"/>
      <c r="I238" s="71" t="s">
        <v>209</v>
      </c>
    </row>
    <row r="239" spans="1:9" ht="15.6" x14ac:dyDescent="0.3">
      <c r="A239"/>
      <c r="I239" s="71" t="s">
        <v>209</v>
      </c>
    </row>
    <row r="240" spans="1:9" ht="15.6" x14ac:dyDescent="0.3">
      <c r="A240"/>
      <c r="I240" s="71" t="s">
        <v>209</v>
      </c>
    </row>
    <row r="241" spans="1:9" ht="15.6" x14ac:dyDescent="0.3">
      <c r="A241"/>
      <c r="I241" s="71" t="s">
        <v>209</v>
      </c>
    </row>
    <row r="242" spans="1:9" ht="15.6" x14ac:dyDescent="0.3">
      <c r="A242"/>
      <c r="I242" s="71" t="s">
        <v>209</v>
      </c>
    </row>
    <row r="243" spans="1:9" ht="15.6" x14ac:dyDescent="0.3">
      <c r="A243"/>
      <c r="I243" s="71" t="s">
        <v>209</v>
      </c>
    </row>
    <row r="244" spans="1:9" ht="15.6" x14ac:dyDescent="0.3">
      <c r="A244"/>
      <c r="I244" s="71" t="s">
        <v>209</v>
      </c>
    </row>
    <row r="245" spans="1:9" ht="15.6" x14ac:dyDescent="0.3">
      <c r="A245"/>
      <c r="I245" s="71" t="s">
        <v>209</v>
      </c>
    </row>
    <row r="246" spans="1:9" ht="15.6" x14ac:dyDescent="0.3">
      <c r="A246"/>
      <c r="I246" s="71" t="s">
        <v>209</v>
      </c>
    </row>
    <row r="247" spans="1:9" ht="15.6" x14ac:dyDescent="0.3">
      <c r="A247"/>
      <c r="I247" s="71" t="s">
        <v>209</v>
      </c>
    </row>
    <row r="248" spans="1:9" ht="15.6" x14ac:dyDescent="0.3">
      <c r="A248"/>
      <c r="I248" s="71" t="s">
        <v>209</v>
      </c>
    </row>
    <row r="249" spans="1:9" ht="15.6" x14ac:dyDescent="0.3">
      <c r="A249"/>
      <c r="I249" s="71" t="s">
        <v>209</v>
      </c>
    </row>
    <row r="250" spans="1:9" ht="15.6" x14ac:dyDescent="0.3">
      <c r="A250"/>
      <c r="I250" s="71" t="s">
        <v>209</v>
      </c>
    </row>
    <row r="251" spans="1:9" ht="15.6" x14ac:dyDescent="0.3">
      <c r="A251"/>
      <c r="I251" s="71" t="s">
        <v>209</v>
      </c>
    </row>
    <row r="252" spans="1:9" ht="15.6" x14ac:dyDescent="0.3">
      <c r="A252"/>
      <c r="I252" s="71" t="s">
        <v>209</v>
      </c>
    </row>
    <row r="253" spans="1:9" ht="15.6" x14ac:dyDescent="0.3">
      <c r="A253"/>
      <c r="I253" s="71" t="s">
        <v>209</v>
      </c>
    </row>
    <row r="254" spans="1:9" ht="15.6" x14ac:dyDescent="0.3">
      <c r="A254"/>
      <c r="I254" s="71" t="s">
        <v>209</v>
      </c>
    </row>
    <row r="255" spans="1:9" ht="15.6" x14ac:dyDescent="0.3">
      <c r="A255"/>
      <c r="I255" s="71" t="s">
        <v>209</v>
      </c>
    </row>
    <row r="256" spans="1:9" ht="15.6" x14ac:dyDescent="0.3">
      <c r="A256"/>
      <c r="I256" s="71" t="s">
        <v>209</v>
      </c>
    </row>
    <row r="257" spans="1:9" ht="15.6" x14ac:dyDescent="0.3">
      <c r="A257"/>
      <c r="I257" s="71" t="s">
        <v>209</v>
      </c>
    </row>
    <row r="258" spans="1:9" ht="15.6" x14ac:dyDescent="0.3">
      <c r="A258"/>
      <c r="I258" s="71" t="s">
        <v>209</v>
      </c>
    </row>
    <row r="259" spans="1:9" ht="15.6" x14ac:dyDescent="0.3">
      <c r="A259"/>
      <c r="I259" s="71" t="s">
        <v>209</v>
      </c>
    </row>
    <row r="260" spans="1:9" ht="15.6" x14ac:dyDescent="0.3">
      <c r="A260"/>
      <c r="I260" s="71" t="s">
        <v>209</v>
      </c>
    </row>
    <row r="261" spans="1:9" ht="15.6" x14ac:dyDescent="0.3">
      <c r="A261"/>
      <c r="I261" s="71" t="s">
        <v>209</v>
      </c>
    </row>
    <row r="262" spans="1:9" ht="15.6" x14ac:dyDescent="0.3">
      <c r="A262"/>
      <c r="I262" s="71" t="s">
        <v>209</v>
      </c>
    </row>
    <row r="263" spans="1:9" ht="15.6" x14ac:dyDescent="0.3">
      <c r="A263"/>
      <c r="I263" s="71" t="s">
        <v>209</v>
      </c>
    </row>
    <row r="264" spans="1:9" ht="15.6" x14ac:dyDescent="0.3">
      <c r="A264"/>
      <c r="I264" s="71" t="s">
        <v>209</v>
      </c>
    </row>
    <row r="265" spans="1:9" ht="15.6" x14ac:dyDescent="0.3">
      <c r="A265"/>
      <c r="I265" s="71" t="s">
        <v>209</v>
      </c>
    </row>
    <row r="266" spans="1:9" ht="15.6" x14ac:dyDescent="0.3">
      <c r="A266"/>
      <c r="I266" s="71" t="s">
        <v>209</v>
      </c>
    </row>
    <row r="267" spans="1:9" ht="15.6" x14ac:dyDescent="0.3">
      <c r="A267"/>
      <c r="I267" s="71" t="s">
        <v>209</v>
      </c>
    </row>
    <row r="268" spans="1:9" ht="15.6" x14ac:dyDescent="0.3">
      <c r="A268"/>
      <c r="I268" s="71" t="s">
        <v>209</v>
      </c>
    </row>
    <row r="269" spans="1:9" ht="15.6" x14ac:dyDescent="0.3">
      <c r="A269"/>
      <c r="I269" s="71" t="s">
        <v>209</v>
      </c>
    </row>
    <row r="270" spans="1:9" ht="15.6" x14ac:dyDescent="0.3">
      <c r="A270"/>
      <c r="I270" s="71" t="s">
        <v>209</v>
      </c>
    </row>
    <row r="271" spans="1:9" ht="15.6" x14ac:dyDescent="0.3">
      <c r="A271"/>
      <c r="I271" s="71" t="s">
        <v>209</v>
      </c>
    </row>
    <row r="272" spans="1:9" ht="15.6" x14ac:dyDescent="0.3">
      <c r="A272"/>
      <c r="I272" s="71" t="s">
        <v>209</v>
      </c>
    </row>
    <row r="273" spans="1:9" ht="15.6" x14ac:dyDescent="0.3">
      <c r="A273"/>
      <c r="I273" s="71" t="s">
        <v>209</v>
      </c>
    </row>
    <row r="274" spans="1:9" ht="15.6" x14ac:dyDescent="0.3">
      <c r="A274"/>
      <c r="I274" s="71" t="s">
        <v>209</v>
      </c>
    </row>
    <row r="275" spans="1:9" ht="15.6" x14ac:dyDescent="0.3">
      <c r="A275"/>
      <c r="I275" s="71" t="s">
        <v>209</v>
      </c>
    </row>
    <row r="276" spans="1:9" ht="15.6" x14ac:dyDescent="0.3">
      <c r="A276"/>
      <c r="I276" s="71" t="s">
        <v>209</v>
      </c>
    </row>
    <row r="277" spans="1:9" ht="15.6" x14ac:dyDescent="0.3">
      <c r="A277"/>
      <c r="I277" s="71" t="s">
        <v>209</v>
      </c>
    </row>
    <row r="278" spans="1:9" ht="15.6" x14ac:dyDescent="0.3">
      <c r="A278"/>
      <c r="I278" s="71" t="s">
        <v>209</v>
      </c>
    </row>
    <row r="279" spans="1:9" ht="15.6" x14ac:dyDescent="0.3">
      <c r="A279"/>
      <c r="I279" s="71" t="s">
        <v>209</v>
      </c>
    </row>
    <row r="280" spans="1:9" ht="15.6" x14ac:dyDescent="0.3">
      <c r="A280"/>
      <c r="I280" s="71" t="s">
        <v>209</v>
      </c>
    </row>
    <row r="281" spans="1:9" ht="15.6" x14ac:dyDescent="0.3">
      <c r="A281"/>
      <c r="I281" s="71" t="s">
        <v>209</v>
      </c>
    </row>
    <row r="282" spans="1:9" ht="15.6" x14ac:dyDescent="0.3">
      <c r="A282"/>
      <c r="I282" s="71" t="s">
        <v>209</v>
      </c>
    </row>
    <row r="283" spans="1:9" ht="15.6" x14ac:dyDescent="0.3">
      <c r="A283"/>
      <c r="I283" s="71" t="s">
        <v>209</v>
      </c>
    </row>
    <row r="284" spans="1:9" ht="15.6" x14ac:dyDescent="0.3">
      <c r="A284"/>
      <c r="I284" s="71" t="s">
        <v>209</v>
      </c>
    </row>
    <row r="285" spans="1:9" ht="15.6" x14ac:dyDescent="0.3">
      <c r="A285"/>
      <c r="I285" s="71" t="s">
        <v>209</v>
      </c>
    </row>
    <row r="286" spans="1:9" ht="15.6" x14ac:dyDescent="0.3">
      <c r="A286"/>
      <c r="I286" s="71" t="s">
        <v>209</v>
      </c>
    </row>
    <row r="287" spans="1:9" ht="15.6" x14ac:dyDescent="0.3">
      <c r="A287"/>
      <c r="I287" s="71" t="s">
        <v>209</v>
      </c>
    </row>
    <row r="288" spans="1:9" ht="15.6" x14ac:dyDescent="0.3">
      <c r="A288"/>
      <c r="I288" s="71" t="s">
        <v>209</v>
      </c>
    </row>
    <row r="289" spans="1:9" ht="15.6" x14ac:dyDescent="0.3">
      <c r="A289"/>
      <c r="I289" s="71" t="s">
        <v>209</v>
      </c>
    </row>
    <row r="290" spans="1:9" ht="15.6" x14ac:dyDescent="0.3">
      <c r="A290"/>
      <c r="I290" s="71" t="s">
        <v>209</v>
      </c>
    </row>
    <row r="291" spans="1:9" ht="15.6" x14ac:dyDescent="0.3">
      <c r="A291"/>
      <c r="I291" s="71" t="s">
        <v>209</v>
      </c>
    </row>
    <row r="292" spans="1:9" ht="15.6" x14ac:dyDescent="0.3">
      <c r="A292"/>
      <c r="I292" s="71" t="s">
        <v>209</v>
      </c>
    </row>
    <row r="293" spans="1:9" ht="15.6" x14ac:dyDescent="0.3">
      <c r="A293"/>
      <c r="I293" s="71" t="s">
        <v>209</v>
      </c>
    </row>
    <row r="294" spans="1:9" ht="15.6" x14ac:dyDescent="0.3">
      <c r="A294"/>
      <c r="I294" s="71" t="s">
        <v>209</v>
      </c>
    </row>
    <row r="295" spans="1:9" ht="15.6" x14ac:dyDescent="0.3">
      <c r="A295"/>
      <c r="I295" s="71" t="s">
        <v>209</v>
      </c>
    </row>
    <row r="296" spans="1:9" ht="15.6" x14ac:dyDescent="0.3">
      <c r="A296"/>
      <c r="I296" s="71" t="s">
        <v>209</v>
      </c>
    </row>
    <row r="297" spans="1:9" ht="15.6" x14ac:dyDescent="0.3">
      <c r="A297"/>
      <c r="I297" s="71" t="s">
        <v>209</v>
      </c>
    </row>
    <row r="298" spans="1:9" ht="15.6" x14ac:dyDescent="0.3">
      <c r="A298"/>
      <c r="I298" s="71" t="s">
        <v>209</v>
      </c>
    </row>
    <row r="299" spans="1:9" ht="15.6" x14ac:dyDescent="0.3">
      <c r="A299"/>
      <c r="I299" s="71" t="s">
        <v>209</v>
      </c>
    </row>
    <row r="300" spans="1:9" ht="15.6" x14ac:dyDescent="0.3">
      <c r="A300"/>
      <c r="I300" s="71" t="s">
        <v>209</v>
      </c>
    </row>
    <row r="301" spans="1:9" ht="15.6" x14ac:dyDescent="0.3">
      <c r="A301"/>
      <c r="I301" s="71" t="s">
        <v>209</v>
      </c>
    </row>
    <row r="302" spans="1:9" ht="15.6" x14ac:dyDescent="0.3">
      <c r="A302"/>
      <c r="I302" s="71" t="s">
        <v>209</v>
      </c>
    </row>
    <row r="303" spans="1:9" ht="15.6" x14ac:dyDescent="0.3">
      <c r="A303"/>
      <c r="I303" s="71" t="s">
        <v>209</v>
      </c>
    </row>
    <row r="304" spans="1:9" ht="15.6" x14ac:dyDescent="0.3">
      <c r="A304"/>
      <c r="I304" s="71" t="s">
        <v>209</v>
      </c>
    </row>
    <row r="305" spans="1:9" ht="15.6" x14ac:dyDescent="0.3">
      <c r="A305"/>
      <c r="I305" s="71" t="s">
        <v>209</v>
      </c>
    </row>
    <row r="306" spans="1:9" ht="15.6" x14ac:dyDescent="0.3">
      <c r="A306"/>
      <c r="I306" s="71" t="s">
        <v>209</v>
      </c>
    </row>
    <row r="307" spans="1:9" ht="15.6" x14ac:dyDescent="0.3">
      <c r="A307"/>
      <c r="I307" s="71" t="s">
        <v>209</v>
      </c>
    </row>
    <row r="308" spans="1:9" ht="15.6" x14ac:dyDescent="0.3">
      <c r="A308"/>
      <c r="I308" s="71" t="s">
        <v>209</v>
      </c>
    </row>
    <row r="309" spans="1:9" ht="15.6" x14ac:dyDescent="0.3">
      <c r="A309"/>
      <c r="I309" s="71" t="s">
        <v>209</v>
      </c>
    </row>
    <row r="310" spans="1:9" ht="15.6" x14ac:dyDescent="0.3">
      <c r="A310"/>
      <c r="I310" s="71" t="s">
        <v>209</v>
      </c>
    </row>
    <row r="311" spans="1:9" ht="15.6" x14ac:dyDescent="0.3">
      <c r="A311"/>
      <c r="I311" s="71" t="s">
        <v>209</v>
      </c>
    </row>
    <row r="312" spans="1:9" ht="15.6" x14ac:dyDescent="0.3">
      <c r="A312"/>
      <c r="I312" s="71" t="s">
        <v>209</v>
      </c>
    </row>
    <row r="313" spans="1:9" ht="15.6" x14ac:dyDescent="0.3">
      <c r="A313"/>
      <c r="I313" s="71" t="s">
        <v>209</v>
      </c>
    </row>
    <row r="314" spans="1:9" ht="15.6" x14ac:dyDescent="0.3">
      <c r="A314"/>
      <c r="I314" s="71" t="s">
        <v>209</v>
      </c>
    </row>
    <row r="315" spans="1:9" ht="15.6" x14ac:dyDescent="0.3">
      <c r="A315"/>
      <c r="I315" s="71" t="s">
        <v>209</v>
      </c>
    </row>
    <row r="316" spans="1:9" ht="15.6" x14ac:dyDescent="0.3">
      <c r="A316"/>
      <c r="I316" s="71" t="s">
        <v>209</v>
      </c>
    </row>
    <row r="317" spans="1:9" ht="15.6" x14ac:dyDescent="0.3">
      <c r="A317"/>
      <c r="I317" s="71" t="s">
        <v>209</v>
      </c>
    </row>
    <row r="318" spans="1:9" ht="15.6" x14ac:dyDescent="0.3">
      <c r="A318"/>
      <c r="I318" s="71" t="s">
        <v>209</v>
      </c>
    </row>
    <row r="319" spans="1:9" ht="15.6" x14ac:dyDescent="0.3">
      <c r="A319"/>
      <c r="I319" s="71" t="s">
        <v>209</v>
      </c>
    </row>
    <row r="320" spans="1:9" ht="15.6" x14ac:dyDescent="0.3">
      <c r="A320"/>
      <c r="I320" s="71" t="s">
        <v>209</v>
      </c>
    </row>
    <row r="321" spans="1:9" ht="15.6" x14ac:dyDescent="0.3">
      <c r="A321"/>
      <c r="I321" s="71" t="s">
        <v>209</v>
      </c>
    </row>
    <row r="322" spans="1:9" ht="15.6" x14ac:dyDescent="0.3">
      <c r="A322"/>
      <c r="I322" s="71" t="s">
        <v>209</v>
      </c>
    </row>
    <row r="323" spans="1:9" ht="15.6" x14ac:dyDescent="0.3">
      <c r="A323"/>
      <c r="I323" s="71" t="s">
        <v>209</v>
      </c>
    </row>
    <row r="324" spans="1:9" ht="15.6" x14ac:dyDescent="0.3">
      <c r="A324"/>
      <c r="I324" s="71" t="s">
        <v>209</v>
      </c>
    </row>
    <row r="325" spans="1:9" ht="15.6" x14ac:dyDescent="0.3">
      <c r="A325"/>
      <c r="I325" s="71" t="s">
        <v>209</v>
      </c>
    </row>
    <row r="326" spans="1:9" ht="15.6" x14ac:dyDescent="0.3">
      <c r="A326"/>
      <c r="I326" s="71" t="s">
        <v>209</v>
      </c>
    </row>
    <row r="327" spans="1:9" ht="15.6" x14ac:dyDescent="0.3">
      <c r="A327"/>
      <c r="I327" s="71" t="s">
        <v>209</v>
      </c>
    </row>
    <row r="328" spans="1:9" ht="15.6" x14ac:dyDescent="0.3">
      <c r="A328"/>
      <c r="I328" s="71" t="s">
        <v>209</v>
      </c>
    </row>
    <row r="329" spans="1:9" ht="15.6" x14ac:dyDescent="0.3">
      <c r="A329"/>
      <c r="I329" s="71" t="s">
        <v>209</v>
      </c>
    </row>
    <row r="330" spans="1:9" ht="15.6" x14ac:dyDescent="0.3">
      <c r="A330"/>
      <c r="I330" s="71" t="s">
        <v>209</v>
      </c>
    </row>
    <row r="331" spans="1:9" ht="15.6" x14ac:dyDescent="0.3">
      <c r="A331"/>
      <c r="I331" s="71" t="s">
        <v>209</v>
      </c>
    </row>
    <row r="332" spans="1:9" ht="15.6" x14ac:dyDescent="0.3">
      <c r="A332"/>
      <c r="I332" s="71" t="s">
        <v>219</v>
      </c>
    </row>
    <row r="333" spans="1:9" ht="15.6" x14ac:dyDescent="0.3">
      <c r="A333"/>
      <c r="I333" s="71" t="s">
        <v>219</v>
      </c>
    </row>
    <row r="334" spans="1:9" ht="15.6" x14ac:dyDescent="0.3">
      <c r="A334"/>
      <c r="I334" s="71" t="s">
        <v>219</v>
      </c>
    </row>
    <row r="335" spans="1:9" ht="15.6" x14ac:dyDescent="0.3">
      <c r="A335"/>
      <c r="I335" s="71" t="s">
        <v>219</v>
      </c>
    </row>
    <row r="336" spans="1:9" ht="15.6" x14ac:dyDescent="0.3">
      <c r="A336"/>
      <c r="I336" s="71" t="s">
        <v>219</v>
      </c>
    </row>
    <row r="337" spans="1:9" ht="15.6" x14ac:dyDescent="0.3">
      <c r="A337"/>
      <c r="I337" s="71" t="s">
        <v>219</v>
      </c>
    </row>
    <row r="338" spans="1:9" ht="15.6" x14ac:dyDescent="0.3">
      <c r="A338"/>
      <c r="I338" s="71" t="s">
        <v>219</v>
      </c>
    </row>
    <row r="339" spans="1:9" ht="15.6" x14ac:dyDescent="0.3">
      <c r="A339"/>
      <c r="I339" s="71" t="s">
        <v>219</v>
      </c>
    </row>
    <row r="340" spans="1:9" ht="15.6" x14ac:dyDescent="0.3">
      <c r="A340"/>
      <c r="I340" s="71" t="s">
        <v>219</v>
      </c>
    </row>
    <row r="341" spans="1:9" ht="15.6" x14ac:dyDescent="0.3">
      <c r="A341"/>
      <c r="I341" s="71" t="s">
        <v>219</v>
      </c>
    </row>
    <row r="342" spans="1:9" ht="15.6" x14ac:dyDescent="0.3">
      <c r="A342"/>
      <c r="I342" s="71" t="s">
        <v>219</v>
      </c>
    </row>
    <row r="343" spans="1:9" ht="15.6" x14ac:dyDescent="0.3">
      <c r="A343"/>
      <c r="I343" s="71" t="s">
        <v>219</v>
      </c>
    </row>
    <row r="344" spans="1:9" ht="15.6" x14ac:dyDescent="0.3">
      <c r="A344"/>
      <c r="I344" s="71" t="s">
        <v>219</v>
      </c>
    </row>
    <row r="345" spans="1:9" ht="15.6" x14ac:dyDescent="0.3">
      <c r="A345"/>
      <c r="I345" s="71" t="s">
        <v>219</v>
      </c>
    </row>
    <row r="346" spans="1:9" ht="15.6" x14ac:dyDescent="0.3">
      <c r="A346"/>
      <c r="I346" s="71" t="s">
        <v>219</v>
      </c>
    </row>
    <row r="347" spans="1:9" ht="15.6" x14ac:dyDescent="0.3">
      <c r="A347"/>
      <c r="I347" s="71" t="s">
        <v>219</v>
      </c>
    </row>
    <row r="348" spans="1:9" x14ac:dyDescent="0.35">
      <c r="A348"/>
      <c r="I348" s="66" t="s">
        <v>210</v>
      </c>
    </row>
    <row r="349" spans="1:9" x14ac:dyDescent="0.35">
      <c r="A349"/>
      <c r="I349" s="66" t="s">
        <v>210</v>
      </c>
    </row>
    <row r="350" spans="1:9" x14ac:dyDescent="0.35">
      <c r="A350"/>
      <c r="I350" s="66" t="s">
        <v>210</v>
      </c>
    </row>
    <row r="351" spans="1:9" x14ac:dyDescent="0.35">
      <c r="A351"/>
      <c r="I351" s="66" t="s">
        <v>210</v>
      </c>
    </row>
    <row r="352" spans="1:9" x14ac:dyDescent="0.35">
      <c r="A352"/>
      <c r="I352" s="66" t="s">
        <v>210</v>
      </c>
    </row>
    <row r="353" spans="1:9" x14ac:dyDescent="0.35">
      <c r="A353"/>
      <c r="I353" s="66" t="s">
        <v>210</v>
      </c>
    </row>
    <row r="354" spans="1:9" x14ac:dyDescent="0.35">
      <c r="A354"/>
      <c r="I354" s="66" t="s">
        <v>210</v>
      </c>
    </row>
    <row r="355" spans="1:9" x14ac:dyDescent="0.35">
      <c r="A355"/>
      <c r="I355" s="66" t="s">
        <v>210</v>
      </c>
    </row>
    <row r="356" spans="1:9" x14ac:dyDescent="0.35">
      <c r="A356"/>
      <c r="I356" s="66" t="s">
        <v>210</v>
      </c>
    </row>
    <row r="357" spans="1:9" x14ac:dyDescent="0.35">
      <c r="A357"/>
      <c r="I357" s="66" t="s">
        <v>210</v>
      </c>
    </row>
    <row r="358" spans="1:9" x14ac:dyDescent="0.35">
      <c r="A358"/>
      <c r="I358" s="66" t="s">
        <v>210</v>
      </c>
    </row>
    <row r="359" spans="1:9" x14ac:dyDescent="0.35">
      <c r="A359"/>
      <c r="I359" s="66" t="s">
        <v>210</v>
      </c>
    </row>
    <row r="360" spans="1:9" x14ac:dyDescent="0.35">
      <c r="A360"/>
      <c r="I360" s="66" t="s">
        <v>210</v>
      </c>
    </row>
    <row r="361" spans="1:9" x14ac:dyDescent="0.35">
      <c r="A361"/>
      <c r="I361" s="66" t="s">
        <v>210</v>
      </c>
    </row>
    <row r="362" spans="1:9" x14ac:dyDescent="0.35">
      <c r="A362"/>
      <c r="I362" s="66" t="s">
        <v>210</v>
      </c>
    </row>
    <row r="363" spans="1:9" x14ac:dyDescent="0.35">
      <c r="A363"/>
      <c r="I363" s="66" t="s">
        <v>210</v>
      </c>
    </row>
    <row r="364" spans="1:9" x14ac:dyDescent="0.35">
      <c r="A364"/>
      <c r="I364" s="66" t="s">
        <v>210</v>
      </c>
    </row>
    <row r="365" spans="1:9" x14ac:dyDescent="0.35">
      <c r="A365"/>
      <c r="I365" s="66" t="s">
        <v>210</v>
      </c>
    </row>
    <row r="366" spans="1:9" x14ac:dyDescent="0.35">
      <c r="A366"/>
      <c r="I366" s="66" t="s">
        <v>210</v>
      </c>
    </row>
    <row r="367" spans="1:9" x14ac:dyDescent="0.35">
      <c r="A367"/>
      <c r="I367" s="66" t="s">
        <v>210</v>
      </c>
    </row>
    <row r="368" spans="1:9" x14ac:dyDescent="0.35">
      <c r="A368"/>
      <c r="I368" s="66" t="s">
        <v>210</v>
      </c>
    </row>
    <row r="369" spans="1:9" x14ac:dyDescent="0.35">
      <c r="A369"/>
      <c r="I369" s="66" t="s">
        <v>210</v>
      </c>
    </row>
    <row r="370" spans="1:9" x14ac:dyDescent="0.35">
      <c r="A370"/>
      <c r="I370" s="66" t="s">
        <v>210</v>
      </c>
    </row>
    <row r="371" spans="1:9" x14ac:dyDescent="0.35">
      <c r="A371"/>
      <c r="I371" s="66" t="s">
        <v>210</v>
      </c>
    </row>
    <row r="372" spans="1:9" x14ac:dyDescent="0.35">
      <c r="A372"/>
      <c r="I372" s="66" t="s">
        <v>210</v>
      </c>
    </row>
    <row r="373" spans="1:9" x14ac:dyDescent="0.35">
      <c r="A373"/>
      <c r="I373" s="66" t="s">
        <v>210</v>
      </c>
    </row>
    <row r="374" spans="1:9" x14ac:dyDescent="0.35">
      <c r="A374"/>
      <c r="I374" s="66" t="s">
        <v>210</v>
      </c>
    </row>
    <row r="375" spans="1:9" x14ac:dyDescent="0.35">
      <c r="A375"/>
      <c r="I375" s="66" t="s">
        <v>210</v>
      </c>
    </row>
    <row r="376" spans="1:9" x14ac:dyDescent="0.35">
      <c r="A376"/>
      <c r="I376" s="66" t="s">
        <v>210</v>
      </c>
    </row>
    <row r="377" spans="1:9" x14ac:dyDescent="0.35">
      <c r="A377"/>
      <c r="I377" s="66" t="s">
        <v>210</v>
      </c>
    </row>
    <row r="378" spans="1:9" x14ac:dyDescent="0.35">
      <c r="A378"/>
      <c r="I378" s="66" t="s">
        <v>210</v>
      </c>
    </row>
    <row r="379" spans="1:9" x14ac:dyDescent="0.35">
      <c r="A379"/>
      <c r="I379" s="66" t="s">
        <v>210</v>
      </c>
    </row>
    <row r="380" spans="1:9" x14ac:dyDescent="0.35">
      <c r="A380"/>
      <c r="I380" s="66" t="s">
        <v>210</v>
      </c>
    </row>
    <row r="381" spans="1:9" x14ac:dyDescent="0.35">
      <c r="A381"/>
      <c r="I381" s="66" t="s">
        <v>210</v>
      </c>
    </row>
    <row r="382" spans="1:9" x14ac:dyDescent="0.35">
      <c r="A382"/>
      <c r="I382" s="66" t="s">
        <v>210</v>
      </c>
    </row>
    <row r="383" spans="1:9" x14ac:dyDescent="0.35">
      <c r="A383"/>
      <c r="I383" s="66" t="s">
        <v>210</v>
      </c>
    </row>
    <row r="384" spans="1:9" x14ac:dyDescent="0.35">
      <c r="A384"/>
      <c r="I384" s="66" t="s">
        <v>210</v>
      </c>
    </row>
    <row r="385" spans="1:9" x14ac:dyDescent="0.35">
      <c r="A385"/>
      <c r="I385" s="66" t="s">
        <v>210</v>
      </c>
    </row>
    <row r="386" spans="1:9" x14ac:dyDescent="0.35">
      <c r="A386"/>
      <c r="I386" s="66" t="s">
        <v>210</v>
      </c>
    </row>
    <row r="387" spans="1:9" x14ac:dyDescent="0.35">
      <c r="A387"/>
      <c r="I387" s="66" t="s">
        <v>210</v>
      </c>
    </row>
    <row r="388" spans="1:9" x14ac:dyDescent="0.35">
      <c r="A388"/>
      <c r="I388" s="66" t="s">
        <v>210</v>
      </c>
    </row>
    <row r="389" spans="1:9" x14ac:dyDescent="0.35">
      <c r="A389"/>
      <c r="I389" s="66" t="s">
        <v>210</v>
      </c>
    </row>
    <row r="390" spans="1:9" x14ac:dyDescent="0.35">
      <c r="A390"/>
      <c r="I390" s="66" t="s">
        <v>210</v>
      </c>
    </row>
    <row r="391" spans="1:9" x14ac:dyDescent="0.35">
      <c r="A391"/>
      <c r="I391" s="66" t="s">
        <v>210</v>
      </c>
    </row>
    <row r="392" spans="1:9" x14ac:dyDescent="0.35">
      <c r="A392"/>
      <c r="I392" s="66" t="s">
        <v>210</v>
      </c>
    </row>
    <row r="393" spans="1:9" x14ac:dyDescent="0.35">
      <c r="A393"/>
      <c r="I393" s="66" t="s">
        <v>210</v>
      </c>
    </row>
    <row r="394" spans="1:9" x14ac:dyDescent="0.35">
      <c r="A394"/>
      <c r="I394" s="66" t="s">
        <v>210</v>
      </c>
    </row>
    <row r="395" spans="1:9" x14ac:dyDescent="0.35">
      <c r="A395"/>
      <c r="I395" s="66" t="s">
        <v>210</v>
      </c>
    </row>
    <row r="396" spans="1:9" x14ac:dyDescent="0.35">
      <c r="A396"/>
      <c r="I396" s="66" t="s">
        <v>210</v>
      </c>
    </row>
    <row r="397" spans="1:9" x14ac:dyDescent="0.35">
      <c r="A397"/>
      <c r="I397" s="66" t="s">
        <v>210</v>
      </c>
    </row>
    <row r="398" spans="1:9" x14ac:dyDescent="0.35">
      <c r="A398"/>
      <c r="I398" s="66" t="s">
        <v>210</v>
      </c>
    </row>
    <row r="399" spans="1:9" x14ac:dyDescent="0.35">
      <c r="A399"/>
      <c r="I399" s="66" t="s">
        <v>210</v>
      </c>
    </row>
    <row r="400" spans="1:9" x14ac:dyDescent="0.35">
      <c r="A400"/>
      <c r="I400" s="66" t="s">
        <v>210</v>
      </c>
    </row>
    <row r="401" spans="1:9" x14ac:dyDescent="0.35">
      <c r="A401"/>
      <c r="I401" s="66" t="s">
        <v>210</v>
      </c>
    </row>
    <row r="402" spans="1:9" x14ac:dyDescent="0.35">
      <c r="A402"/>
      <c r="I402" s="66" t="s">
        <v>210</v>
      </c>
    </row>
    <row r="403" spans="1:9" x14ac:dyDescent="0.35">
      <c r="A403"/>
      <c r="I403" s="66" t="s">
        <v>210</v>
      </c>
    </row>
    <row r="404" spans="1:9" x14ac:dyDescent="0.35">
      <c r="A404"/>
      <c r="I404" s="66" t="s">
        <v>210</v>
      </c>
    </row>
    <row r="405" spans="1:9" ht="15.6" x14ac:dyDescent="0.3">
      <c r="A405"/>
      <c r="I405" s="71" t="s">
        <v>209</v>
      </c>
    </row>
    <row r="406" spans="1:9" ht="15.6" x14ac:dyDescent="0.3">
      <c r="A406"/>
      <c r="I406" s="71" t="s">
        <v>209</v>
      </c>
    </row>
    <row r="407" spans="1:9" ht="15.6" x14ac:dyDescent="0.3">
      <c r="A407"/>
      <c r="I407" s="71" t="s">
        <v>209</v>
      </c>
    </row>
    <row r="408" spans="1:9" ht="15.6" x14ac:dyDescent="0.3">
      <c r="A408"/>
      <c r="I408" s="71" t="s">
        <v>209</v>
      </c>
    </row>
    <row r="409" spans="1:9" ht="15.6" x14ac:dyDescent="0.3">
      <c r="A409"/>
      <c r="I409" s="71" t="s">
        <v>209</v>
      </c>
    </row>
    <row r="410" spans="1:9" ht="15.6" x14ac:dyDescent="0.3">
      <c r="A410"/>
      <c r="I410" s="71" t="s">
        <v>209</v>
      </c>
    </row>
    <row r="411" spans="1:9" ht="15.6" x14ac:dyDescent="0.3">
      <c r="A411"/>
      <c r="I411" s="71" t="s">
        <v>209</v>
      </c>
    </row>
    <row r="412" spans="1:9" ht="15.6" x14ac:dyDescent="0.3">
      <c r="A412"/>
      <c r="I412" s="71" t="s">
        <v>209</v>
      </c>
    </row>
    <row r="413" spans="1:9" ht="15.6" x14ac:dyDescent="0.3">
      <c r="A413"/>
      <c r="I413" s="71" t="s">
        <v>209</v>
      </c>
    </row>
    <row r="414" spans="1:9" ht="15.6" x14ac:dyDescent="0.3">
      <c r="A414"/>
      <c r="I414" s="71" t="s">
        <v>209</v>
      </c>
    </row>
    <row r="415" spans="1:9" ht="15.6" x14ac:dyDescent="0.3">
      <c r="A415"/>
      <c r="I415" s="71" t="s">
        <v>209</v>
      </c>
    </row>
    <row r="416" spans="1:9" ht="15.6" x14ac:dyDescent="0.3">
      <c r="A416"/>
      <c r="I416" s="71" t="s">
        <v>209</v>
      </c>
    </row>
    <row r="417" spans="1:9" ht="15.6" x14ac:dyDescent="0.3">
      <c r="A417"/>
      <c r="I417" s="71" t="s">
        <v>209</v>
      </c>
    </row>
    <row r="418" spans="1:9" ht="15.6" x14ac:dyDescent="0.3">
      <c r="A418"/>
      <c r="I418" s="71" t="s">
        <v>209</v>
      </c>
    </row>
    <row r="419" spans="1:9" ht="15.6" x14ac:dyDescent="0.3">
      <c r="A419"/>
      <c r="I419" s="71" t="s">
        <v>209</v>
      </c>
    </row>
    <row r="420" spans="1:9" ht="15.6" x14ac:dyDescent="0.3">
      <c r="A420"/>
      <c r="I420" s="71" t="s">
        <v>209</v>
      </c>
    </row>
    <row r="421" spans="1:9" ht="15.6" x14ac:dyDescent="0.3">
      <c r="A421"/>
      <c r="I421" s="71" t="s">
        <v>209</v>
      </c>
    </row>
    <row r="422" spans="1:9" ht="15.6" x14ac:dyDescent="0.3">
      <c r="A422"/>
      <c r="I422" s="71" t="s">
        <v>219</v>
      </c>
    </row>
    <row r="423" spans="1:9" ht="15.6" x14ac:dyDescent="0.3">
      <c r="A423"/>
      <c r="I423" s="71" t="s">
        <v>219</v>
      </c>
    </row>
    <row r="424" spans="1:9" x14ac:dyDescent="0.35">
      <c r="A424"/>
      <c r="I424" s="66" t="s">
        <v>210</v>
      </c>
    </row>
    <row r="425" spans="1:9" x14ac:dyDescent="0.35">
      <c r="A425"/>
      <c r="I425" s="66" t="s">
        <v>210</v>
      </c>
    </row>
    <row r="426" spans="1:9" x14ac:dyDescent="0.35">
      <c r="A426"/>
      <c r="I426" s="66" t="s">
        <v>210</v>
      </c>
    </row>
    <row r="427" spans="1:9" x14ac:dyDescent="0.35">
      <c r="A427"/>
      <c r="I427" s="66" t="s">
        <v>210</v>
      </c>
    </row>
    <row r="428" spans="1:9" x14ac:dyDescent="0.35">
      <c r="A428"/>
      <c r="I428" s="66" t="s">
        <v>210</v>
      </c>
    </row>
    <row r="429" spans="1:9" ht="14.4" x14ac:dyDescent="0.3">
      <c r="A429"/>
    </row>
    <row r="430" spans="1:9" ht="14.4" x14ac:dyDescent="0.3">
      <c r="A430"/>
    </row>
    <row r="431" spans="1:9" ht="14.4" x14ac:dyDescent="0.3">
      <c r="A431"/>
    </row>
    <row r="432" spans="1:9" ht="14.4" x14ac:dyDescent="0.3">
      <c r="A432"/>
    </row>
    <row r="433" spans="1:1" ht="14.4" x14ac:dyDescent="0.3">
      <c r="A433"/>
    </row>
    <row r="434" spans="1:1" ht="14.4" x14ac:dyDescent="0.3">
      <c r="A434"/>
    </row>
    <row r="435" spans="1:1" ht="14.4" x14ac:dyDescent="0.3">
      <c r="A435"/>
    </row>
    <row r="436" spans="1:1" ht="14.4" x14ac:dyDescent="0.3">
      <c r="A436"/>
    </row>
    <row r="437" spans="1:1" ht="14.4" x14ac:dyDescent="0.3">
      <c r="A437"/>
    </row>
    <row r="438" spans="1:1" ht="14.4" x14ac:dyDescent="0.3">
      <c r="A438"/>
    </row>
    <row r="439" spans="1:1" ht="14.4" x14ac:dyDescent="0.3">
      <c r="A439"/>
    </row>
    <row r="440" spans="1:1" ht="14.4" x14ac:dyDescent="0.3">
      <c r="A440"/>
    </row>
    <row r="441" spans="1:1" ht="14.4" x14ac:dyDescent="0.3">
      <c r="A441"/>
    </row>
    <row r="442" spans="1:1" ht="14.4" x14ac:dyDescent="0.3">
      <c r="A442"/>
    </row>
    <row r="443" spans="1:1" ht="14.4" x14ac:dyDescent="0.3">
      <c r="A443"/>
    </row>
    <row r="444" spans="1:1" ht="14.4" x14ac:dyDescent="0.3">
      <c r="A444"/>
    </row>
    <row r="445" spans="1:1" ht="14.4" x14ac:dyDescent="0.3">
      <c r="A445"/>
    </row>
    <row r="446" spans="1:1" ht="14.4" x14ac:dyDescent="0.3">
      <c r="A446"/>
    </row>
    <row r="447" spans="1:1" ht="14.4" x14ac:dyDescent="0.3">
      <c r="A447"/>
    </row>
    <row r="448" spans="1:1" ht="14.4" x14ac:dyDescent="0.3">
      <c r="A448"/>
    </row>
    <row r="449" spans="1:1" ht="14.4" x14ac:dyDescent="0.3">
      <c r="A449"/>
    </row>
    <row r="450" spans="1:1" ht="14.4" x14ac:dyDescent="0.3">
      <c r="A450"/>
    </row>
    <row r="451" spans="1:1" ht="14.4" x14ac:dyDescent="0.3">
      <c r="A451"/>
    </row>
    <row r="452" spans="1:1" ht="14.4" x14ac:dyDescent="0.3">
      <c r="A452"/>
    </row>
    <row r="453" spans="1:1" ht="14.4" x14ac:dyDescent="0.3">
      <c r="A453"/>
    </row>
    <row r="454" spans="1:1" ht="14.4" x14ac:dyDescent="0.3">
      <c r="A454"/>
    </row>
    <row r="455" spans="1:1" ht="14.4" x14ac:dyDescent="0.3">
      <c r="A455"/>
    </row>
    <row r="456" spans="1:1" ht="14.4" x14ac:dyDescent="0.3">
      <c r="A456"/>
    </row>
    <row r="457" spans="1:1" ht="14.4" x14ac:dyDescent="0.3">
      <c r="A457"/>
    </row>
    <row r="458" spans="1:1" ht="14.4" x14ac:dyDescent="0.3">
      <c r="A458"/>
    </row>
    <row r="459" spans="1:1" ht="14.4" x14ac:dyDescent="0.3">
      <c r="A459"/>
    </row>
    <row r="460" spans="1:1" ht="14.4" x14ac:dyDescent="0.3">
      <c r="A460"/>
    </row>
    <row r="461" spans="1:1" ht="14.4" x14ac:dyDescent="0.3">
      <c r="A461"/>
    </row>
    <row r="462" spans="1:1" ht="14.4" x14ac:dyDescent="0.3">
      <c r="A462"/>
    </row>
    <row r="463" spans="1:1" ht="14.4" x14ac:dyDescent="0.3">
      <c r="A463"/>
    </row>
    <row r="464" spans="1:1" ht="14.4" x14ac:dyDescent="0.3">
      <c r="A464"/>
    </row>
    <row r="465" spans="1:1" ht="14.4" x14ac:dyDescent="0.3">
      <c r="A465"/>
    </row>
    <row r="466" spans="1:1" ht="14.4" x14ac:dyDescent="0.3">
      <c r="A466"/>
    </row>
    <row r="467" spans="1:1" ht="14.4" x14ac:dyDescent="0.3">
      <c r="A467"/>
    </row>
    <row r="468" spans="1:1" ht="14.4" x14ac:dyDescent="0.3">
      <c r="A468"/>
    </row>
    <row r="469" spans="1:1" ht="14.4" x14ac:dyDescent="0.3">
      <c r="A469"/>
    </row>
    <row r="470" spans="1:1" ht="14.4" x14ac:dyDescent="0.3">
      <c r="A470"/>
    </row>
    <row r="471" spans="1:1" ht="14.4" x14ac:dyDescent="0.3">
      <c r="A471"/>
    </row>
    <row r="472" spans="1:1" ht="14.4" x14ac:dyDescent="0.3">
      <c r="A472"/>
    </row>
    <row r="473" spans="1:1" ht="14.4" x14ac:dyDescent="0.3">
      <c r="A473"/>
    </row>
    <row r="474" spans="1:1" ht="14.4" x14ac:dyDescent="0.3">
      <c r="A474"/>
    </row>
    <row r="475" spans="1:1" ht="14.4" x14ac:dyDescent="0.3">
      <c r="A475"/>
    </row>
    <row r="476" spans="1:1" ht="14.4" x14ac:dyDescent="0.3">
      <c r="A476"/>
    </row>
    <row r="477" spans="1:1" ht="14.4" x14ac:dyDescent="0.3">
      <c r="A477"/>
    </row>
    <row r="478" spans="1:1" ht="14.4" x14ac:dyDescent="0.3">
      <c r="A478"/>
    </row>
    <row r="479" spans="1:1" ht="14.4" x14ac:dyDescent="0.3">
      <c r="A479"/>
    </row>
    <row r="480" spans="1:1" ht="14.4" x14ac:dyDescent="0.3">
      <c r="A480"/>
    </row>
    <row r="481" spans="1:1" ht="14.4" x14ac:dyDescent="0.3">
      <c r="A481"/>
    </row>
    <row r="482" spans="1:1" ht="14.4" x14ac:dyDescent="0.3">
      <c r="A482"/>
    </row>
    <row r="483" spans="1:1" ht="14.4" x14ac:dyDescent="0.3">
      <c r="A483"/>
    </row>
    <row r="484" spans="1:1" ht="14.4" x14ac:dyDescent="0.3">
      <c r="A484"/>
    </row>
    <row r="485" spans="1:1" ht="14.4" x14ac:dyDescent="0.3">
      <c r="A485"/>
    </row>
    <row r="486" spans="1:1" ht="14.4" x14ac:dyDescent="0.3">
      <c r="A486"/>
    </row>
    <row r="487" spans="1:1" ht="14.4" x14ac:dyDescent="0.3">
      <c r="A487"/>
    </row>
    <row r="488" spans="1:1" ht="14.4" x14ac:dyDescent="0.3">
      <c r="A488"/>
    </row>
    <row r="489" spans="1:1" ht="14.4" x14ac:dyDescent="0.3">
      <c r="A489"/>
    </row>
    <row r="490" spans="1:1" ht="14.4" x14ac:dyDescent="0.3">
      <c r="A490"/>
    </row>
    <row r="491" spans="1:1" ht="14.4" x14ac:dyDescent="0.3">
      <c r="A491"/>
    </row>
    <row r="492" spans="1:1" ht="14.4" x14ac:dyDescent="0.3">
      <c r="A492"/>
    </row>
    <row r="493" spans="1:1" ht="14.4" x14ac:dyDescent="0.3">
      <c r="A493"/>
    </row>
    <row r="494" spans="1:1" ht="14.4" x14ac:dyDescent="0.3">
      <c r="A494"/>
    </row>
    <row r="495" spans="1:1" ht="14.4" x14ac:dyDescent="0.3">
      <c r="A495"/>
    </row>
    <row r="496" spans="1:1" ht="14.4" x14ac:dyDescent="0.3">
      <c r="A496"/>
    </row>
    <row r="497" spans="1:1" ht="14.4" x14ac:dyDescent="0.3">
      <c r="A497"/>
    </row>
    <row r="498" spans="1:1" ht="14.4" x14ac:dyDescent="0.3">
      <c r="A498"/>
    </row>
    <row r="499" spans="1:1" ht="14.4" x14ac:dyDescent="0.3">
      <c r="A499"/>
    </row>
    <row r="500" spans="1:1" ht="14.4" x14ac:dyDescent="0.3">
      <c r="A500"/>
    </row>
    <row r="501" spans="1:1" ht="14.4" x14ac:dyDescent="0.3">
      <c r="A501"/>
    </row>
    <row r="502" spans="1:1" ht="14.4" x14ac:dyDescent="0.3">
      <c r="A502"/>
    </row>
    <row r="503" spans="1:1" ht="14.4" x14ac:dyDescent="0.3">
      <c r="A503"/>
    </row>
    <row r="504" spans="1:1" ht="14.4" x14ac:dyDescent="0.3">
      <c r="A504"/>
    </row>
    <row r="505" spans="1:1" ht="14.4" x14ac:dyDescent="0.3">
      <c r="A505"/>
    </row>
    <row r="506" spans="1:1" ht="14.4" x14ac:dyDescent="0.3">
      <c r="A506"/>
    </row>
    <row r="507" spans="1:1" ht="14.4" x14ac:dyDescent="0.3">
      <c r="A507"/>
    </row>
    <row r="508" spans="1:1" ht="14.4" x14ac:dyDescent="0.3">
      <c r="A508"/>
    </row>
    <row r="509" spans="1:1" ht="14.4" x14ac:dyDescent="0.3">
      <c r="A509"/>
    </row>
    <row r="510" spans="1:1" ht="14.4" x14ac:dyDescent="0.3">
      <c r="A510"/>
    </row>
    <row r="511" spans="1:1" ht="14.4" x14ac:dyDescent="0.3">
      <c r="A511"/>
    </row>
    <row r="512" spans="1:1" ht="14.4" x14ac:dyDescent="0.3">
      <c r="A512"/>
    </row>
    <row r="513" spans="1:1" ht="14.4" x14ac:dyDescent="0.3">
      <c r="A513"/>
    </row>
    <row r="514" spans="1:1" ht="14.4" x14ac:dyDescent="0.3">
      <c r="A514"/>
    </row>
    <row r="515" spans="1:1" ht="14.4" x14ac:dyDescent="0.3">
      <c r="A515"/>
    </row>
    <row r="516" spans="1:1" ht="14.4" x14ac:dyDescent="0.3">
      <c r="A516"/>
    </row>
    <row r="517" spans="1:1" ht="14.4" x14ac:dyDescent="0.3">
      <c r="A517"/>
    </row>
    <row r="518" spans="1:1" ht="14.4" x14ac:dyDescent="0.3">
      <c r="A518"/>
    </row>
    <row r="519" spans="1:1" ht="14.4" x14ac:dyDescent="0.3">
      <c r="A519"/>
    </row>
    <row r="520" spans="1:1" ht="14.4" x14ac:dyDescent="0.3">
      <c r="A520"/>
    </row>
    <row r="521" spans="1:1" ht="14.4" x14ac:dyDescent="0.3">
      <c r="A521"/>
    </row>
    <row r="522" spans="1:1" ht="14.4" x14ac:dyDescent="0.3">
      <c r="A522"/>
    </row>
    <row r="523" spans="1:1" ht="14.4" x14ac:dyDescent="0.3">
      <c r="A523"/>
    </row>
    <row r="524" spans="1:1" ht="14.4" x14ac:dyDescent="0.3">
      <c r="A524"/>
    </row>
    <row r="525" spans="1:1" ht="14.4" x14ac:dyDescent="0.3">
      <c r="A525"/>
    </row>
    <row r="526" spans="1:1" ht="14.4" x14ac:dyDescent="0.3">
      <c r="A526"/>
    </row>
    <row r="527" spans="1:1" ht="14.4" x14ac:dyDescent="0.3">
      <c r="A527"/>
    </row>
    <row r="528" spans="1:1" ht="14.4" x14ac:dyDescent="0.3">
      <c r="A528"/>
    </row>
    <row r="529" spans="1:1" ht="14.4" x14ac:dyDescent="0.3">
      <c r="A529"/>
    </row>
    <row r="530" spans="1:1" ht="14.4" x14ac:dyDescent="0.3">
      <c r="A530"/>
    </row>
    <row r="531" spans="1:1" ht="14.4" x14ac:dyDescent="0.3">
      <c r="A531"/>
    </row>
    <row r="532" spans="1:1" ht="14.4" x14ac:dyDescent="0.3">
      <c r="A532"/>
    </row>
    <row r="533" spans="1:1" ht="14.4" x14ac:dyDescent="0.3">
      <c r="A533"/>
    </row>
    <row r="534" spans="1:1" ht="14.4" x14ac:dyDescent="0.3">
      <c r="A534"/>
    </row>
    <row r="535" spans="1:1" ht="14.4" x14ac:dyDescent="0.3">
      <c r="A535"/>
    </row>
    <row r="536" spans="1:1" ht="14.4" x14ac:dyDescent="0.3">
      <c r="A536"/>
    </row>
    <row r="537" spans="1:1" ht="14.4" x14ac:dyDescent="0.3">
      <c r="A537"/>
    </row>
    <row r="538" spans="1:1" ht="14.4" x14ac:dyDescent="0.3">
      <c r="A538"/>
    </row>
    <row r="539" spans="1:1" ht="14.4" x14ac:dyDescent="0.3">
      <c r="A539"/>
    </row>
    <row r="540" spans="1:1" ht="14.4" x14ac:dyDescent="0.3">
      <c r="A540"/>
    </row>
    <row r="541" spans="1:1" ht="14.4" x14ac:dyDescent="0.3">
      <c r="A541"/>
    </row>
    <row r="542" spans="1:1" ht="14.4" x14ac:dyDescent="0.3">
      <c r="A542"/>
    </row>
    <row r="543" spans="1:1" ht="14.4" x14ac:dyDescent="0.3">
      <c r="A543"/>
    </row>
    <row r="544" spans="1:1" ht="14.4" x14ac:dyDescent="0.3">
      <c r="A544"/>
    </row>
    <row r="545" spans="1:1" ht="14.4" x14ac:dyDescent="0.3">
      <c r="A545"/>
    </row>
    <row r="546" spans="1:1" ht="14.4" x14ac:dyDescent="0.3">
      <c r="A546"/>
    </row>
    <row r="547" spans="1:1" ht="14.4" x14ac:dyDescent="0.3">
      <c r="A547"/>
    </row>
    <row r="548" spans="1:1" ht="14.4" x14ac:dyDescent="0.3">
      <c r="A548"/>
    </row>
    <row r="549" spans="1:1" ht="14.4" x14ac:dyDescent="0.3">
      <c r="A549"/>
    </row>
    <row r="550" spans="1:1" ht="14.4" x14ac:dyDescent="0.3">
      <c r="A550"/>
    </row>
    <row r="551" spans="1:1" ht="14.4" x14ac:dyDescent="0.3">
      <c r="A551"/>
    </row>
    <row r="552" spans="1:1" ht="14.4" x14ac:dyDescent="0.3">
      <c r="A552"/>
    </row>
    <row r="553" spans="1:1" ht="14.4" x14ac:dyDescent="0.3">
      <c r="A553"/>
    </row>
    <row r="554" spans="1:1" ht="14.4" x14ac:dyDescent="0.3">
      <c r="A554"/>
    </row>
    <row r="555" spans="1:1" ht="14.4" x14ac:dyDescent="0.3">
      <c r="A555"/>
    </row>
    <row r="556" spans="1:1" ht="14.4" x14ac:dyDescent="0.3">
      <c r="A556"/>
    </row>
    <row r="557" spans="1:1" ht="14.4" x14ac:dyDescent="0.3">
      <c r="A557"/>
    </row>
    <row r="558" spans="1:1" ht="14.4" x14ac:dyDescent="0.3">
      <c r="A558"/>
    </row>
    <row r="559" spans="1:1" ht="14.4" x14ac:dyDescent="0.3">
      <c r="A559"/>
    </row>
    <row r="560" spans="1:1" ht="14.4" x14ac:dyDescent="0.3">
      <c r="A560"/>
    </row>
    <row r="561" spans="1:1" ht="14.4" x14ac:dyDescent="0.3">
      <c r="A561"/>
    </row>
    <row r="562" spans="1:1" ht="14.4" x14ac:dyDescent="0.3">
      <c r="A562"/>
    </row>
    <row r="563" spans="1:1" ht="14.4" x14ac:dyDescent="0.3">
      <c r="A563"/>
    </row>
    <row r="564" spans="1:1" ht="14.4" x14ac:dyDescent="0.3">
      <c r="A564"/>
    </row>
    <row r="565" spans="1:1" ht="14.4" x14ac:dyDescent="0.3">
      <c r="A565"/>
    </row>
    <row r="566" spans="1:1" ht="14.4" x14ac:dyDescent="0.3">
      <c r="A566"/>
    </row>
    <row r="567" spans="1:1" ht="14.4" x14ac:dyDescent="0.3">
      <c r="A567"/>
    </row>
    <row r="568" spans="1:1" ht="14.4" x14ac:dyDescent="0.3">
      <c r="A568"/>
    </row>
    <row r="569" spans="1:1" ht="14.4" x14ac:dyDescent="0.3">
      <c r="A569"/>
    </row>
    <row r="570" spans="1:1" ht="14.4" x14ac:dyDescent="0.3">
      <c r="A570"/>
    </row>
    <row r="571" spans="1:1" ht="14.4" x14ac:dyDescent="0.3">
      <c r="A571"/>
    </row>
    <row r="572" spans="1:1" ht="14.4" x14ac:dyDescent="0.3">
      <c r="A572"/>
    </row>
    <row r="573" spans="1:1" ht="14.4" x14ac:dyDescent="0.3">
      <c r="A573"/>
    </row>
    <row r="574" spans="1:1" ht="14.4" x14ac:dyDescent="0.3">
      <c r="A574"/>
    </row>
    <row r="575" spans="1:1" ht="14.4" x14ac:dyDescent="0.3">
      <c r="A575"/>
    </row>
    <row r="576" spans="1:1" ht="14.4" x14ac:dyDescent="0.3">
      <c r="A576"/>
    </row>
    <row r="577" spans="1:1" ht="14.4" x14ac:dyDescent="0.3">
      <c r="A577"/>
    </row>
    <row r="578" spans="1:1" ht="14.4" x14ac:dyDescent="0.3">
      <c r="A578"/>
    </row>
    <row r="579" spans="1:1" ht="14.4" x14ac:dyDescent="0.3">
      <c r="A579"/>
    </row>
    <row r="580" spans="1:1" ht="14.4" x14ac:dyDescent="0.3">
      <c r="A580"/>
    </row>
    <row r="581" spans="1:1" ht="14.4" x14ac:dyDescent="0.3">
      <c r="A581"/>
    </row>
    <row r="582" spans="1:1" ht="14.4" x14ac:dyDescent="0.3">
      <c r="A582"/>
    </row>
    <row r="583" spans="1:1" ht="14.4" x14ac:dyDescent="0.3">
      <c r="A583"/>
    </row>
    <row r="584" spans="1:1" ht="14.4" x14ac:dyDescent="0.3">
      <c r="A584"/>
    </row>
    <row r="585" spans="1:1" ht="14.4" x14ac:dyDescent="0.3">
      <c r="A585"/>
    </row>
    <row r="586" spans="1:1" ht="14.4" x14ac:dyDescent="0.3">
      <c r="A586"/>
    </row>
    <row r="587" spans="1:1" ht="14.4" x14ac:dyDescent="0.3">
      <c r="A587"/>
    </row>
    <row r="588" spans="1:1" ht="14.4" x14ac:dyDescent="0.3">
      <c r="A588"/>
    </row>
    <row r="589" spans="1:1" ht="14.4" x14ac:dyDescent="0.3">
      <c r="A589"/>
    </row>
    <row r="590" spans="1:1" ht="14.4" x14ac:dyDescent="0.3">
      <c r="A590"/>
    </row>
    <row r="591" spans="1:1" ht="14.4" x14ac:dyDescent="0.3">
      <c r="A591"/>
    </row>
    <row r="592" spans="1:1" ht="14.4" x14ac:dyDescent="0.3">
      <c r="A592"/>
    </row>
    <row r="593" spans="1:1" ht="14.4" x14ac:dyDescent="0.3">
      <c r="A593"/>
    </row>
    <row r="594" spans="1:1" ht="14.4" x14ac:dyDescent="0.3">
      <c r="A594"/>
    </row>
    <row r="595" spans="1:1" ht="14.4" x14ac:dyDescent="0.3">
      <c r="A595"/>
    </row>
    <row r="596" spans="1:1" ht="14.4" x14ac:dyDescent="0.3">
      <c r="A596"/>
    </row>
    <row r="597" spans="1:1" ht="14.4" x14ac:dyDescent="0.3">
      <c r="A597"/>
    </row>
    <row r="598" spans="1:1" ht="14.4" x14ac:dyDescent="0.3">
      <c r="A598"/>
    </row>
    <row r="599" spans="1:1" ht="14.4" x14ac:dyDescent="0.3">
      <c r="A599"/>
    </row>
    <row r="600" spans="1:1" ht="14.4" x14ac:dyDescent="0.3">
      <c r="A600"/>
    </row>
    <row r="601" spans="1:1" ht="14.4" x14ac:dyDescent="0.3">
      <c r="A601"/>
    </row>
    <row r="602" spans="1:1" ht="14.4" x14ac:dyDescent="0.3">
      <c r="A602"/>
    </row>
    <row r="603" spans="1:1" ht="14.4" x14ac:dyDescent="0.3">
      <c r="A603"/>
    </row>
    <row r="604" spans="1:1" ht="14.4" x14ac:dyDescent="0.3">
      <c r="A604"/>
    </row>
    <row r="605" spans="1:1" ht="14.4" x14ac:dyDescent="0.3">
      <c r="A605"/>
    </row>
    <row r="606" spans="1:1" ht="14.4" x14ac:dyDescent="0.3">
      <c r="A606"/>
    </row>
    <row r="607" spans="1:1" ht="14.4" x14ac:dyDescent="0.3">
      <c r="A607"/>
    </row>
    <row r="608" spans="1:1" ht="14.4" x14ac:dyDescent="0.3">
      <c r="A608"/>
    </row>
    <row r="609" spans="1:1" ht="14.4" x14ac:dyDescent="0.3">
      <c r="A609"/>
    </row>
    <row r="610" spans="1:1" ht="14.4" x14ac:dyDescent="0.3">
      <c r="A610"/>
    </row>
    <row r="611" spans="1:1" ht="14.4" x14ac:dyDescent="0.3">
      <c r="A611"/>
    </row>
    <row r="612" spans="1:1" ht="14.4" x14ac:dyDescent="0.3">
      <c r="A612"/>
    </row>
    <row r="613" spans="1:1" ht="14.4" x14ac:dyDescent="0.3">
      <c r="A613"/>
    </row>
    <row r="614" spans="1:1" ht="14.4" x14ac:dyDescent="0.3">
      <c r="A614"/>
    </row>
    <row r="615" spans="1:1" ht="14.4" x14ac:dyDescent="0.3">
      <c r="A615"/>
    </row>
    <row r="616" spans="1:1" ht="14.4" x14ac:dyDescent="0.3">
      <c r="A616"/>
    </row>
    <row r="617" spans="1:1" ht="14.4" x14ac:dyDescent="0.3">
      <c r="A617"/>
    </row>
    <row r="618" spans="1:1" ht="14.4" x14ac:dyDescent="0.3">
      <c r="A618"/>
    </row>
    <row r="619" spans="1:1" ht="14.4" x14ac:dyDescent="0.3">
      <c r="A619"/>
    </row>
    <row r="620" spans="1:1" ht="14.4" x14ac:dyDescent="0.3">
      <c r="A620"/>
    </row>
    <row r="621" spans="1:1" ht="14.4" x14ac:dyDescent="0.3">
      <c r="A621"/>
    </row>
    <row r="622" spans="1:1" ht="14.4" x14ac:dyDescent="0.3">
      <c r="A622"/>
    </row>
    <row r="623" spans="1:1" ht="14.4" x14ac:dyDescent="0.3">
      <c r="A623"/>
    </row>
    <row r="624" spans="1:1" ht="14.4" x14ac:dyDescent="0.3">
      <c r="A624"/>
    </row>
    <row r="625" spans="1:1" ht="14.4" x14ac:dyDescent="0.3">
      <c r="A625"/>
    </row>
    <row r="626" spans="1:1" ht="14.4" x14ac:dyDescent="0.3">
      <c r="A626"/>
    </row>
    <row r="627" spans="1:1" ht="14.4" x14ac:dyDescent="0.3">
      <c r="A627"/>
    </row>
    <row r="628" spans="1:1" ht="14.4" x14ac:dyDescent="0.3">
      <c r="A628"/>
    </row>
    <row r="629" spans="1:1" ht="14.4" x14ac:dyDescent="0.3">
      <c r="A629"/>
    </row>
    <row r="630" spans="1:1" ht="14.4" x14ac:dyDescent="0.3">
      <c r="A630"/>
    </row>
    <row r="631" spans="1:1" ht="14.4" x14ac:dyDescent="0.3">
      <c r="A631"/>
    </row>
    <row r="632" spans="1:1" ht="14.4" x14ac:dyDescent="0.3">
      <c r="A632"/>
    </row>
    <row r="633" spans="1:1" ht="14.4" x14ac:dyDescent="0.3">
      <c r="A633"/>
    </row>
    <row r="634" spans="1:1" ht="14.4" x14ac:dyDescent="0.3">
      <c r="A634"/>
    </row>
    <row r="635" spans="1:1" ht="14.4" x14ac:dyDescent="0.3">
      <c r="A635"/>
    </row>
    <row r="636" spans="1:1" ht="14.4" x14ac:dyDescent="0.3">
      <c r="A636"/>
    </row>
    <row r="637" spans="1:1" ht="14.4" x14ac:dyDescent="0.3">
      <c r="A637"/>
    </row>
    <row r="638" spans="1:1" ht="14.4" x14ac:dyDescent="0.3">
      <c r="A638"/>
    </row>
    <row r="639" spans="1:1" ht="14.4" x14ac:dyDescent="0.3">
      <c r="A639"/>
    </row>
    <row r="640" spans="1:1" ht="14.4" x14ac:dyDescent="0.3">
      <c r="A640"/>
    </row>
    <row r="641" spans="1:1" ht="14.4" x14ac:dyDescent="0.3">
      <c r="A641"/>
    </row>
    <row r="642" spans="1:1" ht="14.4" x14ac:dyDescent="0.3">
      <c r="A642"/>
    </row>
    <row r="643" spans="1:1" ht="14.4" x14ac:dyDescent="0.3">
      <c r="A643"/>
    </row>
    <row r="644" spans="1:1" ht="14.4" x14ac:dyDescent="0.3">
      <c r="A644"/>
    </row>
    <row r="645" spans="1:1" ht="14.4" x14ac:dyDescent="0.3">
      <c r="A645"/>
    </row>
    <row r="646" spans="1:1" ht="14.4" x14ac:dyDescent="0.3">
      <c r="A646"/>
    </row>
    <row r="647" spans="1:1" ht="14.4" x14ac:dyDescent="0.3">
      <c r="A647"/>
    </row>
    <row r="648" spans="1:1" ht="14.4" x14ac:dyDescent="0.3">
      <c r="A648"/>
    </row>
    <row r="649" spans="1:1" ht="14.4" x14ac:dyDescent="0.3">
      <c r="A649"/>
    </row>
    <row r="650" spans="1:1" ht="14.4" x14ac:dyDescent="0.3">
      <c r="A650"/>
    </row>
    <row r="651" spans="1:1" ht="14.4" x14ac:dyDescent="0.3">
      <c r="A651"/>
    </row>
    <row r="652" spans="1:1" ht="14.4" x14ac:dyDescent="0.3">
      <c r="A652"/>
    </row>
    <row r="653" spans="1:1" ht="14.4" x14ac:dyDescent="0.3">
      <c r="A653"/>
    </row>
    <row r="654" spans="1:1" ht="14.4" x14ac:dyDescent="0.3">
      <c r="A654"/>
    </row>
    <row r="655" spans="1:1" ht="14.4" x14ac:dyDescent="0.3">
      <c r="A655"/>
    </row>
    <row r="656" spans="1:1" ht="14.4" x14ac:dyDescent="0.3">
      <c r="A656"/>
    </row>
    <row r="657" spans="1:1" ht="14.4" x14ac:dyDescent="0.3">
      <c r="A657"/>
    </row>
    <row r="658" spans="1:1" ht="14.4" x14ac:dyDescent="0.3">
      <c r="A658"/>
    </row>
    <row r="659" spans="1:1" ht="14.4" x14ac:dyDescent="0.3">
      <c r="A659"/>
    </row>
    <row r="660" spans="1:1" ht="14.4" x14ac:dyDescent="0.3">
      <c r="A660"/>
    </row>
    <row r="661" spans="1:1" ht="14.4" x14ac:dyDescent="0.3">
      <c r="A661"/>
    </row>
    <row r="662" spans="1:1" ht="14.4" x14ac:dyDescent="0.3">
      <c r="A662"/>
    </row>
    <row r="663" spans="1:1" ht="14.4" x14ac:dyDescent="0.3">
      <c r="A663"/>
    </row>
    <row r="664" spans="1:1" ht="14.4" x14ac:dyDescent="0.3">
      <c r="A664"/>
    </row>
    <row r="665" spans="1:1" ht="14.4" x14ac:dyDescent="0.3">
      <c r="A665"/>
    </row>
    <row r="666" spans="1:1" ht="14.4" x14ac:dyDescent="0.3">
      <c r="A666"/>
    </row>
    <row r="667" spans="1:1" ht="14.4" x14ac:dyDescent="0.3">
      <c r="A667"/>
    </row>
    <row r="668" spans="1:1" ht="14.4" x14ac:dyDescent="0.3">
      <c r="A668"/>
    </row>
    <row r="669" spans="1:1" ht="14.4" x14ac:dyDescent="0.3">
      <c r="A669"/>
    </row>
    <row r="670" spans="1:1" ht="14.4" x14ac:dyDescent="0.3">
      <c r="A670"/>
    </row>
    <row r="671" spans="1:1" ht="14.4" x14ac:dyDescent="0.3">
      <c r="A671"/>
    </row>
    <row r="672" spans="1:1" ht="14.4" x14ac:dyDescent="0.3">
      <c r="A672"/>
    </row>
    <row r="673" spans="1:1" ht="14.4" x14ac:dyDescent="0.3">
      <c r="A673"/>
    </row>
    <row r="674" spans="1:1" ht="14.4" x14ac:dyDescent="0.3">
      <c r="A674"/>
    </row>
    <row r="675" spans="1:1" ht="14.4" x14ac:dyDescent="0.3">
      <c r="A675"/>
    </row>
    <row r="676" spans="1:1" ht="14.4" x14ac:dyDescent="0.3">
      <c r="A676"/>
    </row>
    <row r="677" spans="1:1" ht="14.4" x14ac:dyDescent="0.3">
      <c r="A677"/>
    </row>
    <row r="678" spans="1:1" ht="14.4" x14ac:dyDescent="0.3">
      <c r="A678"/>
    </row>
    <row r="679" spans="1:1" ht="14.4" x14ac:dyDescent="0.3">
      <c r="A679"/>
    </row>
    <row r="680" spans="1:1" ht="14.4" x14ac:dyDescent="0.3">
      <c r="A680"/>
    </row>
    <row r="681" spans="1:1" ht="14.4" x14ac:dyDescent="0.3">
      <c r="A681"/>
    </row>
    <row r="682" spans="1:1" ht="14.4" x14ac:dyDescent="0.3">
      <c r="A682"/>
    </row>
    <row r="683" spans="1:1" ht="14.4" x14ac:dyDescent="0.3">
      <c r="A683"/>
    </row>
    <row r="684" spans="1:1" ht="14.4" x14ac:dyDescent="0.3">
      <c r="A684"/>
    </row>
    <row r="685" spans="1:1" ht="14.4" x14ac:dyDescent="0.3">
      <c r="A685"/>
    </row>
    <row r="686" spans="1:1" ht="14.4" x14ac:dyDescent="0.3">
      <c r="A686"/>
    </row>
    <row r="687" spans="1:1" ht="14.4" x14ac:dyDescent="0.3">
      <c r="A687"/>
    </row>
    <row r="688" spans="1:1" ht="14.4" x14ac:dyDescent="0.3">
      <c r="A688"/>
    </row>
    <row r="689" spans="1:1" ht="14.4" x14ac:dyDescent="0.3">
      <c r="A689"/>
    </row>
    <row r="690" spans="1:1" ht="14.4" x14ac:dyDescent="0.3">
      <c r="A690"/>
    </row>
    <row r="691" spans="1:1" ht="14.4" x14ac:dyDescent="0.3">
      <c r="A691"/>
    </row>
    <row r="692" spans="1:1" ht="14.4" x14ac:dyDescent="0.3">
      <c r="A692"/>
    </row>
    <row r="693" spans="1:1" ht="14.4" x14ac:dyDescent="0.3">
      <c r="A693"/>
    </row>
    <row r="694" spans="1:1" ht="14.4" x14ac:dyDescent="0.3">
      <c r="A694"/>
    </row>
    <row r="695" spans="1:1" ht="14.4" x14ac:dyDescent="0.3">
      <c r="A695"/>
    </row>
    <row r="696" spans="1:1" ht="14.4" x14ac:dyDescent="0.3">
      <c r="A696"/>
    </row>
    <row r="697" spans="1:1" ht="14.4" x14ac:dyDescent="0.3">
      <c r="A697"/>
    </row>
    <row r="698" spans="1:1" ht="14.4" x14ac:dyDescent="0.3">
      <c r="A698"/>
    </row>
    <row r="699" spans="1:1" ht="14.4" x14ac:dyDescent="0.3">
      <c r="A699"/>
    </row>
    <row r="700" spans="1:1" ht="14.4" x14ac:dyDescent="0.3">
      <c r="A700"/>
    </row>
    <row r="701" spans="1:1" ht="14.4" x14ac:dyDescent="0.3">
      <c r="A701"/>
    </row>
    <row r="702" spans="1:1" ht="14.4" x14ac:dyDescent="0.3">
      <c r="A702"/>
    </row>
    <row r="703" spans="1:1" ht="14.4" x14ac:dyDescent="0.3">
      <c r="A703"/>
    </row>
    <row r="704" spans="1:1" ht="14.4" x14ac:dyDescent="0.3">
      <c r="A704"/>
    </row>
    <row r="705" spans="1:1" ht="14.4" x14ac:dyDescent="0.3">
      <c r="A705"/>
    </row>
    <row r="706" spans="1:1" ht="14.4" x14ac:dyDescent="0.3">
      <c r="A706"/>
    </row>
    <row r="707" spans="1:1" ht="14.4" x14ac:dyDescent="0.3">
      <c r="A707"/>
    </row>
    <row r="708" spans="1:1" ht="14.4" x14ac:dyDescent="0.3">
      <c r="A708"/>
    </row>
    <row r="709" spans="1:1" ht="14.4" x14ac:dyDescent="0.3">
      <c r="A709"/>
    </row>
    <row r="710" spans="1:1" ht="14.4" x14ac:dyDescent="0.3">
      <c r="A710"/>
    </row>
    <row r="711" spans="1:1" ht="14.4" x14ac:dyDescent="0.3">
      <c r="A711"/>
    </row>
    <row r="712" spans="1:1" ht="14.4" x14ac:dyDescent="0.3">
      <c r="A712"/>
    </row>
    <row r="713" spans="1:1" ht="14.4" x14ac:dyDescent="0.3">
      <c r="A713"/>
    </row>
    <row r="714" spans="1:1" ht="14.4" x14ac:dyDescent="0.3">
      <c r="A714"/>
    </row>
    <row r="715" spans="1:1" ht="14.4" x14ac:dyDescent="0.3">
      <c r="A715"/>
    </row>
    <row r="716" spans="1:1" ht="14.4" x14ac:dyDescent="0.3">
      <c r="A716"/>
    </row>
    <row r="717" spans="1:1" ht="14.4" x14ac:dyDescent="0.3">
      <c r="A717"/>
    </row>
    <row r="718" spans="1:1" ht="14.4" x14ac:dyDescent="0.3">
      <c r="A718"/>
    </row>
    <row r="719" spans="1:1" ht="14.4" x14ac:dyDescent="0.3">
      <c r="A719"/>
    </row>
    <row r="720" spans="1:1" ht="14.4" x14ac:dyDescent="0.3">
      <c r="A720"/>
    </row>
    <row r="721" spans="1:1" ht="14.4" x14ac:dyDescent="0.3">
      <c r="A721"/>
    </row>
    <row r="722" spans="1:1" ht="14.4" x14ac:dyDescent="0.3">
      <c r="A722"/>
    </row>
    <row r="723" spans="1:1" ht="14.4" x14ac:dyDescent="0.3">
      <c r="A723"/>
    </row>
    <row r="724" spans="1:1" ht="14.4" x14ac:dyDescent="0.3">
      <c r="A724"/>
    </row>
    <row r="725" spans="1:1" ht="14.4" x14ac:dyDescent="0.3">
      <c r="A725"/>
    </row>
    <row r="726" spans="1:1" ht="14.4" x14ac:dyDescent="0.3">
      <c r="A726"/>
    </row>
    <row r="727" spans="1:1" ht="14.4" x14ac:dyDescent="0.3">
      <c r="A727"/>
    </row>
    <row r="728" spans="1:1" ht="14.4" x14ac:dyDescent="0.3">
      <c r="A728"/>
    </row>
    <row r="729" spans="1:1" ht="14.4" x14ac:dyDescent="0.3">
      <c r="A729"/>
    </row>
    <row r="730" spans="1:1" ht="14.4" x14ac:dyDescent="0.3">
      <c r="A730"/>
    </row>
    <row r="731" spans="1:1" ht="14.4" x14ac:dyDescent="0.3">
      <c r="A731"/>
    </row>
    <row r="732" spans="1:1" ht="14.4" x14ac:dyDescent="0.3">
      <c r="A732"/>
    </row>
    <row r="733" spans="1:1" ht="14.4" x14ac:dyDescent="0.3">
      <c r="A733"/>
    </row>
    <row r="734" spans="1:1" ht="14.4" x14ac:dyDescent="0.3">
      <c r="A734"/>
    </row>
    <row r="735" spans="1:1" ht="14.4" x14ac:dyDescent="0.3">
      <c r="A735"/>
    </row>
    <row r="736" spans="1:1" ht="14.4" x14ac:dyDescent="0.3">
      <c r="A736"/>
    </row>
    <row r="737" spans="1:1" ht="14.4" x14ac:dyDescent="0.3">
      <c r="A737"/>
    </row>
    <row r="738" spans="1:1" ht="14.4" x14ac:dyDescent="0.3">
      <c r="A738"/>
    </row>
    <row r="739" spans="1:1" ht="14.4" x14ac:dyDescent="0.3">
      <c r="A739"/>
    </row>
    <row r="740" spans="1:1" ht="14.4" x14ac:dyDescent="0.3">
      <c r="A740"/>
    </row>
    <row r="741" spans="1:1" ht="14.4" x14ac:dyDescent="0.3">
      <c r="A741"/>
    </row>
    <row r="742" spans="1:1" ht="14.4" x14ac:dyDescent="0.3">
      <c r="A742"/>
    </row>
    <row r="743" spans="1:1" ht="14.4" x14ac:dyDescent="0.3">
      <c r="A743"/>
    </row>
    <row r="744" spans="1:1" ht="14.4" x14ac:dyDescent="0.3">
      <c r="A744"/>
    </row>
    <row r="745" spans="1:1" ht="14.4" x14ac:dyDescent="0.3">
      <c r="A745"/>
    </row>
    <row r="746" spans="1:1" ht="14.4" x14ac:dyDescent="0.3">
      <c r="A746"/>
    </row>
    <row r="747" spans="1:1" ht="14.4" x14ac:dyDescent="0.3">
      <c r="A747"/>
    </row>
    <row r="748" spans="1:1" ht="14.4" x14ac:dyDescent="0.3">
      <c r="A748"/>
    </row>
    <row r="749" spans="1:1" ht="14.4" x14ac:dyDescent="0.3">
      <c r="A749"/>
    </row>
    <row r="750" spans="1:1" ht="14.4" x14ac:dyDescent="0.3">
      <c r="A750"/>
    </row>
    <row r="751" spans="1:1" ht="14.4" x14ac:dyDescent="0.3">
      <c r="A751"/>
    </row>
    <row r="752" spans="1:1" ht="14.4" x14ac:dyDescent="0.3">
      <c r="A752"/>
    </row>
    <row r="753" spans="1:1" ht="14.4" x14ac:dyDescent="0.3">
      <c r="A753"/>
    </row>
    <row r="754" spans="1:1" ht="14.4" x14ac:dyDescent="0.3">
      <c r="A754"/>
    </row>
    <row r="755" spans="1:1" ht="14.4" x14ac:dyDescent="0.3">
      <c r="A755"/>
    </row>
    <row r="756" spans="1:1" ht="14.4" x14ac:dyDescent="0.3">
      <c r="A756"/>
    </row>
    <row r="757" spans="1:1" ht="14.4" x14ac:dyDescent="0.3">
      <c r="A757"/>
    </row>
    <row r="758" spans="1:1" ht="14.4" x14ac:dyDescent="0.3">
      <c r="A758"/>
    </row>
    <row r="759" spans="1:1" ht="14.4" x14ac:dyDescent="0.3">
      <c r="A759"/>
    </row>
    <row r="760" spans="1:1" ht="14.4" x14ac:dyDescent="0.3">
      <c r="A760"/>
    </row>
    <row r="761" spans="1:1" ht="14.4" x14ac:dyDescent="0.3">
      <c r="A761"/>
    </row>
    <row r="762" spans="1:1" ht="14.4" x14ac:dyDescent="0.3">
      <c r="A762"/>
    </row>
    <row r="763" spans="1:1" ht="14.4" x14ac:dyDescent="0.3">
      <c r="A763"/>
    </row>
    <row r="764" spans="1:1" ht="14.4" x14ac:dyDescent="0.3">
      <c r="A764"/>
    </row>
    <row r="765" spans="1:1" ht="14.4" x14ac:dyDescent="0.3">
      <c r="A765"/>
    </row>
    <row r="766" spans="1:1" ht="14.4" x14ac:dyDescent="0.3">
      <c r="A766"/>
    </row>
    <row r="767" spans="1:1" ht="14.4" x14ac:dyDescent="0.3">
      <c r="A767"/>
    </row>
    <row r="768" spans="1:1" ht="14.4" x14ac:dyDescent="0.3">
      <c r="A768"/>
    </row>
    <row r="769" spans="1:1" ht="14.4" x14ac:dyDescent="0.3">
      <c r="A769"/>
    </row>
    <row r="770" spans="1:1" ht="14.4" x14ac:dyDescent="0.3">
      <c r="A770"/>
    </row>
    <row r="771" spans="1:1" ht="14.4" x14ac:dyDescent="0.3">
      <c r="A771"/>
    </row>
    <row r="772" spans="1:1" ht="14.4" x14ac:dyDescent="0.3">
      <c r="A772"/>
    </row>
    <row r="773" spans="1:1" ht="14.4" x14ac:dyDescent="0.3">
      <c r="A773"/>
    </row>
    <row r="774" spans="1:1" ht="14.4" x14ac:dyDescent="0.3">
      <c r="A774"/>
    </row>
    <row r="775" spans="1:1" ht="14.4" x14ac:dyDescent="0.3">
      <c r="A775"/>
    </row>
    <row r="776" spans="1:1" ht="14.4" x14ac:dyDescent="0.3">
      <c r="A776"/>
    </row>
    <row r="777" spans="1:1" ht="14.4" x14ac:dyDescent="0.3">
      <c r="A777"/>
    </row>
    <row r="778" spans="1:1" ht="14.4" x14ac:dyDescent="0.3">
      <c r="A778"/>
    </row>
    <row r="779" spans="1:1" ht="14.4" x14ac:dyDescent="0.3">
      <c r="A779"/>
    </row>
    <row r="780" spans="1:1" ht="14.4" x14ac:dyDescent="0.3">
      <c r="A780"/>
    </row>
    <row r="781" spans="1:1" ht="14.4" x14ac:dyDescent="0.3">
      <c r="A781"/>
    </row>
    <row r="782" spans="1:1" ht="14.4" x14ac:dyDescent="0.3">
      <c r="A782"/>
    </row>
    <row r="783" spans="1:1" ht="14.4" x14ac:dyDescent="0.3">
      <c r="A783"/>
    </row>
    <row r="784" spans="1:1" ht="14.4" x14ac:dyDescent="0.3">
      <c r="A784"/>
    </row>
    <row r="785" spans="1:1" ht="14.4" x14ac:dyDescent="0.3">
      <c r="A785"/>
    </row>
    <row r="786" spans="1:1" ht="14.4" x14ac:dyDescent="0.3">
      <c r="A786"/>
    </row>
    <row r="787" spans="1:1" ht="14.4" x14ac:dyDescent="0.3">
      <c r="A787"/>
    </row>
    <row r="788" spans="1:1" ht="14.4" x14ac:dyDescent="0.3">
      <c r="A788"/>
    </row>
    <row r="789" spans="1:1" ht="14.4" x14ac:dyDescent="0.3">
      <c r="A789"/>
    </row>
    <row r="790" spans="1:1" ht="14.4" x14ac:dyDescent="0.3">
      <c r="A790"/>
    </row>
    <row r="791" spans="1:1" ht="14.4" x14ac:dyDescent="0.3">
      <c r="A791"/>
    </row>
    <row r="792" spans="1:1" ht="14.4" x14ac:dyDescent="0.3">
      <c r="A792"/>
    </row>
    <row r="793" spans="1:1" ht="14.4" x14ac:dyDescent="0.3">
      <c r="A793"/>
    </row>
    <row r="794" spans="1:1" ht="14.4" x14ac:dyDescent="0.3">
      <c r="A794"/>
    </row>
    <row r="795" spans="1:1" ht="14.4" x14ac:dyDescent="0.3">
      <c r="A795"/>
    </row>
    <row r="796" spans="1:1" ht="14.4" x14ac:dyDescent="0.3">
      <c r="A796"/>
    </row>
    <row r="797" spans="1:1" ht="14.4" x14ac:dyDescent="0.3">
      <c r="A797"/>
    </row>
    <row r="798" spans="1:1" ht="14.4" x14ac:dyDescent="0.3">
      <c r="A798"/>
    </row>
    <row r="799" spans="1:1" ht="14.4" x14ac:dyDescent="0.3">
      <c r="A799"/>
    </row>
    <row r="800" spans="1:1" ht="14.4" x14ac:dyDescent="0.3">
      <c r="A800"/>
    </row>
    <row r="801" spans="1:1" ht="14.4" x14ac:dyDescent="0.3">
      <c r="A801"/>
    </row>
    <row r="802" spans="1:1" ht="14.4" x14ac:dyDescent="0.3">
      <c r="A802"/>
    </row>
    <row r="803" spans="1:1" ht="14.4" x14ac:dyDescent="0.3">
      <c r="A803"/>
    </row>
    <row r="804" spans="1:1" ht="14.4" x14ac:dyDescent="0.3">
      <c r="A804"/>
    </row>
    <row r="805" spans="1:1" ht="14.4" x14ac:dyDescent="0.3">
      <c r="A805"/>
    </row>
    <row r="806" spans="1:1" ht="14.4" x14ac:dyDescent="0.3">
      <c r="A806"/>
    </row>
    <row r="807" spans="1:1" ht="14.4" x14ac:dyDescent="0.3">
      <c r="A807"/>
    </row>
    <row r="808" spans="1:1" ht="14.4" x14ac:dyDescent="0.3">
      <c r="A808"/>
    </row>
    <row r="809" spans="1:1" ht="14.4" x14ac:dyDescent="0.3">
      <c r="A809"/>
    </row>
    <row r="810" spans="1:1" ht="14.4" x14ac:dyDescent="0.3">
      <c r="A810"/>
    </row>
    <row r="811" spans="1:1" ht="14.4" x14ac:dyDescent="0.3">
      <c r="A811"/>
    </row>
    <row r="812" spans="1:1" ht="14.4" x14ac:dyDescent="0.3">
      <c r="A812"/>
    </row>
    <row r="813" spans="1:1" ht="14.4" x14ac:dyDescent="0.3">
      <c r="A813"/>
    </row>
    <row r="814" spans="1:1" ht="14.4" x14ac:dyDescent="0.3">
      <c r="A814"/>
    </row>
    <row r="815" spans="1:1" ht="14.4" x14ac:dyDescent="0.3">
      <c r="A815"/>
    </row>
    <row r="816" spans="1:1" ht="14.4" x14ac:dyDescent="0.3">
      <c r="A816"/>
    </row>
    <row r="817" spans="1:1" ht="14.4" x14ac:dyDescent="0.3">
      <c r="A817"/>
    </row>
    <row r="818" spans="1:1" ht="14.4" x14ac:dyDescent="0.3">
      <c r="A818"/>
    </row>
    <row r="819" spans="1:1" ht="14.4" x14ac:dyDescent="0.3">
      <c r="A819"/>
    </row>
    <row r="820" spans="1:1" ht="14.4" x14ac:dyDescent="0.3">
      <c r="A820"/>
    </row>
    <row r="821" spans="1:1" ht="14.4" x14ac:dyDescent="0.3">
      <c r="A821"/>
    </row>
    <row r="822" spans="1:1" ht="14.4" x14ac:dyDescent="0.3">
      <c r="A822"/>
    </row>
    <row r="823" spans="1:1" ht="14.4" x14ac:dyDescent="0.3">
      <c r="A823"/>
    </row>
    <row r="824" spans="1:1" ht="14.4" x14ac:dyDescent="0.3">
      <c r="A824"/>
    </row>
    <row r="825" spans="1:1" ht="14.4" x14ac:dyDescent="0.3">
      <c r="A825"/>
    </row>
    <row r="826" spans="1:1" ht="14.4" x14ac:dyDescent="0.3">
      <c r="A826"/>
    </row>
    <row r="827" spans="1:1" ht="14.4" x14ac:dyDescent="0.3">
      <c r="A827"/>
    </row>
    <row r="828" spans="1:1" ht="14.4" x14ac:dyDescent="0.3">
      <c r="A828"/>
    </row>
    <row r="829" spans="1:1" ht="14.4" x14ac:dyDescent="0.3">
      <c r="A829"/>
    </row>
    <row r="830" spans="1:1" ht="14.4" x14ac:dyDescent="0.3">
      <c r="A830"/>
    </row>
    <row r="831" spans="1:1" ht="14.4" x14ac:dyDescent="0.3">
      <c r="A831"/>
    </row>
    <row r="832" spans="1:1" ht="14.4" x14ac:dyDescent="0.3">
      <c r="A832"/>
    </row>
    <row r="833" spans="1:1" ht="14.4" x14ac:dyDescent="0.3">
      <c r="A833"/>
    </row>
    <row r="834" spans="1:1" ht="14.4" x14ac:dyDescent="0.3">
      <c r="A834"/>
    </row>
    <row r="835" spans="1:1" ht="14.4" x14ac:dyDescent="0.3">
      <c r="A835"/>
    </row>
    <row r="836" spans="1:1" ht="14.4" x14ac:dyDescent="0.3">
      <c r="A836"/>
    </row>
    <row r="837" spans="1:1" ht="14.4" x14ac:dyDescent="0.3">
      <c r="A837"/>
    </row>
    <row r="838" spans="1:1" ht="14.4" x14ac:dyDescent="0.3">
      <c r="A838"/>
    </row>
    <row r="839" spans="1:1" ht="14.4" x14ac:dyDescent="0.3">
      <c r="A839"/>
    </row>
    <row r="840" spans="1:1" ht="14.4" x14ac:dyDescent="0.3">
      <c r="A840"/>
    </row>
    <row r="841" spans="1:1" ht="14.4" x14ac:dyDescent="0.3">
      <c r="A841"/>
    </row>
    <row r="842" spans="1:1" ht="14.4" x14ac:dyDescent="0.3">
      <c r="A842"/>
    </row>
    <row r="843" spans="1:1" ht="14.4" x14ac:dyDescent="0.3">
      <c r="A843"/>
    </row>
    <row r="844" spans="1:1" ht="14.4" x14ac:dyDescent="0.3">
      <c r="A844"/>
    </row>
    <row r="845" spans="1:1" ht="14.4" x14ac:dyDescent="0.3">
      <c r="A845"/>
    </row>
    <row r="846" spans="1:1" ht="14.4" x14ac:dyDescent="0.3">
      <c r="A846"/>
    </row>
    <row r="847" spans="1:1" ht="14.4" x14ac:dyDescent="0.3">
      <c r="A847"/>
    </row>
    <row r="848" spans="1:1" ht="14.4" x14ac:dyDescent="0.3">
      <c r="A848"/>
    </row>
    <row r="849" spans="1:1" ht="14.4" x14ac:dyDescent="0.3">
      <c r="A849"/>
    </row>
    <row r="850" spans="1:1" ht="14.4" x14ac:dyDescent="0.3">
      <c r="A850"/>
    </row>
    <row r="851" spans="1:1" ht="14.4" x14ac:dyDescent="0.3">
      <c r="A851"/>
    </row>
    <row r="852" spans="1:1" ht="14.4" x14ac:dyDescent="0.3">
      <c r="A852"/>
    </row>
    <row r="853" spans="1:1" ht="14.4" x14ac:dyDescent="0.3">
      <c r="A853"/>
    </row>
    <row r="854" spans="1:1" ht="14.4" x14ac:dyDescent="0.3">
      <c r="A854"/>
    </row>
    <row r="855" spans="1:1" ht="14.4" x14ac:dyDescent="0.3">
      <c r="A855"/>
    </row>
    <row r="856" spans="1:1" ht="14.4" x14ac:dyDescent="0.3">
      <c r="A856"/>
    </row>
    <row r="857" spans="1:1" ht="14.4" x14ac:dyDescent="0.3">
      <c r="A857"/>
    </row>
    <row r="858" spans="1:1" ht="14.4" x14ac:dyDescent="0.3">
      <c r="A858"/>
    </row>
    <row r="859" spans="1:1" ht="14.4" x14ac:dyDescent="0.3">
      <c r="A859"/>
    </row>
    <row r="860" spans="1:1" ht="14.4" x14ac:dyDescent="0.3">
      <c r="A860"/>
    </row>
    <row r="861" spans="1:1" ht="14.4" x14ac:dyDescent="0.3">
      <c r="A861"/>
    </row>
    <row r="862" spans="1:1" ht="14.4" x14ac:dyDescent="0.3">
      <c r="A862"/>
    </row>
    <row r="863" spans="1:1" ht="14.4" x14ac:dyDescent="0.3">
      <c r="A863"/>
    </row>
    <row r="864" spans="1:1" ht="14.4" x14ac:dyDescent="0.3">
      <c r="A864"/>
    </row>
    <row r="865" spans="1:1" ht="14.4" x14ac:dyDescent="0.3">
      <c r="A865"/>
    </row>
    <row r="866" spans="1:1" ht="14.4" x14ac:dyDescent="0.3">
      <c r="A866"/>
    </row>
    <row r="867" spans="1:1" ht="14.4" x14ac:dyDescent="0.3">
      <c r="A867"/>
    </row>
    <row r="868" spans="1:1" ht="14.4" x14ac:dyDescent="0.3">
      <c r="A868"/>
    </row>
    <row r="869" spans="1:1" ht="14.4" x14ac:dyDescent="0.3">
      <c r="A869"/>
    </row>
    <row r="870" spans="1:1" ht="14.4" x14ac:dyDescent="0.3">
      <c r="A870"/>
    </row>
    <row r="871" spans="1:1" ht="14.4" x14ac:dyDescent="0.3">
      <c r="A871"/>
    </row>
    <row r="872" spans="1:1" ht="14.4" x14ac:dyDescent="0.3">
      <c r="A872"/>
    </row>
    <row r="873" spans="1:1" ht="14.4" x14ac:dyDescent="0.3">
      <c r="A873"/>
    </row>
    <row r="874" spans="1:1" ht="14.4" x14ac:dyDescent="0.3">
      <c r="A874"/>
    </row>
    <row r="875" spans="1:1" ht="14.4" x14ac:dyDescent="0.3">
      <c r="A875"/>
    </row>
    <row r="876" spans="1:1" ht="14.4" x14ac:dyDescent="0.3">
      <c r="A876"/>
    </row>
    <row r="877" spans="1:1" ht="14.4" x14ac:dyDescent="0.3">
      <c r="A877"/>
    </row>
    <row r="878" spans="1:1" ht="14.4" x14ac:dyDescent="0.3">
      <c r="A878"/>
    </row>
    <row r="879" spans="1:1" ht="14.4" x14ac:dyDescent="0.3">
      <c r="A879"/>
    </row>
    <row r="880" spans="1:1" ht="14.4" x14ac:dyDescent="0.3">
      <c r="A880"/>
    </row>
    <row r="881" spans="1:1" ht="14.4" x14ac:dyDescent="0.3">
      <c r="A881"/>
    </row>
    <row r="882" spans="1:1" ht="14.4" x14ac:dyDescent="0.3">
      <c r="A882"/>
    </row>
    <row r="883" spans="1:1" ht="14.4" x14ac:dyDescent="0.3">
      <c r="A883"/>
    </row>
    <row r="884" spans="1:1" ht="14.4" x14ac:dyDescent="0.3">
      <c r="A884"/>
    </row>
    <row r="885" spans="1:1" ht="14.4" x14ac:dyDescent="0.3">
      <c r="A885"/>
    </row>
    <row r="886" spans="1:1" ht="14.4" x14ac:dyDescent="0.3">
      <c r="A886"/>
    </row>
    <row r="887" spans="1:1" ht="14.4" x14ac:dyDescent="0.3">
      <c r="A887"/>
    </row>
    <row r="888" spans="1:1" ht="14.4" x14ac:dyDescent="0.3">
      <c r="A888"/>
    </row>
    <row r="889" spans="1:1" ht="14.4" x14ac:dyDescent="0.3">
      <c r="A889"/>
    </row>
    <row r="890" spans="1:1" ht="14.4" x14ac:dyDescent="0.3">
      <c r="A890"/>
    </row>
    <row r="891" spans="1:1" ht="14.4" x14ac:dyDescent="0.3">
      <c r="A891"/>
    </row>
    <row r="892" spans="1:1" ht="14.4" x14ac:dyDescent="0.3">
      <c r="A892"/>
    </row>
    <row r="893" spans="1:1" ht="14.4" x14ac:dyDescent="0.3">
      <c r="A893"/>
    </row>
    <row r="894" spans="1:1" ht="14.4" x14ac:dyDescent="0.3">
      <c r="A894"/>
    </row>
    <row r="895" spans="1:1" ht="14.4" x14ac:dyDescent="0.3">
      <c r="A895"/>
    </row>
    <row r="896" spans="1:1" ht="14.4" x14ac:dyDescent="0.3">
      <c r="A896"/>
    </row>
    <row r="897" spans="1:1" ht="14.4" x14ac:dyDescent="0.3">
      <c r="A897"/>
    </row>
    <row r="898" spans="1:1" ht="14.4" x14ac:dyDescent="0.3">
      <c r="A898"/>
    </row>
    <row r="899" spans="1:1" ht="14.4" x14ac:dyDescent="0.3">
      <c r="A899"/>
    </row>
    <row r="900" spans="1:1" ht="14.4" x14ac:dyDescent="0.3">
      <c r="A900"/>
    </row>
    <row r="901" spans="1:1" ht="14.4" x14ac:dyDescent="0.3">
      <c r="A901"/>
    </row>
    <row r="902" spans="1:1" ht="14.4" x14ac:dyDescent="0.3">
      <c r="A902"/>
    </row>
    <row r="903" spans="1:1" ht="14.4" x14ac:dyDescent="0.3">
      <c r="A903"/>
    </row>
    <row r="904" spans="1:1" ht="14.4" x14ac:dyDescent="0.3">
      <c r="A904"/>
    </row>
    <row r="905" spans="1:1" ht="14.4" x14ac:dyDescent="0.3">
      <c r="A905"/>
    </row>
    <row r="906" spans="1:1" ht="14.4" x14ac:dyDescent="0.3">
      <c r="A906"/>
    </row>
    <row r="907" spans="1:1" ht="14.4" x14ac:dyDescent="0.3">
      <c r="A907"/>
    </row>
    <row r="908" spans="1:1" ht="14.4" x14ac:dyDescent="0.3">
      <c r="A908"/>
    </row>
    <row r="909" spans="1:1" ht="14.4" x14ac:dyDescent="0.3">
      <c r="A909"/>
    </row>
    <row r="910" spans="1:1" ht="14.4" x14ac:dyDescent="0.3">
      <c r="A910"/>
    </row>
    <row r="911" spans="1:1" ht="14.4" x14ac:dyDescent="0.3">
      <c r="A911"/>
    </row>
    <row r="912" spans="1:1" ht="14.4" x14ac:dyDescent="0.3">
      <c r="A912"/>
    </row>
    <row r="913" spans="1:1" ht="14.4" x14ac:dyDescent="0.3">
      <c r="A913"/>
    </row>
    <row r="914" spans="1:1" ht="14.4" x14ac:dyDescent="0.3">
      <c r="A914"/>
    </row>
    <row r="915" spans="1:1" ht="14.4" x14ac:dyDescent="0.3">
      <c r="A915"/>
    </row>
    <row r="916" spans="1:1" ht="14.4" x14ac:dyDescent="0.3">
      <c r="A916"/>
    </row>
    <row r="917" spans="1:1" ht="14.4" x14ac:dyDescent="0.3">
      <c r="A917"/>
    </row>
    <row r="918" spans="1:1" ht="14.4" x14ac:dyDescent="0.3">
      <c r="A918"/>
    </row>
    <row r="919" spans="1:1" ht="14.4" x14ac:dyDescent="0.3">
      <c r="A919"/>
    </row>
    <row r="920" spans="1:1" ht="14.4" x14ac:dyDescent="0.3">
      <c r="A920"/>
    </row>
    <row r="921" spans="1:1" ht="14.4" x14ac:dyDescent="0.3">
      <c r="A921"/>
    </row>
    <row r="922" spans="1:1" ht="14.4" x14ac:dyDescent="0.3">
      <c r="A922"/>
    </row>
    <row r="923" spans="1:1" ht="14.4" x14ac:dyDescent="0.3">
      <c r="A923"/>
    </row>
    <row r="924" spans="1:1" ht="14.4" x14ac:dyDescent="0.3">
      <c r="A924"/>
    </row>
    <row r="925" spans="1:1" ht="14.4" x14ac:dyDescent="0.3">
      <c r="A925"/>
    </row>
    <row r="926" spans="1:1" ht="14.4" x14ac:dyDescent="0.3">
      <c r="A926"/>
    </row>
    <row r="927" spans="1:1" ht="14.4" x14ac:dyDescent="0.3">
      <c r="A927"/>
    </row>
    <row r="928" spans="1:1" ht="14.4" x14ac:dyDescent="0.3">
      <c r="A928"/>
    </row>
    <row r="929" spans="1:1" ht="14.4" x14ac:dyDescent="0.3">
      <c r="A929"/>
    </row>
    <row r="930" spans="1:1" ht="14.4" x14ac:dyDescent="0.3">
      <c r="A930"/>
    </row>
    <row r="931" spans="1:1" ht="14.4" x14ac:dyDescent="0.3">
      <c r="A931"/>
    </row>
    <row r="932" spans="1:1" ht="14.4" x14ac:dyDescent="0.3">
      <c r="A932"/>
    </row>
    <row r="933" spans="1:1" ht="14.4" x14ac:dyDescent="0.3">
      <c r="A933"/>
    </row>
    <row r="934" spans="1:1" ht="14.4" x14ac:dyDescent="0.3">
      <c r="A934"/>
    </row>
    <row r="935" spans="1:1" ht="14.4" x14ac:dyDescent="0.3">
      <c r="A935"/>
    </row>
    <row r="936" spans="1:1" ht="14.4" x14ac:dyDescent="0.3">
      <c r="A936"/>
    </row>
    <row r="937" spans="1:1" ht="14.4" x14ac:dyDescent="0.3">
      <c r="A937"/>
    </row>
    <row r="938" spans="1:1" ht="14.4" x14ac:dyDescent="0.3">
      <c r="A938"/>
    </row>
    <row r="939" spans="1:1" ht="14.4" x14ac:dyDescent="0.3">
      <c r="A939"/>
    </row>
    <row r="940" spans="1:1" ht="14.4" x14ac:dyDescent="0.3">
      <c r="A940"/>
    </row>
    <row r="941" spans="1:1" ht="14.4" x14ac:dyDescent="0.3">
      <c r="A941"/>
    </row>
    <row r="942" spans="1:1" ht="14.4" x14ac:dyDescent="0.3">
      <c r="A942"/>
    </row>
    <row r="943" spans="1:1" ht="14.4" x14ac:dyDescent="0.3">
      <c r="A943"/>
    </row>
    <row r="944" spans="1:1" ht="14.4" x14ac:dyDescent="0.3">
      <c r="A944"/>
    </row>
    <row r="945" spans="1:1" ht="14.4" x14ac:dyDescent="0.3">
      <c r="A945"/>
    </row>
    <row r="946" spans="1:1" ht="14.4" x14ac:dyDescent="0.3">
      <c r="A946"/>
    </row>
    <row r="947" spans="1:1" ht="14.4" x14ac:dyDescent="0.3">
      <c r="A947"/>
    </row>
    <row r="948" spans="1:1" ht="14.4" x14ac:dyDescent="0.3">
      <c r="A948"/>
    </row>
    <row r="949" spans="1:1" ht="14.4" x14ac:dyDescent="0.3">
      <c r="A949"/>
    </row>
    <row r="950" spans="1:1" ht="14.4" x14ac:dyDescent="0.3">
      <c r="A950"/>
    </row>
    <row r="951" spans="1:1" ht="14.4" x14ac:dyDescent="0.3">
      <c r="A951"/>
    </row>
    <row r="952" spans="1:1" ht="14.4" x14ac:dyDescent="0.3">
      <c r="A952"/>
    </row>
    <row r="953" spans="1:1" ht="14.4" x14ac:dyDescent="0.3">
      <c r="A953"/>
    </row>
    <row r="954" spans="1:1" ht="14.4" x14ac:dyDescent="0.3">
      <c r="A954"/>
    </row>
    <row r="955" spans="1:1" ht="14.4" x14ac:dyDescent="0.3">
      <c r="A955"/>
    </row>
    <row r="956" spans="1:1" ht="14.4" x14ac:dyDescent="0.3">
      <c r="A956"/>
    </row>
    <row r="957" spans="1:1" ht="14.4" x14ac:dyDescent="0.3">
      <c r="A957"/>
    </row>
    <row r="958" spans="1:1" ht="14.4" x14ac:dyDescent="0.3">
      <c r="A958"/>
    </row>
    <row r="959" spans="1:1" ht="14.4" x14ac:dyDescent="0.3">
      <c r="A959"/>
    </row>
    <row r="960" spans="1:1" ht="14.4" x14ac:dyDescent="0.3">
      <c r="A960"/>
    </row>
    <row r="961" spans="1:1" ht="14.4" x14ac:dyDescent="0.3">
      <c r="A961"/>
    </row>
    <row r="962" spans="1:1" ht="14.4" x14ac:dyDescent="0.3">
      <c r="A962"/>
    </row>
    <row r="963" spans="1:1" ht="14.4" x14ac:dyDescent="0.3">
      <c r="A963"/>
    </row>
    <row r="964" spans="1:1" ht="14.4" x14ac:dyDescent="0.3">
      <c r="A964"/>
    </row>
    <row r="965" spans="1:1" ht="14.4" x14ac:dyDescent="0.3">
      <c r="A965"/>
    </row>
    <row r="966" spans="1:1" ht="14.4" x14ac:dyDescent="0.3">
      <c r="A966"/>
    </row>
    <row r="967" spans="1:1" ht="14.4" x14ac:dyDescent="0.3">
      <c r="A967"/>
    </row>
    <row r="968" spans="1:1" ht="14.4" x14ac:dyDescent="0.3">
      <c r="A968"/>
    </row>
    <row r="969" spans="1:1" ht="14.4" x14ac:dyDescent="0.3">
      <c r="A969"/>
    </row>
    <row r="970" spans="1:1" ht="14.4" x14ac:dyDescent="0.3">
      <c r="A970"/>
    </row>
    <row r="971" spans="1:1" ht="14.4" x14ac:dyDescent="0.3">
      <c r="A971"/>
    </row>
    <row r="972" spans="1:1" ht="14.4" x14ac:dyDescent="0.3">
      <c r="A972"/>
    </row>
    <row r="973" spans="1:1" ht="14.4" x14ac:dyDescent="0.3">
      <c r="A973"/>
    </row>
    <row r="974" spans="1:1" ht="14.4" x14ac:dyDescent="0.3">
      <c r="A974"/>
    </row>
    <row r="975" spans="1:1" ht="14.4" x14ac:dyDescent="0.3">
      <c r="A975"/>
    </row>
    <row r="976" spans="1:1" ht="14.4" x14ac:dyDescent="0.3">
      <c r="A976"/>
    </row>
    <row r="977" spans="1:1" ht="14.4" x14ac:dyDescent="0.3">
      <c r="A977"/>
    </row>
    <row r="978" spans="1:1" ht="14.4" x14ac:dyDescent="0.3">
      <c r="A978"/>
    </row>
    <row r="979" spans="1:1" ht="14.4" x14ac:dyDescent="0.3">
      <c r="A979"/>
    </row>
    <row r="980" spans="1:1" ht="14.4" x14ac:dyDescent="0.3">
      <c r="A980"/>
    </row>
    <row r="981" spans="1:1" ht="14.4" x14ac:dyDescent="0.3">
      <c r="A981"/>
    </row>
    <row r="982" spans="1:1" ht="14.4" x14ac:dyDescent="0.3">
      <c r="A982"/>
    </row>
    <row r="983" spans="1:1" ht="14.4" x14ac:dyDescent="0.3">
      <c r="A983"/>
    </row>
    <row r="984" spans="1:1" ht="14.4" x14ac:dyDescent="0.3">
      <c r="A984"/>
    </row>
    <row r="985" spans="1:1" ht="14.4" x14ac:dyDescent="0.3">
      <c r="A985"/>
    </row>
    <row r="986" spans="1:1" ht="14.4" x14ac:dyDescent="0.3">
      <c r="A986"/>
    </row>
    <row r="987" spans="1:1" ht="14.4" x14ac:dyDescent="0.3">
      <c r="A987"/>
    </row>
    <row r="988" spans="1:1" ht="14.4" x14ac:dyDescent="0.3">
      <c r="A988"/>
    </row>
    <row r="989" spans="1:1" ht="14.4" x14ac:dyDescent="0.3">
      <c r="A989"/>
    </row>
    <row r="990" spans="1:1" ht="14.4" x14ac:dyDescent="0.3">
      <c r="A990"/>
    </row>
    <row r="991" spans="1:1" ht="14.4" x14ac:dyDescent="0.3">
      <c r="A991"/>
    </row>
    <row r="992" spans="1:1" ht="14.4" x14ac:dyDescent="0.3">
      <c r="A992"/>
    </row>
    <row r="993" spans="1:1" ht="14.4" x14ac:dyDescent="0.3">
      <c r="A993"/>
    </row>
    <row r="994" spans="1:1" ht="14.4" x14ac:dyDescent="0.3">
      <c r="A994"/>
    </row>
    <row r="995" spans="1:1" ht="14.4" x14ac:dyDescent="0.3">
      <c r="A995"/>
    </row>
    <row r="996" spans="1:1" ht="14.4" x14ac:dyDescent="0.3">
      <c r="A996"/>
    </row>
    <row r="997" spans="1:1" ht="14.4" x14ac:dyDescent="0.3">
      <c r="A997"/>
    </row>
    <row r="998" spans="1:1" ht="14.4" x14ac:dyDescent="0.3">
      <c r="A998"/>
    </row>
    <row r="999" spans="1:1" ht="14.4" x14ac:dyDescent="0.3">
      <c r="A999"/>
    </row>
    <row r="1000" spans="1:1" ht="14.4" x14ac:dyDescent="0.3">
      <c r="A1000"/>
    </row>
    <row r="1001" spans="1:1" ht="14.4" x14ac:dyDescent="0.3">
      <c r="A1001"/>
    </row>
    <row r="1002" spans="1:1" ht="14.4" x14ac:dyDescent="0.3">
      <c r="A1002"/>
    </row>
    <row r="1003" spans="1:1" ht="14.4" x14ac:dyDescent="0.3">
      <c r="A1003"/>
    </row>
    <row r="1004" spans="1:1" ht="14.4" x14ac:dyDescent="0.3">
      <c r="A1004"/>
    </row>
    <row r="1005" spans="1:1" ht="14.4" x14ac:dyDescent="0.3">
      <c r="A1005"/>
    </row>
    <row r="1006" spans="1:1" ht="14.4" x14ac:dyDescent="0.3">
      <c r="A1006"/>
    </row>
    <row r="1007" spans="1:1" ht="14.4" x14ac:dyDescent="0.3">
      <c r="A1007"/>
    </row>
    <row r="1008" spans="1:1" ht="14.4" x14ac:dyDescent="0.3">
      <c r="A1008"/>
    </row>
    <row r="1009" spans="1:1" ht="14.4" x14ac:dyDescent="0.3">
      <c r="A1009"/>
    </row>
    <row r="1010" spans="1:1" ht="14.4" x14ac:dyDescent="0.3">
      <c r="A1010"/>
    </row>
    <row r="1011" spans="1:1" ht="14.4" x14ac:dyDescent="0.3">
      <c r="A1011"/>
    </row>
    <row r="1012" spans="1:1" ht="14.4" x14ac:dyDescent="0.3">
      <c r="A1012"/>
    </row>
    <row r="1013" spans="1:1" ht="14.4" x14ac:dyDescent="0.3">
      <c r="A1013"/>
    </row>
    <row r="1014" spans="1:1" ht="14.4" x14ac:dyDescent="0.3">
      <c r="A1014"/>
    </row>
    <row r="1015" spans="1:1" ht="14.4" x14ac:dyDescent="0.3">
      <c r="A1015"/>
    </row>
    <row r="1016" spans="1:1" ht="14.4" x14ac:dyDescent="0.3">
      <c r="A1016"/>
    </row>
    <row r="1017" spans="1:1" ht="14.4" x14ac:dyDescent="0.3">
      <c r="A1017"/>
    </row>
    <row r="1018" spans="1:1" ht="14.4" x14ac:dyDescent="0.3">
      <c r="A1018"/>
    </row>
    <row r="1019" spans="1:1" ht="14.4" x14ac:dyDescent="0.3">
      <c r="A1019"/>
    </row>
    <row r="1020" spans="1:1" ht="14.4" x14ac:dyDescent="0.3">
      <c r="A1020"/>
    </row>
    <row r="1021" spans="1:1" ht="14.4" x14ac:dyDescent="0.3">
      <c r="A1021"/>
    </row>
    <row r="1022" spans="1:1" ht="14.4" x14ac:dyDescent="0.3">
      <c r="A1022"/>
    </row>
    <row r="1023" spans="1:1" ht="14.4" x14ac:dyDescent="0.3">
      <c r="A1023"/>
    </row>
    <row r="1024" spans="1:1" ht="14.4" x14ac:dyDescent="0.3">
      <c r="A1024"/>
    </row>
    <row r="1025" spans="1:1" ht="14.4" x14ac:dyDescent="0.3">
      <c r="A1025"/>
    </row>
    <row r="1026" spans="1:1" ht="14.4" x14ac:dyDescent="0.3">
      <c r="A1026"/>
    </row>
    <row r="1027" spans="1:1" ht="14.4" x14ac:dyDescent="0.3">
      <c r="A1027"/>
    </row>
    <row r="1028" spans="1:1" ht="14.4" x14ac:dyDescent="0.3">
      <c r="A1028"/>
    </row>
    <row r="1029" spans="1:1" ht="14.4" x14ac:dyDescent="0.3">
      <c r="A1029"/>
    </row>
    <row r="1030" spans="1:1" ht="14.4" x14ac:dyDescent="0.3">
      <c r="A1030"/>
    </row>
    <row r="1031" spans="1:1" ht="14.4" x14ac:dyDescent="0.3">
      <c r="A1031"/>
    </row>
    <row r="1032" spans="1:1" ht="14.4" x14ac:dyDescent="0.3">
      <c r="A1032"/>
    </row>
    <row r="1033" spans="1:1" ht="14.4" x14ac:dyDescent="0.3">
      <c r="A1033"/>
    </row>
    <row r="1034" spans="1:1" ht="14.4" x14ac:dyDescent="0.3">
      <c r="A1034"/>
    </row>
    <row r="1035" spans="1:1" ht="14.4" x14ac:dyDescent="0.3">
      <c r="A1035"/>
    </row>
    <row r="1036" spans="1:1" ht="14.4" x14ac:dyDescent="0.3">
      <c r="A1036"/>
    </row>
    <row r="1037" spans="1:1" ht="14.4" x14ac:dyDescent="0.3">
      <c r="A1037"/>
    </row>
    <row r="1038" spans="1:1" ht="14.4" x14ac:dyDescent="0.3">
      <c r="A1038"/>
    </row>
    <row r="1039" spans="1:1" ht="14.4" x14ac:dyDescent="0.3">
      <c r="A1039"/>
    </row>
    <row r="1040" spans="1:1" ht="14.4" x14ac:dyDescent="0.3">
      <c r="A1040"/>
    </row>
    <row r="1041" spans="1:1" ht="14.4" x14ac:dyDescent="0.3">
      <c r="A1041"/>
    </row>
    <row r="1042" spans="1:1" ht="14.4" x14ac:dyDescent="0.3">
      <c r="A1042"/>
    </row>
    <row r="1043" spans="1:1" ht="14.4" x14ac:dyDescent="0.3">
      <c r="A1043"/>
    </row>
    <row r="1044" spans="1:1" ht="14.4" x14ac:dyDescent="0.3">
      <c r="A1044"/>
    </row>
    <row r="1045" spans="1:1" ht="14.4" x14ac:dyDescent="0.3">
      <c r="A1045"/>
    </row>
    <row r="1046" spans="1:1" ht="14.4" x14ac:dyDescent="0.3">
      <c r="A1046"/>
    </row>
    <row r="1047" spans="1:1" ht="14.4" x14ac:dyDescent="0.3">
      <c r="A1047"/>
    </row>
    <row r="1048" spans="1:1" ht="14.4" x14ac:dyDescent="0.3">
      <c r="A1048"/>
    </row>
    <row r="1049" spans="1:1" ht="14.4" x14ac:dyDescent="0.3">
      <c r="A1049"/>
    </row>
    <row r="1050" spans="1:1" ht="14.4" x14ac:dyDescent="0.3">
      <c r="A1050"/>
    </row>
    <row r="1051" spans="1:1" ht="14.4" x14ac:dyDescent="0.3">
      <c r="A1051"/>
    </row>
    <row r="1052" spans="1:1" ht="14.4" x14ac:dyDescent="0.3">
      <c r="A1052"/>
    </row>
    <row r="1053" spans="1:1" ht="14.4" x14ac:dyDescent="0.3">
      <c r="A1053"/>
    </row>
    <row r="1054" spans="1:1" ht="14.4" x14ac:dyDescent="0.3">
      <c r="A1054"/>
    </row>
    <row r="1055" spans="1:1" ht="14.4" x14ac:dyDescent="0.3">
      <c r="A1055"/>
    </row>
    <row r="1056" spans="1:1" ht="14.4" x14ac:dyDescent="0.3">
      <c r="A1056"/>
    </row>
    <row r="1057" spans="1:1" ht="14.4" x14ac:dyDescent="0.3">
      <c r="A1057"/>
    </row>
    <row r="1058" spans="1:1" ht="14.4" x14ac:dyDescent="0.3">
      <c r="A1058"/>
    </row>
    <row r="1059" spans="1:1" ht="14.4" x14ac:dyDescent="0.3">
      <c r="A1059"/>
    </row>
    <row r="1060" spans="1:1" ht="14.4" x14ac:dyDescent="0.3">
      <c r="A1060"/>
    </row>
    <row r="1061" spans="1:1" ht="14.4" x14ac:dyDescent="0.3">
      <c r="A1061"/>
    </row>
    <row r="1062" spans="1:1" ht="14.4" x14ac:dyDescent="0.3">
      <c r="A1062"/>
    </row>
    <row r="1063" spans="1:1" ht="14.4" x14ac:dyDescent="0.3">
      <c r="A1063"/>
    </row>
    <row r="1064" spans="1:1" ht="14.4" x14ac:dyDescent="0.3">
      <c r="A1064"/>
    </row>
    <row r="1065" spans="1:1" ht="14.4" x14ac:dyDescent="0.3">
      <c r="A1065"/>
    </row>
    <row r="1066" spans="1:1" ht="14.4" x14ac:dyDescent="0.3">
      <c r="A1066"/>
    </row>
    <row r="1067" spans="1:1" ht="14.4" x14ac:dyDescent="0.3">
      <c r="A1067"/>
    </row>
    <row r="1068" spans="1:1" ht="14.4" x14ac:dyDescent="0.3">
      <c r="A1068"/>
    </row>
    <row r="1069" spans="1:1" ht="14.4" x14ac:dyDescent="0.3">
      <c r="A1069"/>
    </row>
    <row r="1070" spans="1:1" ht="14.4" x14ac:dyDescent="0.3">
      <c r="A1070"/>
    </row>
    <row r="1071" spans="1:1" ht="14.4" x14ac:dyDescent="0.3">
      <c r="A1071"/>
    </row>
    <row r="1072" spans="1:1" ht="14.4" x14ac:dyDescent="0.3">
      <c r="A1072"/>
    </row>
    <row r="1073" spans="1:1" ht="14.4" x14ac:dyDescent="0.3">
      <c r="A1073"/>
    </row>
    <row r="1074" spans="1:1" ht="14.4" x14ac:dyDescent="0.3">
      <c r="A1074"/>
    </row>
    <row r="1075" spans="1:1" ht="14.4" x14ac:dyDescent="0.3">
      <c r="A1075"/>
    </row>
    <row r="1076" spans="1:1" ht="14.4" x14ac:dyDescent="0.3">
      <c r="A1076"/>
    </row>
    <row r="1077" spans="1:1" ht="14.4" x14ac:dyDescent="0.3">
      <c r="A1077"/>
    </row>
    <row r="1078" spans="1:1" ht="14.4" x14ac:dyDescent="0.3">
      <c r="A1078"/>
    </row>
    <row r="1079" spans="1:1" ht="14.4" x14ac:dyDescent="0.3">
      <c r="A1079"/>
    </row>
    <row r="1080" spans="1:1" ht="14.4" x14ac:dyDescent="0.3">
      <c r="A1080"/>
    </row>
    <row r="1081" spans="1:1" ht="14.4" x14ac:dyDescent="0.3">
      <c r="A1081"/>
    </row>
    <row r="1082" spans="1:1" ht="14.4" x14ac:dyDescent="0.3">
      <c r="A1082"/>
    </row>
    <row r="1083" spans="1:1" ht="14.4" x14ac:dyDescent="0.3">
      <c r="A1083"/>
    </row>
    <row r="1084" spans="1:1" ht="14.4" x14ac:dyDescent="0.3">
      <c r="A1084"/>
    </row>
    <row r="1085" spans="1:1" ht="14.4" x14ac:dyDescent="0.3">
      <c r="A1085"/>
    </row>
    <row r="1086" spans="1:1" ht="14.4" x14ac:dyDescent="0.3">
      <c r="A1086"/>
    </row>
    <row r="1087" spans="1:1" ht="14.4" x14ac:dyDescent="0.3">
      <c r="A1087"/>
    </row>
    <row r="1088" spans="1:1" ht="14.4" x14ac:dyDescent="0.3">
      <c r="A1088"/>
    </row>
    <row r="1089" spans="1:1" ht="14.4" x14ac:dyDescent="0.3">
      <c r="A1089"/>
    </row>
    <row r="1090" spans="1:1" ht="14.4" x14ac:dyDescent="0.3">
      <c r="A1090"/>
    </row>
    <row r="1091" spans="1:1" ht="14.4" x14ac:dyDescent="0.3">
      <c r="A1091"/>
    </row>
    <row r="1092" spans="1:1" ht="14.4" x14ac:dyDescent="0.3">
      <c r="A1092"/>
    </row>
    <row r="1093" spans="1:1" ht="14.4" x14ac:dyDescent="0.3">
      <c r="A1093"/>
    </row>
    <row r="1094" spans="1:1" ht="14.4" x14ac:dyDescent="0.3">
      <c r="A1094"/>
    </row>
    <row r="1095" spans="1:1" ht="14.4" x14ac:dyDescent="0.3">
      <c r="A1095"/>
    </row>
    <row r="1096" spans="1:1" ht="14.4" x14ac:dyDescent="0.3">
      <c r="A1096"/>
    </row>
    <row r="1097" spans="1:1" ht="14.4" x14ac:dyDescent="0.3">
      <c r="A1097"/>
    </row>
    <row r="1098" spans="1:1" ht="14.4" x14ac:dyDescent="0.3">
      <c r="A1098"/>
    </row>
    <row r="1099" spans="1:1" ht="14.4" x14ac:dyDescent="0.3">
      <c r="A1099"/>
    </row>
    <row r="1100" spans="1:1" ht="14.4" x14ac:dyDescent="0.3">
      <c r="A1100"/>
    </row>
    <row r="1101" spans="1:1" ht="14.4" x14ac:dyDescent="0.3">
      <c r="A1101"/>
    </row>
    <row r="1102" spans="1:1" ht="14.4" x14ac:dyDescent="0.3">
      <c r="A1102"/>
    </row>
    <row r="1103" spans="1:1" ht="14.4" x14ac:dyDescent="0.3">
      <c r="A1103"/>
    </row>
    <row r="1104" spans="1:1" ht="14.4" x14ac:dyDescent="0.3">
      <c r="A1104"/>
    </row>
    <row r="1105" spans="1:1" ht="14.4" x14ac:dyDescent="0.3">
      <c r="A1105"/>
    </row>
    <row r="1106" spans="1:1" ht="14.4" x14ac:dyDescent="0.3">
      <c r="A1106"/>
    </row>
    <row r="1107" spans="1:1" ht="14.4" x14ac:dyDescent="0.3">
      <c r="A1107"/>
    </row>
    <row r="1108" spans="1:1" ht="14.4" x14ac:dyDescent="0.3">
      <c r="A1108"/>
    </row>
    <row r="1109" spans="1:1" ht="14.4" x14ac:dyDescent="0.3">
      <c r="A1109"/>
    </row>
    <row r="1110" spans="1:1" ht="14.4" x14ac:dyDescent="0.3">
      <c r="A1110"/>
    </row>
    <row r="1111" spans="1:1" ht="14.4" x14ac:dyDescent="0.3">
      <c r="A1111"/>
    </row>
    <row r="1112" spans="1:1" ht="14.4" x14ac:dyDescent="0.3">
      <c r="A1112"/>
    </row>
    <row r="1113" spans="1:1" ht="14.4" x14ac:dyDescent="0.3">
      <c r="A1113"/>
    </row>
    <row r="1114" spans="1:1" ht="14.4" x14ac:dyDescent="0.3">
      <c r="A1114"/>
    </row>
    <row r="1115" spans="1:1" ht="14.4" x14ac:dyDescent="0.3">
      <c r="A1115"/>
    </row>
    <row r="1116" spans="1:1" ht="14.4" x14ac:dyDescent="0.3">
      <c r="A1116"/>
    </row>
    <row r="1117" spans="1:1" ht="14.4" x14ac:dyDescent="0.3">
      <c r="A1117"/>
    </row>
    <row r="1118" spans="1:1" ht="14.4" x14ac:dyDescent="0.3">
      <c r="A1118"/>
    </row>
    <row r="1119" spans="1:1" ht="14.4" x14ac:dyDescent="0.3">
      <c r="A1119"/>
    </row>
    <row r="1120" spans="1:1" ht="14.4" x14ac:dyDescent="0.3">
      <c r="A1120"/>
    </row>
    <row r="1121" spans="1:1" ht="14.4" x14ac:dyDescent="0.3">
      <c r="A1121"/>
    </row>
    <row r="1122" spans="1:1" ht="14.4" x14ac:dyDescent="0.3">
      <c r="A1122"/>
    </row>
    <row r="1123" spans="1:1" ht="14.4" x14ac:dyDescent="0.3">
      <c r="A1123"/>
    </row>
    <row r="1124" spans="1:1" ht="14.4" x14ac:dyDescent="0.3">
      <c r="A1124"/>
    </row>
    <row r="1125" spans="1:1" ht="14.4" x14ac:dyDescent="0.3">
      <c r="A1125"/>
    </row>
    <row r="1126" spans="1:1" ht="14.4" x14ac:dyDescent="0.3">
      <c r="A1126"/>
    </row>
    <row r="1127" spans="1:1" ht="14.4" x14ac:dyDescent="0.3">
      <c r="A1127"/>
    </row>
    <row r="1128" spans="1:1" ht="14.4" x14ac:dyDescent="0.3">
      <c r="A1128"/>
    </row>
    <row r="1129" spans="1:1" ht="14.4" x14ac:dyDescent="0.3">
      <c r="A1129"/>
    </row>
    <row r="1130" spans="1:1" ht="14.4" x14ac:dyDescent="0.3">
      <c r="A1130"/>
    </row>
    <row r="1131" spans="1:1" ht="14.4" x14ac:dyDescent="0.3">
      <c r="A1131"/>
    </row>
    <row r="1132" spans="1:1" ht="14.4" x14ac:dyDescent="0.3">
      <c r="A1132"/>
    </row>
    <row r="1133" spans="1:1" ht="14.4" x14ac:dyDescent="0.3">
      <c r="A1133"/>
    </row>
    <row r="1134" spans="1:1" ht="14.4" x14ac:dyDescent="0.3">
      <c r="A1134"/>
    </row>
    <row r="1135" spans="1:1" ht="14.4" x14ac:dyDescent="0.3">
      <c r="A1135"/>
    </row>
    <row r="1136" spans="1:1" ht="14.4" x14ac:dyDescent="0.3">
      <c r="A1136"/>
    </row>
    <row r="1137" spans="1:1" ht="14.4" x14ac:dyDescent="0.3">
      <c r="A1137"/>
    </row>
    <row r="1138" spans="1:1" ht="14.4" x14ac:dyDescent="0.3">
      <c r="A1138"/>
    </row>
    <row r="1139" spans="1:1" ht="14.4" x14ac:dyDescent="0.3">
      <c r="A1139"/>
    </row>
    <row r="1140" spans="1:1" ht="14.4" x14ac:dyDescent="0.3">
      <c r="A1140"/>
    </row>
    <row r="1141" spans="1:1" ht="14.4" x14ac:dyDescent="0.3">
      <c r="A1141"/>
    </row>
    <row r="1142" spans="1:1" ht="14.4" x14ac:dyDescent="0.3">
      <c r="A1142"/>
    </row>
    <row r="1143" spans="1:1" ht="14.4" x14ac:dyDescent="0.3">
      <c r="A1143"/>
    </row>
    <row r="1144" spans="1:1" ht="14.4" x14ac:dyDescent="0.3">
      <c r="A1144"/>
    </row>
    <row r="1145" spans="1:1" ht="14.4" x14ac:dyDescent="0.3">
      <c r="A1145"/>
    </row>
    <row r="1146" spans="1:1" ht="14.4" x14ac:dyDescent="0.3">
      <c r="A1146"/>
    </row>
    <row r="1147" spans="1:1" ht="14.4" x14ac:dyDescent="0.3">
      <c r="A1147"/>
    </row>
    <row r="1148" spans="1:1" ht="14.4" x14ac:dyDescent="0.3">
      <c r="A1148"/>
    </row>
    <row r="1149" spans="1:1" ht="14.4" x14ac:dyDescent="0.3">
      <c r="A1149"/>
    </row>
    <row r="1150" spans="1:1" ht="14.4" x14ac:dyDescent="0.3">
      <c r="A1150"/>
    </row>
    <row r="1151" spans="1:1" ht="14.4" x14ac:dyDescent="0.3">
      <c r="A1151"/>
    </row>
    <row r="1152" spans="1:1" ht="14.4" x14ac:dyDescent="0.3">
      <c r="A1152"/>
    </row>
    <row r="1153" spans="1:1" ht="14.4" x14ac:dyDescent="0.3">
      <c r="A1153"/>
    </row>
    <row r="1154" spans="1:1" ht="14.4" x14ac:dyDescent="0.3">
      <c r="A1154"/>
    </row>
    <row r="1155" spans="1:1" ht="14.4" x14ac:dyDescent="0.3">
      <c r="A1155"/>
    </row>
    <row r="1156" spans="1:1" ht="14.4" x14ac:dyDescent="0.3">
      <c r="A1156"/>
    </row>
    <row r="1157" spans="1:1" ht="14.4" x14ac:dyDescent="0.3">
      <c r="A1157"/>
    </row>
    <row r="1158" spans="1:1" ht="14.4" x14ac:dyDescent="0.3">
      <c r="A1158"/>
    </row>
    <row r="1159" spans="1:1" ht="14.4" x14ac:dyDescent="0.3">
      <c r="A1159"/>
    </row>
    <row r="1160" spans="1:1" ht="14.4" x14ac:dyDescent="0.3">
      <c r="A1160"/>
    </row>
    <row r="1161" spans="1:1" ht="14.4" x14ac:dyDescent="0.3">
      <c r="A1161"/>
    </row>
    <row r="1162" spans="1:1" ht="14.4" x14ac:dyDescent="0.3">
      <c r="A1162"/>
    </row>
    <row r="1163" spans="1:1" ht="14.4" x14ac:dyDescent="0.3">
      <c r="A1163"/>
    </row>
    <row r="1164" spans="1:1" ht="14.4" x14ac:dyDescent="0.3">
      <c r="A1164"/>
    </row>
    <row r="1165" spans="1:1" ht="14.4" x14ac:dyDescent="0.3">
      <c r="A1165"/>
    </row>
    <row r="1166" spans="1:1" ht="14.4" x14ac:dyDescent="0.3">
      <c r="A1166"/>
    </row>
    <row r="1167" spans="1:1" ht="14.4" x14ac:dyDescent="0.3">
      <c r="A1167"/>
    </row>
    <row r="1168" spans="1:1" ht="14.4" x14ac:dyDescent="0.3">
      <c r="A1168"/>
    </row>
    <row r="1169" spans="1:1" ht="14.4" x14ac:dyDescent="0.3">
      <c r="A1169"/>
    </row>
    <row r="1170" spans="1:1" ht="14.4" x14ac:dyDescent="0.3">
      <c r="A1170"/>
    </row>
    <row r="1171" spans="1:1" ht="14.4" x14ac:dyDescent="0.3">
      <c r="A1171"/>
    </row>
    <row r="1172" spans="1:1" ht="14.4" x14ac:dyDescent="0.3">
      <c r="A1172"/>
    </row>
    <row r="1173" spans="1:1" ht="14.4" x14ac:dyDescent="0.3">
      <c r="A1173"/>
    </row>
    <row r="1174" spans="1:1" ht="14.4" x14ac:dyDescent="0.3">
      <c r="A1174"/>
    </row>
    <row r="1175" spans="1:1" ht="14.4" x14ac:dyDescent="0.3">
      <c r="A1175"/>
    </row>
    <row r="1176" spans="1:1" ht="14.4" x14ac:dyDescent="0.3">
      <c r="A1176"/>
    </row>
    <row r="1177" spans="1:1" ht="14.4" x14ac:dyDescent="0.3">
      <c r="A1177"/>
    </row>
    <row r="1178" spans="1:1" ht="14.4" x14ac:dyDescent="0.3">
      <c r="A1178"/>
    </row>
    <row r="1179" spans="1:1" ht="14.4" x14ac:dyDescent="0.3">
      <c r="A1179"/>
    </row>
    <row r="1180" spans="1:1" ht="14.4" x14ac:dyDescent="0.3">
      <c r="A1180"/>
    </row>
    <row r="1181" spans="1:1" ht="14.4" x14ac:dyDescent="0.3">
      <c r="A1181"/>
    </row>
    <row r="1182" spans="1:1" ht="14.4" x14ac:dyDescent="0.3">
      <c r="A1182"/>
    </row>
    <row r="1183" spans="1:1" ht="14.4" x14ac:dyDescent="0.3">
      <c r="A1183"/>
    </row>
    <row r="1184" spans="1:1" ht="14.4" x14ac:dyDescent="0.3">
      <c r="A1184"/>
    </row>
    <row r="1185" spans="1:1" ht="14.4" x14ac:dyDescent="0.3">
      <c r="A1185"/>
    </row>
    <row r="1186" spans="1:1" ht="14.4" x14ac:dyDescent="0.3">
      <c r="A1186"/>
    </row>
    <row r="1187" spans="1:1" ht="14.4" x14ac:dyDescent="0.3">
      <c r="A1187"/>
    </row>
    <row r="1188" spans="1:1" ht="14.4" x14ac:dyDescent="0.3">
      <c r="A1188"/>
    </row>
    <row r="1189" spans="1:1" ht="14.4" x14ac:dyDescent="0.3">
      <c r="A1189"/>
    </row>
    <row r="1190" spans="1:1" ht="14.4" x14ac:dyDescent="0.3">
      <c r="A1190"/>
    </row>
    <row r="1191" spans="1:1" ht="14.4" x14ac:dyDescent="0.3">
      <c r="A1191"/>
    </row>
    <row r="1192" spans="1:1" ht="14.4" x14ac:dyDescent="0.3">
      <c r="A1192"/>
    </row>
    <row r="1193" spans="1:1" ht="14.4" x14ac:dyDescent="0.3">
      <c r="A1193"/>
    </row>
    <row r="1194" spans="1:1" ht="14.4" x14ac:dyDescent="0.3">
      <c r="A1194"/>
    </row>
    <row r="1195" spans="1:1" ht="14.4" x14ac:dyDescent="0.3">
      <c r="A1195"/>
    </row>
    <row r="1196" spans="1:1" ht="14.4" x14ac:dyDescent="0.3">
      <c r="A1196"/>
    </row>
    <row r="1197" spans="1:1" ht="14.4" x14ac:dyDescent="0.3">
      <c r="A1197"/>
    </row>
    <row r="1198" spans="1:1" ht="14.4" x14ac:dyDescent="0.3">
      <c r="A1198"/>
    </row>
    <row r="1199" spans="1:1" ht="14.4" x14ac:dyDescent="0.3">
      <c r="A1199"/>
    </row>
    <row r="1200" spans="1:1" ht="14.4" x14ac:dyDescent="0.3">
      <c r="A1200"/>
    </row>
    <row r="1201" spans="1:1" ht="14.4" x14ac:dyDescent="0.3">
      <c r="A1201"/>
    </row>
    <row r="1202" spans="1:1" ht="14.4" x14ac:dyDescent="0.3">
      <c r="A1202"/>
    </row>
    <row r="1203" spans="1:1" ht="14.4" x14ac:dyDescent="0.3">
      <c r="A1203"/>
    </row>
    <row r="1204" spans="1:1" ht="14.4" x14ac:dyDescent="0.3">
      <c r="A1204"/>
    </row>
    <row r="1205" spans="1:1" ht="14.4" x14ac:dyDescent="0.3">
      <c r="A1205"/>
    </row>
    <row r="1206" spans="1:1" ht="14.4" x14ac:dyDescent="0.3">
      <c r="A1206"/>
    </row>
    <row r="1207" spans="1:1" ht="14.4" x14ac:dyDescent="0.3">
      <c r="A1207"/>
    </row>
    <row r="1208" spans="1:1" ht="14.4" x14ac:dyDescent="0.3">
      <c r="A1208"/>
    </row>
    <row r="1209" spans="1:1" ht="14.4" x14ac:dyDescent="0.3">
      <c r="A1209"/>
    </row>
    <row r="1210" spans="1:1" ht="14.4" x14ac:dyDescent="0.3">
      <c r="A1210"/>
    </row>
    <row r="1211" spans="1:1" ht="14.4" x14ac:dyDescent="0.3">
      <c r="A1211"/>
    </row>
    <row r="1212" spans="1:1" ht="14.4" x14ac:dyDescent="0.3">
      <c r="A1212"/>
    </row>
    <row r="1213" spans="1:1" ht="14.4" x14ac:dyDescent="0.3">
      <c r="A1213"/>
    </row>
    <row r="1214" spans="1:1" ht="14.4" x14ac:dyDescent="0.3">
      <c r="A1214"/>
    </row>
    <row r="1215" spans="1:1" ht="14.4" x14ac:dyDescent="0.3">
      <c r="A1215"/>
    </row>
    <row r="1216" spans="1:1" ht="14.4" x14ac:dyDescent="0.3">
      <c r="A1216"/>
    </row>
    <row r="1217" spans="1:1" ht="14.4" x14ac:dyDescent="0.3">
      <c r="A1217"/>
    </row>
    <row r="1218" spans="1:1" ht="14.4" x14ac:dyDescent="0.3">
      <c r="A1218"/>
    </row>
    <row r="1219" spans="1:1" ht="14.4" x14ac:dyDescent="0.3">
      <c r="A1219"/>
    </row>
    <row r="1220" spans="1:1" ht="14.4" x14ac:dyDescent="0.3">
      <c r="A1220"/>
    </row>
    <row r="1221" spans="1:1" ht="14.4" x14ac:dyDescent="0.3">
      <c r="A1221"/>
    </row>
    <row r="1222" spans="1:1" ht="14.4" x14ac:dyDescent="0.3">
      <c r="A1222"/>
    </row>
    <row r="1223" spans="1:1" ht="14.4" x14ac:dyDescent="0.3">
      <c r="A1223"/>
    </row>
    <row r="1224" spans="1:1" ht="14.4" x14ac:dyDescent="0.3">
      <c r="A1224"/>
    </row>
    <row r="1225" spans="1:1" ht="14.4" x14ac:dyDescent="0.3">
      <c r="A1225"/>
    </row>
    <row r="1226" spans="1:1" ht="14.4" x14ac:dyDescent="0.3">
      <c r="A1226"/>
    </row>
    <row r="1227" spans="1:1" ht="14.4" x14ac:dyDescent="0.3">
      <c r="A1227"/>
    </row>
    <row r="1228" spans="1:1" ht="14.4" x14ac:dyDescent="0.3">
      <c r="A1228"/>
    </row>
    <row r="1229" spans="1:1" ht="14.4" x14ac:dyDescent="0.3">
      <c r="A1229"/>
    </row>
    <row r="1230" spans="1:1" ht="14.4" x14ac:dyDescent="0.3">
      <c r="A1230"/>
    </row>
    <row r="1231" spans="1:1" ht="14.4" x14ac:dyDescent="0.3">
      <c r="A1231"/>
    </row>
    <row r="1232" spans="1:1" ht="14.4" x14ac:dyDescent="0.3">
      <c r="A1232"/>
    </row>
    <row r="1233" spans="1:1" ht="14.4" x14ac:dyDescent="0.3">
      <c r="A1233"/>
    </row>
    <row r="1234" spans="1:1" ht="14.4" x14ac:dyDescent="0.3">
      <c r="A1234"/>
    </row>
    <row r="1235" spans="1:1" ht="14.4" x14ac:dyDescent="0.3">
      <c r="A1235"/>
    </row>
    <row r="1236" spans="1:1" ht="14.4" x14ac:dyDescent="0.3">
      <c r="A1236"/>
    </row>
    <row r="1237" spans="1:1" ht="14.4" x14ac:dyDescent="0.3">
      <c r="A1237"/>
    </row>
    <row r="1238" spans="1:1" ht="14.4" x14ac:dyDescent="0.3">
      <c r="A1238"/>
    </row>
    <row r="1239" spans="1:1" ht="14.4" x14ac:dyDescent="0.3">
      <c r="A1239"/>
    </row>
    <row r="1240" spans="1:1" ht="14.4" x14ac:dyDescent="0.3">
      <c r="A1240"/>
    </row>
    <row r="1241" spans="1:1" ht="14.4" x14ac:dyDescent="0.3">
      <c r="A1241"/>
    </row>
    <row r="1242" spans="1:1" ht="14.4" x14ac:dyDescent="0.3">
      <c r="A1242"/>
    </row>
    <row r="1243" spans="1:1" ht="14.4" x14ac:dyDescent="0.3">
      <c r="A1243"/>
    </row>
    <row r="1244" spans="1:1" ht="14.4" x14ac:dyDescent="0.3">
      <c r="A1244"/>
    </row>
    <row r="1245" spans="1:1" ht="14.4" x14ac:dyDescent="0.3">
      <c r="A1245"/>
    </row>
    <row r="1246" spans="1:1" ht="14.4" x14ac:dyDescent="0.3">
      <c r="A1246"/>
    </row>
    <row r="1247" spans="1:1" ht="14.4" x14ac:dyDescent="0.3">
      <c r="A1247"/>
    </row>
    <row r="1248" spans="1:1" ht="14.4" x14ac:dyDescent="0.3">
      <c r="A1248"/>
    </row>
    <row r="1249" spans="1:1" ht="14.4" x14ac:dyDescent="0.3">
      <c r="A1249"/>
    </row>
    <row r="1250" spans="1:1" ht="14.4" x14ac:dyDescent="0.3">
      <c r="A1250"/>
    </row>
    <row r="1251" spans="1:1" ht="14.4" x14ac:dyDescent="0.3">
      <c r="A1251"/>
    </row>
    <row r="1252" spans="1:1" ht="14.4" x14ac:dyDescent="0.3">
      <c r="A1252"/>
    </row>
    <row r="1253" spans="1:1" ht="14.4" x14ac:dyDescent="0.3">
      <c r="A1253"/>
    </row>
    <row r="1254" spans="1:1" ht="14.4" x14ac:dyDescent="0.3">
      <c r="A1254"/>
    </row>
    <row r="1255" spans="1:1" ht="14.4" x14ac:dyDescent="0.3">
      <c r="A1255"/>
    </row>
    <row r="1256" spans="1:1" ht="14.4" x14ac:dyDescent="0.3">
      <c r="A1256"/>
    </row>
    <row r="1257" spans="1:1" ht="14.4" x14ac:dyDescent="0.3">
      <c r="A1257"/>
    </row>
    <row r="1258" spans="1:1" ht="14.4" x14ac:dyDescent="0.3">
      <c r="A1258"/>
    </row>
    <row r="1259" spans="1:1" ht="14.4" x14ac:dyDescent="0.3">
      <c r="A1259"/>
    </row>
    <row r="1260" spans="1:1" ht="14.4" x14ac:dyDescent="0.3">
      <c r="A1260"/>
    </row>
    <row r="1261" spans="1:1" ht="14.4" x14ac:dyDescent="0.3">
      <c r="A1261"/>
    </row>
    <row r="1262" spans="1:1" ht="14.4" x14ac:dyDescent="0.3">
      <c r="A1262"/>
    </row>
    <row r="1263" spans="1:1" ht="14.4" x14ac:dyDescent="0.3">
      <c r="A1263"/>
    </row>
    <row r="1264" spans="1:1" ht="14.4" x14ac:dyDescent="0.3">
      <c r="A1264"/>
    </row>
    <row r="1265" spans="1:1" ht="14.4" x14ac:dyDescent="0.3">
      <c r="A1265"/>
    </row>
    <row r="1266" spans="1:1" ht="14.4" x14ac:dyDescent="0.3">
      <c r="A1266"/>
    </row>
    <row r="1267" spans="1:1" ht="14.4" x14ac:dyDescent="0.3">
      <c r="A1267"/>
    </row>
    <row r="1268" spans="1:1" ht="14.4" x14ac:dyDescent="0.3">
      <c r="A1268"/>
    </row>
    <row r="1269" spans="1:1" ht="14.4" x14ac:dyDescent="0.3">
      <c r="A1269"/>
    </row>
    <row r="1270" spans="1:1" ht="14.4" x14ac:dyDescent="0.3">
      <c r="A1270"/>
    </row>
    <row r="1271" spans="1:1" ht="14.4" x14ac:dyDescent="0.3">
      <c r="A1271"/>
    </row>
    <row r="1272" spans="1:1" ht="14.4" x14ac:dyDescent="0.3">
      <c r="A1272"/>
    </row>
    <row r="1273" spans="1:1" ht="14.4" x14ac:dyDescent="0.3">
      <c r="A1273"/>
    </row>
    <row r="1274" spans="1:1" ht="14.4" x14ac:dyDescent="0.3">
      <c r="A1274"/>
    </row>
    <row r="1275" spans="1:1" ht="14.4" x14ac:dyDescent="0.3">
      <c r="A1275"/>
    </row>
    <row r="1276" spans="1:1" ht="14.4" x14ac:dyDescent="0.3">
      <c r="A1276"/>
    </row>
    <row r="1277" spans="1:1" ht="14.4" x14ac:dyDescent="0.3">
      <c r="A1277"/>
    </row>
    <row r="1278" spans="1:1" ht="14.4" x14ac:dyDescent="0.3">
      <c r="A1278"/>
    </row>
    <row r="1279" spans="1:1" ht="14.4" x14ac:dyDescent="0.3">
      <c r="A1279"/>
    </row>
    <row r="1280" spans="1:1" ht="14.4" x14ac:dyDescent="0.3">
      <c r="A1280"/>
    </row>
    <row r="1281" spans="1:1" ht="14.4" x14ac:dyDescent="0.3">
      <c r="A1281"/>
    </row>
    <row r="1282" spans="1:1" ht="14.4" x14ac:dyDescent="0.3">
      <c r="A1282"/>
    </row>
    <row r="1283" spans="1:1" ht="14.4" x14ac:dyDescent="0.3">
      <c r="A1283"/>
    </row>
    <row r="1284" spans="1:1" ht="14.4" x14ac:dyDescent="0.3">
      <c r="A1284"/>
    </row>
    <row r="1285" spans="1:1" ht="14.4" x14ac:dyDescent="0.3">
      <c r="A1285"/>
    </row>
    <row r="1286" spans="1:1" ht="14.4" x14ac:dyDescent="0.3">
      <c r="A1286"/>
    </row>
    <row r="1287" spans="1:1" ht="14.4" x14ac:dyDescent="0.3">
      <c r="A1287"/>
    </row>
    <row r="1288" spans="1:1" ht="14.4" x14ac:dyDescent="0.3">
      <c r="A1288"/>
    </row>
    <row r="1289" spans="1:1" ht="14.4" x14ac:dyDescent="0.3">
      <c r="A1289"/>
    </row>
    <row r="1290" spans="1:1" ht="14.4" x14ac:dyDescent="0.3">
      <c r="A1290"/>
    </row>
    <row r="1291" spans="1:1" ht="14.4" x14ac:dyDescent="0.3">
      <c r="A1291"/>
    </row>
    <row r="1292" spans="1:1" ht="14.4" x14ac:dyDescent="0.3">
      <c r="A1292"/>
    </row>
    <row r="1293" spans="1:1" ht="14.4" x14ac:dyDescent="0.3">
      <c r="A1293"/>
    </row>
    <row r="1294" spans="1:1" ht="14.4" x14ac:dyDescent="0.3">
      <c r="A1294"/>
    </row>
    <row r="1295" spans="1:1" ht="14.4" x14ac:dyDescent="0.3">
      <c r="A1295"/>
    </row>
    <row r="1296" spans="1:1" ht="14.4" x14ac:dyDescent="0.3">
      <c r="A1296"/>
    </row>
    <row r="1297" spans="1:1" ht="14.4" x14ac:dyDescent="0.3">
      <c r="A1297"/>
    </row>
    <row r="1298" spans="1:1" ht="14.4" x14ac:dyDescent="0.3">
      <c r="A1298"/>
    </row>
    <row r="1299" spans="1:1" ht="14.4" x14ac:dyDescent="0.3">
      <c r="A1299"/>
    </row>
    <row r="1300" spans="1:1" ht="14.4" x14ac:dyDescent="0.3">
      <c r="A1300"/>
    </row>
    <row r="1301" spans="1:1" ht="14.4" x14ac:dyDescent="0.3">
      <c r="A1301"/>
    </row>
    <row r="1302" spans="1:1" ht="14.4" x14ac:dyDescent="0.3">
      <c r="A1302"/>
    </row>
    <row r="1303" spans="1:1" ht="14.4" x14ac:dyDescent="0.3">
      <c r="A1303"/>
    </row>
    <row r="1304" spans="1:1" ht="14.4" x14ac:dyDescent="0.3">
      <c r="A1304"/>
    </row>
    <row r="1305" spans="1:1" ht="14.4" x14ac:dyDescent="0.3">
      <c r="A1305"/>
    </row>
    <row r="1306" spans="1:1" ht="14.4" x14ac:dyDescent="0.3">
      <c r="A1306"/>
    </row>
    <row r="1307" spans="1:1" ht="14.4" x14ac:dyDescent="0.3">
      <c r="A1307"/>
    </row>
    <row r="1308" spans="1:1" ht="14.4" x14ac:dyDescent="0.3">
      <c r="A1308"/>
    </row>
    <row r="1309" spans="1:1" ht="14.4" x14ac:dyDescent="0.3">
      <c r="A1309"/>
    </row>
    <row r="1310" spans="1:1" ht="14.4" x14ac:dyDescent="0.3">
      <c r="A1310"/>
    </row>
    <row r="1311" spans="1:1" ht="14.4" x14ac:dyDescent="0.3">
      <c r="A1311"/>
    </row>
    <row r="1312" spans="1:1" ht="14.4" x14ac:dyDescent="0.3">
      <c r="A1312"/>
    </row>
    <row r="1313" spans="1:1" ht="14.4" x14ac:dyDescent="0.3">
      <c r="A1313"/>
    </row>
    <row r="1314" spans="1:1" ht="14.4" x14ac:dyDescent="0.3">
      <c r="A1314"/>
    </row>
    <row r="1315" spans="1:1" ht="14.4" x14ac:dyDescent="0.3">
      <c r="A1315"/>
    </row>
    <row r="1316" spans="1:1" ht="14.4" x14ac:dyDescent="0.3">
      <c r="A1316"/>
    </row>
    <row r="1317" spans="1:1" ht="14.4" x14ac:dyDescent="0.3">
      <c r="A1317"/>
    </row>
    <row r="1318" spans="1:1" ht="14.4" x14ac:dyDescent="0.3">
      <c r="A1318"/>
    </row>
    <row r="1319" spans="1:1" ht="14.4" x14ac:dyDescent="0.3">
      <c r="A1319"/>
    </row>
    <row r="1320" spans="1:1" ht="14.4" x14ac:dyDescent="0.3">
      <c r="A1320"/>
    </row>
    <row r="1321" spans="1:1" ht="14.4" x14ac:dyDescent="0.3">
      <c r="A1321"/>
    </row>
    <row r="1322" spans="1:1" ht="14.4" x14ac:dyDescent="0.3">
      <c r="A1322"/>
    </row>
    <row r="1323" spans="1:1" ht="14.4" x14ac:dyDescent="0.3">
      <c r="A1323"/>
    </row>
    <row r="1324" spans="1:1" ht="14.4" x14ac:dyDescent="0.3">
      <c r="A1324"/>
    </row>
    <row r="1325" spans="1:1" ht="14.4" x14ac:dyDescent="0.3">
      <c r="A1325"/>
    </row>
    <row r="1326" spans="1:1" ht="14.4" x14ac:dyDescent="0.3">
      <c r="A1326"/>
    </row>
    <row r="1327" spans="1:1" ht="14.4" x14ac:dyDescent="0.3">
      <c r="A1327"/>
    </row>
    <row r="1328" spans="1:1" ht="14.4" x14ac:dyDescent="0.3">
      <c r="A1328"/>
    </row>
    <row r="1329" spans="1:1" ht="14.4" x14ac:dyDescent="0.3">
      <c r="A1329"/>
    </row>
    <row r="1330" spans="1:1" ht="14.4" x14ac:dyDescent="0.3">
      <c r="A1330"/>
    </row>
    <row r="1331" spans="1:1" ht="14.4" x14ac:dyDescent="0.3">
      <c r="A1331"/>
    </row>
    <row r="1332" spans="1:1" ht="14.4" x14ac:dyDescent="0.3">
      <c r="A1332"/>
    </row>
    <row r="1333" spans="1:1" ht="14.4" x14ac:dyDescent="0.3">
      <c r="A1333"/>
    </row>
    <row r="1334" spans="1:1" ht="14.4" x14ac:dyDescent="0.3">
      <c r="A1334"/>
    </row>
    <row r="1335" spans="1:1" ht="14.4" x14ac:dyDescent="0.3">
      <c r="A1335"/>
    </row>
    <row r="1336" spans="1:1" ht="14.4" x14ac:dyDescent="0.3">
      <c r="A1336"/>
    </row>
    <row r="1337" spans="1:1" ht="14.4" x14ac:dyDescent="0.3">
      <c r="A1337"/>
    </row>
    <row r="1338" spans="1:1" ht="14.4" x14ac:dyDescent="0.3">
      <c r="A1338"/>
    </row>
    <row r="1339" spans="1:1" ht="14.4" x14ac:dyDescent="0.3">
      <c r="A1339"/>
    </row>
    <row r="1340" spans="1:1" ht="14.4" x14ac:dyDescent="0.3">
      <c r="A1340"/>
    </row>
    <row r="1341" spans="1:1" ht="14.4" x14ac:dyDescent="0.3">
      <c r="A1341"/>
    </row>
    <row r="1342" spans="1:1" ht="14.4" x14ac:dyDescent="0.3">
      <c r="A1342"/>
    </row>
    <row r="1343" spans="1:1" ht="14.4" x14ac:dyDescent="0.3">
      <c r="A1343"/>
    </row>
    <row r="1344" spans="1:1" ht="14.4" x14ac:dyDescent="0.3">
      <c r="A1344"/>
    </row>
    <row r="1345" spans="1:1" ht="14.4" x14ac:dyDescent="0.3">
      <c r="A1345"/>
    </row>
    <row r="1346" spans="1:1" ht="14.4" x14ac:dyDescent="0.3">
      <c r="A1346"/>
    </row>
    <row r="1347" spans="1:1" ht="14.4" x14ac:dyDescent="0.3">
      <c r="A1347"/>
    </row>
    <row r="1348" spans="1:1" ht="14.4" x14ac:dyDescent="0.3">
      <c r="A1348"/>
    </row>
    <row r="1349" spans="1:1" ht="14.4" x14ac:dyDescent="0.3">
      <c r="A1349"/>
    </row>
    <row r="1350" spans="1:1" ht="14.4" x14ac:dyDescent="0.3">
      <c r="A1350"/>
    </row>
    <row r="1351" spans="1:1" ht="14.4" x14ac:dyDescent="0.3">
      <c r="A1351"/>
    </row>
    <row r="1352" spans="1:1" ht="14.4" x14ac:dyDescent="0.3">
      <c r="A1352"/>
    </row>
    <row r="1353" spans="1:1" ht="14.4" x14ac:dyDescent="0.3">
      <c r="A1353"/>
    </row>
    <row r="1354" spans="1:1" ht="14.4" x14ac:dyDescent="0.3">
      <c r="A1354"/>
    </row>
    <row r="1355" spans="1:1" ht="14.4" x14ac:dyDescent="0.3">
      <c r="A1355"/>
    </row>
    <row r="1356" spans="1:1" ht="14.4" x14ac:dyDescent="0.3">
      <c r="A1356"/>
    </row>
    <row r="1357" spans="1:1" ht="14.4" x14ac:dyDescent="0.3">
      <c r="A1357"/>
    </row>
    <row r="1358" spans="1:1" ht="14.4" x14ac:dyDescent="0.3">
      <c r="A1358"/>
    </row>
    <row r="1359" spans="1:1" ht="14.4" x14ac:dyDescent="0.3">
      <c r="A1359"/>
    </row>
    <row r="1360" spans="1:1" ht="14.4" x14ac:dyDescent="0.3">
      <c r="A1360"/>
    </row>
    <row r="1361" spans="1:1" ht="14.4" x14ac:dyDescent="0.3">
      <c r="A1361"/>
    </row>
    <row r="1362" spans="1:1" ht="14.4" x14ac:dyDescent="0.3">
      <c r="A1362"/>
    </row>
    <row r="1363" spans="1:1" ht="14.4" x14ac:dyDescent="0.3">
      <c r="A1363"/>
    </row>
    <row r="1364" spans="1:1" ht="14.4" x14ac:dyDescent="0.3">
      <c r="A1364"/>
    </row>
    <row r="1365" spans="1:1" ht="14.4" x14ac:dyDescent="0.3">
      <c r="A1365"/>
    </row>
    <row r="1366" spans="1:1" ht="14.4" x14ac:dyDescent="0.3">
      <c r="A1366"/>
    </row>
    <row r="1367" spans="1:1" ht="14.4" x14ac:dyDescent="0.3">
      <c r="A1367"/>
    </row>
    <row r="1368" spans="1:1" ht="14.4" x14ac:dyDescent="0.3">
      <c r="A1368"/>
    </row>
    <row r="1369" spans="1:1" ht="14.4" x14ac:dyDescent="0.3">
      <c r="A1369"/>
    </row>
    <row r="1370" spans="1:1" ht="14.4" x14ac:dyDescent="0.3">
      <c r="A1370"/>
    </row>
    <row r="1371" spans="1:1" ht="14.4" x14ac:dyDescent="0.3">
      <c r="A1371"/>
    </row>
    <row r="1372" spans="1:1" ht="14.4" x14ac:dyDescent="0.3">
      <c r="A1372"/>
    </row>
    <row r="1373" spans="1:1" ht="14.4" x14ac:dyDescent="0.3">
      <c r="A1373"/>
    </row>
    <row r="1374" spans="1:1" ht="14.4" x14ac:dyDescent="0.3">
      <c r="A1374"/>
    </row>
    <row r="1375" spans="1:1" ht="14.4" x14ac:dyDescent="0.3">
      <c r="A1375"/>
    </row>
    <row r="1376" spans="1:1" ht="14.4" x14ac:dyDescent="0.3">
      <c r="A1376"/>
    </row>
    <row r="1377" spans="1:1" ht="14.4" x14ac:dyDescent="0.3">
      <c r="A1377"/>
    </row>
    <row r="1378" spans="1:1" ht="14.4" x14ac:dyDescent="0.3">
      <c r="A1378"/>
    </row>
    <row r="1379" spans="1:1" ht="14.4" x14ac:dyDescent="0.3">
      <c r="A1379"/>
    </row>
    <row r="1380" spans="1:1" ht="14.4" x14ac:dyDescent="0.3">
      <c r="A1380"/>
    </row>
    <row r="1381" spans="1:1" ht="14.4" x14ac:dyDescent="0.3">
      <c r="A1381"/>
    </row>
    <row r="1382" spans="1:1" ht="14.4" x14ac:dyDescent="0.3">
      <c r="A1382"/>
    </row>
    <row r="1383" spans="1:1" ht="14.4" x14ac:dyDescent="0.3">
      <c r="A1383"/>
    </row>
    <row r="1384" spans="1:1" ht="14.4" x14ac:dyDescent="0.3">
      <c r="A1384"/>
    </row>
    <row r="1385" spans="1:1" ht="14.4" x14ac:dyDescent="0.3">
      <c r="A1385"/>
    </row>
    <row r="1386" spans="1:1" ht="14.4" x14ac:dyDescent="0.3">
      <c r="A1386"/>
    </row>
    <row r="1387" spans="1:1" ht="14.4" x14ac:dyDescent="0.3">
      <c r="A1387"/>
    </row>
    <row r="1388" spans="1:1" ht="14.4" x14ac:dyDescent="0.3">
      <c r="A1388"/>
    </row>
    <row r="1389" spans="1:1" ht="14.4" x14ac:dyDescent="0.3">
      <c r="A1389"/>
    </row>
    <row r="1390" spans="1:1" ht="14.4" x14ac:dyDescent="0.3">
      <c r="A1390"/>
    </row>
    <row r="1391" spans="1:1" ht="14.4" x14ac:dyDescent="0.3">
      <c r="A1391"/>
    </row>
    <row r="1392" spans="1:1" ht="14.4" x14ac:dyDescent="0.3">
      <c r="A1392"/>
    </row>
    <row r="1393" spans="1:1" ht="14.4" x14ac:dyDescent="0.3">
      <c r="A1393"/>
    </row>
    <row r="1394" spans="1:1" ht="14.4" x14ac:dyDescent="0.3">
      <c r="A1394"/>
    </row>
    <row r="1395" spans="1:1" ht="14.4" x14ac:dyDescent="0.3">
      <c r="A1395"/>
    </row>
    <row r="1396" spans="1:1" ht="14.4" x14ac:dyDescent="0.3">
      <c r="A1396"/>
    </row>
    <row r="1397" spans="1:1" ht="14.4" x14ac:dyDescent="0.3">
      <c r="A1397"/>
    </row>
    <row r="1398" spans="1:1" ht="14.4" x14ac:dyDescent="0.3">
      <c r="A1398"/>
    </row>
    <row r="1399" spans="1:1" ht="14.4" x14ac:dyDescent="0.3">
      <c r="A1399"/>
    </row>
    <row r="1400" spans="1:1" ht="14.4" x14ac:dyDescent="0.3">
      <c r="A1400"/>
    </row>
    <row r="1401" spans="1:1" ht="14.4" x14ac:dyDescent="0.3">
      <c r="A1401"/>
    </row>
    <row r="1402" spans="1:1" ht="14.4" x14ac:dyDescent="0.3">
      <c r="A1402"/>
    </row>
    <row r="1403" spans="1:1" ht="14.4" x14ac:dyDescent="0.3">
      <c r="A1403"/>
    </row>
    <row r="1404" spans="1:1" ht="14.4" x14ac:dyDescent="0.3">
      <c r="A1404"/>
    </row>
    <row r="1405" spans="1:1" ht="14.4" x14ac:dyDescent="0.3">
      <c r="A1405"/>
    </row>
    <row r="1406" spans="1:1" ht="14.4" x14ac:dyDescent="0.3">
      <c r="A1406"/>
    </row>
    <row r="1407" spans="1:1" ht="14.4" x14ac:dyDescent="0.3">
      <c r="A1407"/>
    </row>
    <row r="1408" spans="1:1" ht="14.4" x14ac:dyDescent="0.3">
      <c r="A1408"/>
    </row>
    <row r="1409" spans="1:1" ht="14.4" x14ac:dyDescent="0.3">
      <c r="A1409"/>
    </row>
    <row r="1410" spans="1:1" ht="14.4" x14ac:dyDescent="0.3">
      <c r="A1410"/>
    </row>
    <row r="1411" spans="1:1" ht="14.4" x14ac:dyDescent="0.3">
      <c r="A1411"/>
    </row>
    <row r="1412" spans="1:1" ht="14.4" x14ac:dyDescent="0.3">
      <c r="A1412"/>
    </row>
    <row r="1413" spans="1:1" ht="14.4" x14ac:dyDescent="0.3">
      <c r="A1413"/>
    </row>
    <row r="1414" spans="1:1" ht="14.4" x14ac:dyDescent="0.3">
      <c r="A1414"/>
    </row>
    <row r="1415" spans="1:1" ht="14.4" x14ac:dyDescent="0.3">
      <c r="A1415"/>
    </row>
    <row r="1416" spans="1:1" ht="14.4" x14ac:dyDescent="0.3">
      <c r="A1416"/>
    </row>
    <row r="1417" spans="1:1" ht="14.4" x14ac:dyDescent="0.3">
      <c r="A1417"/>
    </row>
    <row r="1418" spans="1:1" ht="14.4" x14ac:dyDescent="0.3">
      <c r="A1418"/>
    </row>
    <row r="1419" spans="1:1" ht="14.4" x14ac:dyDescent="0.3">
      <c r="A1419"/>
    </row>
    <row r="1420" spans="1:1" ht="14.4" x14ac:dyDescent="0.3">
      <c r="A1420"/>
    </row>
    <row r="1421" spans="1:1" ht="14.4" x14ac:dyDescent="0.3">
      <c r="A1421"/>
    </row>
    <row r="1422" spans="1:1" ht="14.4" x14ac:dyDescent="0.3">
      <c r="A1422"/>
    </row>
    <row r="1423" spans="1:1" ht="14.4" x14ac:dyDescent="0.3">
      <c r="A1423"/>
    </row>
    <row r="1424" spans="1:1" ht="14.4" x14ac:dyDescent="0.3">
      <c r="A1424"/>
    </row>
    <row r="1425" spans="1:1" ht="14.4" x14ac:dyDescent="0.3">
      <c r="A1425"/>
    </row>
    <row r="1426" spans="1:1" ht="14.4" x14ac:dyDescent="0.3">
      <c r="A1426"/>
    </row>
    <row r="1427" spans="1:1" ht="14.4" x14ac:dyDescent="0.3">
      <c r="A1427"/>
    </row>
    <row r="1428" spans="1:1" ht="14.4" x14ac:dyDescent="0.3">
      <c r="A1428"/>
    </row>
    <row r="1429" spans="1:1" ht="14.4" x14ac:dyDescent="0.3">
      <c r="A1429"/>
    </row>
    <row r="1430" spans="1:1" ht="14.4" x14ac:dyDescent="0.3">
      <c r="A1430"/>
    </row>
    <row r="1431" spans="1:1" ht="14.4" x14ac:dyDescent="0.3">
      <c r="A1431"/>
    </row>
    <row r="1432" spans="1:1" ht="14.4" x14ac:dyDescent="0.3">
      <c r="A1432"/>
    </row>
    <row r="1433" spans="1:1" ht="14.4" x14ac:dyDescent="0.3">
      <c r="A1433"/>
    </row>
    <row r="1434" spans="1:1" ht="14.4" x14ac:dyDescent="0.3">
      <c r="A1434"/>
    </row>
    <row r="1435" spans="1:1" ht="14.4" x14ac:dyDescent="0.3">
      <c r="A1435"/>
    </row>
    <row r="1436" spans="1:1" ht="14.4" x14ac:dyDescent="0.3">
      <c r="A1436"/>
    </row>
    <row r="1437" spans="1:1" ht="14.4" x14ac:dyDescent="0.3">
      <c r="A1437"/>
    </row>
    <row r="1438" spans="1:1" ht="14.4" x14ac:dyDescent="0.3">
      <c r="A1438"/>
    </row>
    <row r="1439" spans="1:1" ht="14.4" x14ac:dyDescent="0.3">
      <c r="A1439"/>
    </row>
    <row r="1440" spans="1:1" ht="14.4" x14ac:dyDescent="0.3">
      <c r="A1440"/>
    </row>
    <row r="1441" spans="1:1" ht="14.4" x14ac:dyDescent="0.3">
      <c r="A1441"/>
    </row>
    <row r="1442" spans="1:1" ht="14.4" x14ac:dyDescent="0.3">
      <c r="A1442"/>
    </row>
    <row r="1443" spans="1:1" ht="14.4" x14ac:dyDescent="0.3">
      <c r="A1443"/>
    </row>
    <row r="1444" spans="1:1" ht="14.4" x14ac:dyDescent="0.3">
      <c r="A1444"/>
    </row>
    <row r="1445" spans="1:1" ht="14.4" x14ac:dyDescent="0.3">
      <c r="A1445"/>
    </row>
    <row r="1446" spans="1:1" ht="14.4" x14ac:dyDescent="0.3">
      <c r="A1446"/>
    </row>
    <row r="1447" spans="1:1" ht="14.4" x14ac:dyDescent="0.3">
      <c r="A1447"/>
    </row>
    <row r="1448" spans="1:1" ht="14.4" x14ac:dyDescent="0.3">
      <c r="A1448"/>
    </row>
    <row r="1449" spans="1:1" ht="14.4" x14ac:dyDescent="0.3">
      <c r="A1449"/>
    </row>
    <row r="1450" spans="1:1" ht="14.4" x14ac:dyDescent="0.3">
      <c r="A1450"/>
    </row>
    <row r="1451" spans="1:1" ht="14.4" x14ac:dyDescent="0.3">
      <c r="A1451"/>
    </row>
    <row r="1452" spans="1:1" ht="14.4" x14ac:dyDescent="0.3">
      <c r="A1452"/>
    </row>
    <row r="1453" spans="1:1" ht="14.4" x14ac:dyDescent="0.3">
      <c r="A1453"/>
    </row>
    <row r="1454" spans="1:1" ht="14.4" x14ac:dyDescent="0.3">
      <c r="A1454"/>
    </row>
    <row r="1455" spans="1:1" ht="14.4" x14ac:dyDescent="0.3">
      <c r="A1455"/>
    </row>
    <row r="1456" spans="1:1" ht="14.4" x14ac:dyDescent="0.3">
      <c r="A1456"/>
    </row>
    <row r="1457" spans="1:1" ht="14.4" x14ac:dyDescent="0.3">
      <c r="A1457"/>
    </row>
    <row r="1458" spans="1:1" ht="14.4" x14ac:dyDescent="0.3">
      <c r="A1458"/>
    </row>
    <row r="1459" spans="1:1" ht="14.4" x14ac:dyDescent="0.3">
      <c r="A1459"/>
    </row>
    <row r="1460" spans="1:1" ht="14.4" x14ac:dyDescent="0.3">
      <c r="A1460"/>
    </row>
    <row r="1461" spans="1:1" ht="14.4" x14ac:dyDescent="0.3">
      <c r="A1461"/>
    </row>
    <row r="1462" spans="1:1" ht="14.4" x14ac:dyDescent="0.3">
      <c r="A1462"/>
    </row>
    <row r="1463" spans="1:1" ht="14.4" x14ac:dyDescent="0.3">
      <c r="A1463"/>
    </row>
    <row r="1464" spans="1:1" ht="14.4" x14ac:dyDescent="0.3">
      <c r="A1464"/>
    </row>
    <row r="1465" spans="1:1" ht="14.4" x14ac:dyDescent="0.3">
      <c r="A1465"/>
    </row>
    <row r="1466" spans="1:1" ht="14.4" x14ac:dyDescent="0.3">
      <c r="A1466"/>
    </row>
    <row r="1467" spans="1:1" ht="14.4" x14ac:dyDescent="0.3">
      <c r="A1467"/>
    </row>
    <row r="1468" spans="1:1" ht="14.4" x14ac:dyDescent="0.3">
      <c r="A1468"/>
    </row>
    <row r="1469" spans="1:1" ht="14.4" x14ac:dyDescent="0.3">
      <c r="A1469"/>
    </row>
    <row r="1470" spans="1:1" ht="14.4" x14ac:dyDescent="0.3">
      <c r="A1470"/>
    </row>
    <row r="1471" spans="1:1" ht="14.4" x14ac:dyDescent="0.3">
      <c r="A1471"/>
    </row>
    <row r="1472" spans="1:1" ht="14.4" x14ac:dyDescent="0.3">
      <c r="A1472"/>
    </row>
    <row r="1473" spans="1:1" ht="14.4" x14ac:dyDescent="0.3">
      <c r="A1473"/>
    </row>
    <row r="1474" spans="1:1" ht="14.4" x14ac:dyDescent="0.3">
      <c r="A1474"/>
    </row>
    <row r="1475" spans="1:1" ht="14.4" x14ac:dyDescent="0.3">
      <c r="A1475"/>
    </row>
    <row r="1476" spans="1:1" ht="14.4" x14ac:dyDescent="0.3">
      <c r="A1476"/>
    </row>
    <row r="1477" spans="1:1" ht="14.4" x14ac:dyDescent="0.3">
      <c r="A1477"/>
    </row>
    <row r="1478" spans="1:1" ht="14.4" x14ac:dyDescent="0.3">
      <c r="A1478"/>
    </row>
    <row r="1479" spans="1:1" ht="14.4" x14ac:dyDescent="0.3">
      <c r="A1479"/>
    </row>
    <row r="1480" spans="1:1" ht="14.4" x14ac:dyDescent="0.3">
      <c r="A1480"/>
    </row>
    <row r="1481" spans="1:1" ht="14.4" x14ac:dyDescent="0.3">
      <c r="A1481"/>
    </row>
    <row r="1482" spans="1:1" ht="14.4" x14ac:dyDescent="0.3">
      <c r="A1482"/>
    </row>
    <row r="1483" spans="1:1" ht="14.4" x14ac:dyDescent="0.3">
      <c r="A1483"/>
    </row>
    <row r="1484" spans="1:1" ht="14.4" x14ac:dyDescent="0.3">
      <c r="A1484"/>
    </row>
    <row r="1485" spans="1:1" ht="14.4" x14ac:dyDescent="0.3">
      <c r="A1485"/>
    </row>
    <row r="1486" spans="1:1" ht="14.4" x14ac:dyDescent="0.3">
      <c r="A1486"/>
    </row>
    <row r="1487" spans="1:1" ht="14.4" x14ac:dyDescent="0.3">
      <c r="A1487"/>
    </row>
    <row r="1488" spans="1:1" ht="14.4" x14ac:dyDescent="0.3">
      <c r="A1488"/>
    </row>
    <row r="1489" spans="1:1" ht="14.4" x14ac:dyDescent="0.3">
      <c r="A1489"/>
    </row>
    <row r="1490" spans="1:1" ht="14.4" x14ac:dyDescent="0.3">
      <c r="A1490"/>
    </row>
    <row r="1491" spans="1:1" ht="14.4" x14ac:dyDescent="0.3">
      <c r="A1491"/>
    </row>
    <row r="1492" spans="1:1" ht="14.4" x14ac:dyDescent="0.3">
      <c r="A1492"/>
    </row>
    <row r="1493" spans="1:1" ht="14.4" x14ac:dyDescent="0.3">
      <c r="A1493"/>
    </row>
    <row r="1494" spans="1:1" ht="14.4" x14ac:dyDescent="0.3">
      <c r="A1494"/>
    </row>
    <row r="1495" spans="1:1" ht="14.4" x14ac:dyDescent="0.3">
      <c r="A1495"/>
    </row>
    <row r="1496" spans="1:1" ht="14.4" x14ac:dyDescent="0.3">
      <c r="A1496"/>
    </row>
    <row r="1497" spans="1:1" ht="14.4" x14ac:dyDescent="0.3">
      <c r="A1497"/>
    </row>
    <row r="1498" spans="1:1" ht="14.4" x14ac:dyDescent="0.3">
      <c r="A1498"/>
    </row>
    <row r="1499" spans="1:1" ht="14.4" x14ac:dyDescent="0.3">
      <c r="A1499"/>
    </row>
    <row r="1500" spans="1:1" ht="14.4" x14ac:dyDescent="0.3">
      <c r="A1500"/>
    </row>
    <row r="1501" spans="1:1" ht="14.4" x14ac:dyDescent="0.3">
      <c r="A1501"/>
    </row>
    <row r="1502" spans="1:1" ht="14.4" x14ac:dyDescent="0.3">
      <c r="A1502"/>
    </row>
    <row r="1503" spans="1:1" ht="14.4" x14ac:dyDescent="0.3">
      <c r="A1503"/>
    </row>
    <row r="1504" spans="1:1" ht="14.4" x14ac:dyDescent="0.3">
      <c r="A1504"/>
    </row>
    <row r="1505" spans="1:1" ht="14.4" x14ac:dyDescent="0.3">
      <c r="A1505"/>
    </row>
    <row r="1506" spans="1:1" ht="14.4" x14ac:dyDescent="0.3">
      <c r="A1506"/>
    </row>
    <row r="1507" spans="1:1" ht="14.4" x14ac:dyDescent="0.3">
      <c r="A1507"/>
    </row>
    <row r="1508" spans="1:1" ht="14.4" x14ac:dyDescent="0.3">
      <c r="A1508"/>
    </row>
    <row r="1509" spans="1:1" ht="14.4" x14ac:dyDescent="0.3">
      <c r="A1509"/>
    </row>
    <row r="1510" spans="1:1" ht="14.4" x14ac:dyDescent="0.3">
      <c r="A1510"/>
    </row>
    <row r="1511" spans="1:1" ht="14.4" x14ac:dyDescent="0.3">
      <c r="A1511"/>
    </row>
    <row r="1512" spans="1:1" ht="14.4" x14ac:dyDescent="0.3">
      <c r="A1512"/>
    </row>
    <row r="1513" spans="1:1" ht="14.4" x14ac:dyDescent="0.3">
      <c r="A1513"/>
    </row>
    <row r="1514" spans="1:1" ht="14.4" x14ac:dyDescent="0.3">
      <c r="A1514"/>
    </row>
    <row r="1515" spans="1:1" ht="14.4" x14ac:dyDescent="0.3">
      <c r="A1515"/>
    </row>
    <row r="1516" spans="1:1" ht="14.4" x14ac:dyDescent="0.3">
      <c r="A1516"/>
    </row>
    <row r="1517" spans="1:1" ht="14.4" x14ac:dyDescent="0.3">
      <c r="A1517"/>
    </row>
    <row r="1518" spans="1:1" ht="14.4" x14ac:dyDescent="0.3">
      <c r="A1518"/>
    </row>
    <row r="1519" spans="1:1" ht="14.4" x14ac:dyDescent="0.3">
      <c r="A1519"/>
    </row>
    <row r="1520" spans="1:1" ht="14.4" x14ac:dyDescent="0.3">
      <c r="A1520"/>
    </row>
    <row r="1521" spans="1:1" ht="14.4" x14ac:dyDescent="0.3">
      <c r="A1521"/>
    </row>
    <row r="1522" spans="1:1" ht="14.4" x14ac:dyDescent="0.3">
      <c r="A1522"/>
    </row>
    <row r="1523" spans="1:1" ht="14.4" x14ac:dyDescent="0.3">
      <c r="A1523"/>
    </row>
    <row r="1524" spans="1:1" ht="14.4" x14ac:dyDescent="0.3">
      <c r="A1524"/>
    </row>
    <row r="1525" spans="1:1" ht="14.4" x14ac:dyDescent="0.3">
      <c r="A1525"/>
    </row>
    <row r="1526" spans="1:1" ht="14.4" x14ac:dyDescent="0.3">
      <c r="A1526"/>
    </row>
    <row r="1527" spans="1:1" ht="14.4" x14ac:dyDescent="0.3">
      <c r="A1527"/>
    </row>
    <row r="1528" spans="1:1" ht="14.4" x14ac:dyDescent="0.3">
      <c r="A1528"/>
    </row>
    <row r="1529" spans="1:1" ht="14.4" x14ac:dyDescent="0.3">
      <c r="A1529"/>
    </row>
    <row r="1530" spans="1:1" ht="14.4" x14ac:dyDescent="0.3">
      <c r="A1530"/>
    </row>
    <row r="1531" spans="1:1" ht="14.4" x14ac:dyDescent="0.3">
      <c r="A1531"/>
    </row>
    <row r="1532" spans="1:1" ht="14.4" x14ac:dyDescent="0.3">
      <c r="A1532"/>
    </row>
    <row r="1533" spans="1:1" ht="14.4" x14ac:dyDescent="0.3">
      <c r="A1533"/>
    </row>
    <row r="1534" spans="1:1" ht="14.4" x14ac:dyDescent="0.3">
      <c r="A1534"/>
    </row>
    <row r="1535" spans="1:1" ht="14.4" x14ac:dyDescent="0.3">
      <c r="A1535"/>
    </row>
    <row r="1536" spans="1:1" ht="14.4" x14ac:dyDescent="0.3">
      <c r="A1536"/>
    </row>
    <row r="1537" spans="1:1" ht="14.4" x14ac:dyDescent="0.3">
      <c r="A1537"/>
    </row>
    <row r="1538" spans="1:1" ht="14.4" x14ac:dyDescent="0.3">
      <c r="A1538"/>
    </row>
    <row r="1539" spans="1:1" ht="14.4" x14ac:dyDescent="0.3">
      <c r="A1539"/>
    </row>
    <row r="1540" spans="1:1" ht="14.4" x14ac:dyDescent="0.3">
      <c r="A1540"/>
    </row>
    <row r="1541" spans="1:1" ht="14.4" x14ac:dyDescent="0.3">
      <c r="A1541"/>
    </row>
    <row r="1542" spans="1:1" ht="14.4" x14ac:dyDescent="0.3">
      <c r="A1542"/>
    </row>
    <row r="1543" spans="1:1" ht="14.4" x14ac:dyDescent="0.3">
      <c r="A1543"/>
    </row>
    <row r="1544" spans="1:1" ht="14.4" x14ac:dyDescent="0.3">
      <c r="A1544"/>
    </row>
    <row r="1545" spans="1:1" ht="14.4" x14ac:dyDescent="0.3">
      <c r="A1545"/>
    </row>
    <row r="1546" spans="1:1" ht="14.4" x14ac:dyDescent="0.3">
      <c r="A1546"/>
    </row>
    <row r="1547" spans="1:1" ht="14.4" x14ac:dyDescent="0.3">
      <c r="A1547"/>
    </row>
    <row r="1548" spans="1:1" ht="14.4" x14ac:dyDescent="0.3">
      <c r="A1548"/>
    </row>
    <row r="1549" spans="1:1" ht="14.4" x14ac:dyDescent="0.3">
      <c r="A1549"/>
    </row>
    <row r="1550" spans="1:1" ht="14.4" x14ac:dyDescent="0.3">
      <c r="A1550"/>
    </row>
    <row r="1551" spans="1:1" ht="14.4" x14ac:dyDescent="0.3">
      <c r="A1551"/>
    </row>
    <row r="1552" spans="1:1" ht="14.4" x14ac:dyDescent="0.3">
      <c r="A1552"/>
    </row>
    <row r="1553" spans="1:1" ht="14.4" x14ac:dyDescent="0.3">
      <c r="A1553"/>
    </row>
    <row r="1554" spans="1:1" ht="14.4" x14ac:dyDescent="0.3">
      <c r="A1554"/>
    </row>
    <row r="1555" spans="1:1" ht="14.4" x14ac:dyDescent="0.3">
      <c r="A1555"/>
    </row>
    <row r="1556" spans="1:1" ht="14.4" x14ac:dyDescent="0.3">
      <c r="A1556"/>
    </row>
    <row r="1557" spans="1:1" ht="14.4" x14ac:dyDescent="0.3">
      <c r="A1557"/>
    </row>
    <row r="1558" spans="1:1" ht="14.4" x14ac:dyDescent="0.3">
      <c r="A1558"/>
    </row>
    <row r="1559" spans="1:1" ht="14.4" x14ac:dyDescent="0.3">
      <c r="A1559"/>
    </row>
    <row r="1560" spans="1:1" ht="14.4" x14ac:dyDescent="0.3">
      <c r="A1560"/>
    </row>
    <row r="1561" spans="1:1" ht="14.4" x14ac:dyDescent="0.3">
      <c r="A1561"/>
    </row>
    <row r="1562" spans="1:1" ht="14.4" x14ac:dyDescent="0.3">
      <c r="A1562"/>
    </row>
    <row r="1563" spans="1:1" ht="14.4" x14ac:dyDescent="0.3">
      <c r="A1563"/>
    </row>
    <row r="1564" spans="1:1" ht="14.4" x14ac:dyDescent="0.3">
      <c r="A1564"/>
    </row>
    <row r="1565" spans="1:1" ht="14.4" x14ac:dyDescent="0.3">
      <c r="A1565"/>
    </row>
    <row r="1566" spans="1:1" ht="14.4" x14ac:dyDescent="0.3">
      <c r="A1566"/>
    </row>
    <row r="1567" spans="1:1" ht="14.4" x14ac:dyDescent="0.3">
      <c r="A1567"/>
    </row>
    <row r="1568" spans="1:1" ht="14.4" x14ac:dyDescent="0.3">
      <c r="A1568"/>
    </row>
    <row r="1569" spans="1:1" ht="14.4" x14ac:dyDescent="0.3">
      <c r="A1569"/>
    </row>
    <row r="1570" spans="1:1" ht="14.4" x14ac:dyDescent="0.3">
      <c r="A1570"/>
    </row>
    <row r="1571" spans="1:1" ht="14.4" x14ac:dyDescent="0.3">
      <c r="A1571"/>
    </row>
    <row r="1572" spans="1:1" ht="14.4" x14ac:dyDescent="0.3">
      <c r="A1572"/>
    </row>
    <row r="1573" spans="1:1" ht="14.4" x14ac:dyDescent="0.3">
      <c r="A1573"/>
    </row>
    <row r="1574" spans="1:1" ht="14.4" x14ac:dyDescent="0.3">
      <c r="A1574"/>
    </row>
    <row r="1575" spans="1:1" ht="14.4" x14ac:dyDescent="0.3">
      <c r="A1575"/>
    </row>
    <row r="1576" spans="1:1" ht="14.4" x14ac:dyDescent="0.3">
      <c r="A1576"/>
    </row>
    <row r="1577" spans="1:1" ht="14.4" x14ac:dyDescent="0.3">
      <c r="A1577"/>
    </row>
    <row r="1578" spans="1:1" ht="14.4" x14ac:dyDescent="0.3">
      <c r="A1578"/>
    </row>
    <row r="1579" spans="1:1" ht="14.4" x14ac:dyDescent="0.3">
      <c r="A1579"/>
    </row>
    <row r="1580" spans="1:1" ht="14.4" x14ac:dyDescent="0.3">
      <c r="A1580"/>
    </row>
    <row r="1581" spans="1:1" ht="14.4" x14ac:dyDescent="0.3">
      <c r="A1581"/>
    </row>
    <row r="1582" spans="1:1" ht="14.4" x14ac:dyDescent="0.3">
      <c r="A1582"/>
    </row>
    <row r="1583" spans="1:1" ht="14.4" x14ac:dyDescent="0.3">
      <c r="A1583"/>
    </row>
    <row r="1584" spans="1:1" ht="14.4" x14ac:dyDescent="0.3">
      <c r="A1584"/>
    </row>
    <row r="1585" spans="1:1" ht="14.4" x14ac:dyDescent="0.3">
      <c r="A1585"/>
    </row>
    <row r="1586" spans="1:1" ht="14.4" x14ac:dyDescent="0.3">
      <c r="A1586"/>
    </row>
    <row r="1587" spans="1:1" ht="14.4" x14ac:dyDescent="0.3">
      <c r="A1587"/>
    </row>
    <row r="1588" spans="1:1" ht="14.4" x14ac:dyDescent="0.3">
      <c r="A1588"/>
    </row>
    <row r="1589" spans="1:1" ht="14.4" x14ac:dyDescent="0.3">
      <c r="A1589"/>
    </row>
    <row r="1590" spans="1:1" ht="14.4" x14ac:dyDescent="0.3">
      <c r="A1590"/>
    </row>
    <row r="1591" spans="1:1" ht="14.4" x14ac:dyDescent="0.3">
      <c r="A1591"/>
    </row>
    <row r="1592" spans="1:1" ht="14.4" x14ac:dyDescent="0.3">
      <c r="A1592"/>
    </row>
    <row r="1593" spans="1:1" ht="14.4" x14ac:dyDescent="0.3">
      <c r="A1593"/>
    </row>
    <row r="1594" spans="1:1" ht="14.4" x14ac:dyDescent="0.3">
      <c r="A1594"/>
    </row>
    <row r="1595" spans="1:1" ht="14.4" x14ac:dyDescent="0.3">
      <c r="A1595"/>
    </row>
    <row r="1596" spans="1:1" ht="14.4" x14ac:dyDescent="0.3">
      <c r="A1596"/>
    </row>
    <row r="1597" spans="1:1" ht="14.4" x14ac:dyDescent="0.3">
      <c r="A1597"/>
    </row>
    <row r="1598" spans="1:1" ht="14.4" x14ac:dyDescent="0.3">
      <c r="A1598"/>
    </row>
    <row r="1599" spans="1:1" ht="14.4" x14ac:dyDescent="0.3">
      <c r="A1599"/>
    </row>
    <row r="1600" spans="1:1" ht="14.4" x14ac:dyDescent="0.3">
      <c r="A1600"/>
    </row>
    <row r="1601" spans="1:1" ht="14.4" x14ac:dyDescent="0.3">
      <c r="A1601"/>
    </row>
    <row r="1602" spans="1:1" ht="14.4" x14ac:dyDescent="0.3">
      <c r="A1602"/>
    </row>
    <row r="1603" spans="1:1" ht="14.4" x14ac:dyDescent="0.3">
      <c r="A1603"/>
    </row>
    <row r="1604" spans="1:1" ht="14.4" x14ac:dyDescent="0.3">
      <c r="A1604"/>
    </row>
    <row r="1605" spans="1:1" ht="14.4" x14ac:dyDescent="0.3">
      <c r="A1605"/>
    </row>
    <row r="1606" spans="1:1" ht="14.4" x14ac:dyDescent="0.3">
      <c r="A1606"/>
    </row>
    <row r="1607" spans="1:1" ht="14.4" x14ac:dyDescent="0.3">
      <c r="A1607"/>
    </row>
    <row r="1608" spans="1:1" ht="14.4" x14ac:dyDescent="0.3">
      <c r="A1608"/>
    </row>
    <row r="1609" spans="1:1" ht="14.4" x14ac:dyDescent="0.3">
      <c r="A1609"/>
    </row>
    <row r="1610" spans="1:1" ht="14.4" x14ac:dyDescent="0.3">
      <c r="A1610"/>
    </row>
    <row r="1611" spans="1:1" ht="14.4" x14ac:dyDescent="0.3">
      <c r="A1611"/>
    </row>
    <row r="1612" spans="1:1" ht="14.4" x14ac:dyDescent="0.3">
      <c r="A1612"/>
    </row>
    <row r="1613" spans="1:1" ht="14.4" x14ac:dyDescent="0.3">
      <c r="A1613"/>
    </row>
    <row r="1614" spans="1:1" ht="14.4" x14ac:dyDescent="0.3">
      <c r="A1614"/>
    </row>
    <row r="1615" spans="1:1" ht="14.4" x14ac:dyDescent="0.3">
      <c r="A1615"/>
    </row>
    <row r="1616" spans="1:1" ht="14.4" x14ac:dyDescent="0.3">
      <c r="A1616"/>
    </row>
    <row r="1617" spans="1:1" ht="14.4" x14ac:dyDescent="0.3">
      <c r="A1617"/>
    </row>
    <row r="1618" spans="1:1" ht="14.4" x14ac:dyDescent="0.3">
      <c r="A1618"/>
    </row>
    <row r="1619" spans="1:1" ht="14.4" x14ac:dyDescent="0.3">
      <c r="A1619"/>
    </row>
    <row r="1620" spans="1:1" ht="14.4" x14ac:dyDescent="0.3">
      <c r="A1620"/>
    </row>
    <row r="1621" spans="1:1" ht="14.4" x14ac:dyDescent="0.3">
      <c r="A1621"/>
    </row>
    <row r="1622" spans="1:1" ht="14.4" x14ac:dyDescent="0.3">
      <c r="A1622"/>
    </row>
    <row r="1623" spans="1:1" ht="14.4" x14ac:dyDescent="0.3">
      <c r="A1623"/>
    </row>
    <row r="1624" spans="1:1" ht="14.4" x14ac:dyDescent="0.3">
      <c r="A1624"/>
    </row>
    <row r="1625" spans="1:1" ht="14.4" x14ac:dyDescent="0.3">
      <c r="A1625"/>
    </row>
    <row r="1626" spans="1:1" ht="14.4" x14ac:dyDescent="0.3">
      <c r="A1626"/>
    </row>
    <row r="1627" spans="1:1" ht="14.4" x14ac:dyDescent="0.3">
      <c r="A1627"/>
    </row>
    <row r="1628" spans="1:1" ht="14.4" x14ac:dyDescent="0.3">
      <c r="A1628"/>
    </row>
    <row r="1629" spans="1:1" ht="14.4" x14ac:dyDescent="0.3">
      <c r="A1629"/>
    </row>
    <row r="1630" spans="1:1" ht="14.4" x14ac:dyDescent="0.3">
      <c r="A1630"/>
    </row>
    <row r="1631" spans="1:1" ht="14.4" x14ac:dyDescent="0.3">
      <c r="A1631"/>
    </row>
    <row r="1632" spans="1:1" ht="14.4" x14ac:dyDescent="0.3">
      <c r="A1632"/>
    </row>
    <row r="1633" spans="1:1" ht="14.4" x14ac:dyDescent="0.3">
      <c r="A1633"/>
    </row>
    <row r="1634" spans="1:1" ht="14.4" x14ac:dyDescent="0.3">
      <c r="A1634"/>
    </row>
    <row r="1635" spans="1:1" ht="14.4" x14ac:dyDescent="0.3">
      <c r="A1635"/>
    </row>
    <row r="1636" spans="1:1" ht="14.4" x14ac:dyDescent="0.3">
      <c r="A1636"/>
    </row>
    <row r="1637" spans="1:1" ht="14.4" x14ac:dyDescent="0.3">
      <c r="A1637"/>
    </row>
    <row r="1638" spans="1:1" ht="14.4" x14ac:dyDescent="0.3">
      <c r="A1638"/>
    </row>
    <row r="1639" spans="1:1" ht="14.4" x14ac:dyDescent="0.3">
      <c r="A1639"/>
    </row>
    <row r="1640" spans="1:1" ht="14.4" x14ac:dyDescent="0.3">
      <c r="A1640"/>
    </row>
    <row r="1641" spans="1:1" ht="14.4" x14ac:dyDescent="0.3">
      <c r="A1641"/>
    </row>
    <row r="1642" spans="1:1" ht="14.4" x14ac:dyDescent="0.3">
      <c r="A1642"/>
    </row>
    <row r="1643" spans="1:1" ht="14.4" x14ac:dyDescent="0.3">
      <c r="A1643"/>
    </row>
    <row r="1644" spans="1:1" ht="14.4" x14ac:dyDescent="0.3">
      <c r="A1644"/>
    </row>
    <row r="1645" spans="1:1" ht="14.4" x14ac:dyDescent="0.3">
      <c r="A1645"/>
    </row>
    <row r="1646" spans="1:1" ht="14.4" x14ac:dyDescent="0.3">
      <c r="A1646"/>
    </row>
    <row r="1647" spans="1:1" ht="14.4" x14ac:dyDescent="0.3">
      <c r="A1647"/>
    </row>
    <row r="1648" spans="1:1" ht="14.4" x14ac:dyDescent="0.3">
      <c r="A1648"/>
    </row>
    <row r="1649" spans="1:1" ht="14.4" x14ac:dyDescent="0.3">
      <c r="A1649"/>
    </row>
    <row r="1650" spans="1:1" ht="14.4" x14ac:dyDescent="0.3">
      <c r="A1650"/>
    </row>
    <row r="1651" spans="1:1" ht="14.4" x14ac:dyDescent="0.3">
      <c r="A1651"/>
    </row>
    <row r="1652" spans="1:1" ht="14.4" x14ac:dyDescent="0.3">
      <c r="A1652"/>
    </row>
    <row r="1653" spans="1:1" ht="14.4" x14ac:dyDescent="0.3">
      <c r="A1653"/>
    </row>
    <row r="1654" spans="1:1" ht="14.4" x14ac:dyDescent="0.3">
      <c r="A1654"/>
    </row>
    <row r="1655" spans="1:1" ht="14.4" x14ac:dyDescent="0.3">
      <c r="A1655"/>
    </row>
    <row r="1656" spans="1:1" ht="14.4" x14ac:dyDescent="0.3">
      <c r="A1656"/>
    </row>
    <row r="1657" spans="1:1" ht="14.4" x14ac:dyDescent="0.3">
      <c r="A1657"/>
    </row>
    <row r="1658" spans="1:1" ht="14.4" x14ac:dyDescent="0.3">
      <c r="A1658"/>
    </row>
    <row r="1659" spans="1:1" ht="14.4" x14ac:dyDescent="0.3">
      <c r="A1659"/>
    </row>
    <row r="1660" spans="1:1" ht="14.4" x14ac:dyDescent="0.3">
      <c r="A1660"/>
    </row>
    <row r="1661" spans="1:1" ht="14.4" x14ac:dyDescent="0.3">
      <c r="A1661"/>
    </row>
    <row r="1662" spans="1:1" ht="14.4" x14ac:dyDescent="0.3">
      <c r="A1662"/>
    </row>
    <row r="1663" spans="1:1" ht="14.4" x14ac:dyDescent="0.3">
      <c r="A1663"/>
    </row>
    <row r="1664" spans="1:1" ht="14.4" x14ac:dyDescent="0.3">
      <c r="A1664"/>
    </row>
    <row r="1665" spans="1:1" ht="14.4" x14ac:dyDescent="0.3">
      <c r="A1665"/>
    </row>
    <row r="1666" spans="1:1" ht="14.4" x14ac:dyDescent="0.3">
      <c r="A1666"/>
    </row>
    <row r="1667" spans="1:1" ht="14.4" x14ac:dyDescent="0.3">
      <c r="A1667"/>
    </row>
    <row r="1668" spans="1:1" ht="14.4" x14ac:dyDescent="0.3">
      <c r="A1668"/>
    </row>
    <row r="1669" spans="1:1" ht="14.4" x14ac:dyDescent="0.3">
      <c r="A1669"/>
    </row>
    <row r="1670" spans="1:1" ht="14.4" x14ac:dyDescent="0.3">
      <c r="A1670"/>
    </row>
    <row r="1671" spans="1:1" ht="14.4" x14ac:dyDescent="0.3">
      <c r="A1671"/>
    </row>
    <row r="1672" spans="1:1" ht="14.4" x14ac:dyDescent="0.3">
      <c r="A1672"/>
    </row>
    <row r="1673" spans="1:1" ht="14.4" x14ac:dyDescent="0.3">
      <c r="A1673"/>
    </row>
    <row r="1674" spans="1:1" ht="14.4" x14ac:dyDescent="0.3">
      <c r="A1674"/>
    </row>
    <row r="1675" spans="1:1" ht="14.4" x14ac:dyDescent="0.3">
      <c r="A1675"/>
    </row>
    <row r="1676" spans="1:1" ht="14.4" x14ac:dyDescent="0.3">
      <c r="A1676"/>
    </row>
    <row r="1677" spans="1:1" ht="14.4" x14ac:dyDescent="0.3">
      <c r="A1677"/>
    </row>
    <row r="1678" spans="1:1" ht="14.4" x14ac:dyDescent="0.3">
      <c r="A1678"/>
    </row>
    <row r="1679" spans="1:1" ht="14.4" x14ac:dyDescent="0.3">
      <c r="A1679"/>
    </row>
    <row r="1680" spans="1:1" ht="14.4" x14ac:dyDescent="0.3">
      <c r="A1680"/>
    </row>
    <row r="1681" spans="1:1" ht="14.4" x14ac:dyDescent="0.3">
      <c r="A1681"/>
    </row>
    <row r="1682" spans="1:1" ht="14.4" x14ac:dyDescent="0.3">
      <c r="A1682"/>
    </row>
    <row r="1683" spans="1:1" ht="14.4" x14ac:dyDescent="0.3">
      <c r="A1683"/>
    </row>
    <row r="1684" spans="1:1" ht="14.4" x14ac:dyDescent="0.3">
      <c r="A1684"/>
    </row>
    <row r="1685" spans="1:1" ht="14.4" x14ac:dyDescent="0.3">
      <c r="A1685"/>
    </row>
    <row r="1686" spans="1:1" ht="14.4" x14ac:dyDescent="0.3">
      <c r="A1686"/>
    </row>
    <row r="1687" spans="1:1" ht="14.4" x14ac:dyDescent="0.3">
      <c r="A1687"/>
    </row>
    <row r="1688" spans="1:1" ht="14.4" x14ac:dyDescent="0.3">
      <c r="A1688"/>
    </row>
    <row r="1689" spans="1:1" ht="14.4" x14ac:dyDescent="0.3">
      <c r="A1689"/>
    </row>
    <row r="1690" spans="1:1" ht="14.4" x14ac:dyDescent="0.3">
      <c r="A1690"/>
    </row>
    <row r="1691" spans="1:1" ht="14.4" x14ac:dyDescent="0.3">
      <c r="A1691"/>
    </row>
    <row r="1692" spans="1:1" ht="14.4" x14ac:dyDescent="0.3">
      <c r="A1692"/>
    </row>
    <row r="1693" spans="1:1" ht="14.4" x14ac:dyDescent="0.3">
      <c r="A1693"/>
    </row>
    <row r="1694" spans="1:1" ht="14.4" x14ac:dyDescent="0.3">
      <c r="A1694"/>
    </row>
    <row r="1695" spans="1:1" ht="14.4" x14ac:dyDescent="0.3">
      <c r="A1695"/>
    </row>
    <row r="1696" spans="1:1" ht="14.4" x14ac:dyDescent="0.3">
      <c r="A1696"/>
    </row>
    <row r="1697" spans="1:1" ht="14.4" x14ac:dyDescent="0.3">
      <c r="A1697"/>
    </row>
    <row r="1698" spans="1:1" ht="14.4" x14ac:dyDescent="0.3">
      <c r="A1698"/>
    </row>
    <row r="1699" spans="1:1" ht="14.4" x14ac:dyDescent="0.3">
      <c r="A1699"/>
    </row>
    <row r="1700" spans="1:1" ht="14.4" x14ac:dyDescent="0.3">
      <c r="A1700"/>
    </row>
    <row r="1701" spans="1:1" ht="14.4" x14ac:dyDescent="0.3">
      <c r="A1701"/>
    </row>
    <row r="1702" spans="1:1" ht="14.4" x14ac:dyDescent="0.3">
      <c r="A1702"/>
    </row>
    <row r="1703" spans="1:1" ht="14.4" x14ac:dyDescent="0.3">
      <c r="A1703"/>
    </row>
    <row r="1704" spans="1:1" ht="14.4" x14ac:dyDescent="0.3">
      <c r="A1704"/>
    </row>
    <row r="1705" spans="1:1" ht="14.4" x14ac:dyDescent="0.3">
      <c r="A1705"/>
    </row>
    <row r="1706" spans="1:1" ht="14.4" x14ac:dyDescent="0.3">
      <c r="A1706"/>
    </row>
    <row r="1707" spans="1:1" ht="14.4" x14ac:dyDescent="0.3">
      <c r="A1707"/>
    </row>
    <row r="1708" spans="1:1" ht="14.4" x14ac:dyDescent="0.3">
      <c r="A1708"/>
    </row>
    <row r="1709" spans="1:1" ht="14.4" x14ac:dyDescent="0.3">
      <c r="A1709"/>
    </row>
    <row r="1710" spans="1:1" ht="14.4" x14ac:dyDescent="0.3">
      <c r="A1710"/>
    </row>
    <row r="1711" spans="1:1" ht="14.4" x14ac:dyDescent="0.3">
      <c r="A1711"/>
    </row>
    <row r="1712" spans="1:1" ht="14.4" x14ac:dyDescent="0.3">
      <c r="A1712"/>
    </row>
    <row r="1713" spans="1:1" ht="14.4" x14ac:dyDescent="0.3">
      <c r="A1713"/>
    </row>
    <row r="1714" spans="1:1" ht="14.4" x14ac:dyDescent="0.3">
      <c r="A1714"/>
    </row>
    <row r="1715" spans="1:1" ht="14.4" x14ac:dyDescent="0.3">
      <c r="A1715"/>
    </row>
    <row r="1716" spans="1:1" ht="14.4" x14ac:dyDescent="0.3">
      <c r="A1716"/>
    </row>
    <row r="1717" spans="1:1" ht="14.4" x14ac:dyDescent="0.3">
      <c r="A1717"/>
    </row>
    <row r="1718" spans="1:1" ht="14.4" x14ac:dyDescent="0.3">
      <c r="A1718"/>
    </row>
    <row r="1719" spans="1:1" ht="14.4" x14ac:dyDescent="0.3">
      <c r="A1719"/>
    </row>
    <row r="1720" spans="1:1" ht="14.4" x14ac:dyDescent="0.3">
      <c r="A1720"/>
    </row>
    <row r="1721" spans="1:1" ht="14.4" x14ac:dyDescent="0.3">
      <c r="A1721"/>
    </row>
    <row r="1722" spans="1:1" ht="14.4" x14ac:dyDescent="0.3">
      <c r="A1722"/>
    </row>
    <row r="1723" spans="1:1" ht="14.4" x14ac:dyDescent="0.3">
      <c r="A1723"/>
    </row>
    <row r="1724" spans="1:1" ht="14.4" x14ac:dyDescent="0.3">
      <c r="A1724"/>
    </row>
    <row r="1725" spans="1:1" ht="14.4" x14ac:dyDescent="0.3">
      <c r="A1725"/>
    </row>
    <row r="1726" spans="1:1" ht="14.4" x14ac:dyDescent="0.3">
      <c r="A1726"/>
    </row>
    <row r="1727" spans="1:1" ht="14.4" x14ac:dyDescent="0.3">
      <c r="A1727"/>
    </row>
    <row r="1728" spans="1:1" ht="14.4" x14ac:dyDescent="0.3">
      <c r="A1728"/>
    </row>
    <row r="1729" spans="1:1" ht="14.4" x14ac:dyDescent="0.3">
      <c r="A1729"/>
    </row>
    <row r="1730" spans="1:1" ht="14.4" x14ac:dyDescent="0.3">
      <c r="A1730"/>
    </row>
    <row r="1731" spans="1:1" ht="14.4" x14ac:dyDescent="0.3">
      <c r="A1731"/>
    </row>
    <row r="1732" spans="1:1" ht="14.4" x14ac:dyDescent="0.3">
      <c r="A1732"/>
    </row>
    <row r="1733" spans="1:1" ht="14.4" x14ac:dyDescent="0.3">
      <c r="A1733"/>
    </row>
    <row r="1734" spans="1:1" ht="14.4" x14ac:dyDescent="0.3">
      <c r="A1734"/>
    </row>
    <row r="1735" spans="1:1" ht="14.4" x14ac:dyDescent="0.3">
      <c r="A1735"/>
    </row>
    <row r="1736" spans="1:1" ht="14.4" x14ac:dyDescent="0.3">
      <c r="A1736"/>
    </row>
    <row r="1737" spans="1:1" ht="14.4" x14ac:dyDescent="0.3">
      <c r="A1737"/>
    </row>
    <row r="1738" spans="1:1" ht="14.4" x14ac:dyDescent="0.3">
      <c r="A1738"/>
    </row>
    <row r="1739" spans="1:1" ht="14.4" x14ac:dyDescent="0.3">
      <c r="A1739"/>
    </row>
    <row r="1740" spans="1:1" ht="14.4" x14ac:dyDescent="0.3">
      <c r="A1740"/>
    </row>
    <row r="1741" spans="1:1" ht="14.4" x14ac:dyDescent="0.3">
      <c r="A1741"/>
    </row>
    <row r="1742" spans="1:1" ht="14.4" x14ac:dyDescent="0.3">
      <c r="A1742"/>
    </row>
    <row r="1743" spans="1:1" ht="14.4" x14ac:dyDescent="0.3">
      <c r="A1743"/>
    </row>
    <row r="1744" spans="1:1" ht="14.4" x14ac:dyDescent="0.3">
      <c r="A1744"/>
    </row>
    <row r="1745" spans="1:1" ht="14.4" x14ac:dyDescent="0.3">
      <c r="A1745"/>
    </row>
    <row r="1746" spans="1:1" ht="14.4" x14ac:dyDescent="0.3">
      <c r="A1746"/>
    </row>
    <row r="1747" spans="1:1" ht="14.4" x14ac:dyDescent="0.3">
      <c r="A1747"/>
    </row>
    <row r="1748" spans="1:1" ht="14.4" x14ac:dyDescent="0.3">
      <c r="A1748"/>
    </row>
    <row r="1749" spans="1:1" ht="14.4" x14ac:dyDescent="0.3">
      <c r="A1749"/>
    </row>
    <row r="1750" spans="1:1" ht="14.4" x14ac:dyDescent="0.3">
      <c r="A1750"/>
    </row>
    <row r="1751" spans="1:1" ht="14.4" x14ac:dyDescent="0.3">
      <c r="A1751"/>
    </row>
    <row r="1752" spans="1:1" ht="14.4" x14ac:dyDescent="0.3">
      <c r="A1752"/>
    </row>
    <row r="1753" spans="1:1" ht="14.4" x14ac:dyDescent="0.3">
      <c r="A1753"/>
    </row>
    <row r="1754" spans="1:1" ht="14.4" x14ac:dyDescent="0.3">
      <c r="A1754"/>
    </row>
    <row r="1755" spans="1:1" ht="14.4" x14ac:dyDescent="0.3">
      <c r="A1755"/>
    </row>
    <row r="1756" spans="1:1" ht="14.4" x14ac:dyDescent="0.3">
      <c r="A1756"/>
    </row>
    <row r="1757" spans="1:1" ht="14.4" x14ac:dyDescent="0.3">
      <c r="A1757"/>
    </row>
    <row r="1758" spans="1:1" ht="14.4" x14ac:dyDescent="0.3">
      <c r="A1758"/>
    </row>
    <row r="1759" spans="1:1" ht="14.4" x14ac:dyDescent="0.3">
      <c r="A1759"/>
    </row>
    <row r="1760" spans="1:1" ht="14.4" x14ac:dyDescent="0.3">
      <c r="A1760"/>
    </row>
    <row r="1761" spans="1:1" ht="14.4" x14ac:dyDescent="0.3">
      <c r="A1761"/>
    </row>
    <row r="1762" spans="1:1" ht="14.4" x14ac:dyDescent="0.3">
      <c r="A1762"/>
    </row>
    <row r="1763" spans="1:1" ht="14.4" x14ac:dyDescent="0.3">
      <c r="A1763"/>
    </row>
    <row r="1764" spans="1:1" ht="14.4" x14ac:dyDescent="0.3">
      <c r="A1764"/>
    </row>
    <row r="1765" spans="1:1" ht="14.4" x14ac:dyDescent="0.3">
      <c r="A1765"/>
    </row>
    <row r="1766" spans="1:1" ht="14.4" x14ac:dyDescent="0.3">
      <c r="A1766"/>
    </row>
    <row r="1767" spans="1:1" ht="14.4" x14ac:dyDescent="0.3">
      <c r="A1767"/>
    </row>
    <row r="1768" spans="1:1" ht="14.4" x14ac:dyDescent="0.3">
      <c r="A1768"/>
    </row>
    <row r="1769" spans="1:1" ht="14.4" x14ac:dyDescent="0.3">
      <c r="A1769"/>
    </row>
    <row r="1770" spans="1:1" ht="14.4" x14ac:dyDescent="0.3">
      <c r="A1770"/>
    </row>
    <row r="1771" spans="1:1" ht="14.4" x14ac:dyDescent="0.3">
      <c r="A1771"/>
    </row>
    <row r="1772" spans="1:1" ht="14.4" x14ac:dyDescent="0.3">
      <c r="A1772"/>
    </row>
    <row r="1773" spans="1:1" ht="14.4" x14ac:dyDescent="0.3">
      <c r="A1773"/>
    </row>
    <row r="1774" spans="1:1" ht="14.4" x14ac:dyDescent="0.3">
      <c r="A1774"/>
    </row>
    <row r="1775" spans="1:1" ht="14.4" x14ac:dyDescent="0.3">
      <c r="A1775"/>
    </row>
    <row r="1776" spans="1:1" ht="14.4" x14ac:dyDescent="0.3">
      <c r="A1776"/>
    </row>
    <row r="1777" spans="1:1" ht="14.4" x14ac:dyDescent="0.3">
      <c r="A1777"/>
    </row>
    <row r="1778" spans="1:1" ht="14.4" x14ac:dyDescent="0.3">
      <c r="A1778"/>
    </row>
    <row r="1779" spans="1:1" ht="14.4" x14ac:dyDescent="0.3">
      <c r="A1779"/>
    </row>
    <row r="1780" spans="1:1" ht="14.4" x14ac:dyDescent="0.3">
      <c r="A1780"/>
    </row>
    <row r="1781" spans="1:1" ht="14.4" x14ac:dyDescent="0.3">
      <c r="A1781"/>
    </row>
    <row r="1782" spans="1:1" ht="14.4" x14ac:dyDescent="0.3">
      <c r="A1782"/>
    </row>
    <row r="1783" spans="1:1" ht="14.4" x14ac:dyDescent="0.3">
      <c r="A1783"/>
    </row>
    <row r="1784" spans="1:1" ht="14.4" x14ac:dyDescent="0.3">
      <c r="A1784"/>
    </row>
    <row r="1785" spans="1:1" ht="14.4" x14ac:dyDescent="0.3">
      <c r="A1785"/>
    </row>
    <row r="1786" spans="1:1" ht="14.4" x14ac:dyDescent="0.3">
      <c r="A1786"/>
    </row>
    <row r="1787" spans="1:1" ht="14.4" x14ac:dyDescent="0.3">
      <c r="A1787"/>
    </row>
    <row r="1788" spans="1:1" ht="14.4" x14ac:dyDescent="0.3">
      <c r="A1788"/>
    </row>
    <row r="1789" spans="1:1" ht="14.4" x14ac:dyDescent="0.3">
      <c r="A1789"/>
    </row>
    <row r="1790" spans="1:1" ht="14.4" x14ac:dyDescent="0.3">
      <c r="A1790"/>
    </row>
    <row r="1791" spans="1:1" ht="14.4" x14ac:dyDescent="0.3">
      <c r="A1791"/>
    </row>
    <row r="1792" spans="1:1" ht="14.4" x14ac:dyDescent="0.3">
      <c r="A1792"/>
    </row>
    <row r="1793" spans="1:1" ht="14.4" x14ac:dyDescent="0.3">
      <c r="A1793"/>
    </row>
    <row r="1794" spans="1:1" ht="14.4" x14ac:dyDescent="0.3">
      <c r="A1794"/>
    </row>
    <row r="1795" spans="1:1" ht="14.4" x14ac:dyDescent="0.3">
      <c r="A1795"/>
    </row>
    <row r="1796" spans="1:1" ht="14.4" x14ac:dyDescent="0.3">
      <c r="A1796"/>
    </row>
    <row r="1797" spans="1:1" ht="14.4" x14ac:dyDescent="0.3">
      <c r="A1797"/>
    </row>
    <row r="1798" spans="1:1" ht="14.4" x14ac:dyDescent="0.3">
      <c r="A1798"/>
    </row>
    <row r="1799" spans="1:1" ht="14.4" x14ac:dyDescent="0.3">
      <c r="A1799"/>
    </row>
    <row r="1800" spans="1:1" ht="14.4" x14ac:dyDescent="0.3">
      <c r="A1800"/>
    </row>
    <row r="1801" spans="1:1" ht="14.4" x14ac:dyDescent="0.3">
      <c r="A1801"/>
    </row>
    <row r="1802" spans="1:1" ht="14.4" x14ac:dyDescent="0.3">
      <c r="A1802"/>
    </row>
    <row r="1803" spans="1:1" ht="14.4" x14ac:dyDescent="0.3">
      <c r="A1803"/>
    </row>
    <row r="1804" spans="1:1" ht="14.4" x14ac:dyDescent="0.3">
      <c r="A1804"/>
    </row>
    <row r="1805" spans="1:1" ht="14.4" x14ac:dyDescent="0.3">
      <c r="A1805"/>
    </row>
    <row r="1806" spans="1:1" ht="14.4" x14ac:dyDescent="0.3">
      <c r="A1806"/>
    </row>
    <row r="1807" spans="1:1" ht="14.4" x14ac:dyDescent="0.3">
      <c r="A1807"/>
    </row>
    <row r="1808" spans="1:1" ht="14.4" x14ac:dyDescent="0.3">
      <c r="A1808"/>
    </row>
    <row r="1809" spans="1:1" ht="14.4" x14ac:dyDescent="0.3">
      <c r="A1809"/>
    </row>
    <row r="1810" spans="1:1" ht="14.4" x14ac:dyDescent="0.3">
      <c r="A1810"/>
    </row>
    <row r="1811" spans="1:1" ht="14.4" x14ac:dyDescent="0.3">
      <c r="A1811"/>
    </row>
    <row r="1812" spans="1:1" ht="14.4" x14ac:dyDescent="0.3">
      <c r="A1812"/>
    </row>
    <row r="1813" spans="1:1" ht="14.4" x14ac:dyDescent="0.3">
      <c r="A1813"/>
    </row>
    <row r="1814" spans="1:1" ht="14.4" x14ac:dyDescent="0.3">
      <c r="A1814"/>
    </row>
    <row r="1815" spans="1:1" ht="14.4" x14ac:dyDescent="0.3">
      <c r="A1815"/>
    </row>
    <row r="1816" spans="1:1" ht="14.4" x14ac:dyDescent="0.3">
      <c r="A1816"/>
    </row>
    <row r="1817" spans="1:1" ht="14.4" x14ac:dyDescent="0.3">
      <c r="A1817"/>
    </row>
    <row r="1818" spans="1:1" ht="14.4" x14ac:dyDescent="0.3">
      <c r="A1818"/>
    </row>
    <row r="1819" spans="1:1" ht="14.4" x14ac:dyDescent="0.3">
      <c r="A1819"/>
    </row>
    <row r="1820" spans="1:1" ht="14.4" x14ac:dyDescent="0.3">
      <c r="A1820"/>
    </row>
    <row r="1821" spans="1:1" ht="14.4" x14ac:dyDescent="0.3">
      <c r="A1821"/>
    </row>
    <row r="1822" spans="1:1" ht="14.4" x14ac:dyDescent="0.3">
      <c r="A1822"/>
    </row>
    <row r="1823" spans="1:1" ht="14.4" x14ac:dyDescent="0.3">
      <c r="A1823"/>
    </row>
    <row r="1824" spans="1:1" ht="14.4" x14ac:dyDescent="0.3">
      <c r="A1824"/>
    </row>
    <row r="1825" spans="1:1" ht="14.4" x14ac:dyDescent="0.3">
      <c r="A1825"/>
    </row>
    <row r="1826" spans="1:1" ht="14.4" x14ac:dyDescent="0.3">
      <c r="A1826"/>
    </row>
    <row r="1827" spans="1:1" ht="14.4" x14ac:dyDescent="0.3">
      <c r="A1827"/>
    </row>
    <row r="1828" spans="1:1" ht="14.4" x14ac:dyDescent="0.3">
      <c r="A1828"/>
    </row>
    <row r="1829" spans="1:1" ht="14.4" x14ac:dyDescent="0.3">
      <c r="A1829"/>
    </row>
    <row r="1830" spans="1:1" ht="14.4" x14ac:dyDescent="0.3">
      <c r="A1830"/>
    </row>
    <row r="1831" spans="1:1" ht="14.4" x14ac:dyDescent="0.3">
      <c r="A1831"/>
    </row>
    <row r="1832" spans="1:1" ht="14.4" x14ac:dyDescent="0.3">
      <c r="A1832"/>
    </row>
    <row r="1833" spans="1:1" ht="14.4" x14ac:dyDescent="0.3">
      <c r="A1833"/>
    </row>
    <row r="1834" spans="1:1" ht="14.4" x14ac:dyDescent="0.3">
      <c r="A1834"/>
    </row>
    <row r="1835" spans="1:1" ht="14.4" x14ac:dyDescent="0.3">
      <c r="A1835"/>
    </row>
    <row r="1836" spans="1:1" ht="14.4" x14ac:dyDescent="0.3">
      <c r="A1836"/>
    </row>
    <row r="1837" spans="1:1" ht="14.4" x14ac:dyDescent="0.3">
      <c r="A1837"/>
    </row>
    <row r="1838" spans="1:1" ht="14.4" x14ac:dyDescent="0.3">
      <c r="A1838"/>
    </row>
    <row r="1839" spans="1:1" ht="14.4" x14ac:dyDescent="0.3">
      <c r="A1839"/>
    </row>
    <row r="1840" spans="1:1" ht="14.4" x14ac:dyDescent="0.3">
      <c r="A1840"/>
    </row>
    <row r="1841" spans="1:1" ht="14.4" x14ac:dyDescent="0.3">
      <c r="A1841"/>
    </row>
    <row r="1842" spans="1:1" ht="14.4" x14ac:dyDescent="0.3">
      <c r="A1842"/>
    </row>
    <row r="1843" spans="1:1" ht="14.4" x14ac:dyDescent="0.3">
      <c r="A1843"/>
    </row>
    <row r="1844" spans="1:1" ht="14.4" x14ac:dyDescent="0.3">
      <c r="A1844"/>
    </row>
    <row r="1845" spans="1:1" ht="14.4" x14ac:dyDescent="0.3">
      <c r="A1845"/>
    </row>
    <row r="1846" spans="1:1" ht="14.4" x14ac:dyDescent="0.3">
      <c r="A1846"/>
    </row>
    <row r="1847" spans="1:1" ht="14.4" x14ac:dyDescent="0.3">
      <c r="A1847"/>
    </row>
    <row r="1848" spans="1:1" ht="14.4" x14ac:dyDescent="0.3">
      <c r="A1848"/>
    </row>
    <row r="1849" spans="1:1" ht="14.4" x14ac:dyDescent="0.3">
      <c r="A1849"/>
    </row>
    <row r="1850" spans="1:1" ht="14.4" x14ac:dyDescent="0.3">
      <c r="A1850"/>
    </row>
    <row r="1851" spans="1:1" ht="14.4" x14ac:dyDescent="0.3">
      <c r="A1851"/>
    </row>
    <row r="1852" spans="1:1" ht="14.4" x14ac:dyDescent="0.3">
      <c r="A1852"/>
    </row>
    <row r="1853" spans="1:1" ht="14.4" x14ac:dyDescent="0.3">
      <c r="A1853"/>
    </row>
    <row r="1854" spans="1:1" ht="14.4" x14ac:dyDescent="0.3">
      <c r="A1854"/>
    </row>
    <row r="1855" spans="1:1" ht="14.4" x14ac:dyDescent="0.3">
      <c r="A1855"/>
    </row>
    <row r="1856" spans="1:1" ht="14.4" x14ac:dyDescent="0.3">
      <c r="A1856"/>
    </row>
    <row r="1857" spans="1:1" ht="14.4" x14ac:dyDescent="0.3">
      <c r="A1857"/>
    </row>
    <row r="1858" spans="1:1" ht="14.4" x14ac:dyDescent="0.3">
      <c r="A1858"/>
    </row>
    <row r="1859" spans="1:1" ht="14.4" x14ac:dyDescent="0.3">
      <c r="A1859"/>
    </row>
    <row r="1860" spans="1:1" ht="14.4" x14ac:dyDescent="0.3">
      <c r="A1860"/>
    </row>
    <row r="1861" spans="1:1" ht="14.4" x14ac:dyDescent="0.3">
      <c r="A1861"/>
    </row>
    <row r="1862" spans="1:1" ht="14.4" x14ac:dyDescent="0.3">
      <c r="A1862"/>
    </row>
    <row r="1863" spans="1:1" ht="14.4" x14ac:dyDescent="0.3">
      <c r="A1863"/>
    </row>
    <row r="1864" spans="1:1" ht="14.4" x14ac:dyDescent="0.3">
      <c r="A1864"/>
    </row>
    <row r="1865" spans="1:1" ht="14.4" x14ac:dyDescent="0.3">
      <c r="A1865"/>
    </row>
    <row r="1866" spans="1:1" ht="14.4" x14ac:dyDescent="0.3">
      <c r="A1866"/>
    </row>
    <row r="1867" spans="1:1" ht="14.4" x14ac:dyDescent="0.3">
      <c r="A1867"/>
    </row>
    <row r="1868" spans="1:1" ht="14.4" x14ac:dyDescent="0.3">
      <c r="A1868"/>
    </row>
    <row r="1869" spans="1:1" ht="14.4" x14ac:dyDescent="0.3">
      <c r="A1869"/>
    </row>
    <row r="1870" spans="1:1" ht="14.4" x14ac:dyDescent="0.3">
      <c r="A1870"/>
    </row>
    <row r="1871" spans="1:1" ht="14.4" x14ac:dyDescent="0.3">
      <c r="A1871"/>
    </row>
    <row r="1872" spans="1:1" ht="14.4" x14ac:dyDescent="0.3">
      <c r="A1872"/>
    </row>
    <row r="1873" spans="1:1" ht="14.4" x14ac:dyDescent="0.3">
      <c r="A1873"/>
    </row>
    <row r="1874" spans="1:1" ht="14.4" x14ac:dyDescent="0.3">
      <c r="A1874"/>
    </row>
    <row r="1875" spans="1:1" ht="14.4" x14ac:dyDescent="0.3">
      <c r="A1875"/>
    </row>
    <row r="1876" spans="1:1" ht="14.4" x14ac:dyDescent="0.3">
      <c r="A1876"/>
    </row>
    <row r="1877" spans="1:1" ht="14.4" x14ac:dyDescent="0.3">
      <c r="A1877"/>
    </row>
    <row r="1878" spans="1:1" ht="14.4" x14ac:dyDescent="0.3">
      <c r="A1878"/>
    </row>
    <row r="1879" spans="1:1" ht="14.4" x14ac:dyDescent="0.3">
      <c r="A1879"/>
    </row>
    <row r="1880" spans="1:1" ht="14.4" x14ac:dyDescent="0.3">
      <c r="A1880"/>
    </row>
    <row r="1881" spans="1:1" ht="14.4" x14ac:dyDescent="0.3">
      <c r="A1881"/>
    </row>
    <row r="1882" spans="1:1" ht="14.4" x14ac:dyDescent="0.3">
      <c r="A1882"/>
    </row>
    <row r="1883" spans="1:1" ht="14.4" x14ac:dyDescent="0.3">
      <c r="A1883"/>
    </row>
    <row r="1884" spans="1:1" ht="14.4" x14ac:dyDescent="0.3">
      <c r="A1884"/>
    </row>
    <row r="1885" spans="1:1" ht="14.4" x14ac:dyDescent="0.3">
      <c r="A1885"/>
    </row>
    <row r="1886" spans="1:1" ht="14.4" x14ac:dyDescent="0.3">
      <c r="A1886"/>
    </row>
    <row r="1887" spans="1:1" ht="14.4" x14ac:dyDescent="0.3">
      <c r="A1887"/>
    </row>
    <row r="1888" spans="1:1" ht="14.4" x14ac:dyDescent="0.3">
      <c r="A1888"/>
    </row>
    <row r="1889" spans="1:1" ht="14.4" x14ac:dyDescent="0.3">
      <c r="A1889"/>
    </row>
    <row r="1890" spans="1:1" ht="14.4" x14ac:dyDescent="0.3">
      <c r="A1890"/>
    </row>
    <row r="1891" spans="1:1" ht="14.4" x14ac:dyDescent="0.3">
      <c r="A1891"/>
    </row>
    <row r="1892" spans="1:1" ht="14.4" x14ac:dyDescent="0.3">
      <c r="A1892"/>
    </row>
    <row r="1893" spans="1:1" ht="14.4" x14ac:dyDescent="0.3">
      <c r="A1893"/>
    </row>
    <row r="1894" spans="1:1" ht="14.4" x14ac:dyDescent="0.3">
      <c r="A1894"/>
    </row>
    <row r="1895" spans="1:1" ht="14.4" x14ac:dyDescent="0.3">
      <c r="A1895"/>
    </row>
    <row r="1896" spans="1:1" ht="14.4" x14ac:dyDescent="0.3">
      <c r="A1896"/>
    </row>
    <row r="1897" spans="1:1" ht="14.4" x14ac:dyDescent="0.3">
      <c r="A1897"/>
    </row>
    <row r="1898" spans="1:1" ht="14.4" x14ac:dyDescent="0.3">
      <c r="A1898"/>
    </row>
    <row r="1899" spans="1:1" ht="14.4" x14ac:dyDescent="0.3">
      <c r="A1899"/>
    </row>
    <row r="1900" spans="1:1" ht="14.4" x14ac:dyDescent="0.3">
      <c r="A1900"/>
    </row>
    <row r="1901" spans="1:1" ht="14.4" x14ac:dyDescent="0.3">
      <c r="A1901"/>
    </row>
    <row r="1902" spans="1:1" ht="14.4" x14ac:dyDescent="0.3">
      <c r="A1902"/>
    </row>
    <row r="1903" spans="1:1" ht="14.4" x14ac:dyDescent="0.3">
      <c r="A1903"/>
    </row>
    <row r="1904" spans="1:1" ht="14.4" x14ac:dyDescent="0.3">
      <c r="A1904"/>
    </row>
    <row r="1905" spans="1:1" ht="14.4" x14ac:dyDescent="0.3">
      <c r="A1905"/>
    </row>
    <row r="1906" spans="1:1" ht="14.4" x14ac:dyDescent="0.3">
      <c r="A1906"/>
    </row>
    <row r="1907" spans="1:1" ht="14.4" x14ac:dyDescent="0.3">
      <c r="A1907"/>
    </row>
    <row r="1908" spans="1:1" ht="14.4" x14ac:dyDescent="0.3">
      <c r="A1908"/>
    </row>
    <row r="1909" spans="1:1" ht="14.4" x14ac:dyDescent="0.3">
      <c r="A1909"/>
    </row>
    <row r="1910" spans="1:1" ht="14.4" x14ac:dyDescent="0.3">
      <c r="A1910"/>
    </row>
    <row r="1911" spans="1:1" ht="14.4" x14ac:dyDescent="0.3">
      <c r="A1911"/>
    </row>
    <row r="1912" spans="1:1" ht="14.4" x14ac:dyDescent="0.3">
      <c r="A1912"/>
    </row>
    <row r="1913" spans="1:1" ht="14.4" x14ac:dyDescent="0.3">
      <c r="A1913"/>
    </row>
    <row r="1914" spans="1:1" ht="14.4" x14ac:dyDescent="0.3">
      <c r="A1914"/>
    </row>
    <row r="1915" spans="1:1" ht="14.4" x14ac:dyDescent="0.3">
      <c r="A1915"/>
    </row>
    <row r="1916" spans="1:1" ht="14.4" x14ac:dyDescent="0.3">
      <c r="A1916"/>
    </row>
    <row r="1917" spans="1:1" ht="14.4" x14ac:dyDescent="0.3">
      <c r="A1917"/>
    </row>
    <row r="1918" spans="1:1" ht="14.4" x14ac:dyDescent="0.3">
      <c r="A1918"/>
    </row>
    <row r="1919" spans="1:1" ht="14.4" x14ac:dyDescent="0.3">
      <c r="A1919"/>
    </row>
    <row r="1920" spans="1:1" ht="14.4" x14ac:dyDescent="0.3">
      <c r="A1920"/>
    </row>
    <row r="1921" spans="1:1" ht="14.4" x14ac:dyDescent="0.3">
      <c r="A1921"/>
    </row>
    <row r="1922" spans="1:1" ht="14.4" x14ac:dyDescent="0.3">
      <c r="A1922"/>
    </row>
    <row r="1923" spans="1:1" ht="14.4" x14ac:dyDescent="0.3">
      <c r="A1923"/>
    </row>
    <row r="1924" spans="1:1" ht="14.4" x14ac:dyDescent="0.3">
      <c r="A1924"/>
    </row>
    <row r="1925" spans="1:1" ht="14.4" x14ac:dyDescent="0.3">
      <c r="A1925"/>
    </row>
    <row r="1926" spans="1:1" ht="14.4" x14ac:dyDescent="0.3">
      <c r="A1926"/>
    </row>
    <row r="1927" spans="1:1" ht="14.4" x14ac:dyDescent="0.3">
      <c r="A1927"/>
    </row>
    <row r="1928" spans="1:1" ht="14.4" x14ac:dyDescent="0.3">
      <c r="A1928"/>
    </row>
    <row r="1929" spans="1:1" ht="14.4" x14ac:dyDescent="0.3">
      <c r="A1929"/>
    </row>
    <row r="1930" spans="1:1" ht="14.4" x14ac:dyDescent="0.3">
      <c r="A1930"/>
    </row>
    <row r="1931" spans="1:1" ht="14.4" x14ac:dyDescent="0.3">
      <c r="A1931"/>
    </row>
    <row r="1932" spans="1:1" ht="14.4" x14ac:dyDescent="0.3">
      <c r="A1932"/>
    </row>
    <row r="1933" spans="1:1" ht="14.4" x14ac:dyDescent="0.3">
      <c r="A1933"/>
    </row>
    <row r="1934" spans="1:1" ht="14.4" x14ac:dyDescent="0.3">
      <c r="A1934"/>
    </row>
    <row r="1935" spans="1:1" ht="14.4" x14ac:dyDescent="0.3">
      <c r="A1935"/>
    </row>
    <row r="1936" spans="1:1" ht="14.4" x14ac:dyDescent="0.3">
      <c r="A1936"/>
    </row>
    <row r="1937" spans="1:1" ht="14.4" x14ac:dyDescent="0.3">
      <c r="A1937"/>
    </row>
    <row r="1938" spans="1:1" ht="14.4" x14ac:dyDescent="0.3">
      <c r="A1938"/>
    </row>
    <row r="1939" spans="1:1" ht="14.4" x14ac:dyDescent="0.3">
      <c r="A1939"/>
    </row>
    <row r="1940" spans="1:1" ht="14.4" x14ac:dyDescent="0.3">
      <c r="A1940"/>
    </row>
    <row r="1941" spans="1:1" ht="14.4" x14ac:dyDescent="0.3">
      <c r="A1941"/>
    </row>
    <row r="1942" spans="1:1" ht="14.4" x14ac:dyDescent="0.3">
      <c r="A1942"/>
    </row>
    <row r="1943" spans="1:1" ht="14.4" x14ac:dyDescent="0.3">
      <c r="A1943"/>
    </row>
    <row r="1944" spans="1:1" ht="14.4" x14ac:dyDescent="0.3">
      <c r="A1944"/>
    </row>
    <row r="1945" spans="1:1" ht="14.4" x14ac:dyDescent="0.3">
      <c r="A1945"/>
    </row>
    <row r="1946" spans="1:1" ht="14.4" x14ac:dyDescent="0.3">
      <c r="A1946"/>
    </row>
    <row r="1947" spans="1:1" ht="14.4" x14ac:dyDescent="0.3">
      <c r="A1947"/>
    </row>
    <row r="1948" spans="1:1" ht="14.4" x14ac:dyDescent="0.3">
      <c r="A1948"/>
    </row>
    <row r="1949" spans="1:1" ht="14.4" x14ac:dyDescent="0.3">
      <c r="A1949"/>
    </row>
    <row r="1950" spans="1:1" ht="14.4" x14ac:dyDescent="0.3">
      <c r="A1950"/>
    </row>
    <row r="1951" spans="1:1" ht="14.4" x14ac:dyDescent="0.3">
      <c r="A1951"/>
    </row>
    <row r="1952" spans="1:1" ht="14.4" x14ac:dyDescent="0.3">
      <c r="A1952"/>
    </row>
    <row r="1953" spans="1:1" ht="14.4" x14ac:dyDescent="0.3">
      <c r="A1953"/>
    </row>
    <row r="1954" spans="1:1" ht="14.4" x14ac:dyDescent="0.3">
      <c r="A1954"/>
    </row>
    <row r="1955" spans="1:1" ht="14.4" x14ac:dyDescent="0.3">
      <c r="A1955"/>
    </row>
    <row r="1956" spans="1:1" ht="14.4" x14ac:dyDescent="0.3">
      <c r="A1956"/>
    </row>
    <row r="1957" spans="1:1" ht="14.4" x14ac:dyDescent="0.3">
      <c r="A1957"/>
    </row>
    <row r="1958" spans="1:1" ht="14.4" x14ac:dyDescent="0.3">
      <c r="A1958"/>
    </row>
    <row r="1959" spans="1:1" ht="14.4" x14ac:dyDescent="0.3">
      <c r="A1959"/>
    </row>
    <row r="1960" spans="1:1" ht="14.4" x14ac:dyDescent="0.3">
      <c r="A1960"/>
    </row>
    <row r="1961" spans="1:1" ht="14.4" x14ac:dyDescent="0.3">
      <c r="A1961"/>
    </row>
    <row r="1962" spans="1:1" ht="14.4" x14ac:dyDescent="0.3">
      <c r="A1962"/>
    </row>
    <row r="1963" spans="1:1" ht="14.4" x14ac:dyDescent="0.3">
      <c r="A1963"/>
    </row>
    <row r="1964" spans="1:1" ht="14.4" x14ac:dyDescent="0.3">
      <c r="A1964"/>
    </row>
    <row r="1965" spans="1:1" ht="14.4" x14ac:dyDescent="0.3">
      <c r="A1965"/>
    </row>
    <row r="1966" spans="1:1" ht="14.4" x14ac:dyDescent="0.3">
      <c r="A1966"/>
    </row>
    <row r="1967" spans="1:1" ht="14.4" x14ac:dyDescent="0.3">
      <c r="A1967"/>
    </row>
    <row r="1968" spans="1:1" ht="14.4" x14ac:dyDescent="0.3">
      <c r="A1968"/>
    </row>
    <row r="1969" spans="1:1" ht="14.4" x14ac:dyDescent="0.3">
      <c r="A1969"/>
    </row>
    <row r="1970" spans="1:1" ht="14.4" x14ac:dyDescent="0.3">
      <c r="A1970"/>
    </row>
    <row r="1971" spans="1:1" ht="14.4" x14ac:dyDescent="0.3">
      <c r="A1971"/>
    </row>
    <row r="1972" spans="1:1" ht="14.4" x14ac:dyDescent="0.3">
      <c r="A1972"/>
    </row>
    <row r="1973" spans="1:1" ht="14.4" x14ac:dyDescent="0.3">
      <c r="A1973"/>
    </row>
    <row r="1974" spans="1:1" ht="14.4" x14ac:dyDescent="0.3">
      <c r="A1974"/>
    </row>
    <row r="1975" spans="1:1" ht="14.4" x14ac:dyDescent="0.3">
      <c r="A1975"/>
    </row>
    <row r="1976" spans="1:1" ht="14.4" x14ac:dyDescent="0.3">
      <c r="A1976"/>
    </row>
    <row r="1977" spans="1:1" ht="14.4" x14ac:dyDescent="0.3">
      <c r="A1977"/>
    </row>
    <row r="1978" spans="1:1" ht="14.4" x14ac:dyDescent="0.3">
      <c r="A1978"/>
    </row>
    <row r="1979" spans="1:1" ht="14.4" x14ac:dyDescent="0.3">
      <c r="A1979"/>
    </row>
    <row r="1980" spans="1:1" ht="14.4" x14ac:dyDescent="0.3">
      <c r="A1980"/>
    </row>
    <row r="1981" spans="1:1" ht="14.4" x14ac:dyDescent="0.3">
      <c r="A1981"/>
    </row>
    <row r="1982" spans="1:1" ht="14.4" x14ac:dyDescent="0.3">
      <c r="A1982"/>
    </row>
    <row r="1983" spans="1:1" ht="14.4" x14ac:dyDescent="0.3">
      <c r="A1983"/>
    </row>
    <row r="1984" spans="1:1" ht="14.4" x14ac:dyDescent="0.3">
      <c r="A1984"/>
    </row>
    <row r="1985" spans="1:1" ht="14.4" x14ac:dyDescent="0.3">
      <c r="A1985"/>
    </row>
    <row r="1986" spans="1:1" ht="14.4" x14ac:dyDescent="0.3">
      <c r="A1986"/>
    </row>
    <row r="1987" spans="1:1" ht="14.4" x14ac:dyDescent="0.3">
      <c r="A1987"/>
    </row>
    <row r="1988" spans="1:1" ht="14.4" x14ac:dyDescent="0.3">
      <c r="A1988"/>
    </row>
    <row r="1989" spans="1:1" ht="14.4" x14ac:dyDescent="0.3">
      <c r="A1989"/>
    </row>
    <row r="1990" spans="1:1" ht="14.4" x14ac:dyDescent="0.3">
      <c r="A1990"/>
    </row>
    <row r="1991" spans="1:1" ht="14.4" x14ac:dyDescent="0.3">
      <c r="A1991"/>
    </row>
    <row r="1992" spans="1:1" ht="14.4" x14ac:dyDescent="0.3">
      <c r="A1992"/>
    </row>
    <row r="1993" spans="1:1" ht="14.4" x14ac:dyDescent="0.3">
      <c r="A1993"/>
    </row>
    <row r="1994" spans="1:1" ht="14.4" x14ac:dyDescent="0.3">
      <c r="A1994"/>
    </row>
    <row r="1995" spans="1:1" ht="14.4" x14ac:dyDescent="0.3">
      <c r="A1995"/>
    </row>
    <row r="1996" spans="1:1" ht="14.4" x14ac:dyDescent="0.3">
      <c r="A1996"/>
    </row>
    <row r="1997" spans="1:1" ht="14.4" x14ac:dyDescent="0.3">
      <c r="A1997"/>
    </row>
    <row r="1998" spans="1:1" ht="14.4" x14ac:dyDescent="0.3">
      <c r="A1998"/>
    </row>
    <row r="1999" spans="1:1" ht="14.4" x14ac:dyDescent="0.3">
      <c r="A1999"/>
    </row>
    <row r="2000" spans="1:1" ht="14.4" x14ac:dyDescent="0.3">
      <c r="A2000"/>
    </row>
    <row r="2001" spans="1:1" ht="14.4" x14ac:dyDescent="0.3">
      <c r="A2001"/>
    </row>
    <row r="2002" spans="1:1" ht="14.4" x14ac:dyDescent="0.3">
      <c r="A2002"/>
    </row>
    <row r="2003" spans="1:1" ht="14.4" x14ac:dyDescent="0.3">
      <c r="A2003"/>
    </row>
    <row r="2004" spans="1:1" ht="14.4" x14ac:dyDescent="0.3">
      <c r="A2004"/>
    </row>
    <row r="2005" spans="1:1" ht="14.4" x14ac:dyDescent="0.3">
      <c r="A2005"/>
    </row>
    <row r="2006" spans="1:1" ht="14.4" x14ac:dyDescent="0.3">
      <c r="A2006"/>
    </row>
    <row r="2007" spans="1:1" ht="14.4" x14ac:dyDescent="0.3">
      <c r="A2007"/>
    </row>
    <row r="2008" spans="1:1" ht="14.4" x14ac:dyDescent="0.3">
      <c r="A2008"/>
    </row>
    <row r="2009" spans="1:1" ht="14.4" x14ac:dyDescent="0.3">
      <c r="A2009"/>
    </row>
    <row r="2010" spans="1:1" ht="14.4" x14ac:dyDescent="0.3">
      <c r="A2010"/>
    </row>
    <row r="2011" spans="1:1" ht="14.4" x14ac:dyDescent="0.3">
      <c r="A2011"/>
    </row>
    <row r="2012" spans="1:1" ht="14.4" x14ac:dyDescent="0.3">
      <c r="A2012"/>
    </row>
    <row r="2013" spans="1:1" ht="14.4" x14ac:dyDescent="0.3">
      <c r="A2013"/>
    </row>
    <row r="2014" spans="1:1" ht="14.4" x14ac:dyDescent="0.3">
      <c r="A2014"/>
    </row>
    <row r="2015" spans="1:1" ht="14.4" x14ac:dyDescent="0.3">
      <c r="A2015"/>
    </row>
    <row r="2016" spans="1:1" ht="14.4" x14ac:dyDescent="0.3">
      <c r="A2016"/>
    </row>
    <row r="2017" spans="1:1" ht="14.4" x14ac:dyDescent="0.3">
      <c r="A2017"/>
    </row>
    <row r="2018" spans="1:1" ht="14.4" x14ac:dyDescent="0.3">
      <c r="A2018"/>
    </row>
    <row r="2019" spans="1:1" ht="14.4" x14ac:dyDescent="0.3">
      <c r="A2019"/>
    </row>
    <row r="2020" spans="1:1" ht="14.4" x14ac:dyDescent="0.3">
      <c r="A2020"/>
    </row>
    <row r="2021" spans="1:1" ht="14.4" x14ac:dyDescent="0.3">
      <c r="A2021"/>
    </row>
    <row r="2022" spans="1:1" ht="14.4" x14ac:dyDescent="0.3">
      <c r="A2022"/>
    </row>
    <row r="2023" spans="1:1" ht="14.4" x14ac:dyDescent="0.3">
      <c r="A2023"/>
    </row>
    <row r="2024" spans="1:1" ht="14.4" x14ac:dyDescent="0.3">
      <c r="A2024"/>
    </row>
    <row r="2025" spans="1:1" ht="14.4" x14ac:dyDescent="0.3">
      <c r="A2025"/>
    </row>
    <row r="2026" spans="1:1" ht="14.4" x14ac:dyDescent="0.3">
      <c r="A2026"/>
    </row>
    <row r="2027" spans="1:1" ht="14.4" x14ac:dyDescent="0.3">
      <c r="A2027"/>
    </row>
    <row r="2028" spans="1:1" ht="14.4" x14ac:dyDescent="0.3">
      <c r="A2028"/>
    </row>
    <row r="2029" spans="1:1" ht="14.4" x14ac:dyDescent="0.3">
      <c r="A2029"/>
    </row>
    <row r="2030" spans="1:1" ht="14.4" x14ac:dyDescent="0.3">
      <c r="A2030"/>
    </row>
    <row r="2031" spans="1:1" ht="14.4" x14ac:dyDescent="0.3">
      <c r="A2031"/>
    </row>
    <row r="2032" spans="1:1" ht="14.4" x14ac:dyDescent="0.3">
      <c r="A2032"/>
    </row>
    <row r="2033" spans="1:1" ht="14.4" x14ac:dyDescent="0.3">
      <c r="A2033"/>
    </row>
    <row r="2034" spans="1:1" ht="14.4" x14ac:dyDescent="0.3">
      <c r="A2034"/>
    </row>
    <row r="2035" spans="1:1" ht="14.4" x14ac:dyDescent="0.3">
      <c r="A2035"/>
    </row>
    <row r="2036" spans="1:1" ht="14.4" x14ac:dyDescent="0.3">
      <c r="A2036"/>
    </row>
    <row r="2037" spans="1:1" ht="14.4" x14ac:dyDescent="0.3">
      <c r="A2037"/>
    </row>
    <row r="2038" spans="1:1" ht="14.4" x14ac:dyDescent="0.3">
      <c r="A2038"/>
    </row>
    <row r="2039" spans="1:1" ht="14.4" x14ac:dyDescent="0.3">
      <c r="A2039"/>
    </row>
    <row r="2040" spans="1:1" ht="14.4" x14ac:dyDescent="0.3">
      <c r="A2040"/>
    </row>
    <row r="2041" spans="1:1" ht="14.4" x14ac:dyDescent="0.3">
      <c r="A2041"/>
    </row>
    <row r="2042" spans="1:1" ht="14.4" x14ac:dyDescent="0.3">
      <c r="A2042"/>
    </row>
    <row r="2043" spans="1:1" ht="14.4" x14ac:dyDescent="0.3">
      <c r="A2043"/>
    </row>
    <row r="2044" spans="1:1" ht="14.4" x14ac:dyDescent="0.3">
      <c r="A2044"/>
    </row>
    <row r="2045" spans="1:1" ht="14.4" x14ac:dyDescent="0.3">
      <c r="A2045"/>
    </row>
    <row r="2046" spans="1:1" ht="14.4" x14ac:dyDescent="0.3">
      <c r="A2046"/>
    </row>
    <row r="2047" spans="1:1" ht="14.4" x14ac:dyDescent="0.3">
      <c r="A2047"/>
    </row>
    <row r="2048" spans="1:1" ht="14.4" x14ac:dyDescent="0.3">
      <c r="A2048"/>
    </row>
    <row r="2049" spans="1:1" ht="14.4" x14ac:dyDescent="0.3">
      <c r="A2049"/>
    </row>
    <row r="2050" spans="1:1" ht="14.4" x14ac:dyDescent="0.3">
      <c r="A2050"/>
    </row>
    <row r="2051" spans="1:1" ht="14.4" x14ac:dyDescent="0.3">
      <c r="A2051"/>
    </row>
    <row r="2052" spans="1:1" ht="14.4" x14ac:dyDescent="0.3">
      <c r="A2052"/>
    </row>
    <row r="2053" spans="1:1" ht="14.4" x14ac:dyDescent="0.3">
      <c r="A2053"/>
    </row>
    <row r="2054" spans="1:1" ht="14.4" x14ac:dyDescent="0.3">
      <c r="A2054"/>
    </row>
    <row r="2055" spans="1:1" ht="14.4" x14ac:dyDescent="0.3">
      <c r="A2055"/>
    </row>
    <row r="2056" spans="1:1" ht="14.4" x14ac:dyDescent="0.3">
      <c r="A2056"/>
    </row>
    <row r="2057" spans="1:1" ht="14.4" x14ac:dyDescent="0.3">
      <c r="A2057"/>
    </row>
    <row r="2058" spans="1:1" ht="14.4" x14ac:dyDescent="0.3">
      <c r="A2058"/>
    </row>
    <row r="2059" spans="1:1" ht="14.4" x14ac:dyDescent="0.3">
      <c r="A2059"/>
    </row>
    <row r="2060" spans="1:1" ht="14.4" x14ac:dyDescent="0.3">
      <c r="A2060"/>
    </row>
    <row r="2061" spans="1:1" ht="14.4" x14ac:dyDescent="0.3">
      <c r="A2061"/>
    </row>
    <row r="2062" spans="1:1" ht="14.4" x14ac:dyDescent="0.3">
      <c r="A2062"/>
    </row>
    <row r="2063" spans="1:1" ht="14.4" x14ac:dyDescent="0.3">
      <c r="A2063"/>
    </row>
    <row r="2064" spans="1:1" ht="14.4" x14ac:dyDescent="0.3">
      <c r="A2064"/>
    </row>
    <row r="2065" spans="1:1" ht="14.4" x14ac:dyDescent="0.3">
      <c r="A2065"/>
    </row>
    <row r="2066" spans="1:1" ht="14.4" x14ac:dyDescent="0.3">
      <c r="A2066"/>
    </row>
    <row r="2067" spans="1:1" ht="14.4" x14ac:dyDescent="0.3">
      <c r="A2067"/>
    </row>
    <row r="2068" spans="1:1" ht="14.4" x14ac:dyDescent="0.3">
      <c r="A2068"/>
    </row>
    <row r="2069" spans="1:1" ht="14.4" x14ac:dyDescent="0.3">
      <c r="A2069"/>
    </row>
    <row r="2070" spans="1:1" ht="14.4" x14ac:dyDescent="0.3">
      <c r="A2070"/>
    </row>
    <row r="2071" spans="1:1" ht="14.4" x14ac:dyDescent="0.3">
      <c r="A2071"/>
    </row>
    <row r="2072" spans="1:1" ht="14.4" x14ac:dyDescent="0.3">
      <c r="A2072"/>
    </row>
    <row r="2073" spans="1:1" ht="14.4" x14ac:dyDescent="0.3">
      <c r="A2073"/>
    </row>
    <row r="2074" spans="1:1" ht="14.4" x14ac:dyDescent="0.3">
      <c r="A2074"/>
    </row>
    <row r="2075" spans="1:1" ht="14.4" x14ac:dyDescent="0.3">
      <c r="A2075"/>
    </row>
    <row r="2076" spans="1:1" ht="14.4" x14ac:dyDescent="0.3">
      <c r="A2076"/>
    </row>
    <row r="2077" spans="1:1" ht="14.4" x14ac:dyDescent="0.3">
      <c r="A2077"/>
    </row>
    <row r="2078" spans="1:1" ht="14.4" x14ac:dyDescent="0.3">
      <c r="A2078"/>
    </row>
    <row r="2079" spans="1:1" ht="14.4" x14ac:dyDescent="0.3">
      <c r="A2079"/>
    </row>
    <row r="2080" spans="1:1" ht="14.4" x14ac:dyDescent="0.3">
      <c r="A2080"/>
    </row>
    <row r="2081" spans="1:1" ht="14.4" x14ac:dyDescent="0.3">
      <c r="A2081"/>
    </row>
    <row r="2082" spans="1:1" ht="14.4" x14ac:dyDescent="0.3">
      <c r="A2082"/>
    </row>
    <row r="2083" spans="1:1" ht="14.4" x14ac:dyDescent="0.3">
      <c r="A2083"/>
    </row>
    <row r="2084" spans="1:1" ht="14.4" x14ac:dyDescent="0.3">
      <c r="A2084"/>
    </row>
    <row r="2085" spans="1:1" ht="14.4" x14ac:dyDescent="0.3">
      <c r="A2085"/>
    </row>
    <row r="2086" spans="1:1" ht="14.4" x14ac:dyDescent="0.3">
      <c r="A2086"/>
    </row>
    <row r="2087" spans="1:1" ht="14.4" x14ac:dyDescent="0.3">
      <c r="A2087"/>
    </row>
    <row r="2088" spans="1:1" ht="14.4" x14ac:dyDescent="0.3">
      <c r="A2088"/>
    </row>
    <row r="2089" spans="1:1" ht="14.4" x14ac:dyDescent="0.3">
      <c r="A2089"/>
    </row>
    <row r="2090" spans="1:1" ht="14.4" x14ac:dyDescent="0.3">
      <c r="A2090"/>
    </row>
    <row r="2091" spans="1:1" ht="14.4" x14ac:dyDescent="0.3">
      <c r="A2091"/>
    </row>
    <row r="2092" spans="1:1" ht="14.4" x14ac:dyDescent="0.3">
      <c r="A2092"/>
    </row>
    <row r="2093" spans="1:1" ht="14.4" x14ac:dyDescent="0.3">
      <c r="A2093"/>
    </row>
    <row r="2094" spans="1:1" ht="14.4" x14ac:dyDescent="0.3">
      <c r="A2094"/>
    </row>
    <row r="2095" spans="1:1" ht="14.4" x14ac:dyDescent="0.3">
      <c r="A2095"/>
    </row>
    <row r="2096" spans="1:1" ht="14.4" x14ac:dyDescent="0.3">
      <c r="A2096"/>
    </row>
    <row r="2097" spans="1:1" ht="14.4" x14ac:dyDescent="0.3">
      <c r="A2097"/>
    </row>
    <row r="2098" spans="1:1" ht="14.4" x14ac:dyDescent="0.3">
      <c r="A2098"/>
    </row>
    <row r="2099" spans="1:1" ht="14.4" x14ac:dyDescent="0.3">
      <c r="A2099"/>
    </row>
    <row r="2100" spans="1:1" ht="14.4" x14ac:dyDescent="0.3">
      <c r="A2100"/>
    </row>
    <row r="2101" spans="1:1" ht="14.4" x14ac:dyDescent="0.3">
      <c r="A2101"/>
    </row>
    <row r="2102" spans="1:1" ht="14.4" x14ac:dyDescent="0.3">
      <c r="A2102"/>
    </row>
    <row r="2103" spans="1:1" ht="14.4" x14ac:dyDescent="0.3">
      <c r="A2103"/>
    </row>
    <row r="2104" spans="1:1" ht="14.4" x14ac:dyDescent="0.3">
      <c r="A2104"/>
    </row>
    <row r="2105" spans="1:1" ht="14.4" x14ac:dyDescent="0.3">
      <c r="A2105"/>
    </row>
    <row r="2106" spans="1:1" ht="14.4" x14ac:dyDescent="0.3">
      <c r="A2106"/>
    </row>
    <row r="2107" spans="1:1" ht="14.4" x14ac:dyDescent="0.3">
      <c r="A2107"/>
    </row>
    <row r="2108" spans="1:1" ht="14.4" x14ac:dyDescent="0.3">
      <c r="A2108"/>
    </row>
    <row r="2109" spans="1:1" ht="14.4" x14ac:dyDescent="0.3">
      <c r="A2109"/>
    </row>
    <row r="2110" spans="1:1" ht="14.4" x14ac:dyDescent="0.3">
      <c r="A2110"/>
    </row>
    <row r="2111" spans="1:1" ht="14.4" x14ac:dyDescent="0.3">
      <c r="A2111"/>
    </row>
    <row r="2112" spans="1:1" ht="14.4" x14ac:dyDescent="0.3">
      <c r="A2112"/>
    </row>
    <row r="2113" spans="1:1" ht="14.4" x14ac:dyDescent="0.3">
      <c r="A2113"/>
    </row>
    <row r="2114" spans="1:1" ht="14.4" x14ac:dyDescent="0.3">
      <c r="A2114"/>
    </row>
    <row r="2115" spans="1:1" ht="14.4" x14ac:dyDescent="0.3">
      <c r="A2115"/>
    </row>
    <row r="2116" spans="1:1" ht="14.4" x14ac:dyDescent="0.3">
      <c r="A2116"/>
    </row>
    <row r="2117" spans="1:1" ht="14.4" x14ac:dyDescent="0.3">
      <c r="A2117"/>
    </row>
    <row r="2118" spans="1:1" ht="14.4" x14ac:dyDescent="0.3">
      <c r="A2118"/>
    </row>
    <row r="2119" spans="1:1" ht="14.4" x14ac:dyDescent="0.3">
      <c r="A2119"/>
    </row>
    <row r="2120" spans="1:1" ht="14.4" x14ac:dyDescent="0.3">
      <c r="A2120"/>
    </row>
    <row r="2121" spans="1:1" ht="14.4" x14ac:dyDescent="0.3">
      <c r="A2121"/>
    </row>
    <row r="2122" spans="1:1" ht="14.4" x14ac:dyDescent="0.3">
      <c r="A2122"/>
    </row>
    <row r="2123" spans="1:1" ht="14.4" x14ac:dyDescent="0.3">
      <c r="A2123"/>
    </row>
    <row r="2124" spans="1:1" ht="14.4" x14ac:dyDescent="0.3">
      <c r="A2124"/>
    </row>
    <row r="2125" spans="1:1" ht="14.4" x14ac:dyDescent="0.3">
      <c r="A2125"/>
    </row>
    <row r="2126" spans="1:1" ht="14.4" x14ac:dyDescent="0.3">
      <c r="A2126"/>
    </row>
    <row r="2127" spans="1:1" ht="14.4" x14ac:dyDescent="0.3">
      <c r="A2127"/>
    </row>
    <row r="2128" spans="1:1" ht="14.4" x14ac:dyDescent="0.3">
      <c r="A2128"/>
    </row>
    <row r="2129" spans="1:1" ht="14.4" x14ac:dyDescent="0.3">
      <c r="A2129"/>
    </row>
    <row r="2130" spans="1:1" ht="14.4" x14ac:dyDescent="0.3">
      <c r="A2130"/>
    </row>
    <row r="2131" spans="1:1" ht="14.4" x14ac:dyDescent="0.3">
      <c r="A2131"/>
    </row>
    <row r="2132" spans="1:1" ht="14.4" x14ac:dyDescent="0.3">
      <c r="A2132"/>
    </row>
    <row r="2133" spans="1:1" ht="14.4" x14ac:dyDescent="0.3">
      <c r="A2133"/>
    </row>
    <row r="2134" spans="1:1" ht="14.4" x14ac:dyDescent="0.3">
      <c r="A2134"/>
    </row>
    <row r="2135" spans="1:1" ht="14.4" x14ac:dyDescent="0.3">
      <c r="A2135"/>
    </row>
    <row r="2136" spans="1:1" ht="14.4" x14ac:dyDescent="0.3">
      <c r="A2136"/>
    </row>
    <row r="2137" spans="1:1" ht="14.4" x14ac:dyDescent="0.3">
      <c r="A2137"/>
    </row>
    <row r="2138" spans="1:1" ht="14.4" x14ac:dyDescent="0.3">
      <c r="A2138"/>
    </row>
    <row r="2139" spans="1:1" ht="14.4" x14ac:dyDescent="0.3">
      <c r="A2139"/>
    </row>
    <row r="2140" spans="1:1" ht="14.4" x14ac:dyDescent="0.3">
      <c r="A2140"/>
    </row>
    <row r="2141" spans="1:1" ht="14.4" x14ac:dyDescent="0.3">
      <c r="A2141"/>
    </row>
    <row r="2142" spans="1:1" ht="14.4" x14ac:dyDescent="0.3">
      <c r="A2142"/>
    </row>
    <row r="2143" spans="1:1" ht="14.4" x14ac:dyDescent="0.3">
      <c r="A2143"/>
    </row>
    <row r="2144" spans="1:1" ht="14.4" x14ac:dyDescent="0.3">
      <c r="A2144"/>
    </row>
    <row r="2145" spans="1:1" ht="14.4" x14ac:dyDescent="0.3">
      <c r="A2145"/>
    </row>
    <row r="2146" spans="1:1" ht="14.4" x14ac:dyDescent="0.3">
      <c r="A2146"/>
    </row>
    <row r="2147" spans="1:1" ht="14.4" x14ac:dyDescent="0.3">
      <c r="A2147"/>
    </row>
    <row r="2148" spans="1:1" ht="14.4" x14ac:dyDescent="0.3">
      <c r="A2148"/>
    </row>
    <row r="2149" spans="1:1" ht="14.4" x14ac:dyDescent="0.3">
      <c r="A2149"/>
    </row>
    <row r="2150" spans="1:1" ht="14.4" x14ac:dyDescent="0.3">
      <c r="A2150"/>
    </row>
    <row r="2151" spans="1:1" ht="14.4" x14ac:dyDescent="0.3">
      <c r="A2151"/>
    </row>
    <row r="2152" spans="1:1" ht="14.4" x14ac:dyDescent="0.3">
      <c r="A2152"/>
    </row>
    <row r="2153" spans="1:1" ht="14.4" x14ac:dyDescent="0.3">
      <c r="A2153"/>
    </row>
    <row r="2154" spans="1:1" ht="14.4" x14ac:dyDescent="0.3">
      <c r="A2154"/>
    </row>
    <row r="2155" spans="1:1" ht="14.4" x14ac:dyDescent="0.3">
      <c r="A2155"/>
    </row>
    <row r="2156" spans="1:1" ht="14.4" x14ac:dyDescent="0.3">
      <c r="A2156"/>
    </row>
    <row r="2157" spans="1:1" ht="14.4" x14ac:dyDescent="0.3">
      <c r="A2157"/>
    </row>
    <row r="2158" spans="1:1" ht="14.4" x14ac:dyDescent="0.3">
      <c r="A2158"/>
    </row>
    <row r="2159" spans="1:1" ht="14.4" x14ac:dyDescent="0.3">
      <c r="A2159"/>
    </row>
    <row r="2160" spans="1:1" ht="14.4" x14ac:dyDescent="0.3">
      <c r="A2160"/>
    </row>
    <row r="2161" spans="1:1" ht="14.4" x14ac:dyDescent="0.3">
      <c r="A2161"/>
    </row>
    <row r="2162" spans="1:1" ht="14.4" x14ac:dyDescent="0.3">
      <c r="A2162"/>
    </row>
    <row r="2163" spans="1:1" ht="14.4" x14ac:dyDescent="0.3">
      <c r="A2163"/>
    </row>
    <row r="2164" spans="1:1" ht="14.4" x14ac:dyDescent="0.3">
      <c r="A2164"/>
    </row>
    <row r="2165" spans="1:1" ht="14.4" x14ac:dyDescent="0.3">
      <c r="A2165"/>
    </row>
    <row r="2166" spans="1:1" ht="14.4" x14ac:dyDescent="0.3">
      <c r="A2166"/>
    </row>
    <row r="2167" spans="1:1" ht="14.4" x14ac:dyDescent="0.3">
      <c r="A2167"/>
    </row>
    <row r="2168" spans="1:1" ht="14.4" x14ac:dyDescent="0.3">
      <c r="A2168"/>
    </row>
    <row r="2169" spans="1:1" ht="14.4" x14ac:dyDescent="0.3">
      <c r="A2169"/>
    </row>
    <row r="2170" spans="1:1" ht="14.4" x14ac:dyDescent="0.3">
      <c r="A2170"/>
    </row>
    <row r="2171" spans="1:1" ht="14.4" x14ac:dyDescent="0.3">
      <c r="A2171"/>
    </row>
    <row r="2172" spans="1:1" ht="14.4" x14ac:dyDescent="0.3">
      <c r="A2172"/>
    </row>
    <row r="2173" spans="1:1" ht="14.4" x14ac:dyDescent="0.3">
      <c r="A2173"/>
    </row>
    <row r="2174" spans="1:1" ht="14.4" x14ac:dyDescent="0.3">
      <c r="A2174"/>
    </row>
    <row r="2175" spans="1:1" ht="14.4" x14ac:dyDescent="0.3">
      <c r="A2175"/>
    </row>
    <row r="2176" spans="1:1" ht="14.4" x14ac:dyDescent="0.3">
      <c r="A2176"/>
    </row>
    <row r="2177" spans="1:1" ht="14.4" x14ac:dyDescent="0.3">
      <c r="A2177"/>
    </row>
    <row r="2178" spans="1:1" ht="14.4" x14ac:dyDescent="0.3">
      <c r="A2178"/>
    </row>
    <row r="2179" spans="1:1" ht="14.4" x14ac:dyDescent="0.3">
      <c r="A2179"/>
    </row>
    <row r="2180" spans="1:1" ht="14.4" x14ac:dyDescent="0.3">
      <c r="A2180"/>
    </row>
    <row r="2181" spans="1:1" ht="14.4" x14ac:dyDescent="0.3">
      <c r="A2181"/>
    </row>
    <row r="2182" spans="1:1" ht="14.4" x14ac:dyDescent="0.3">
      <c r="A2182"/>
    </row>
    <row r="2183" spans="1:1" ht="14.4" x14ac:dyDescent="0.3">
      <c r="A2183"/>
    </row>
    <row r="2184" spans="1:1" ht="14.4" x14ac:dyDescent="0.3">
      <c r="A2184"/>
    </row>
    <row r="2185" spans="1:1" ht="14.4" x14ac:dyDescent="0.3">
      <c r="A2185"/>
    </row>
    <row r="2186" spans="1:1" ht="14.4" x14ac:dyDescent="0.3">
      <c r="A2186"/>
    </row>
    <row r="2187" spans="1:1" ht="14.4" x14ac:dyDescent="0.3">
      <c r="A2187"/>
    </row>
    <row r="2188" spans="1:1" ht="14.4" x14ac:dyDescent="0.3">
      <c r="A2188"/>
    </row>
    <row r="2189" spans="1:1" ht="14.4" x14ac:dyDescent="0.3">
      <c r="A2189"/>
    </row>
    <row r="2190" spans="1:1" ht="14.4" x14ac:dyDescent="0.3">
      <c r="A2190"/>
    </row>
    <row r="2191" spans="1:1" ht="14.4" x14ac:dyDescent="0.3">
      <c r="A2191"/>
    </row>
    <row r="2192" spans="1:1" ht="14.4" x14ac:dyDescent="0.3">
      <c r="A2192"/>
    </row>
    <row r="2193" spans="1:1" ht="14.4" x14ac:dyDescent="0.3">
      <c r="A2193"/>
    </row>
    <row r="2194" spans="1:1" ht="14.4" x14ac:dyDescent="0.3">
      <c r="A2194"/>
    </row>
    <row r="2195" spans="1:1" ht="14.4" x14ac:dyDescent="0.3">
      <c r="A2195"/>
    </row>
    <row r="2196" spans="1:1" ht="14.4" x14ac:dyDescent="0.3">
      <c r="A2196"/>
    </row>
    <row r="2197" spans="1:1" ht="14.4" x14ac:dyDescent="0.3">
      <c r="A2197"/>
    </row>
    <row r="2198" spans="1:1" ht="14.4" x14ac:dyDescent="0.3">
      <c r="A2198"/>
    </row>
    <row r="2199" spans="1:1" ht="14.4" x14ac:dyDescent="0.3">
      <c r="A2199"/>
    </row>
    <row r="2200" spans="1:1" ht="14.4" x14ac:dyDescent="0.3">
      <c r="A2200"/>
    </row>
    <row r="2201" spans="1:1" ht="14.4" x14ac:dyDescent="0.3">
      <c r="A2201"/>
    </row>
    <row r="2202" spans="1:1" ht="14.4" x14ac:dyDescent="0.3">
      <c r="A2202"/>
    </row>
    <row r="2203" spans="1:1" ht="14.4" x14ac:dyDescent="0.3">
      <c r="A2203"/>
    </row>
    <row r="2204" spans="1:1" ht="14.4" x14ac:dyDescent="0.3">
      <c r="A2204"/>
    </row>
    <row r="2205" spans="1:1" ht="14.4" x14ac:dyDescent="0.3">
      <c r="A2205"/>
    </row>
    <row r="2206" spans="1:1" ht="14.4" x14ac:dyDescent="0.3">
      <c r="A2206"/>
    </row>
    <row r="2207" spans="1:1" ht="14.4" x14ac:dyDescent="0.3">
      <c r="A2207"/>
    </row>
    <row r="2208" spans="1:1" ht="14.4" x14ac:dyDescent="0.3">
      <c r="A2208"/>
    </row>
    <row r="2209" spans="1:1" ht="14.4" x14ac:dyDescent="0.3">
      <c r="A2209"/>
    </row>
    <row r="2210" spans="1:1" ht="14.4" x14ac:dyDescent="0.3">
      <c r="A2210"/>
    </row>
    <row r="2211" spans="1:1" ht="14.4" x14ac:dyDescent="0.3">
      <c r="A2211"/>
    </row>
    <row r="2212" spans="1:1" ht="14.4" x14ac:dyDescent="0.3">
      <c r="A2212"/>
    </row>
    <row r="2213" spans="1:1" ht="14.4" x14ac:dyDescent="0.3">
      <c r="A2213"/>
    </row>
    <row r="2214" spans="1:1" ht="14.4" x14ac:dyDescent="0.3">
      <c r="A2214"/>
    </row>
    <row r="2215" spans="1:1" ht="14.4" x14ac:dyDescent="0.3">
      <c r="A2215"/>
    </row>
    <row r="2216" spans="1:1" ht="14.4" x14ac:dyDescent="0.3">
      <c r="A2216"/>
    </row>
    <row r="2217" spans="1:1" ht="14.4" x14ac:dyDescent="0.3">
      <c r="A2217"/>
    </row>
    <row r="2218" spans="1:1" ht="14.4" x14ac:dyDescent="0.3">
      <c r="A2218"/>
    </row>
    <row r="2219" spans="1:1" ht="14.4" x14ac:dyDescent="0.3">
      <c r="A2219"/>
    </row>
    <row r="2220" spans="1:1" ht="14.4" x14ac:dyDescent="0.3">
      <c r="A2220"/>
    </row>
    <row r="2221" spans="1:1" ht="14.4" x14ac:dyDescent="0.3">
      <c r="A2221"/>
    </row>
    <row r="2222" spans="1:1" ht="14.4" x14ac:dyDescent="0.3">
      <c r="A2222"/>
    </row>
    <row r="2223" spans="1:1" ht="14.4" x14ac:dyDescent="0.3">
      <c r="A2223"/>
    </row>
    <row r="2224" spans="1:1" ht="14.4" x14ac:dyDescent="0.3">
      <c r="A2224"/>
    </row>
    <row r="2225" spans="1:1" ht="14.4" x14ac:dyDescent="0.3">
      <c r="A2225"/>
    </row>
    <row r="2226" spans="1:1" ht="14.4" x14ac:dyDescent="0.3">
      <c r="A2226"/>
    </row>
    <row r="2227" spans="1:1" ht="14.4" x14ac:dyDescent="0.3">
      <c r="A2227"/>
    </row>
    <row r="2228" spans="1:1" ht="14.4" x14ac:dyDescent="0.3">
      <c r="A2228"/>
    </row>
    <row r="2229" spans="1:1" ht="14.4" x14ac:dyDescent="0.3">
      <c r="A2229"/>
    </row>
    <row r="2230" spans="1:1" ht="14.4" x14ac:dyDescent="0.3">
      <c r="A2230"/>
    </row>
    <row r="2231" spans="1:1" ht="14.4" x14ac:dyDescent="0.3">
      <c r="A2231"/>
    </row>
    <row r="2232" spans="1:1" ht="14.4" x14ac:dyDescent="0.3">
      <c r="A2232"/>
    </row>
    <row r="2233" spans="1:1" ht="14.4" x14ac:dyDescent="0.3">
      <c r="A2233"/>
    </row>
    <row r="2234" spans="1:1" ht="14.4" x14ac:dyDescent="0.3">
      <c r="A2234"/>
    </row>
    <row r="2235" spans="1:1" ht="14.4" x14ac:dyDescent="0.3">
      <c r="A2235"/>
    </row>
    <row r="2236" spans="1:1" ht="14.4" x14ac:dyDescent="0.3">
      <c r="A2236"/>
    </row>
    <row r="2237" spans="1:1" ht="14.4" x14ac:dyDescent="0.3">
      <c r="A2237"/>
    </row>
    <row r="2238" spans="1:1" ht="14.4" x14ac:dyDescent="0.3">
      <c r="A2238"/>
    </row>
    <row r="2239" spans="1:1" ht="14.4" x14ac:dyDescent="0.3">
      <c r="A2239"/>
    </row>
    <row r="2240" spans="1:1" ht="14.4" x14ac:dyDescent="0.3">
      <c r="A2240"/>
    </row>
    <row r="2241" spans="1:1" ht="14.4" x14ac:dyDescent="0.3">
      <c r="A2241"/>
    </row>
    <row r="2242" spans="1:1" ht="14.4" x14ac:dyDescent="0.3">
      <c r="A2242"/>
    </row>
    <row r="2243" spans="1:1" ht="14.4" x14ac:dyDescent="0.3">
      <c r="A2243"/>
    </row>
    <row r="2244" spans="1:1" ht="14.4" x14ac:dyDescent="0.3">
      <c r="A2244"/>
    </row>
    <row r="2245" spans="1:1" ht="14.4" x14ac:dyDescent="0.3">
      <c r="A2245"/>
    </row>
    <row r="2246" spans="1:1" ht="14.4" x14ac:dyDescent="0.3">
      <c r="A2246"/>
    </row>
    <row r="2247" spans="1:1" ht="14.4" x14ac:dyDescent="0.3">
      <c r="A2247"/>
    </row>
    <row r="2248" spans="1:1" ht="14.4" x14ac:dyDescent="0.3">
      <c r="A2248"/>
    </row>
    <row r="2249" spans="1:1" ht="14.4" x14ac:dyDescent="0.3">
      <c r="A2249"/>
    </row>
    <row r="2250" spans="1:1" ht="14.4" x14ac:dyDescent="0.3">
      <c r="A2250"/>
    </row>
    <row r="2251" spans="1:1" ht="14.4" x14ac:dyDescent="0.3">
      <c r="A2251"/>
    </row>
    <row r="2252" spans="1:1" ht="14.4" x14ac:dyDescent="0.3">
      <c r="A2252"/>
    </row>
    <row r="2253" spans="1:1" ht="14.4" x14ac:dyDescent="0.3">
      <c r="A2253"/>
    </row>
    <row r="2254" spans="1:1" ht="14.4" x14ac:dyDescent="0.3">
      <c r="A2254"/>
    </row>
    <row r="2255" spans="1:1" ht="14.4" x14ac:dyDescent="0.3">
      <c r="A2255"/>
    </row>
    <row r="2256" spans="1:1" ht="14.4" x14ac:dyDescent="0.3">
      <c r="A2256"/>
    </row>
    <row r="2257" spans="1:1" ht="14.4" x14ac:dyDescent="0.3">
      <c r="A2257"/>
    </row>
    <row r="2258" spans="1:1" ht="14.4" x14ac:dyDescent="0.3">
      <c r="A2258"/>
    </row>
    <row r="2259" spans="1:1" ht="14.4" x14ac:dyDescent="0.3">
      <c r="A2259"/>
    </row>
    <row r="2260" spans="1:1" ht="14.4" x14ac:dyDescent="0.3">
      <c r="A2260"/>
    </row>
    <row r="2261" spans="1:1" ht="14.4" x14ac:dyDescent="0.3">
      <c r="A2261"/>
    </row>
    <row r="2262" spans="1:1" ht="14.4" x14ac:dyDescent="0.3">
      <c r="A2262"/>
    </row>
    <row r="2263" spans="1:1" ht="14.4" x14ac:dyDescent="0.3">
      <c r="A2263"/>
    </row>
    <row r="2264" spans="1:1" ht="14.4" x14ac:dyDescent="0.3">
      <c r="A2264"/>
    </row>
    <row r="2265" spans="1:1" ht="14.4" x14ac:dyDescent="0.3">
      <c r="A2265"/>
    </row>
    <row r="2266" spans="1:1" ht="14.4" x14ac:dyDescent="0.3">
      <c r="A2266"/>
    </row>
    <row r="2267" spans="1:1" ht="14.4" x14ac:dyDescent="0.3">
      <c r="A2267"/>
    </row>
    <row r="2268" spans="1:1" ht="14.4" x14ac:dyDescent="0.3">
      <c r="A2268"/>
    </row>
    <row r="2269" spans="1:1" ht="14.4" x14ac:dyDescent="0.3">
      <c r="A2269"/>
    </row>
    <row r="2270" spans="1:1" ht="14.4" x14ac:dyDescent="0.3">
      <c r="A2270"/>
    </row>
    <row r="2271" spans="1:1" ht="14.4" x14ac:dyDescent="0.3">
      <c r="A2271"/>
    </row>
    <row r="2272" spans="1:1" ht="14.4" x14ac:dyDescent="0.3">
      <c r="A2272"/>
    </row>
    <row r="2273" spans="1:1" ht="14.4" x14ac:dyDescent="0.3">
      <c r="A2273"/>
    </row>
    <row r="2274" spans="1:1" ht="14.4" x14ac:dyDescent="0.3">
      <c r="A2274"/>
    </row>
    <row r="2275" spans="1:1" ht="14.4" x14ac:dyDescent="0.3">
      <c r="A2275"/>
    </row>
    <row r="2276" spans="1:1" ht="14.4" x14ac:dyDescent="0.3">
      <c r="A2276"/>
    </row>
    <row r="2277" spans="1:1" ht="14.4" x14ac:dyDescent="0.3">
      <c r="A2277"/>
    </row>
    <row r="2278" spans="1:1" ht="14.4" x14ac:dyDescent="0.3">
      <c r="A2278"/>
    </row>
    <row r="2279" spans="1:1" ht="14.4" x14ac:dyDescent="0.3">
      <c r="A2279"/>
    </row>
    <row r="2280" spans="1:1" ht="14.4" x14ac:dyDescent="0.3">
      <c r="A2280"/>
    </row>
    <row r="2281" spans="1:1" ht="14.4" x14ac:dyDescent="0.3">
      <c r="A2281"/>
    </row>
    <row r="2282" spans="1:1" ht="14.4" x14ac:dyDescent="0.3">
      <c r="A2282"/>
    </row>
    <row r="2283" spans="1:1" ht="14.4" x14ac:dyDescent="0.3">
      <c r="A2283"/>
    </row>
    <row r="2284" spans="1:1" ht="14.4" x14ac:dyDescent="0.3">
      <c r="A2284"/>
    </row>
    <row r="2285" spans="1:1" ht="14.4" x14ac:dyDescent="0.3">
      <c r="A2285"/>
    </row>
    <row r="2286" spans="1:1" ht="14.4" x14ac:dyDescent="0.3">
      <c r="A2286"/>
    </row>
    <row r="2287" spans="1:1" ht="14.4" x14ac:dyDescent="0.3">
      <c r="A2287"/>
    </row>
    <row r="2288" spans="1:1" ht="14.4" x14ac:dyDescent="0.3">
      <c r="A2288"/>
    </row>
    <row r="2289" spans="1:1" ht="14.4" x14ac:dyDescent="0.3">
      <c r="A2289"/>
    </row>
    <row r="2290" spans="1:1" ht="14.4" x14ac:dyDescent="0.3">
      <c r="A2290"/>
    </row>
    <row r="2291" spans="1:1" ht="14.4" x14ac:dyDescent="0.3">
      <c r="A2291"/>
    </row>
    <row r="2292" spans="1:1" ht="14.4" x14ac:dyDescent="0.3">
      <c r="A2292"/>
    </row>
    <row r="2293" spans="1:1" ht="14.4" x14ac:dyDescent="0.3">
      <c r="A2293"/>
    </row>
    <row r="2294" spans="1:1" ht="14.4" x14ac:dyDescent="0.3">
      <c r="A2294"/>
    </row>
    <row r="2295" spans="1:1" ht="14.4" x14ac:dyDescent="0.3">
      <c r="A2295"/>
    </row>
    <row r="2296" spans="1:1" ht="14.4" x14ac:dyDescent="0.3">
      <c r="A2296"/>
    </row>
    <row r="2297" spans="1:1" ht="14.4" x14ac:dyDescent="0.3">
      <c r="A2297"/>
    </row>
    <row r="2298" spans="1:1" ht="14.4" x14ac:dyDescent="0.3">
      <c r="A2298"/>
    </row>
    <row r="2299" spans="1:1" ht="14.4" x14ac:dyDescent="0.3">
      <c r="A2299"/>
    </row>
    <row r="2300" spans="1:1" ht="14.4" x14ac:dyDescent="0.3">
      <c r="A2300"/>
    </row>
    <row r="2301" spans="1:1" ht="14.4" x14ac:dyDescent="0.3">
      <c r="A2301"/>
    </row>
    <row r="2302" spans="1:1" ht="14.4" x14ac:dyDescent="0.3">
      <c r="A2302"/>
    </row>
    <row r="2303" spans="1:1" ht="14.4" x14ac:dyDescent="0.3">
      <c r="A2303"/>
    </row>
    <row r="2304" spans="1:1" ht="14.4" x14ac:dyDescent="0.3">
      <c r="A2304"/>
    </row>
    <row r="2305" spans="1:1" ht="14.4" x14ac:dyDescent="0.3">
      <c r="A2305"/>
    </row>
    <row r="2306" spans="1:1" ht="14.4" x14ac:dyDescent="0.3">
      <c r="A2306"/>
    </row>
    <row r="2307" spans="1:1" ht="14.4" x14ac:dyDescent="0.3">
      <c r="A2307"/>
    </row>
    <row r="2308" spans="1:1" ht="14.4" x14ac:dyDescent="0.3">
      <c r="A2308"/>
    </row>
    <row r="2309" spans="1:1" ht="14.4" x14ac:dyDescent="0.3">
      <c r="A2309"/>
    </row>
    <row r="2310" spans="1:1" ht="14.4" x14ac:dyDescent="0.3">
      <c r="A2310"/>
    </row>
    <row r="2311" spans="1:1" ht="14.4" x14ac:dyDescent="0.3">
      <c r="A2311"/>
    </row>
    <row r="2312" spans="1:1" ht="14.4" x14ac:dyDescent="0.3">
      <c r="A2312"/>
    </row>
    <row r="2313" spans="1:1" ht="14.4" x14ac:dyDescent="0.3">
      <c r="A2313"/>
    </row>
    <row r="2314" spans="1:1" ht="14.4" x14ac:dyDescent="0.3">
      <c r="A2314"/>
    </row>
    <row r="2315" spans="1:1" ht="14.4" x14ac:dyDescent="0.3">
      <c r="A2315"/>
    </row>
    <row r="2316" spans="1:1" ht="14.4" x14ac:dyDescent="0.3">
      <c r="A2316"/>
    </row>
    <row r="2317" spans="1:1" ht="14.4" x14ac:dyDescent="0.3">
      <c r="A2317"/>
    </row>
    <row r="2318" spans="1:1" ht="14.4" x14ac:dyDescent="0.3">
      <c r="A2318"/>
    </row>
    <row r="2319" spans="1:1" ht="14.4" x14ac:dyDescent="0.3">
      <c r="A2319"/>
    </row>
    <row r="2320" spans="1:1" ht="14.4" x14ac:dyDescent="0.3">
      <c r="A2320"/>
    </row>
    <row r="2321" spans="1:1" ht="14.4" x14ac:dyDescent="0.3">
      <c r="A2321"/>
    </row>
    <row r="2322" spans="1:1" ht="14.4" x14ac:dyDescent="0.3">
      <c r="A2322"/>
    </row>
    <row r="2323" spans="1:1" ht="14.4" x14ac:dyDescent="0.3">
      <c r="A2323"/>
    </row>
    <row r="2324" spans="1:1" ht="14.4" x14ac:dyDescent="0.3">
      <c r="A2324"/>
    </row>
    <row r="2325" spans="1:1" ht="14.4" x14ac:dyDescent="0.3">
      <c r="A2325"/>
    </row>
    <row r="2326" spans="1:1" ht="14.4" x14ac:dyDescent="0.3">
      <c r="A2326"/>
    </row>
    <row r="2327" spans="1:1" ht="14.4" x14ac:dyDescent="0.3">
      <c r="A2327"/>
    </row>
    <row r="2328" spans="1:1" ht="14.4" x14ac:dyDescent="0.3">
      <c r="A2328"/>
    </row>
    <row r="2329" spans="1:1" ht="14.4" x14ac:dyDescent="0.3">
      <c r="A2329"/>
    </row>
    <row r="2330" spans="1:1" ht="14.4" x14ac:dyDescent="0.3">
      <c r="A2330"/>
    </row>
    <row r="2331" spans="1:1" ht="14.4" x14ac:dyDescent="0.3">
      <c r="A2331"/>
    </row>
    <row r="2332" spans="1:1" ht="14.4" x14ac:dyDescent="0.3">
      <c r="A2332"/>
    </row>
    <row r="2333" spans="1:1" ht="14.4" x14ac:dyDescent="0.3">
      <c r="A2333"/>
    </row>
    <row r="2334" spans="1:1" ht="14.4" x14ac:dyDescent="0.3">
      <c r="A2334"/>
    </row>
    <row r="2335" spans="1:1" ht="14.4" x14ac:dyDescent="0.3">
      <c r="A2335"/>
    </row>
    <row r="2336" spans="1:1" ht="14.4" x14ac:dyDescent="0.3">
      <c r="A2336"/>
    </row>
    <row r="2337" spans="1:1" ht="14.4" x14ac:dyDescent="0.3">
      <c r="A2337"/>
    </row>
    <row r="2338" spans="1:1" ht="14.4" x14ac:dyDescent="0.3">
      <c r="A2338"/>
    </row>
    <row r="2339" spans="1:1" ht="14.4" x14ac:dyDescent="0.3">
      <c r="A2339"/>
    </row>
    <row r="2340" spans="1:1" ht="14.4" x14ac:dyDescent="0.3">
      <c r="A2340"/>
    </row>
    <row r="2341" spans="1:1" ht="14.4" x14ac:dyDescent="0.3">
      <c r="A2341"/>
    </row>
    <row r="2342" spans="1:1" ht="14.4" x14ac:dyDescent="0.3">
      <c r="A2342"/>
    </row>
    <row r="2343" spans="1:1" ht="14.4" x14ac:dyDescent="0.3">
      <c r="A2343"/>
    </row>
    <row r="2344" spans="1:1" ht="14.4" x14ac:dyDescent="0.3">
      <c r="A2344"/>
    </row>
    <row r="2345" spans="1:1" ht="14.4" x14ac:dyDescent="0.3">
      <c r="A2345"/>
    </row>
    <row r="2346" spans="1:1" ht="14.4" x14ac:dyDescent="0.3">
      <c r="A2346"/>
    </row>
    <row r="2347" spans="1:1" ht="14.4" x14ac:dyDescent="0.3">
      <c r="A2347"/>
    </row>
    <row r="2348" spans="1:1" ht="14.4" x14ac:dyDescent="0.3">
      <c r="A2348"/>
    </row>
    <row r="2349" spans="1:1" ht="14.4" x14ac:dyDescent="0.3">
      <c r="A2349"/>
    </row>
    <row r="2350" spans="1:1" ht="14.4" x14ac:dyDescent="0.3">
      <c r="A2350"/>
    </row>
    <row r="2351" spans="1:1" ht="14.4" x14ac:dyDescent="0.3">
      <c r="A2351"/>
    </row>
    <row r="2352" spans="1:1" ht="14.4" x14ac:dyDescent="0.3">
      <c r="A2352"/>
    </row>
    <row r="2353" spans="1:1" ht="14.4" x14ac:dyDescent="0.3">
      <c r="A2353"/>
    </row>
    <row r="2354" spans="1:1" ht="14.4" x14ac:dyDescent="0.3">
      <c r="A2354"/>
    </row>
    <row r="2355" spans="1:1" ht="14.4" x14ac:dyDescent="0.3">
      <c r="A2355"/>
    </row>
    <row r="2356" spans="1:1" ht="14.4" x14ac:dyDescent="0.3">
      <c r="A2356"/>
    </row>
    <row r="2357" spans="1:1" ht="14.4" x14ac:dyDescent="0.3">
      <c r="A2357"/>
    </row>
    <row r="2358" spans="1:1" ht="14.4" x14ac:dyDescent="0.3">
      <c r="A2358"/>
    </row>
    <row r="2359" spans="1:1" ht="14.4" x14ac:dyDescent="0.3">
      <c r="A2359"/>
    </row>
    <row r="2360" spans="1:1" ht="14.4" x14ac:dyDescent="0.3">
      <c r="A2360"/>
    </row>
    <row r="2361" spans="1:1" ht="14.4" x14ac:dyDescent="0.3">
      <c r="A2361"/>
    </row>
    <row r="2362" spans="1:1" ht="14.4" x14ac:dyDescent="0.3">
      <c r="A2362"/>
    </row>
    <row r="2363" spans="1:1" ht="14.4" x14ac:dyDescent="0.3">
      <c r="A2363"/>
    </row>
    <row r="2364" spans="1:1" ht="14.4" x14ac:dyDescent="0.3">
      <c r="A2364"/>
    </row>
    <row r="2365" spans="1:1" ht="14.4" x14ac:dyDescent="0.3">
      <c r="A2365"/>
    </row>
    <row r="2366" spans="1:1" ht="14.4" x14ac:dyDescent="0.3">
      <c r="A2366"/>
    </row>
    <row r="2367" spans="1:1" ht="14.4" x14ac:dyDescent="0.3">
      <c r="A2367"/>
    </row>
    <row r="2368" spans="1:1" ht="14.4" x14ac:dyDescent="0.3">
      <c r="A2368"/>
    </row>
    <row r="2369" spans="1:1" ht="14.4" x14ac:dyDescent="0.3">
      <c r="A2369"/>
    </row>
    <row r="2370" spans="1:1" ht="14.4" x14ac:dyDescent="0.3">
      <c r="A2370"/>
    </row>
    <row r="2371" spans="1:1" ht="14.4" x14ac:dyDescent="0.3">
      <c r="A2371"/>
    </row>
    <row r="2372" spans="1:1" ht="14.4" x14ac:dyDescent="0.3">
      <c r="A2372"/>
    </row>
    <row r="2373" spans="1:1" ht="14.4" x14ac:dyDescent="0.3">
      <c r="A2373"/>
    </row>
    <row r="2374" spans="1:1" ht="14.4" x14ac:dyDescent="0.3">
      <c r="A2374"/>
    </row>
    <row r="2375" spans="1:1" ht="14.4" x14ac:dyDescent="0.3">
      <c r="A2375"/>
    </row>
    <row r="2376" spans="1:1" ht="14.4" x14ac:dyDescent="0.3">
      <c r="A2376"/>
    </row>
    <row r="2377" spans="1:1" ht="14.4" x14ac:dyDescent="0.3">
      <c r="A2377"/>
    </row>
    <row r="2378" spans="1:1" ht="14.4" x14ac:dyDescent="0.3">
      <c r="A2378"/>
    </row>
    <row r="2379" spans="1:1" ht="14.4" x14ac:dyDescent="0.3">
      <c r="A2379"/>
    </row>
    <row r="2380" spans="1:1" ht="14.4" x14ac:dyDescent="0.3">
      <c r="A2380"/>
    </row>
    <row r="2381" spans="1:1" ht="14.4" x14ac:dyDescent="0.3">
      <c r="A2381"/>
    </row>
    <row r="2382" spans="1:1" ht="14.4" x14ac:dyDescent="0.3">
      <c r="A2382"/>
    </row>
    <row r="2383" spans="1:1" ht="14.4" x14ac:dyDescent="0.3">
      <c r="A2383"/>
    </row>
    <row r="2384" spans="1:1" ht="14.4" x14ac:dyDescent="0.3">
      <c r="A2384"/>
    </row>
    <row r="2385" spans="1:1" ht="14.4" x14ac:dyDescent="0.3">
      <c r="A2385"/>
    </row>
    <row r="2386" spans="1:1" ht="14.4" x14ac:dyDescent="0.3">
      <c r="A2386"/>
    </row>
    <row r="2387" spans="1:1" ht="14.4" x14ac:dyDescent="0.3">
      <c r="A2387"/>
    </row>
    <row r="2388" spans="1:1" ht="14.4" x14ac:dyDescent="0.3">
      <c r="A2388"/>
    </row>
    <row r="2389" spans="1:1" ht="14.4" x14ac:dyDescent="0.3">
      <c r="A2389"/>
    </row>
    <row r="2390" spans="1:1" ht="14.4" x14ac:dyDescent="0.3">
      <c r="A2390"/>
    </row>
    <row r="2391" spans="1:1" ht="14.4" x14ac:dyDescent="0.3">
      <c r="A2391"/>
    </row>
    <row r="2392" spans="1:1" ht="14.4" x14ac:dyDescent="0.3">
      <c r="A2392"/>
    </row>
    <row r="2393" spans="1:1" ht="14.4" x14ac:dyDescent="0.3">
      <c r="A2393"/>
    </row>
    <row r="2394" spans="1:1" ht="14.4" x14ac:dyDescent="0.3">
      <c r="A2394"/>
    </row>
    <row r="2395" spans="1:1" ht="14.4" x14ac:dyDescent="0.3">
      <c r="A2395"/>
    </row>
    <row r="2396" spans="1:1" ht="14.4" x14ac:dyDescent="0.3">
      <c r="A2396"/>
    </row>
    <row r="2397" spans="1:1" ht="14.4" x14ac:dyDescent="0.3">
      <c r="A2397"/>
    </row>
    <row r="2398" spans="1:1" ht="14.4" x14ac:dyDescent="0.3">
      <c r="A2398"/>
    </row>
    <row r="2399" spans="1:1" ht="14.4" x14ac:dyDescent="0.3">
      <c r="A2399"/>
    </row>
    <row r="2400" spans="1:1" ht="14.4" x14ac:dyDescent="0.3">
      <c r="A2400"/>
    </row>
    <row r="2401" spans="1:1" ht="14.4" x14ac:dyDescent="0.3">
      <c r="A2401"/>
    </row>
    <row r="2402" spans="1:1" ht="14.4" x14ac:dyDescent="0.3">
      <c r="A2402"/>
    </row>
    <row r="2403" spans="1:1" ht="14.4" x14ac:dyDescent="0.3">
      <c r="A2403"/>
    </row>
    <row r="2404" spans="1:1" ht="14.4" x14ac:dyDescent="0.3">
      <c r="A2404"/>
    </row>
    <row r="2405" spans="1:1" ht="14.4" x14ac:dyDescent="0.3">
      <c r="A2405"/>
    </row>
    <row r="2406" spans="1:1" ht="14.4" x14ac:dyDescent="0.3">
      <c r="A2406"/>
    </row>
    <row r="2407" spans="1:1" ht="14.4" x14ac:dyDescent="0.3">
      <c r="A2407"/>
    </row>
    <row r="2408" spans="1:1" ht="14.4" x14ac:dyDescent="0.3">
      <c r="A2408"/>
    </row>
    <row r="2409" spans="1:1" ht="14.4" x14ac:dyDescent="0.3">
      <c r="A2409"/>
    </row>
    <row r="2410" spans="1:1" ht="14.4" x14ac:dyDescent="0.3">
      <c r="A2410"/>
    </row>
    <row r="2411" spans="1:1" ht="14.4" x14ac:dyDescent="0.3">
      <c r="A2411"/>
    </row>
    <row r="2412" spans="1:1" ht="14.4" x14ac:dyDescent="0.3">
      <c r="A2412"/>
    </row>
    <row r="2413" spans="1:1" ht="14.4" x14ac:dyDescent="0.3">
      <c r="A2413"/>
    </row>
    <row r="2414" spans="1:1" ht="14.4" x14ac:dyDescent="0.3">
      <c r="A2414"/>
    </row>
    <row r="2415" spans="1:1" ht="14.4" x14ac:dyDescent="0.3">
      <c r="A2415"/>
    </row>
    <row r="2416" spans="1:1" ht="14.4" x14ac:dyDescent="0.3">
      <c r="A2416"/>
    </row>
    <row r="2417" spans="1:1" ht="14.4" x14ac:dyDescent="0.3">
      <c r="A2417"/>
    </row>
    <row r="2418" spans="1:1" ht="14.4" x14ac:dyDescent="0.3">
      <c r="A2418"/>
    </row>
    <row r="2419" spans="1:1" ht="14.4" x14ac:dyDescent="0.3">
      <c r="A2419"/>
    </row>
    <row r="2420" spans="1:1" ht="14.4" x14ac:dyDescent="0.3">
      <c r="A2420"/>
    </row>
    <row r="2421" spans="1:1" ht="14.4" x14ac:dyDescent="0.3">
      <c r="A2421"/>
    </row>
    <row r="2422" spans="1:1" ht="14.4" x14ac:dyDescent="0.3">
      <c r="A2422"/>
    </row>
    <row r="2423" spans="1:1" ht="14.4" x14ac:dyDescent="0.3">
      <c r="A2423"/>
    </row>
    <row r="2424" spans="1:1" ht="14.4" x14ac:dyDescent="0.3">
      <c r="A2424"/>
    </row>
    <row r="2425" spans="1:1" ht="14.4" x14ac:dyDescent="0.3">
      <c r="A2425"/>
    </row>
    <row r="2426" spans="1:1" ht="14.4" x14ac:dyDescent="0.3">
      <c r="A2426"/>
    </row>
    <row r="2427" spans="1:1" ht="14.4" x14ac:dyDescent="0.3">
      <c r="A2427"/>
    </row>
    <row r="2428" spans="1:1" ht="14.4" x14ac:dyDescent="0.3">
      <c r="A2428"/>
    </row>
    <row r="2429" spans="1:1" ht="14.4" x14ac:dyDescent="0.3">
      <c r="A2429"/>
    </row>
    <row r="2430" spans="1:1" ht="14.4" x14ac:dyDescent="0.3">
      <c r="A2430"/>
    </row>
    <row r="2431" spans="1:1" ht="14.4" x14ac:dyDescent="0.3">
      <c r="A2431"/>
    </row>
    <row r="2432" spans="1:1" ht="14.4" x14ac:dyDescent="0.3">
      <c r="A2432"/>
    </row>
    <row r="2433" spans="1:1" ht="14.4" x14ac:dyDescent="0.3">
      <c r="A2433"/>
    </row>
    <row r="2434" spans="1:1" ht="14.4" x14ac:dyDescent="0.3">
      <c r="A2434"/>
    </row>
    <row r="2435" spans="1:1" ht="14.4" x14ac:dyDescent="0.3">
      <c r="A2435"/>
    </row>
    <row r="2436" spans="1:1" ht="14.4" x14ac:dyDescent="0.3">
      <c r="A2436"/>
    </row>
    <row r="2437" spans="1:1" ht="14.4" x14ac:dyDescent="0.3">
      <c r="A2437"/>
    </row>
    <row r="2438" spans="1:1" ht="14.4" x14ac:dyDescent="0.3">
      <c r="A2438"/>
    </row>
    <row r="2439" spans="1:1" ht="14.4" x14ac:dyDescent="0.3">
      <c r="A2439"/>
    </row>
    <row r="2440" spans="1:1" ht="14.4" x14ac:dyDescent="0.3">
      <c r="A2440"/>
    </row>
    <row r="2441" spans="1:1" ht="14.4" x14ac:dyDescent="0.3">
      <c r="A2441"/>
    </row>
    <row r="2442" spans="1:1" ht="14.4" x14ac:dyDescent="0.3">
      <c r="A2442"/>
    </row>
    <row r="2443" spans="1:1" ht="14.4" x14ac:dyDescent="0.3">
      <c r="A2443"/>
    </row>
    <row r="2444" spans="1:1" ht="14.4" x14ac:dyDescent="0.3">
      <c r="A2444"/>
    </row>
    <row r="2445" spans="1:1" ht="14.4" x14ac:dyDescent="0.3">
      <c r="A2445"/>
    </row>
    <row r="2446" spans="1:1" ht="14.4" x14ac:dyDescent="0.3">
      <c r="A2446"/>
    </row>
    <row r="2447" spans="1:1" ht="14.4" x14ac:dyDescent="0.3">
      <c r="A2447"/>
    </row>
    <row r="2448" spans="1:1" ht="14.4" x14ac:dyDescent="0.3">
      <c r="A2448"/>
    </row>
    <row r="2449" spans="1:1" ht="14.4" x14ac:dyDescent="0.3">
      <c r="A2449"/>
    </row>
    <row r="2450" spans="1:1" ht="14.4" x14ac:dyDescent="0.3">
      <c r="A2450"/>
    </row>
    <row r="2451" spans="1:1" ht="14.4" x14ac:dyDescent="0.3">
      <c r="A2451"/>
    </row>
    <row r="2452" spans="1:1" ht="14.4" x14ac:dyDescent="0.3">
      <c r="A2452"/>
    </row>
    <row r="2453" spans="1:1" ht="14.4" x14ac:dyDescent="0.3">
      <c r="A2453"/>
    </row>
    <row r="2454" spans="1:1" ht="14.4" x14ac:dyDescent="0.3">
      <c r="A2454"/>
    </row>
    <row r="2455" spans="1:1" ht="14.4" x14ac:dyDescent="0.3">
      <c r="A2455"/>
    </row>
    <row r="2456" spans="1:1" ht="14.4" x14ac:dyDescent="0.3">
      <c r="A2456"/>
    </row>
    <row r="2457" spans="1:1" ht="14.4" x14ac:dyDescent="0.3">
      <c r="A2457"/>
    </row>
    <row r="2458" spans="1:1" ht="14.4" x14ac:dyDescent="0.3">
      <c r="A2458"/>
    </row>
    <row r="2459" spans="1:1" ht="14.4" x14ac:dyDescent="0.3">
      <c r="A2459"/>
    </row>
    <row r="2460" spans="1:1" ht="14.4" x14ac:dyDescent="0.3">
      <c r="A2460"/>
    </row>
    <row r="2461" spans="1:1" ht="14.4" x14ac:dyDescent="0.3">
      <c r="A2461"/>
    </row>
    <row r="2462" spans="1:1" ht="14.4" x14ac:dyDescent="0.3">
      <c r="A2462"/>
    </row>
    <row r="2463" spans="1:1" ht="14.4" x14ac:dyDescent="0.3">
      <c r="A2463"/>
    </row>
    <row r="2464" spans="1:1" ht="14.4" x14ac:dyDescent="0.3">
      <c r="A2464"/>
    </row>
    <row r="2465" spans="1:1" ht="14.4" x14ac:dyDescent="0.3">
      <c r="A2465"/>
    </row>
    <row r="2466" spans="1:1" ht="14.4" x14ac:dyDescent="0.3">
      <c r="A2466"/>
    </row>
    <row r="2467" spans="1:1" ht="14.4" x14ac:dyDescent="0.3">
      <c r="A2467"/>
    </row>
    <row r="2468" spans="1:1" ht="14.4" x14ac:dyDescent="0.3">
      <c r="A2468"/>
    </row>
    <row r="2469" spans="1:1" ht="14.4" x14ac:dyDescent="0.3">
      <c r="A2469"/>
    </row>
    <row r="2470" spans="1:1" ht="14.4" x14ac:dyDescent="0.3">
      <c r="A2470"/>
    </row>
    <row r="2471" spans="1:1" ht="14.4" x14ac:dyDescent="0.3">
      <c r="A2471"/>
    </row>
    <row r="2472" spans="1:1" ht="14.4" x14ac:dyDescent="0.3">
      <c r="A2472"/>
    </row>
    <row r="2473" spans="1:1" ht="14.4" x14ac:dyDescent="0.3">
      <c r="A2473"/>
    </row>
    <row r="2474" spans="1:1" ht="14.4" x14ac:dyDescent="0.3">
      <c r="A2474"/>
    </row>
    <row r="2475" spans="1:1" ht="14.4" x14ac:dyDescent="0.3">
      <c r="A2475"/>
    </row>
    <row r="2476" spans="1:1" ht="14.4" x14ac:dyDescent="0.3">
      <c r="A2476"/>
    </row>
    <row r="2477" spans="1:1" ht="14.4" x14ac:dyDescent="0.3">
      <c r="A2477"/>
    </row>
    <row r="2478" spans="1:1" ht="14.4" x14ac:dyDescent="0.3">
      <c r="A2478"/>
    </row>
    <row r="2479" spans="1:1" ht="14.4" x14ac:dyDescent="0.3">
      <c r="A2479"/>
    </row>
    <row r="2480" spans="1:1" ht="14.4" x14ac:dyDescent="0.3">
      <c r="A2480"/>
    </row>
    <row r="2481" spans="1:1" ht="14.4" x14ac:dyDescent="0.3">
      <c r="A2481"/>
    </row>
    <row r="2482" spans="1:1" ht="14.4" x14ac:dyDescent="0.3">
      <c r="A2482"/>
    </row>
    <row r="2483" spans="1:1" ht="14.4" x14ac:dyDescent="0.3">
      <c r="A2483"/>
    </row>
    <row r="2484" spans="1:1" ht="14.4" x14ac:dyDescent="0.3">
      <c r="A2484"/>
    </row>
    <row r="2485" spans="1:1" ht="14.4" x14ac:dyDescent="0.3">
      <c r="A2485"/>
    </row>
    <row r="2486" spans="1:1" ht="14.4" x14ac:dyDescent="0.3">
      <c r="A2486"/>
    </row>
    <row r="2487" spans="1:1" ht="14.4" x14ac:dyDescent="0.3">
      <c r="A2487"/>
    </row>
    <row r="2488" spans="1:1" ht="14.4" x14ac:dyDescent="0.3">
      <c r="A2488"/>
    </row>
    <row r="2489" spans="1:1" ht="14.4" x14ac:dyDescent="0.3">
      <c r="A2489"/>
    </row>
    <row r="2490" spans="1:1" ht="14.4" x14ac:dyDescent="0.3">
      <c r="A2490"/>
    </row>
    <row r="2491" spans="1:1" ht="14.4" x14ac:dyDescent="0.3">
      <c r="A2491"/>
    </row>
    <row r="2492" spans="1:1" ht="14.4" x14ac:dyDescent="0.3">
      <c r="A2492"/>
    </row>
    <row r="2493" spans="1:1" ht="14.4" x14ac:dyDescent="0.3">
      <c r="A2493"/>
    </row>
    <row r="2494" spans="1:1" ht="14.4" x14ac:dyDescent="0.3">
      <c r="A2494"/>
    </row>
    <row r="2495" spans="1:1" ht="14.4" x14ac:dyDescent="0.3">
      <c r="A2495"/>
    </row>
    <row r="2496" spans="1:1" ht="14.4" x14ac:dyDescent="0.3">
      <c r="A2496"/>
    </row>
    <row r="2497" spans="1:1" ht="14.4" x14ac:dyDescent="0.3">
      <c r="A2497"/>
    </row>
    <row r="2498" spans="1:1" ht="14.4" x14ac:dyDescent="0.3">
      <c r="A2498"/>
    </row>
    <row r="2499" spans="1:1" ht="14.4" x14ac:dyDescent="0.3">
      <c r="A2499"/>
    </row>
    <row r="2500" spans="1:1" ht="14.4" x14ac:dyDescent="0.3">
      <c r="A2500"/>
    </row>
    <row r="2501" spans="1:1" ht="14.4" x14ac:dyDescent="0.3">
      <c r="A2501"/>
    </row>
    <row r="2502" spans="1:1" ht="14.4" x14ac:dyDescent="0.3">
      <c r="A2502"/>
    </row>
    <row r="2503" spans="1:1" ht="14.4" x14ac:dyDescent="0.3">
      <c r="A2503"/>
    </row>
    <row r="2504" spans="1:1" ht="14.4" x14ac:dyDescent="0.3">
      <c r="A2504"/>
    </row>
    <row r="2505" spans="1:1" ht="14.4" x14ac:dyDescent="0.3">
      <c r="A2505"/>
    </row>
    <row r="2506" spans="1:1" ht="14.4" x14ac:dyDescent="0.3">
      <c r="A2506"/>
    </row>
    <row r="2507" spans="1:1" ht="14.4" x14ac:dyDescent="0.3">
      <c r="A2507"/>
    </row>
    <row r="2508" spans="1:1" ht="14.4" x14ac:dyDescent="0.3">
      <c r="A2508"/>
    </row>
    <row r="2509" spans="1:1" ht="14.4" x14ac:dyDescent="0.3">
      <c r="A2509"/>
    </row>
    <row r="2510" spans="1:1" ht="14.4" x14ac:dyDescent="0.3">
      <c r="A2510"/>
    </row>
    <row r="2511" spans="1:1" ht="14.4" x14ac:dyDescent="0.3">
      <c r="A2511"/>
    </row>
    <row r="2512" spans="1:1" ht="14.4" x14ac:dyDescent="0.3">
      <c r="A2512"/>
    </row>
    <row r="2513" spans="1:1" ht="14.4" x14ac:dyDescent="0.3">
      <c r="A2513"/>
    </row>
    <row r="2514" spans="1:1" ht="14.4" x14ac:dyDescent="0.3">
      <c r="A2514"/>
    </row>
    <row r="2515" spans="1:1" ht="14.4" x14ac:dyDescent="0.3">
      <c r="A2515"/>
    </row>
    <row r="2516" spans="1:1" ht="14.4" x14ac:dyDescent="0.3">
      <c r="A2516"/>
    </row>
    <row r="2517" spans="1:1" ht="14.4" x14ac:dyDescent="0.3">
      <c r="A2517"/>
    </row>
    <row r="2518" spans="1:1" ht="14.4" x14ac:dyDescent="0.3">
      <c r="A2518"/>
    </row>
    <row r="2519" spans="1:1" ht="14.4" x14ac:dyDescent="0.3">
      <c r="A2519"/>
    </row>
    <row r="2520" spans="1:1" ht="14.4" x14ac:dyDescent="0.3">
      <c r="A2520"/>
    </row>
    <row r="2521" spans="1:1" ht="14.4" x14ac:dyDescent="0.3">
      <c r="A2521"/>
    </row>
    <row r="2522" spans="1:1" ht="14.4" x14ac:dyDescent="0.3">
      <c r="A2522"/>
    </row>
    <row r="2523" spans="1:1" ht="14.4" x14ac:dyDescent="0.3">
      <c r="A2523"/>
    </row>
    <row r="2524" spans="1:1" ht="14.4" x14ac:dyDescent="0.3">
      <c r="A2524"/>
    </row>
    <row r="2525" spans="1:1" ht="14.4" x14ac:dyDescent="0.3">
      <c r="A2525"/>
    </row>
    <row r="2526" spans="1:1" ht="14.4" x14ac:dyDescent="0.3">
      <c r="A2526"/>
    </row>
    <row r="2527" spans="1:1" ht="14.4" x14ac:dyDescent="0.3">
      <c r="A2527"/>
    </row>
    <row r="2528" spans="1:1" ht="14.4" x14ac:dyDescent="0.3">
      <c r="A2528"/>
    </row>
    <row r="2529" spans="1:1" ht="14.4" x14ac:dyDescent="0.3">
      <c r="A2529"/>
    </row>
    <row r="2530" spans="1:1" ht="14.4" x14ac:dyDescent="0.3">
      <c r="A2530"/>
    </row>
    <row r="2531" spans="1:1" ht="14.4" x14ac:dyDescent="0.3">
      <c r="A2531"/>
    </row>
    <row r="2532" spans="1:1" ht="14.4" x14ac:dyDescent="0.3">
      <c r="A2532"/>
    </row>
    <row r="2533" spans="1:1" ht="14.4" x14ac:dyDescent="0.3">
      <c r="A2533"/>
    </row>
    <row r="2534" spans="1:1" ht="14.4" x14ac:dyDescent="0.3">
      <c r="A2534"/>
    </row>
    <row r="2535" spans="1:1" ht="14.4" x14ac:dyDescent="0.3">
      <c r="A2535"/>
    </row>
    <row r="2536" spans="1:1" ht="14.4" x14ac:dyDescent="0.3">
      <c r="A2536"/>
    </row>
    <row r="2537" spans="1:1" ht="14.4" x14ac:dyDescent="0.3">
      <c r="A2537"/>
    </row>
    <row r="2538" spans="1:1" ht="14.4" x14ac:dyDescent="0.3">
      <c r="A2538"/>
    </row>
    <row r="2539" spans="1:1" ht="14.4" x14ac:dyDescent="0.3">
      <c r="A2539"/>
    </row>
    <row r="2540" spans="1:1" ht="14.4" x14ac:dyDescent="0.3">
      <c r="A2540"/>
    </row>
    <row r="2541" spans="1:1" ht="14.4" x14ac:dyDescent="0.3">
      <c r="A2541"/>
    </row>
    <row r="2542" spans="1:1" ht="14.4" x14ac:dyDescent="0.3">
      <c r="A2542"/>
    </row>
    <row r="2543" spans="1:1" ht="14.4" x14ac:dyDescent="0.3">
      <c r="A2543"/>
    </row>
    <row r="2544" spans="1:1" ht="14.4" x14ac:dyDescent="0.3">
      <c r="A2544"/>
    </row>
    <row r="2545" spans="1:1" ht="14.4" x14ac:dyDescent="0.3">
      <c r="A2545"/>
    </row>
    <row r="2546" spans="1:1" ht="14.4" x14ac:dyDescent="0.3">
      <c r="A2546"/>
    </row>
    <row r="2547" spans="1:1" ht="14.4" x14ac:dyDescent="0.3">
      <c r="A2547"/>
    </row>
    <row r="2548" spans="1:1" ht="14.4" x14ac:dyDescent="0.3">
      <c r="A2548"/>
    </row>
    <row r="2549" spans="1:1" ht="14.4" x14ac:dyDescent="0.3">
      <c r="A2549"/>
    </row>
    <row r="2550" spans="1:1" ht="14.4" x14ac:dyDescent="0.3">
      <c r="A2550"/>
    </row>
    <row r="2551" spans="1:1" ht="14.4" x14ac:dyDescent="0.3">
      <c r="A2551"/>
    </row>
    <row r="2552" spans="1:1" ht="14.4" x14ac:dyDescent="0.3">
      <c r="A2552"/>
    </row>
    <row r="2553" spans="1:1" ht="14.4" x14ac:dyDescent="0.3">
      <c r="A2553"/>
    </row>
    <row r="2554" spans="1:1" ht="14.4" x14ac:dyDescent="0.3">
      <c r="A2554"/>
    </row>
    <row r="2555" spans="1:1" ht="14.4" x14ac:dyDescent="0.3">
      <c r="A2555"/>
    </row>
    <row r="2556" spans="1:1" ht="14.4" x14ac:dyDescent="0.3">
      <c r="A2556"/>
    </row>
    <row r="2557" spans="1:1" ht="14.4" x14ac:dyDescent="0.3">
      <c r="A2557"/>
    </row>
    <row r="2558" spans="1:1" ht="14.4" x14ac:dyDescent="0.3">
      <c r="A2558"/>
    </row>
    <row r="2559" spans="1:1" ht="14.4" x14ac:dyDescent="0.3">
      <c r="A2559"/>
    </row>
    <row r="2560" spans="1:1" ht="14.4" x14ac:dyDescent="0.3">
      <c r="A2560"/>
    </row>
    <row r="2561" spans="1:1" ht="14.4" x14ac:dyDescent="0.3">
      <c r="A2561"/>
    </row>
    <row r="2562" spans="1:1" ht="14.4" x14ac:dyDescent="0.3">
      <c r="A2562"/>
    </row>
    <row r="2563" spans="1:1" ht="14.4" x14ac:dyDescent="0.3">
      <c r="A2563"/>
    </row>
    <row r="2564" spans="1:1" ht="14.4" x14ac:dyDescent="0.3">
      <c r="A2564"/>
    </row>
    <row r="2565" spans="1:1" ht="14.4" x14ac:dyDescent="0.3">
      <c r="A2565"/>
    </row>
    <row r="2566" spans="1:1" ht="14.4" x14ac:dyDescent="0.3">
      <c r="A2566"/>
    </row>
    <row r="2567" spans="1:1" ht="14.4" x14ac:dyDescent="0.3">
      <c r="A2567"/>
    </row>
    <row r="2568" spans="1:1" ht="14.4" x14ac:dyDescent="0.3">
      <c r="A2568"/>
    </row>
    <row r="2569" spans="1:1" ht="14.4" x14ac:dyDescent="0.3">
      <c r="A2569"/>
    </row>
    <row r="2570" spans="1:1" ht="14.4" x14ac:dyDescent="0.3">
      <c r="A2570"/>
    </row>
    <row r="2571" spans="1:1" ht="14.4" x14ac:dyDescent="0.3">
      <c r="A2571"/>
    </row>
    <row r="2572" spans="1:1" ht="14.4" x14ac:dyDescent="0.3">
      <c r="A2572"/>
    </row>
    <row r="2573" spans="1:1" ht="14.4" x14ac:dyDescent="0.3">
      <c r="A2573"/>
    </row>
    <row r="2574" spans="1:1" ht="14.4" x14ac:dyDescent="0.3">
      <c r="A2574"/>
    </row>
    <row r="2575" spans="1:1" ht="14.4" x14ac:dyDescent="0.3">
      <c r="A2575"/>
    </row>
    <row r="2576" spans="1:1" ht="14.4" x14ac:dyDescent="0.3">
      <c r="A2576"/>
    </row>
    <row r="2577" spans="1:1" ht="14.4" x14ac:dyDescent="0.3">
      <c r="A2577"/>
    </row>
    <row r="2578" spans="1:1" ht="14.4" x14ac:dyDescent="0.3">
      <c r="A2578"/>
    </row>
    <row r="2579" spans="1:1" ht="14.4" x14ac:dyDescent="0.3">
      <c r="A2579"/>
    </row>
    <row r="2580" spans="1:1" ht="14.4" x14ac:dyDescent="0.3">
      <c r="A2580"/>
    </row>
    <row r="2581" spans="1:1" ht="14.4" x14ac:dyDescent="0.3">
      <c r="A2581"/>
    </row>
    <row r="2582" spans="1:1" ht="14.4" x14ac:dyDescent="0.3">
      <c r="A2582"/>
    </row>
    <row r="2583" spans="1:1" ht="14.4" x14ac:dyDescent="0.3">
      <c r="A2583"/>
    </row>
    <row r="2584" spans="1:1" ht="14.4" x14ac:dyDescent="0.3">
      <c r="A2584"/>
    </row>
    <row r="2585" spans="1:1" ht="14.4" x14ac:dyDescent="0.3">
      <c r="A2585"/>
    </row>
    <row r="2586" spans="1:1" ht="14.4" x14ac:dyDescent="0.3">
      <c r="A2586"/>
    </row>
    <row r="2587" spans="1:1" ht="14.4" x14ac:dyDescent="0.3">
      <c r="A2587"/>
    </row>
    <row r="2588" spans="1:1" ht="14.4" x14ac:dyDescent="0.3">
      <c r="A2588"/>
    </row>
    <row r="2589" spans="1:1" ht="14.4" x14ac:dyDescent="0.3">
      <c r="A2589"/>
    </row>
    <row r="2590" spans="1:1" ht="14.4" x14ac:dyDescent="0.3">
      <c r="A2590"/>
    </row>
    <row r="2591" spans="1:1" ht="14.4" x14ac:dyDescent="0.3">
      <c r="A2591"/>
    </row>
    <row r="2592" spans="1:1" ht="14.4" x14ac:dyDescent="0.3">
      <c r="A2592"/>
    </row>
    <row r="2593" spans="1:1" ht="14.4" x14ac:dyDescent="0.3">
      <c r="A2593"/>
    </row>
    <row r="2594" spans="1:1" ht="14.4" x14ac:dyDescent="0.3">
      <c r="A2594"/>
    </row>
    <row r="2595" spans="1:1" ht="14.4" x14ac:dyDescent="0.3">
      <c r="A2595"/>
    </row>
    <row r="2596" spans="1:1" ht="14.4" x14ac:dyDescent="0.3">
      <c r="A2596"/>
    </row>
    <row r="2597" spans="1:1" ht="14.4" x14ac:dyDescent="0.3">
      <c r="A2597"/>
    </row>
    <row r="2598" spans="1:1" ht="14.4" x14ac:dyDescent="0.3">
      <c r="A2598"/>
    </row>
    <row r="2599" spans="1:1" ht="14.4" x14ac:dyDescent="0.3">
      <c r="A2599"/>
    </row>
    <row r="2600" spans="1:1" ht="14.4" x14ac:dyDescent="0.3">
      <c r="A2600"/>
    </row>
    <row r="2601" spans="1:1" ht="14.4" x14ac:dyDescent="0.3">
      <c r="A2601"/>
    </row>
    <row r="2602" spans="1:1" ht="14.4" x14ac:dyDescent="0.3">
      <c r="A2602"/>
    </row>
    <row r="2603" spans="1:1" ht="14.4" x14ac:dyDescent="0.3">
      <c r="A2603"/>
    </row>
    <row r="2604" spans="1:1" ht="14.4" x14ac:dyDescent="0.3">
      <c r="A2604"/>
    </row>
    <row r="2605" spans="1:1" ht="14.4" x14ac:dyDescent="0.3">
      <c r="A2605"/>
    </row>
    <row r="2606" spans="1:1" ht="14.4" x14ac:dyDescent="0.3">
      <c r="A2606"/>
    </row>
    <row r="2607" spans="1:1" ht="14.4" x14ac:dyDescent="0.3">
      <c r="A2607"/>
    </row>
    <row r="2608" spans="1:1" ht="14.4" x14ac:dyDescent="0.3">
      <c r="A2608"/>
    </row>
    <row r="2609" spans="1:1" ht="14.4" x14ac:dyDescent="0.3">
      <c r="A2609"/>
    </row>
    <row r="2610" spans="1:1" ht="14.4" x14ac:dyDescent="0.3">
      <c r="A2610"/>
    </row>
    <row r="2611" spans="1:1" ht="14.4" x14ac:dyDescent="0.3">
      <c r="A2611"/>
    </row>
    <row r="2612" spans="1:1" ht="14.4" x14ac:dyDescent="0.3">
      <c r="A2612"/>
    </row>
    <row r="2613" spans="1:1" ht="14.4" x14ac:dyDescent="0.3">
      <c r="A2613"/>
    </row>
    <row r="2614" spans="1:1" ht="14.4" x14ac:dyDescent="0.3">
      <c r="A2614"/>
    </row>
    <row r="2615" spans="1:1" ht="14.4" x14ac:dyDescent="0.3">
      <c r="A2615"/>
    </row>
    <row r="2616" spans="1:1" ht="14.4" x14ac:dyDescent="0.3">
      <c r="A2616"/>
    </row>
    <row r="2617" spans="1:1" ht="14.4" x14ac:dyDescent="0.3">
      <c r="A2617"/>
    </row>
    <row r="2618" spans="1:1" ht="14.4" x14ac:dyDescent="0.3">
      <c r="A2618"/>
    </row>
    <row r="2619" spans="1:1" ht="14.4" x14ac:dyDescent="0.3">
      <c r="A2619"/>
    </row>
    <row r="2620" spans="1:1" ht="14.4" x14ac:dyDescent="0.3">
      <c r="A2620"/>
    </row>
    <row r="2621" spans="1:1" ht="14.4" x14ac:dyDescent="0.3">
      <c r="A2621"/>
    </row>
    <row r="2622" spans="1:1" ht="14.4" x14ac:dyDescent="0.3">
      <c r="A2622"/>
    </row>
    <row r="2623" spans="1:1" ht="14.4" x14ac:dyDescent="0.3">
      <c r="A2623"/>
    </row>
    <row r="2624" spans="1:1" ht="14.4" x14ac:dyDescent="0.3">
      <c r="A2624"/>
    </row>
    <row r="2625" spans="1:1" ht="14.4" x14ac:dyDescent="0.3">
      <c r="A2625"/>
    </row>
    <row r="2626" spans="1:1" ht="14.4" x14ac:dyDescent="0.3">
      <c r="A2626"/>
    </row>
    <row r="2627" spans="1:1" ht="14.4" x14ac:dyDescent="0.3">
      <c r="A2627"/>
    </row>
    <row r="2628" spans="1:1" ht="14.4" x14ac:dyDescent="0.3">
      <c r="A2628"/>
    </row>
    <row r="2629" spans="1:1" ht="14.4" x14ac:dyDescent="0.3">
      <c r="A2629"/>
    </row>
    <row r="2630" spans="1:1" ht="14.4" x14ac:dyDescent="0.3">
      <c r="A2630"/>
    </row>
    <row r="2631" spans="1:1" ht="14.4" x14ac:dyDescent="0.3">
      <c r="A2631"/>
    </row>
    <row r="2632" spans="1:1" ht="14.4" x14ac:dyDescent="0.3">
      <c r="A2632"/>
    </row>
    <row r="2633" spans="1:1" ht="14.4" x14ac:dyDescent="0.3">
      <c r="A2633"/>
    </row>
    <row r="2634" spans="1:1" ht="14.4" x14ac:dyDescent="0.3">
      <c r="A2634"/>
    </row>
    <row r="2635" spans="1:1" ht="14.4" x14ac:dyDescent="0.3">
      <c r="A2635"/>
    </row>
    <row r="2636" spans="1:1" ht="14.4" x14ac:dyDescent="0.3">
      <c r="A2636"/>
    </row>
    <row r="2637" spans="1:1" ht="14.4" x14ac:dyDescent="0.3">
      <c r="A2637"/>
    </row>
    <row r="2638" spans="1:1" ht="14.4" x14ac:dyDescent="0.3">
      <c r="A2638"/>
    </row>
    <row r="2639" spans="1:1" ht="14.4" x14ac:dyDescent="0.3">
      <c r="A2639"/>
    </row>
    <row r="2640" spans="1:1" ht="14.4" x14ac:dyDescent="0.3">
      <c r="A2640"/>
    </row>
    <row r="2641" spans="1:1" ht="14.4" x14ac:dyDescent="0.3">
      <c r="A2641"/>
    </row>
    <row r="2642" spans="1:1" ht="14.4" x14ac:dyDescent="0.3">
      <c r="A2642"/>
    </row>
    <row r="2643" spans="1:1" ht="14.4" x14ac:dyDescent="0.3">
      <c r="A2643"/>
    </row>
    <row r="2644" spans="1:1" ht="14.4" x14ac:dyDescent="0.3">
      <c r="A2644"/>
    </row>
    <row r="2645" spans="1:1" ht="14.4" x14ac:dyDescent="0.3">
      <c r="A2645"/>
    </row>
    <row r="2646" spans="1:1" ht="14.4" x14ac:dyDescent="0.3">
      <c r="A2646"/>
    </row>
    <row r="2647" spans="1:1" ht="14.4" x14ac:dyDescent="0.3">
      <c r="A2647"/>
    </row>
    <row r="2648" spans="1:1" ht="14.4" x14ac:dyDescent="0.3">
      <c r="A2648"/>
    </row>
    <row r="2649" spans="1:1" ht="14.4" x14ac:dyDescent="0.3">
      <c r="A2649"/>
    </row>
    <row r="2650" spans="1:1" ht="14.4" x14ac:dyDescent="0.3">
      <c r="A2650"/>
    </row>
    <row r="2651" spans="1:1" ht="14.4" x14ac:dyDescent="0.3">
      <c r="A2651"/>
    </row>
    <row r="2652" spans="1:1" ht="14.4" x14ac:dyDescent="0.3">
      <c r="A2652"/>
    </row>
    <row r="2653" spans="1:1" ht="14.4" x14ac:dyDescent="0.3">
      <c r="A2653"/>
    </row>
    <row r="2654" spans="1:1" ht="14.4" x14ac:dyDescent="0.3">
      <c r="A2654"/>
    </row>
    <row r="2655" spans="1:1" ht="14.4" x14ac:dyDescent="0.3">
      <c r="A2655"/>
    </row>
    <row r="2656" spans="1:1" ht="14.4" x14ac:dyDescent="0.3">
      <c r="A2656"/>
    </row>
    <row r="2657" spans="1:1" ht="14.4" x14ac:dyDescent="0.3">
      <c r="A2657"/>
    </row>
    <row r="2658" spans="1:1" ht="14.4" x14ac:dyDescent="0.3">
      <c r="A2658"/>
    </row>
    <row r="2659" spans="1:1" ht="14.4" x14ac:dyDescent="0.3">
      <c r="A2659"/>
    </row>
    <row r="2660" spans="1:1" ht="14.4" x14ac:dyDescent="0.3">
      <c r="A2660"/>
    </row>
    <row r="2661" spans="1:1" ht="14.4" x14ac:dyDescent="0.3">
      <c r="A2661"/>
    </row>
    <row r="2662" spans="1:1" ht="14.4" x14ac:dyDescent="0.3">
      <c r="A2662"/>
    </row>
    <row r="2663" spans="1:1" ht="14.4" x14ac:dyDescent="0.3">
      <c r="A2663"/>
    </row>
    <row r="2664" spans="1:1" ht="14.4" x14ac:dyDescent="0.3">
      <c r="A2664"/>
    </row>
    <row r="2665" spans="1:1" ht="14.4" x14ac:dyDescent="0.3">
      <c r="A2665"/>
    </row>
    <row r="2666" spans="1:1" ht="14.4" x14ac:dyDescent="0.3">
      <c r="A2666"/>
    </row>
    <row r="2667" spans="1:1" ht="14.4" x14ac:dyDescent="0.3">
      <c r="A2667"/>
    </row>
    <row r="2668" spans="1:1" ht="14.4" x14ac:dyDescent="0.3">
      <c r="A2668"/>
    </row>
    <row r="2669" spans="1:1" ht="14.4" x14ac:dyDescent="0.3">
      <c r="A2669"/>
    </row>
    <row r="2670" spans="1:1" ht="14.4" x14ac:dyDescent="0.3">
      <c r="A2670"/>
    </row>
    <row r="2671" spans="1:1" ht="14.4" x14ac:dyDescent="0.3">
      <c r="A2671"/>
    </row>
    <row r="2672" spans="1:1" ht="14.4" x14ac:dyDescent="0.3">
      <c r="A2672"/>
    </row>
    <row r="2673" spans="1:1" ht="14.4" x14ac:dyDescent="0.3">
      <c r="A2673"/>
    </row>
    <row r="2674" spans="1:1" ht="14.4" x14ac:dyDescent="0.3">
      <c r="A2674"/>
    </row>
    <row r="2675" spans="1:1" ht="14.4" x14ac:dyDescent="0.3">
      <c r="A2675"/>
    </row>
    <row r="2676" spans="1:1" ht="14.4" x14ac:dyDescent="0.3">
      <c r="A2676"/>
    </row>
    <row r="2677" spans="1:1" ht="14.4" x14ac:dyDescent="0.3">
      <c r="A2677"/>
    </row>
    <row r="2678" spans="1:1" ht="14.4" x14ac:dyDescent="0.3">
      <c r="A2678"/>
    </row>
    <row r="2679" spans="1:1" ht="14.4" x14ac:dyDescent="0.3">
      <c r="A2679"/>
    </row>
    <row r="2680" spans="1:1" ht="14.4" x14ac:dyDescent="0.3">
      <c r="A2680"/>
    </row>
    <row r="2681" spans="1:1" ht="14.4" x14ac:dyDescent="0.3">
      <c r="A2681"/>
    </row>
    <row r="2682" spans="1:1" ht="14.4" x14ac:dyDescent="0.3">
      <c r="A2682"/>
    </row>
    <row r="2683" spans="1:1" ht="14.4" x14ac:dyDescent="0.3">
      <c r="A2683"/>
    </row>
    <row r="2684" spans="1:1" ht="14.4" x14ac:dyDescent="0.3">
      <c r="A2684"/>
    </row>
    <row r="2685" spans="1:1" ht="14.4" x14ac:dyDescent="0.3">
      <c r="A2685"/>
    </row>
    <row r="2686" spans="1:1" ht="14.4" x14ac:dyDescent="0.3">
      <c r="A2686"/>
    </row>
    <row r="2687" spans="1:1" ht="14.4" x14ac:dyDescent="0.3">
      <c r="A2687"/>
    </row>
    <row r="2688" spans="1:1" ht="14.4" x14ac:dyDescent="0.3">
      <c r="A2688"/>
    </row>
    <row r="2689" spans="1:1" ht="14.4" x14ac:dyDescent="0.3">
      <c r="A2689"/>
    </row>
    <row r="2690" spans="1:1" ht="14.4" x14ac:dyDescent="0.3">
      <c r="A2690"/>
    </row>
    <row r="2691" spans="1:1" ht="14.4" x14ac:dyDescent="0.3">
      <c r="A2691"/>
    </row>
    <row r="2692" spans="1:1" ht="14.4" x14ac:dyDescent="0.3">
      <c r="A2692"/>
    </row>
    <row r="2693" spans="1:1" ht="14.4" x14ac:dyDescent="0.3">
      <c r="A2693"/>
    </row>
    <row r="2694" spans="1:1" ht="14.4" x14ac:dyDescent="0.3">
      <c r="A2694"/>
    </row>
    <row r="2695" spans="1:1" ht="14.4" x14ac:dyDescent="0.3">
      <c r="A2695"/>
    </row>
    <row r="2696" spans="1:1" ht="14.4" x14ac:dyDescent="0.3">
      <c r="A2696"/>
    </row>
    <row r="2697" spans="1:1" ht="14.4" x14ac:dyDescent="0.3">
      <c r="A2697"/>
    </row>
    <row r="2698" spans="1:1" ht="14.4" x14ac:dyDescent="0.3">
      <c r="A2698"/>
    </row>
    <row r="2699" spans="1:1" ht="14.4" x14ac:dyDescent="0.3">
      <c r="A2699"/>
    </row>
    <row r="2700" spans="1:1" ht="14.4" x14ac:dyDescent="0.3">
      <c r="A2700"/>
    </row>
    <row r="2701" spans="1:1" ht="14.4" x14ac:dyDescent="0.3">
      <c r="A2701"/>
    </row>
    <row r="2702" spans="1:1" ht="14.4" x14ac:dyDescent="0.3">
      <c r="A2702"/>
    </row>
    <row r="2703" spans="1:1" ht="14.4" x14ac:dyDescent="0.3">
      <c r="A2703"/>
    </row>
    <row r="2704" spans="1:1" ht="14.4" x14ac:dyDescent="0.3">
      <c r="A2704"/>
    </row>
    <row r="2705" spans="1:1" ht="14.4" x14ac:dyDescent="0.3">
      <c r="A2705"/>
    </row>
    <row r="2706" spans="1:1" ht="14.4" x14ac:dyDescent="0.3">
      <c r="A2706"/>
    </row>
    <row r="2707" spans="1:1" ht="14.4" x14ac:dyDescent="0.3">
      <c r="A2707"/>
    </row>
    <row r="2708" spans="1:1" ht="14.4" x14ac:dyDescent="0.3">
      <c r="A2708"/>
    </row>
    <row r="2709" spans="1:1" ht="14.4" x14ac:dyDescent="0.3">
      <c r="A2709"/>
    </row>
    <row r="2710" spans="1:1" ht="14.4" x14ac:dyDescent="0.3">
      <c r="A2710"/>
    </row>
    <row r="2711" spans="1:1" ht="14.4" x14ac:dyDescent="0.3">
      <c r="A2711"/>
    </row>
    <row r="2712" spans="1:1" ht="14.4" x14ac:dyDescent="0.3">
      <c r="A2712"/>
    </row>
    <row r="2713" spans="1:1" ht="14.4" x14ac:dyDescent="0.3">
      <c r="A2713"/>
    </row>
    <row r="2714" spans="1:1" ht="14.4" x14ac:dyDescent="0.3">
      <c r="A2714"/>
    </row>
    <row r="2715" spans="1:1" ht="14.4" x14ac:dyDescent="0.3">
      <c r="A2715"/>
    </row>
    <row r="2716" spans="1:1" ht="14.4" x14ac:dyDescent="0.3">
      <c r="A2716"/>
    </row>
    <row r="2717" spans="1:1" ht="14.4" x14ac:dyDescent="0.3">
      <c r="A2717"/>
    </row>
    <row r="2718" spans="1:1" ht="14.4" x14ac:dyDescent="0.3">
      <c r="A2718"/>
    </row>
    <row r="2719" spans="1:1" ht="14.4" x14ac:dyDescent="0.3">
      <c r="A2719"/>
    </row>
    <row r="2720" spans="1:1" ht="14.4" x14ac:dyDescent="0.3">
      <c r="A2720"/>
    </row>
    <row r="2721" spans="1:1" ht="14.4" x14ac:dyDescent="0.3">
      <c r="A2721"/>
    </row>
    <row r="2722" spans="1:1" ht="14.4" x14ac:dyDescent="0.3">
      <c r="A2722"/>
    </row>
    <row r="2723" spans="1:1" ht="14.4" x14ac:dyDescent="0.3">
      <c r="A2723"/>
    </row>
    <row r="2724" spans="1:1" ht="14.4" x14ac:dyDescent="0.3">
      <c r="A2724"/>
    </row>
    <row r="2725" spans="1:1" ht="14.4" x14ac:dyDescent="0.3">
      <c r="A2725"/>
    </row>
    <row r="2726" spans="1:1" ht="14.4" x14ac:dyDescent="0.3">
      <c r="A2726"/>
    </row>
    <row r="2727" spans="1:1" ht="14.4" x14ac:dyDescent="0.3">
      <c r="A2727"/>
    </row>
    <row r="2728" spans="1:1" ht="14.4" x14ac:dyDescent="0.3">
      <c r="A2728"/>
    </row>
    <row r="2729" spans="1:1" ht="14.4" x14ac:dyDescent="0.3">
      <c r="A2729"/>
    </row>
    <row r="2730" spans="1:1" ht="14.4" x14ac:dyDescent="0.3">
      <c r="A2730"/>
    </row>
    <row r="2731" spans="1:1" ht="14.4" x14ac:dyDescent="0.3">
      <c r="A2731"/>
    </row>
    <row r="2732" spans="1:1" ht="14.4" x14ac:dyDescent="0.3">
      <c r="A2732"/>
    </row>
    <row r="2733" spans="1:1" ht="14.4" x14ac:dyDescent="0.3">
      <c r="A2733"/>
    </row>
    <row r="2734" spans="1:1" ht="14.4" x14ac:dyDescent="0.3">
      <c r="A2734"/>
    </row>
    <row r="2735" spans="1:1" ht="14.4" x14ac:dyDescent="0.3">
      <c r="A2735"/>
    </row>
    <row r="2736" spans="1:1" ht="14.4" x14ac:dyDescent="0.3">
      <c r="A2736"/>
    </row>
    <row r="2737" spans="1:1" ht="14.4" x14ac:dyDescent="0.3">
      <c r="A2737"/>
    </row>
    <row r="2738" spans="1:1" ht="14.4" x14ac:dyDescent="0.3">
      <c r="A2738"/>
    </row>
    <row r="2739" spans="1:1" ht="14.4" x14ac:dyDescent="0.3">
      <c r="A2739"/>
    </row>
    <row r="2740" spans="1:1" ht="14.4" x14ac:dyDescent="0.3">
      <c r="A2740"/>
    </row>
    <row r="2741" spans="1:1" ht="14.4" x14ac:dyDescent="0.3">
      <c r="A2741"/>
    </row>
    <row r="2742" spans="1:1" ht="14.4" x14ac:dyDescent="0.3">
      <c r="A2742"/>
    </row>
    <row r="2743" spans="1:1" ht="14.4" x14ac:dyDescent="0.3">
      <c r="A2743"/>
    </row>
    <row r="2744" spans="1:1" ht="14.4" x14ac:dyDescent="0.3">
      <c r="A2744"/>
    </row>
    <row r="2745" spans="1:1" ht="14.4" x14ac:dyDescent="0.3">
      <c r="A2745"/>
    </row>
    <row r="2746" spans="1:1" ht="14.4" x14ac:dyDescent="0.3">
      <c r="A2746"/>
    </row>
    <row r="2747" spans="1:1" ht="14.4" x14ac:dyDescent="0.3">
      <c r="A2747"/>
    </row>
    <row r="2748" spans="1:1" ht="14.4" x14ac:dyDescent="0.3">
      <c r="A2748"/>
    </row>
    <row r="2749" spans="1:1" ht="14.4" x14ac:dyDescent="0.3">
      <c r="A2749"/>
    </row>
    <row r="2750" spans="1:1" ht="14.4" x14ac:dyDescent="0.3">
      <c r="A2750"/>
    </row>
    <row r="2751" spans="1:1" ht="14.4" x14ac:dyDescent="0.3">
      <c r="A2751"/>
    </row>
    <row r="2752" spans="1:1" ht="14.4" x14ac:dyDescent="0.3">
      <c r="A2752"/>
    </row>
    <row r="2753" spans="1:1" ht="14.4" x14ac:dyDescent="0.3">
      <c r="A2753"/>
    </row>
    <row r="2754" spans="1:1" ht="14.4" x14ac:dyDescent="0.3">
      <c r="A2754"/>
    </row>
    <row r="2755" spans="1:1" ht="14.4" x14ac:dyDescent="0.3">
      <c r="A2755"/>
    </row>
    <row r="2756" spans="1:1" ht="14.4" x14ac:dyDescent="0.3">
      <c r="A2756"/>
    </row>
    <row r="2757" spans="1:1" ht="14.4" x14ac:dyDescent="0.3">
      <c r="A2757"/>
    </row>
    <row r="2758" spans="1:1" ht="14.4" x14ac:dyDescent="0.3">
      <c r="A2758"/>
    </row>
    <row r="2759" spans="1:1" ht="14.4" x14ac:dyDescent="0.3">
      <c r="A2759"/>
    </row>
    <row r="2760" spans="1:1" ht="14.4" x14ac:dyDescent="0.3">
      <c r="A2760"/>
    </row>
    <row r="2761" spans="1:1" ht="14.4" x14ac:dyDescent="0.3">
      <c r="A2761"/>
    </row>
    <row r="2762" spans="1:1" ht="14.4" x14ac:dyDescent="0.3">
      <c r="A2762"/>
    </row>
    <row r="2763" spans="1:1" ht="14.4" x14ac:dyDescent="0.3">
      <c r="A2763"/>
    </row>
    <row r="2764" spans="1:1" ht="14.4" x14ac:dyDescent="0.3">
      <c r="A2764"/>
    </row>
    <row r="2765" spans="1:1" ht="14.4" x14ac:dyDescent="0.3">
      <c r="A2765"/>
    </row>
    <row r="2766" spans="1:1" ht="14.4" x14ac:dyDescent="0.3">
      <c r="A2766"/>
    </row>
    <row r="2767" spans="1:1" ht="14.4" x14ac:dyDescent="0.3">
      <c r="A2767"/>
    </row>
    <row r="2768" spans="1:1" ht="14.4" x14ac:dyDescent="0.3">
      <c r="A2768"/>
    </row>
    <row r="2769" spans="1:1" ht="14.4" x14ac:dyDescent="0.3">
      <c r="A2769"/>
    </row>
    <row r="2770" spans="1:1" ht="14.4" x14ac:dyDescent="0.3">
      <c r="A2770"/>
    </row>
    <row r="2771" spans="1:1" ht="14.4" x14ac:dyDescent="0.3">
      <c r="A2771"/>
    </row>
    <row r="2772" spans="1:1" ht="14.4" x14ac:dyDescent="0.3">
      <c r="A2772"/>
    </row>
    <row r="2773" spans="1:1" ht="14.4" x14ac:dyDescent="0.3">
      <c r="A2773"/>
    </row>
    <row r="2774" spans="1:1" ht="14.4" x14ac:dyDescent="0.3">
      <c r="A2774"/>
    </row>
    <row r="2775" spans="1:1" ht="14.4" x14ac:dyDescent="0.3">
      <c r="A2775"/>
    </row>
    <row r="2776" spans="1:1" ht="14.4" x14ac:dyDescent="0.3">
      <c r="A2776"/>
    </row>
    <row r="2777" spans="1:1" ht="14.4" x14ac:dyDescent="0.3">
      <c r="A2777"/>
    </row>
    <row r="2778" spans="1:1" ht="14.4" x14ac:dyDescent="0.3">
      <c r="A2778"/>
    </row>
    <row r="2779" spans="1:1" ht="14.4" x14ac:dyDescent="0.3">
      <c r="A2779"/>
    </row>
    <row r="2780" spans="1:1" ht="14.4" x14ac:dyDescent="0.3">
      <c r="A2780"/>
    </row>
    <row r="2781" spans="1:1" ht="14.4" x14ac:dyDescent="0.3">
      <c r="A2781"/>
    </row>
    <row r="2782" spans="1:1" ht="14.4" x14ac:dyDescent="0.3">
      <c r="A2782"/>
    </row>
    <row r="2783" spans="1:1" ht="14.4" x14ac:dyDescent="0.3">
      <c r="A2783"/>
    </row>
    <row r="2784" spans="1:1" ht="14.4" x14ac:dyDescent="0.3">
      <c r="A2784"/>
    </row>
    <row r="2785" spans="1:1" ht="14.4" x14ac:dyDescent="0.3">
      <c r="A2785"/>
    </row>
    <row r="2786" spans="1:1" ht="14.4" x14ac:dyDescent="0.3">
      <c r="A2786"/>
    </row>
    <row r="2787" spans="1:1" ht="14.4" x14ac:dyDescent="0.3">
      <c r="A2787"/>
    </row>
    <row r="2788" spans="1:1" ht="14.4" x14ac:dyDescent="0.3">
      <c r="A2788"/>
    </row>
    <row r="2789" spans="1:1" ht="14.4" x14ac:dyDescent="0.3">
      <c r="A2789"/>
    </row>
    <row r="2790" spans="1:1" ht="14.4" x14ac:dyDescent="0.3">
      <c r="A2790"/>
    </row>
    <row r="2791" spans="1:1" ht="14.4" x14ac:dyDescent="0.3">
      <c r="A2791"/>
    </row>
    <row r="2792" spans="1:1" ht="14.4" x14ac:dyDescent="0.3">
      <c r="A2792"/>
    </row>
    <row r="2793" spans="1:1" ht="14.4" x14ac:dyDescent="0.3">
      <c r="A2793"/>
    </row>
    <row r="2794" spans="1:1" ht="14.4" x14ac:dyDescent="0.3">
      <c r="A2794"/>
    </row>
    <row r="2795" spans="1:1" ht="14.4" x14ac:dyDescent="0.3">
      <c r="A2795"/>
    </row>
    <row r="2796" spans="1:1" ht="14.4" x14ac:dyDescent="0.3">
      <c r="A2796"/>
    </row>
    <row r="2797" spans="1:1" ht="14.4" x14ac:dyDescent="0.3">
      <c r="A2797"/>
    </row>
    <row r="2798" spans="1:1" ht="14.4" x14ac:dyDescent="0.3">
      <c r="A2798"/>
    </row>
    <row r="2799" spans="1:1" ht="14.4" x14ac:dyDescent="0.3">
      <c r="A2799"/>
    </row>
    <row r="2800" spans="1:1" ht="14.4" x14ac:dyDescent="0.3">
      <c r="A2800"/>
    </row>
    <row r="2801" spans="1:1" ht="14.4" x14ac:dyDescent="0.3">
      <c r="A2801"/>
    </row>
    <row r="2802" spans="1:1" ht="14.4" x14ac:dyDescent="0.3">
      <c r="A2802"/>
    </row>
    <row r="2803" spans="1:1" ht="14.4" x14ac:dyDescent="0.3">
      <c r="A2803"/>
    </row>
    <row r="2804" spans="1:1" ht="14.4" x14ac:dyDescent="0.3">
      <c r="A2804"/>
    </row>
    <row r="2805" spans="1:1" ht="14.4" x14ac:dyDescent="0.3">
      <c r="A2805"/>
    </row>
    <row r="2806" spans="1:1" ht="14.4" x14ac:dyDescent="0.3">
      <c r="A2806"/>
    </row>
    <row r="2807" spans="1:1" ht="14.4" x14ac:dyDescent="0.3">
      <c r="A2807"/>
    </row>
    <row r="2808" spans="1:1" ht="14.4" x14ac:dyDescent="0.3">
      <c r="A2808"/>
    </row>
    <row r="2809" spans="1:1" ht="14.4" x14ac:dyDescent="0.3">
      <c r="A2809"/>
    </row>
    <row r="2810" spans="1:1" ht="14.4" x14ac:dyDescent="0.3">
      <c r="A2810"/>
    </row>
    <row r="2811" spans="1:1" ht="14.4" x14ac:dyDescent="0.3">
      <c r="A2811"/>
    </row>
    <row r="2812" spans="1:1" ht="14.4" x14ac:dyDescent="0.3">
      <c r="A2812"/>
    </row>
    <row r="2813" spans="1:1" ht="14.4" x14ac:dyDescent="0.3">
      <c r="A2813"/>
    </row>
    <row r="2814" spans="1:1" ht="14.4" x14ac:dyDescent="0.3">
      <c r="A2814"/>
    </row>
    <row r="2815" spans="1:1" ht="14.4" x14ac:dyDescent="0.3">
      <c r="A2815"/>
    </row>
    <row r="2816" spans="1:1" ht="14.4" x14ac:dyDescent="0.3">
      <c r="A2816"/>
    </row>
    <row r="2817" spans="1:1" ht="14.4" x14ac:dyDescent="0.3">
      <c r="A2817"/>
    </row>
    <row r="2818" spans="1:1" ht="14.4" x14ac:dyDescent="0.3">
      <c r="A2818"/>
    </row>
    <row r="2819" spans="1:1" ht="14.4" x14ac:dyDescent="0.3">
      <c r="A2819"/>
    </row>
    <row r="2820" spans="1:1" ht="14.4" x14ac:dyDescent="0.3">
      <c r="A2820"/>
    </row>
    <row r="2821" spans="1:1" ht="14.4" x14ac:dyDescent="0.3">
      <c r="A2821"/>
    </row>
    <row r="2822" spans="1:1" ht="14.4" x14ac:dyDescent="0.3">
      <c r="A2822"/>
    </row>
    <row r="2823" spans="1:1" ht="14.4" x14ac:dyDescent="0.3">
      <c r="A2823"/>
    </row>
    <row r="2824" spans="1:1" ht="14.4" x14ac:dyDescent="0.3">
      <c r="A2824"/>
    </row>
    <row r="2825" spans="1:1" ht="14.4" x14ac:dyDescent="0.3">
      <c r="A2825"/>
    </row>
    <row r="2826" spans="1:1" ht="14.4" x14ac:dyDescent="0.3">
      <c r="A2826"/>
    </row>
    <row r="2827" spans="1:1" ht="14.4" x14ac:dyDescent="0.3">
      <c r="A2827"/>
    </row>
    <row r="2828" spans="1:1" ht="14.4" x14ac:dyDescent="0.3">
      <c r="A2828"/>
    </row>
    <row r="2829" spans="1:1" ht="14.4" x14ac:dyDescent="0.3">
      <c r="A2829"/>
    </row>
    <row r="2830" spans="1:1" ht="14.4" x14ac:dyDescent="0.3">
      <c r="A2830"/>
    </row>
    <row r="2831" spans="1:1" ht="14.4" x14ac:dyDescent="0.3">
      <c r="A2831"/>
    </row>
    <row r="2832" spans="1:1" ht="14.4" x14ac:dyDescent="0.3">
      <c r="A2832"/>
    </row>
    <row r="2833" spans="1:1" ht="14.4" x14ac:dyDescent="0.3">
      <c r="A2833"/>
    </row>
    <row r="2834" spans="1:1" ht="14.4" x14ac:dyDescent="0.3">
      <c r="A2834"/>
    </row>
    <row r="2835" spans="1:1" ht="14.4" x14ac:dyDescent="0.3">
      <c r="A2835"/>
    </row>
    <row r="2836" spans="1:1" ht="14.4" x14ac:dyDescent="0.3">
      <c r="A2836"/>
    </row>
    <row r="2837" spans="1:1" ht="14.4" x14ac:dyDescent="0.3">
      <c r="A2837"/>
    </row>
    <row r="2838" spans="1:1" ht="14.4" x14ac:dyDescent="0.3">
      <c r="A2838"/>
    </row>
    <row r="2839" spans="1:1" ht="14.4" x14ac:dyDescent="0.3">
      <c r="A2839"/>
    </row>
    <row r="2840" spans="1:1" ht="14.4" x14ac:dyDescent="0.3">
      <c r="A2840"/>
    </row>
    <row r="2841" spans="1:1" ht="14.4" x14ac:dyDescent="0.3">
      <c r="A2841"/>
    </row>
    <row r="2842" spans="1:1" ht="14.4" x14ac:dyDescent="0.3">
      <c r="A2842"/>
    </row>
    <row r="2843" spans="1:1" ht="14.4" x14ac:dyDescent="0.3">
      <c r="A2843"/>
    </row>
    <row r="2844" spans="1:1" ht="14.4" x14ac:dyDescent="0.3">
      <c r="A2844"/>
    </row>
    <row r="2845" spans="1:1" ht="14.4" x14ac:dyDescent="0.3">
      <c r="A2845"/>
    </row>
    <row r="2846" spans="1:1" ht="14.4" x14ac:dyDescent="0.3">
      <c r="A2846"/>
    </row>
    <row r="2847" spans="1:1" ht="14.4" x14ac:dyDescent="0.3">
      <c r="A2847"/>
    </row>
    <row r="2848" spans="1:1" ht="14.4" x14ac:dyDescent="0.3">
      <c r="A2848"/>
    </row>
    <row r="2849" spans="1:1" ht="14.4" x14ac:dyDescent="0.3">
      <c r="A2849"/>
    </row>
    <row r="2850" spans="1:1" ht="14.4" x14ac:dyDescent="0.3">
      <c r="A2850"/>
    </row>
    <row r="2851" spans="1:1" ht="14.4" x14ac:dyDescent="0.3">
      <c r="A2851"/>
    </row>
    <row r="2852" spans="1:1" ht="14.4" x14ac:dyDescent="0.3">
      <c r="A2852"/>
    </row>
    <row r="2853" spans="1:1" ht="14.4" x14ac:dyDescent="0.3">
      <c r="A2853"/>
    </row>
    <row r="2854" spans="1:1" ht="14.4" x14ac:dyDescent="0.3">
      <c r="A2854"/>
    </row>
    <row r="2855" spans="1:1" ht="14.4" x14ac:dyDescent="0.3">
      <c r="A2855"/>
    </row>
    <row r="2856" spans="1:1" ht="14.4" x14ac:dyDescent="0.3">
      <c r="A2856"/>
    </row>
    <row r="2857" spans="1:1" ht="14.4" x14ac:dyDescent="0.3">
      <c r="A2857"/>
    </row>
    <row r="2858" spans="1:1" ht="14.4" x14ac:dyDescent="0.3">
      <c r="A2858"/>
    </row>
    <row r="2859" spans="1:1" ht="14.4" x14ac:dyDescent="0.3">
      <c r="A2859"/>
    </row>
    <row r="2860" spans="1:1" ht="14.4" x14ac:dyDescent="0.3">
      <c r="A2860"/>
    </row>
    <row r="2861" spans="1:1" ht="14.4" x14ac:dyDescent="0.3">
      <c r="A2861"/>
    </row>
    <row r="2862" spans="1:1" ht="14.4" x14ac:dyDescent="0.3">
      <c r="A2862"/>
    </row>
    <row r="2863" spans="1:1" ht="14.4" x14ac:dyDescent="0.3">
      <c r="A2863"/>
    </row>
    <row r="2864" spans="1:1" ht="14.4" x14ac:dyDescent="0.3">
      <c r="A2864"/>
    </row>
    <row r="2865" spans="1:1" ht="14.4" x14ac:dyDescent="0.3">
      <c r="A2865"/>
    </row>
    <row r="2866" spans="1:1" ht="14.4" x14ac:dyDescent="0.3">
      <c r="A2866"/>
    </row>
    <row r="2867" spans="1:1" ht="14.4" x14ac:dyDescent="0.3">
      <c r="A2867"/>
    </row>
    <row r="2868" spans="1:1" ht="14.4" x14ac:dyDescent="0.3">
      <c r="A2868"/>
    </row>
    <row r="2869" spans="1:1" ht="14.4" x14ac:dyDescent="0.3">
      <c r="A2869"/>
    </row>
    <row r="2870" spans="1:1" ht="14.4" x14ac:dyDescent="0.3">
      <c r="A2870"/>
    </row>
    <row r="2871" spans="1:1" ht="14.4" x14ac:dyDescent="0.3">
      <c r="A2871"/>
    </row>
    <row r="2872" spans="1:1" ht="14.4" x14ac:dyDescent="0.3">
      <c r="A2872"/>
    </row>
    <row r="2873" spans="1:1" ht="14.4" x14ac:dyDescent="0.3">
      <c r="A2873"/>
    </row>
    <row r="2874" spans="1:1" ht="14.4" x14ac:dyDescent="0.3">
      <c r="A2874"/>
    </row>
    <row r="2875" spans="1:1" ht="14.4" x14ac:dyDescent="0.3">
      <c r="A2875"/>
    </row>
    <row r="2876" spans="1:1" ht="14.4" x14ac:dyDescent="0.3">
      <c r="A2876"/>
    </row>
    <row r="2877" spans="1:1" ht="14.4" x14ac:dyDescent="0.3">
      <c r="A2877"/>
    </row>
    <row r="2878" spans="1:1" ht="14.4" x14ac:dyDescent="0.3">
      <c r="A2878"/>
    </row>
    <row r="2879" spans="1:1" ht="14.4" x14ac:dyDescent="0.3">
      <c r="A2879"/>
    </row>
    <row r="2880" spans="1:1" ht="14.4" x14ac:dyDescent="0.3">
      <c r="A2880"/>
    </row>
    <row r="2881" spans="1:1" ht="14.4" x14ac:dyDescent="0.3">
      <c r="A2881"/>
    </row>
    <row r="2882" spans="1:1" ht="14.4" x14ac:dyDescent="0.3">
      <c r="A2882"/>
    </row>
    <row r="2883" spans="1:1" ht="14.4" x14ac:dyDescent="0.3">
      <c r="A2883"/>
    </row>
    <row r="2884" spans="1:1" ht="14.4" x14ac:dyDescent="0.3">
      <c r="A2884"/>
    </row>
    <row r="2885" spans="1:1" ht="14.4" x14ac:dyDescent="0.3">
      <c r="A2885"/>
    </row>
    <row r="2886" spans="1:1" ht="14.4" x14ac:dyDescent="0.3">
      <c r="A2886"/>
    </row>
    <row r="2887" spans="1:1" ht="14.4" x14ac:dyDescent="0.3">
      <c r="A2887"/>
    </row>
    <row r="2888" spans="1:1" ht="14.4" x14ac:dyDescent="0.3">
      <c r="A2888"/>
    </row>
    <row r="2889" spans="1:1" ht="14.4" x14ac:dyDescent="0.3">
      <c r="A2889"/>
    </row>
    <row r="2890" spans="1:1" ht="14.4" x14ac:dyDescent="0.3">
      <c r="A2890"/>
    </row>
    <row r="2891" spans="1:1" ht="14.4" x14ac:dyDescent="0.3">
      <c r="A2891"/>
    </row>
    <row r="2892" spans="1:1" ht="14.4" x14ac:dyDescent="0.3">
      <c r="A2892"/>
    </row>
    <row r="2893" spans="1:1" ht="14.4" x14ac:dyDescent="0.3">
      <c r="A2893"/>
    </row>
    <row r="2894" spans="1:1" ht="14.4" x14ac:dyDescent="0.3">
      <c r="A2894"/>
    </row>
    <row r="2895" spans="1:1" ht="14.4" x14ac:dyDescent="0.3">
      <c r="A2895"/>
    </row>
    <row r="2896" spans="1:1" ht="14.4" x14ac:dyDescent="0.3">
      <c r="A2896"/>
    </row>
    <row r="2897" spans="1:1" ht="14.4" x14ac:dyDescent="0.3">
      <c r="A2897"/>
    </row>
    <row r="2898" spans="1:1" ht="14.4" x14ac:dyDescent="0.3">
      <c r="A2898"/>
    </row>
    <row r="2899" spans="1:1" ht="14.4" x14ac:dyDescent="0.3">
      <c r="A2899"/>
    </row>
    <row r="2900" spans="1:1" ht="14.4" x14ac:dyDescent="0.3">
      <c r="A2900"/>
    </row>
    <row r="2901" spans="1:1" ht="14.4" x14ac:dyDescent="0.3">
      <c r="A2901"/>
    </row>
    <row r="2902" spans="1:1" ht="14.4" x14ac:dyDescent="0.3">
      <c r="A2902"/>
    </row>
    <row r="2903" spans="1:1" ht="14.4" x14ac:dyDescent="0.3">
      <c r="A2903"/>
    </row>
    <row r="2904" spans="1:1" ht="14.4" x14ac:dyDescent="0.3">
      <c r="A2904"/>
    </row>
    <row r="2905" spans="1:1" ht="14.4" x14ac:dyDescent="0.3">
      <c r="A2905"/>
    </row>
    <row r="2906" spans="1:1" ht="14.4" x14ac:dyDescent="0.3">
      <c r="A2906"/>
    </row>
    <row r="2907" spans="1:1" ht="14.4" x14ac:dyDescent="0.3">
      <c r="A2907"/>
    </row>
    <row r="2908" spans="1:1" ht="14.4" x14ac:dyDescent="0.3">
      <c r="A2908"/>
    </row>
    <row r="2909" spans="1:1" ht="14.4" x14ac:dyDescent="0.3">
      <c r="A2909"/>
    </row>
    <row r="2910" spans="1:1" ht="14.4" x14ac:dyDescent="0.3">
      <c r="A2910"/>
    </row>
    <row r="2911" spans="1:1" ht="14.4" x14ac:dyDescent="0.3">
      <c r="A2911"/>
    </row>
    <row r="2912" spans="1:1" ht="14.4" x14ac:dyDescent="0.3">
      <c r="A2912"/>
    </row>
    <row r="2913" spans="1:1" ht="14.4" x14ac:dyDescent="0.3">
      <c r="A2913"/>
    </row>
    <row r="2914" spans="1:1" ht="14.4" x14ac:dyDescent="0.3">
      <c r="A2914"/>
    </row>
    <row r="2915" spans="1:1" ht="14.4" x14ac:dyDescent="0.3">
      <c r="A2915"/>
    </row>
    <row r="2916" spans="1:1" ht="14.4" x14ac:dyDescent="0.3">
      <c r="A2916"/>
    </row>
    <row r="2917" spans="1:1" ht="14.4" x14ac:dyDescent="0.3">
      <c r="A2917"/>
    </row>
    <row r="2918" spans="1:1" ht="14.4" x14ac:dyDescent="0.3">
      <c r="A2918"/>
    </row>
    <row r="2919" spans="1:1" ht="14.4" x14ac:dyDescent="0.3">
      <c r="A2919"/>
    </row>
    <row r="2920" spans="1:1" ht="14.4" x14ac:dyDescent="0.3">
      <c r="A2920"/>
    </row>
    <row r="2921" spans="1:1" ht="14.4" x14ac:dyDescent="0.3">
      <c r="A2921"/>
    </row>
    <row r="2922" spans="1:1" ht="14.4" x14ac:dyDescent="0.3">
      <c r="A2922"/>
    </row>
    <row r="2923" spans="1:1" ht="14.4" x14ac:dyDescent="0.3">
      <c r="A2923"/>
    </row>
    <row r="2924" spans="1:1" ht="14.4" x14ac:dyDescent="0.3">
      <c r="A2924"/>
    </row>
    <row r="2925" spans="1:1" ht="14.4" x14ac:dyDescent="0.3">
      <c r="A2925"/>
    </row>
    <row r="2926" spans="1:1" ht="14.4" x14ac:dyDescent="0.3">
      <c r="A2926"/>
    </row>
    <row r="2927" spans="1:1" ht="14.4" x14ac:dyDescent="0.3">
      <c r="A2927"/>
    </row>
    <row r="2928" spans="1:1" ht="14.4" x14ac:dyDescent="0.3">
      <c r="A2928"/>
    </row>
    <row r="2929" spans="1:1" ht="14.4" x14ac:dyDescent="0.3">
      <c r="A2929"/>
    </row>
    <row r="2930" spans="1:1" ht="14.4" x14ac:dyDescent="0.3">
      <c r="A2930"/>
    </row>
    <row r="2931" spans="1:1" ht="14.4" x14ac:dyDescent="0.3">
      <c r="A2931"/>
    </row>
    <row r="2932" spans="1:1" ht="14.4" x14ac:dyDescent="0.3">
      <c r="A2932"/>
    </row>
    <row r="2933" spans="1:1" ht="14.4" x14ac:dyDescent="0.3">
      <c r="A2933"/>
    </row>
    <row r="2934" spans="1:1" ht="14.4" x14ac:dyDescent="0.3">
      <c r="A2934"/>
    </row>
    <row r="2935" spans="1:1" ht="14.4" x14ac:dyDescent="0.3">
      <c r="A2935"/>
    </row>
    <row r="2936" spans="1:1" ht="14.4" x14ac:dyDescent="0.3">
      <c r="A2936"/>
    </row>
    <row r="2937" spans="1:1" ht="14.4" x14ac:dyDescent="0.3">
      <c r="A2937"/>
    </row>
    <row r="2938" spans="1:1" ht="14.4" x14ac:dyDescent="0.3">
      <c r="A2938"/>
    </row>
    <row r="2939" spans="1:1" ht="14.4" x14ac:dyDescent="0.3">
      <c r="A2939"/>
    </row>
    <row r="2940" spans="1:1" ht="14.4" x14ac:dyDescent="0.3">
      <c r="A2940"/>
    </row>
    <row r="2941" spans="1:1" ht="14.4" x14ac:dyDescent="0.3">
      <c r="A2941"/>
    </row>
    <row r="2942" spans="1:1" ht="14.4" x14ac:dyDescent="0.3">
      <c r="A2942"/>
    </row>
    <row r="2943" spans="1:1" ht="14.4" x14ac:dyDescent="0.3">
      <c r="A2943"/>
    </row>
    <row r="2944" spans="1:1" ht="14.4" x14ac:dyDescent="0.3">
      <c r="A2944"/>
    </row>
    <row r="2945" spans="1:1" ht="14.4" x14ac:dyDescent="0.3">
      <c r="A2945"/>
    </row>
    <row r="2946" spans="1:1" ht="14.4" x14ac:dyDescent="0.3">
      <c r="A2946"/>
    </row>
    <row r="2947" spans="1:1" ht="14.4" x14ac:dyDescent="0.3">
      <c r="A2947"/>
    </row>
    <row r="2948" spans="1:1" ht="14.4" x14ac:dyDescent="0.3">
      <c r="A2948"/>
    </row>
    <row r="2949" spans="1:1" ht="14.4" x14ac:dyDescent="0.3">
      <c r="A2949"/>
    </row>
    <row r="2950" spans="1:1" ht="14.4" x14ac:dyDescent="0.3">
      <c r="A2950"/>
    </row>
    <row r="2951" spans="1:1" ht="14.4" x14ac:dyDescent="0.3">
      <c r="A2951"/>
    </row>
    <row r="2952" spans="1:1" ht="14.4" x14ac:dyDescent="0.3">
      <c r="A2952"/>
    </row>
    <row r="2953" spans="1:1" ht="14.4" x14ac:dyDescent="0.3">
      <c r="A2953"/>
    </row>
    <row r="2954" spans="1:1" ht="14.4" x14ac:dyDescent="0.3">
      <c r="A2954"/>
    </row>
    <row r="2955" spans="1:1" ht="14.4" x14ac:dyDescent="0.3">
      <c r="A2955"/>
    </row>
    <row r="2956" spans="1:1" ht="14.4" x14ac:dyDescent="0.3">
      <c r="A2956"/>
    </row>
    <row r="2957" spans="1:1" ht="14.4" x14ac:dyDescent="0.3">
      <c r="A2957"/>
    </row>
    <row r="2958" spans="1:1" ht="14.4" x14ac:dyDescent="0.3">
      <c r="A2958"/>
    </row>
    <row r="2959" spans="1:1" ht="14.4" x14ac:dyDescent="0.3">
      <c r="A2959"/>
    </row>
    <row r="2960" spans="1:1" ht="14.4" x14ac:dyDescent="0.3">
      <c r="A2960"/>
    </row>
    <row r="2961" spans="1:1" ht="14.4" x14ac:dyDescent="0.3">
      <c r="A2961"/>
    </row>
    <row r="2962" spans="1:1" ht="14.4" x14ac:dyDescent="0.3">
      <c r="A2962"/>
    </row>
    <row r="2963" spans="1:1" ht="14.4" x14ac:dyDescent="0.3">
      <c r="A2963"/>
    </row>
    <row r="2964" spans="1:1" ht="14.4" x14ac:dyDescent="0.3">
      <c r="A2964"/>
    </row>
    <row r="2965" spans="1:1" ht="14.4" x14ac:dyDescent="0.3">
      <c r="A2965"/>
    </row>
    <row r="2966" spans="1:1" ht="14.4" x14ac:dyDescent="0.3">
      <c r="A2966"/>
    </row>
    <row r="2967" spans="1:1" ht="14.4" x14ac:dyDescent="0.3">
      <c r="A2967"/>
    </row>
    <row r="2968" spans="1:1" ht="14.4" x14ac:dyDescent="0.3">
      <c r="A2968"/>
    </row>
    <row r="2969" spans="1:1" ht="14.4" x14ac:dyDescent="0.3">
      <c r="A2969"/>
    </row>
    <row r="2970" spans="1:1" ht="14.4" x14ac:dyDescent="0.3">
      <c r="A2970"/>
    </row>
    <row r="2971" spans="1:1" ht="14.4" x14ac:dyDescent="0.3">
      <c r="A2971"/>
    </row>
    <row r="2972" spans="1:1" ht="14.4" x14ac:dyDescent="0.3">
      <c r="A2972"/>
    </row>
    <row r="2973" spans="1:1" ht="14.4" x14ac:dyDescent="0.3">
      <c r="A2973"/>
    </row>
    <row r="2974" spans="1:1" ht="14.4" x14ac:dyDescent="0.3">
      <c r="A2974"/>
    </row>
    <row r="2975" spans="1:1" ht="14.4" x14ac:dyDescent="0.3">
      <c r="A2975"/>
    </row>
    <row r="2976" spans="1:1" ht="14.4" x14ac:dyDescent="0.3">
      <c r="A2976"/>
    </row>
    <row r="2977" spans="1:1" ht="14.4" x14ac:dyDescent="0.3">
      <c r="A2977"/>
    </row>
    <row r="2978" spans="1:1" ht="14.4" x14ac:dyDescent="0.3">
      <c r="A2978"/>
    </row>
    <row r="2979" spans="1:1" ht="14.4" x14ac:dyDescent="0.3">
      <c r="A2979"/>
    </row>
    <row r="2980" spans="1:1" ht="14.4" x14ac:dyDescent="0.3">
      <c r="A2980"/>
    </row>
    <row r="2981" spans="1:1" ht="14.4" x14ac:dyDescent="0.3">
      <c r="A2981"/>
    </row>
    <row r="2982" spans="1:1" ht="14.4" x14ac:dyDescent="0.3">
      <c r="A2982"/>
    </row>
    <row r="2983" spans="1:1" ht="14.4" x14ac:dyDescent="0.3">
      <c r="A2983"/>
    </row>
    <row r="2984" spans="1:1" ht="14.4" x14ac:dyDescent="0.3">
      <c r="A2984"/>
    </row>
    <row r="2985" spans="1:1" ht="14.4" x14ac:dyDescent="0.3">
      <c r="A2985"/>
    </row>
    <row r="2986" spans="1:1" ht="14.4" x14ac:dyDescent="0.3">
      <c r="A2986"/>
    </row>
    <row r="2987" spans="1:1" ht="14.4" x14ac:dyDescent="0.3">
      <c r="A2987"/>
    </row>
    <row r="2988" spans="1:1" ht="14.4" x14ac:dyDescent="0.3">
      <c r="A2988"/>
    </row>
    <row r="2989" spans="1:1" ht="14.4" x14ac:dyDescent="0.3">
      <c r="A2989"/>
    </row>
    <row r="2990" spans="1:1" ht="14.4" x14ac:dyDescent="0.3">
      <c r="A2990"/>
    </row>
    <row r="2991" spans="1:1" ht="14.4" x14ac:dyDescent="0.3">
      <c r="A2991"/>
    </row>
    <row r="2992" spans="1:1" ht="14.4" x14ac:dyDescent="0.3">
      <c r="A2992"/>
    </row>
    <row r="2993" spans="1:1" ht="14.4" x14ac:dyDescent="0.3">
      <c r="A2993"/>
    </row>
    <row r="2994" spans="1:1" ht="14.4" x14ac:dyDescent="0.3">
      <c r="A2994"/>
    </row>
    <row r="2995" spans="1:1" ht="14.4" x14ac:dyDescent="0.3">
      <c r="A2995"/>
    </row>
    <row r="2996" spans="1:1" ht="14.4" x14ac:dyDescent="0.3">
      <c r="A2996"/>
    </row>
    <row r="2997" spans="1:1" ht="14.4" x14ac:dyDescent="0.3">
      <c r="A2997"/>
    </row>
    <row r="2998" spans="1:1" ht="14.4" x14ac:dyDescent="0.3">
      <c r="A2998"/>
    </row>
    <row r="2999" spans="1:1" ht="14.4" x14ac:dyDescent="0.3">
      <c r="A2999"/>
    </row>
    <row r="3000" spans="1:1" ht="14.4" x14ac:dyDescent="0.3">
      <c r="A3000"/>
    </row>
    <row r="3001" spans="1:1" ht="14.4" x14ac:dyDescent="0.3">
      <c r="A3001"/>
    </row>
    <row r="3002" spans="1:1" ht="14.4" x14ac:dyDescent="0.3">
      <c r="A3002"/>
    </row>
    <row r="3003" spans="1:1" ht="14.4" x14ac:dyDescent="0.3">
      <c r="A3003"/>
    </row>
    <row r="3004" spans="1:1" ht="14.4" x14ac:dyDescent="0.3">
      <c r="A3004"/>
    </row>
    <row r="3005" spans="1:1" ht="14.4" x14ac:dyDescent="0.3">
      <c r="A3005"/>
    </row>
    <row r="3006" spans="1:1" ht="14.4" x14ac:dyDescent="0.3">
      <c r="A3006"/>
    </row>
    <row r="3007" spans="1:1" ht="14.4" x14ac:dyDescent="0.3">
      <c r="A3007"/>
    </row>
    <row r="3008" spans="1:1" ht="14.4" x14ac:dyDescent="0.3">
      <c r="A3008"/>
    </row>
    <row r="3009" spans="1:1" ht="14.4" x14ac:dyDescent="0.3">
      <c r="A3009"/>
    </row>
    <row r="3010" spans="1:1" ht="14.4" x14ac:dyDescent="0.3">
      <c r="A3010"/>
    </row>
    <row r="3011" spans="1:1" ht="14.4" x14ac:dyDescent="0.3">
      <c r="A3011"/>
    </row>
    <row r="3012" spans="1:1" ht="14.4" x14ac:dyDescent="0.3">
      <c r="A3012"/>
    </row>
    <row r="3013" spans="1:1" ht="14.4" x14ac:dyDescent="0.3">
      <c r="A3013"/>
    </row>
    <row r="3014" spans="1:1" ht="14.4" x14ac:dyDescent="0.3">
      <c r="A3014"/>
    </row>
    <row r="3015" spans="1:1" ht="14.4" x14ac:dyDescent="0.3">
      <c r="A3015"/>
    </row>
    <row r="3016" spans="1:1" ht="14.4" x14ac:dyDescent="0.3">
      <c r="A3016"/>
    </row>
    <row r="3017" spans="1:1" ht="14.4" x14ac:dyDescent="0.3">
      <c r="A3017"/>
    </row>
    <row r="3018" spans="1:1" ht="14.4" x14ac:dyDescent="0.3">
      <c r="A3018"/>
    </row>
    <row r="3019" spans="1:1" ht="14.4" x14ac:dyDescent="0.3">
      <c r="A3019"/>
    </row>
    <row r="3020" spans="1:1" ht="14.4" x14ac:dyDescent="0.3">
      <c r="A3020"/>
    </row>
    <row r="3021" spans="1:1" ht="14.4" x14ac:dyDescent="0.3">
      <c r="A3021"/>
    </row>
    <row r="3022" spans="1:1" ht="14.4" x14ac:dyDescent="0.3">
      <c r="A3022"/>
    </row>
    <row r="3023" spans="1:1" ht="14.4" x14ac:dyDescent="0.3">
      <c r="A3023"/>
    </row>
    <row r="3024" spans="1:1" ht="14.4" x14ac:dyDescent="0.3">
      <c r="A3024"/>
    </row>
    <row r="3025" spans="1:1" ht="14.4" x14ac:dyDescent="0.3">
      <c r="A3025"/>
    </row>
    <row r="3026" spans="1:1" ht="14.4" x14ac:dyDescent="0.3">
      <c r="A3026"/>
    </row>
    <row r="3027" spans="1:1" ht="14.4" x14ac:dyDescent="0.3">
      <c r="A3027"/>
    </row>
    <row r="3028" spans="1:1" ht="14.4" x14ac:dyDescent="0.3">
      <c r="A3028"/>
    </row>
    <row r="3029" spans="1:1" ht="14.4" x14ac:dyDescent="0.3">
      <c r="A3029"/>
    </row>
    <row r="3030" spans="1:1" ht="14.4" x14ac:dyDescent="0.3">
      <c r="A3030"/>
    </row>
    <row r="3031" spans="1:1" ht="14.4" x14ac:dyDescent="0.3">
      <c r="A3031"/>
    </row>
    <row r="3032" spans="1:1" ht="14.4" x14ac:dyDescent="0.3">
      <c r="A3032"/>
    </row>
    <row r="3033" spans="1:1" ht="14.4" x14ac:dyDescent="0.3">
      <c r="A3033"/>
    </row>
    <row r="3034" spans="1:1" ht="14.4" x14ac:dyDescent="0.3">
      <c r="A3034"/>
    </row>
    <row r="3035" spans="1:1" ht="14.4" x14ac:dyDescent="0.3">
      <c r="A3035"/>
    </row>
    <row r="3036" spans="1:1" ht="14.4" x14ac:dyDescent="0.3">
      <c r="A3036"/>
    </row>
    <row r="3037" spans="1:1" ht="14.4" x14ac:dyDescent="0.3">
      <c r="A3037"/>
    </row>
    <row r="3038" spans="1:1" ht="14.4" x14ac:dyDescent="0.3">
      <c r="A3038"/>
    </row>
    <row r="3039" spans="1:1" ht="14.4" x14ac:dyDescent="0.3">
      <c r="A3039"/>
    </row>
    <row r="3040" spans="1:1" ht="14.4" x14ac:dyDescent="0.3">
      <c r="A3040"/>
    </row>
    <row r="3041" spans="1:1" ht="14.4" x14ac:dyDescent="0.3">
      <c r="A3041"/>
    </row>
    <row r="3042" spans="1:1" ht="14.4" x14ac:dyDescent="0.3">
      <c r="A3042"/>
    </row>
    <row r="3043" spans="1:1" ht="14.4" x14ac:dyDescent="0.3">
      <c r="A3043"/>
    </row>
    <row r="3044" spans="1:1" ht="14.4" x14ac:dyDescent="0.3">
      <c r="A3044"/>
    </row>
    <row r="3045" spans="1:1" ht="14.4" x14ac:dyDescent="0.3">
      <c r="A3045"/>
    </row>
    <row r="3046" spans="1:1" ht="14.4" x14ac:dyDescent="0.3">
      <c r="A3046"/>
    </row>
    <row r="3047" spans="1:1" ht="14.4" x14ac:dyDescent="0.3">
      <c r="A3047"/>
    </row>
    <row r="3048" spans="1:1" ht="14.4" x14ac:dyDescent="0.3">
      <c r="A3048"/>
    </row>
    <row r="3049" spans="1:1" ht="14.4" x14ac:dyDescent="0.3">
      <c r="A3049"/>
    </row>
    <row r="3050" spans="1:1" ht="14.4" x14ac:dyDescent="0.3">
      <c r="A3050"/>
    </row>
    <row r="3051" spans="1:1" ht="14.4" x14ac:dyDescent="0.3">
      <c r="A3051"/>
    </row>
    <row r="3052" spans="1:1" ht="14.4" x14ac:dyDescent="0.3">
      <c r="A3052"/>
    </row>
    <row r="3053" spans="1:1" ht="14.4" x14ac:dyDescent="0.3">
      <c r="A3053"/>
    </row>
    <row r="3054" spans="1:1" ht="14.4" x14ac:dyDescent="0.3">
      <c r="A3054"/>
    </row>
    <row r="3055" spans="1:1" ht="14.4" x14ac:dyDescent="0.3">
      <c r="A3055"/>
    </row>
    <row r="3056" spans="1:1" ht="14.4" x14ac:dyDescent="0.3">
      <c r="A3056"/>
    </row>
    <row r="3057" spans="1:1" ht="14.4" x14ac:dyDescent="0.3">
      <c r="A3057"/>
    </row>
    <row r="3058" spans="1:1" ht="14.4" x14ac:dyDescent="0.3">
      <c r="A3058"/>
    </row>
    <row r="3059" spans="1:1" ht="14.4" x14ac:dyDescent="0.3">
      <c r="A3059"/>
    </row>
    <row r="3060" spans="1:1" ht="14.4" x14ac:dyDescent="0.3">
      <c r="A3060"/>
    </row>
    <row r="3061" spans="1:1" ht="14.4" x14ac:dyDescent="0.3">
      <c r="A3061"/>
    </row>
    <row r="3062" spans="1:1" ht="14.4" x14ac:dyDescent="0.3">
      <c r="A3062"/>
    </row>
    <row r="3063" spans="1:1" ht="14.4" x14ac:dyDescent="0.3">
      <c r="A3063"/>
    </row>
    <row r="3064" spans="1:1" ht="14.4" x14ac:dyDescent="0.3">
      <c r="A3064"/>
    </row>
    <row r="3065" spans="1:1" ht="14.4" x14ac:dyDescent="0.3">
      <c r="A3065"/>
    </row>
    <row r="3066" spans="1:1" ht="14.4" x14ac:dyDescent="0.3">
      <c r="A3066"/>
    </row>
    <row r="3067" spans="1:1" ht="14.4" x14ac:dyDescent="0.3">
      <c r="A3067"/>
    </row>
    <row r="3068" spans="1:1" ht="14.4" x14ac:dyDescent="0.3">
      <c r="A3068"/>
    </row>
    <row r="3069" spans="1:1" ht="14.4" x14ac:dyDescent="0.3">
      <c r="A3069"/>
    </row>
    <row r="3070" spans="1:1" ht="14.4" x14ac:dyDescent="0.3">
      <c r="A3070"/>
    </row>
    <row r="3071" spans="1:1" ht="14.4" x14ac:dyDescent="0.3">
      <c r="A3071"/>
    </row>
    <row r="3072" spans="1:1" ht="14.4" x14ac:dyDescent="0.3">
      <c r="A3072"/>
    </row>
    <row r="3073" spans="1:1" ht="14.4" x14ac:dyDescent="0.3">
      <c r="A3073"/>
    </row>
    <row r="3074" spans="1:1" ht="14.4" x14ac:dyDescent="0.3">
      <c r="A3074"/>
    </row>
    <row r="3075" spans="1:1" ht="14.4" x14ac:dyDescent="0.3">
      <c r="A3075"/>
    </row>
    <row r="3076" spans="1:1" ht="14.4" x14ac:dyDescent="0.3">
      <c r="A3076"/>
    </row>
    <row r="3077" spans="1:1" ht="14.4" x14ac:dyDescent="0.3">
      <c r="A3077"/>
    </row>
    <row r="3078" spans="1:1" ht="14.4" x14ac:dyDescent="0.3">
      <c r="A3078"/>
    </row>
    <row r="3079" spans="1:1" ht="14.4" x14ac:dyDescent="0.3">
      <c r="A3079"/>
    </row>
    <row r="3080" spans="1:1" ht="14.4" x14ac:dyDescent="0.3">
      <c r="A3080"/>
    </row>
    <row r="3081" spans="1:1" ht="14.4" x14ac:dyDescent="0.3">
      <c r="A3081"/>
    </row>
    <row r="3082" spans="1:1" ht="14.4" x14ac:dyDescent="0.3">
      <c r="A3082"/>
    </row>
    <row r="3083" spans="1:1" ht="14.4" x14ac:dyDescent="0.3">
      <c r="A3083"/>
    </row>
    <row r="3084" spans="1:1" ht="14.4" x14ac:dyDescent="0.3">
      <c r="A3084"/>
    </row>
    <row r="3085" spans="1:1" ht="14.4" x14ac:dyDescent="0.3">
      <c r="A3085"/>
    </row>
    <row r="3086" spans="1:1" ht="14.4" x14ac:dyDescent="0.3">
      <c r="A3086"/>
    </row>
    <row r="3087" spans="1:1" ht="14.4" x14ac:dyDescent="0.3">
      <c r="A3087"/>
    </row>
    <row r="3088" spans="1:1" ht="14.4" x14ac:dyDescent="0.3">
      <c r="A3088"/>
    </row>
    <row r="3089" spans="1:1" ht="14.4" x14ac:dyDescent="0.3">
      <c r="A3089"/>
    </row>
    <row r="3090" spans="1:1" ht="14.4" x14ac:dyDescent="0.3">
      <c r="A3090"/>
    </row>
    <row r="3091" spans="1:1" ht="14.4" x14ac:dyDescent="0.3">
      <c r="A3091"/>
    </row>
    <row r="3092" spans="1:1" ht="14.4" x14ac:dyDescent="0.3">
      <c r="A3092"/>
    </row>
    <row r="3093" spans="1:1" ht="14.4" x14ac:dyDescent="0.3">
      <c r="A3093"/>
    </row>
    <row r="3094" spans="1:1" ht="14.4" x14ac:dyDescent="0.3">
      <c r="A3094"/>
    </row>
    <row r="3095" spans="1:1" ht="14.4" x14ac:dyDescent="0.3">
      <c r="A3095"/>
    </row>
    <row r="3096" spans="1:1" ht="14.4" x14ac:dyDescent="0.3">
      <c r="A3096"/>
    </row>
    <row r="3097" spans="1:1" ht="14.4" x14ac:dyDescent="0.3">
      <c r="A3097"/>
    </row>
    <row r="3098" spans="1:1" ht="14.4" x14ac:dyDescent="0.3">
      <c r="A3098"/>
    </row>
    <row r="3099" spans="1:1" ht="14.4" x14ac:dyDescent="0.3">
      <c r="A3099"/>
    </row>
    <row r="3100" spans="1:1" ht="14.4" x14ac:dyDescent="0.3">
      <c r="A3100"/>
    </row>
    <row r="3101" spans="1:1" ht="14.4" x14ac:dyDescent="0.3">
      <c r="A3101"/>
    </row>
    <row r="3102" spans="1:1" ht="14.4" x14ac:dyDescent="0.3">
      <c r="A3102"/>
    </row>
    <row r="3103" spans="1:1" ht="14.4" x14ac:dyDescent="0.3">
      <c r="A3103"/>
    </row>
    <row r="3104" spans="1:1" ht="14.4" x14ac:dyDescent="0.3">
      <c r="A3104"/>
    </row>
    <row r="3105" spans="1:1" ht="14.4" x14ac:dyDescent="0.3">
      <c r="A3105"/>
    </row>
    <row r="3106" spans="1:1" ht="14.4" x14ac:dyDescent="0.3">
      <c r="A3106"/>
    </row>
    <row r="3107" spans="1:1" ht="14.4" x14ac:dyDescent="0.3">
      <c r="A3107"/>
    </row>
    <row r="3108" spans="1:1" ht="14.4" x14ac:dyDescent="0.3">
      <c r="A3108"/>
    </row>
    <row r="3109" spans="1:1" ht="14.4" x14ac:dyDescent="0.3">
      <c r="A3109"/>
    </row>
    <row r="3110" spans="1:1" ht="14.4" x14ac:dyDescent="0.3">
      <c r="A3110"/>
    </row>
    <row r="3111" spans="1:1" ht="14.4" x14ac:dyDescent="0.3">
      <c r="A3111"/>
    </row>
    <row r="3112" spans="1:1" ht="14.4" x14ac:dyDescent="0.3">
      <c r="A3112"/>
    </row>
    <row r="3113" spans="1:1" ht="14.4" x14ac:dyDescent="0.3">
      <c r="A3113"/>
    </row>
    <row r="3114" spans="1:1" ht="14.4" x14ac:dyDescent="0.3">
      <c r="A3114"/>
    </row>
    <row r="3115" spans="1:1" ht="14.4" x14ac:dyDescent="0.3">
      <c r="A3115"/>
    </row>
    <row r="3116" spans="1:1" ht="14.4" x14ac:dyDescent="0.3">
      <c r="A3116"/>
    </row>
    <row r="3117" spans="1:1" ht="14.4" x14ac:dyDescent="0.3">
      <c r="A3117"/>
    </row>
    <row r="3118" spans="1:1" ht="14.4" x14ac:dyDescent="0.3">
      <c r="A3118"/>
    </row>
    <row r="3119" spans="1:1" ht="14.4" x14ac:dyDescent="0.3">
      <c r="A3119"/>
    </row>
    <row r="3120" spans="1:1" ht="14.4" x14ac:dyDescent="0.3">
      <c r="A3120"/>
    </row>
    <row r="3121" spans="1:1" ht="14.4" x14ac:dyDescent="0.3">
      <c r="A3121"/>
    </row>
    <row r="3122" spans="1:1" ht="14.4" x14ac:dyDescent="0.3">
      <c r="A3122"/>
    </row>
    <row r="3123" spans="1:1" ht="14.4" x14ac:dyDescent="0.3">
      <c r="A3123"/>
    </row>
    <row r="3124" spans="1:1" ht="14.4" x14ac:dyDescent="0.3">
      <c r="A3124"/>
    </row>
    <row r="3125" spans="1:1" ht="14.4" x14ac:dyDescent="0.3">
      <c r="A3125"/>
    </row>
    <row r="3126" spans="1:1" ht="14.4" x14ac:dyDescent="0.3">
      <c r="A3126"/>
    </row>
    <row r="3127" spans="1:1" ht="14.4" x14ac:dyDescent="0.3">
      <c r="A3127"/>
    </row>
    <row r="3128" spans="1:1" ht="14.4" x14ac:dyDescent="0.3">
      <c r="A3128"/>
    </row>
    <row r="3129" spans="1:1" ht="14.4" x14ac:dyDescent="0.3">
      <c r="A3129"/>
    </row>
    <row r="3130" spans="1:1" ht="14.4" x14ac:dyDescent="0.3">
      <c r="A3130"/>
    </row>
    <row r="3131" spans="1:1" ht="14.4" x14ac:dyDescent="0.3">
      <c r="A3131"/>
    </row>
    <row r="3132" spans="1:1" ht="14.4" x14ac:dyDescent="0.3">
      <c r="A3132"/>
    </row>
    <row r="3133" spans="1:1" ht="14.4" x14ac:dyDescent="0.3">
      <c r="A3133"/>
    </row>
    <row r="3134" spans="1:1" ht="14.4" x14ac:dyDescent="0.3">
      <c r="A3134"/>
    </row>
    <row r="3135" spans="1:1" ht="14.4" x14ac:dyDescent="0.3">
      <c r="A3135"/>
    </row>
    <row r="3136" spans="1:1" ht="14.4" x14ac:dyDescent="0.3">
      <c r="A3136"/>
    </row>
    <row r="3137" spans="1:1" ht="14.4" x14ac:dyDescent="0.3">
      <c r="A3137"/>
    </row>
    <row r="3138" spans="1:1" ht="14.4" x14ac:dyDescent="0.3">
      <c r="A3138"/>
    </row>
    <row r="3139" spans="1:1" ht="14.4" x14ac:dyDescent="0.3">
      <c r="A3139"/>
    </row>
    <row r="3140" spans="1:1" ht="14.4" x14ac:dyDescent="0.3">
      <c r="A3140"/>
    </row>
    <row r="3141" spans="1:1" ht="14.4" x14ac:dyDescent="0.3">
      <c r="A3141"/>
    </row>
    <row r="3142" spans="1:1" ht="14.4" x14ac:dyDescent="0.3">
      <c r="A3142"/>
    </row>
    <row r="3143" spans="1:1" ht="14.4" x14ac:dyDescent="0.3">
      <c r="A3143"/>
    </row>
    <row r="3144" spans="1:1" ht="14.4" x14ac:dyDescent="0.3">
      <c r="A3144"/>
    </row>
    <row r="3145" spans="1:1" ht="14.4" x14ac:dyDescent="0.3">
      <c r="A3145"/>
    </row>
    <row r="3146" spans="1:1" ht="14.4" x14ac:dyDescent="0.3">
      <c r="A3146"/>
    </row>
    <row r="3147" spans="1:1" ht="14.4" x14ac:dyDescent="0.3">
      <c r="A3147"/>
    </row>
    <row r="3148" spans="1:1" ht="14.4" x14ac:dyDescent="0.3">
      <c r="A3148"/>
    </row>
    <row r="3149" spans="1:1" ht="14.4" x14ac:dyDescent="0.3">
      <c r="A3149"/>
    </row>
    <row r="3150" spans="1:1" ht="14.4" x14ac:dyDescent="0.3">
      <c r="A3150"/>
    </row>
    <row r="3151" spans="1:1" ht="14.4" x14ac:dyDescent="0.3">
      <c r="A3151"/>
    </row>
    <row r="3152" spans="1:1" ht="14.4" x14ac:dyDescent="0.3">
      <c r="A3152"/>
    </row>
    <row r="3153" spans="1:1" ht="14.4" x14ac:dyDescent="0.3">
      <c r="A3153"/>
    </row>
    <row r="3154" spans="1:1" ht="14.4" x14ac:dyDescent="0.3">
      <c r="A3154"/>
    </row>
    <row r="3155" spans="1:1" ht="14.4" x14ac:dyDescent="0.3">
      <c r="A3155"/>
    </row>
    <row r="3156" spans="1:1" ht="14.4" x14ac:dyDescent="0.3">
      <c r="A3156"/>
    </row>
    <row r="3157" spans="1:1" ht="14.4" x14ac:dyDescent="0.3">
      <c r="A3157"/>
    </row>
    <row r="3158" spans="1:1" ht="14.4" x14ac:dyDescent="0.3">
      <c r="A3158"/>
    </row>
    <row r="3159" spans="1:1" ht="14.4" x14ac:dyDescent="0.3">
      <c r="A3159"/>
    </row>
    <row r="3160" spans="1:1" ht="14.4" x14ac:dyDescent="0.3">
      <c r="A3160"/>
    </row>
    <row r="3161" spans="1:1" ht="14.4" x14ac:dyDescent="0.3">
      <c r="A3161"/>
    </row>
    <row r="3162" spans="1:1" ht="14.4" x14ac:dyDescent="0.3">
      <c r="A3162"/>
    </row>
    <row r="3163" spans="1:1" ht="14.4" x14ac:dyDescent="0.3">
      <c r="A3163"/>
    </row>
    <row r="3164" spans="1:1" ht="14.4" x14ac:dyDescent="0.3">
      <c r="A3164"/>
    </row>
    <row r="3165" spans="1:1" ht="14.4" x14ac:dyDescent="0.3">
      <c r="A3165"/>
    </row>
    <row r="3166" spans="1:1" ht="14.4" x14ac:dyDescent="0.3">
      <c r="A3166"/>
    </row>
    <row r="3167" spans="1:1" ht="14.4" x14ac:dyDescent="0.3">
      <c r="A3167"/>
    </row>
    <row r="3168" spans="1:1" ht="14.4" x14ac:dyDescent="0.3">
      <c r="A3168"/>
    </row>
    <row r="3169" spans="1:1" ht="14.4" x14ac:dyDescent="0.3">
      <c r="A3169"/>
    </row>
    <row r="3170" spans="1:1" ht="14.4" x14ac:dyDescent="0.3">
      <c r="A3170"/>
    </row>
    <row r="3171" spans="1:1" ht="14.4" x14ac:dyDescent="0.3">
      <c r="A3171"/>
    </row>
    <row r="3172" spans="1:1" ht="14.4" x14ac:dyDescent="0.3">
      <c r="A3172"/>
    </row>
    <row r="3173" spans="1:1" ht="14.4" x14ac:dyDescent="0.3">
      <c r="A3173"/>
    </row>
    <row r="3174" spans="1:1" ht="14.4" x14ac:dyDescent="0.3">
      <c r="A3174"/>
    </row>
    <row r="3175" spans="1:1" ht="14.4" x14ac:dyDescent="0.3">
      <c r="A3175"/>
    </row>
    <row r="3176" spans="1:1" ht="14.4" x14ac:dyDescent="0.3">
      <c r="A3176"/>
    </row>
    <row r="3177" spans="1:1" ht="14.4" x14ac:dyDescent="0.3">
      <c r="A3177"/>
    </row>
    <row r="3178" spans="1:1" ht="14.4" x14ac:dyDescent="0.3">
      <c r="A3178"/>
    </row>
    <row r="3179" spans="1:1" ht="14.4" x14ac:dyDescent="0.3">
      <c r="A3179"/>
    </row>
    <row r="3180" spans="1:1" ht="14.4" x14ac:dyDescent="0.3">
      <c r="A3180"/>
    </row>
    <row r="3181" spans="1:1" ht="14.4" x14ac:dyDescent="0.3">
      <c r="A3181"/>
    </row>
    <row r="3182" spans="1:1" ht="14.4" x14ac:dyDescent="0.3">
      <c r="A3182"/>
    </row>
    <row r="3183" spans="1:1" ht="14.4" x14ac:dyDescent="0.3">
      <c r="A3183"/>
    </row>
    <row r="3184" spans="1:1" ht="14.4" x14ac:dyDescent="0.3">
      <c r="A3184"/>
    </row>
    <row r="3185" spans="1:1" ht="14.4" x14ac:dyDescent="0.3">
      <c r="A3185"/>
    </row>
    <row r="3186" spans="1:1" ht="14.4" x14ac:dyDescent="0.3">
      <c r="A3186"/>
    </row>
    <row r="3187" spans="1:1" ht="14.4" x14ac:dyDescent="0.3">
      <c r="A3187"/>
    </row>
    <row r="3188" spans="1:1" ht="14.4" x14ac:dyDescent="0.3">
      <c r="A3188"/>
    </row>
    <row r="3189" spans="1:1" ht="14.4" x14ac:dyDescent="0.3">
      <c r="A3189"/>
    </row>
    <row r="3190" spans="1:1" ht="14.4" x14ac:dyDescent="0.3">
      <c r="A3190"/>
    </row>
    <row r="3191" spans="1:1" ht="14.4" x14ac:dyDescent="0.3">
      <c r="A3191"/>
    </row>
    <row r="3192" spans="1:1" ht="14.4" x14ac:dyDescent="0.3">
      <c r="A3192"/>
    </row>
    <row r="3193" spans="1:1" ht="14.4" x14ac:dyDescent="0.3">
      <c r="A3193"/>
    </row>
    <row r="3194" spans="1:1" ht="14.4" x14ac:dyDescent="0.3">
      <c r="A3194"/>
    </row>
    <row r="3195" spans="1:1" ht="14.4" x14ac:dyDescent="0.3">
      <c r="A3195"/>
    </row>
    <row r="3196" spans="1:1" ht="14.4" x14ac:dyDescent="0.3">
      <c r="A3196"/>
    </row>
    <row r="3197" spans="1:1" ht="14.4" x14ac:dyDescent="0.3">
      <c r="A3197"/>
    </row>
    <row r="3198" spans="1:1" ht="14.4" x14ac:dyDescent="0.3">
      <c r="A3198"/>
    </row>
    <row r="3199" spans="1:1" ht="14.4" x14ac:dyDescent="0.3">
      <c r="A3199"/>
    </row>
    <row r="3200" spans="1:1" ht="14.4" x14ac:dyDescent="0.3">
      <c r="A3200"/>
    </row>
    <row r="3201" spans="1:1" ht="14.4" x14ac:dyDescent="0.3">
      <c r="A3201"/>
    </row>
    <row r="3202" spans="1:1" ht="14.4" x14ac:dyDescent="0.3">
      <c r="A3202"/>
    </row>
    <row r="3203" spans="1:1" ht="14.4" x14ac:dyDescent="0.3">
      <c r="A3203"/>
    </row>
    <row r="3204" spans="1:1" ht="14.4" x14ac:dyDescent="0.3">
      <c r="A3204"/>
    </row>
    <row r="3205" spans="1:1" ht="14.4" x14ac:dyDescent="0.3">
      <c r="A3205"/>
    </row>
    <row r="3206" spans="1:1" ht="14.4" x14ac:dyDescent="0.3">
      <c r="A3206"/>
    </row>
    <row r="3207" spans="1:1" ht="14.4" x14ac:dyDescent="0.3">
      <c r="A3207"/>
    </row>
    <row r="3208" spans="1:1" ht="14.4" x14ac:dyDescent="0.3">
      <c r="A3208"/>
    </row>
    <row r="3209" spans="1:1" ht="14.4" x14ac:dyDescent="0.3">
      <c r="A3209"/>
    </row>
    <row r="3210" spans="1:1" ht="14.4" x14ac:dyDescent="0.3">
      <c r="A3210"/>
    </row>
    <row r="3211" spans="1:1" ht="14.4" x14ac:dyDescent="0.3">
      <c r="A3211"/>
    </row>
    <row r="3212" spans="1:1" ht="14.4" x14ac:dyDescent="0.3">
      <c r="A3212"/>
    </row>
    <row r="3213" spans="1:1" ht="14.4" x14ac:dyDescent="0.3">
      <c r="A3213"/>
    </row>
    <row r="3214" spans="1:1" ht="14.4" x14ac:dyDescent="0.3">
      <c r="A3214"/>
    </row>
    <row r="3215" spans="1:1" ht="14.4" x14ac:dyDescent="0.3">
      <c r="A3215"/>
    </row>
    <row r="3216" spans="1:1" ht="14.4" x14ac:dyDescent="0.3">
      <c r="A3216"/>
    </row>
    <row r="3217" spans="1:1" ht="14.4" x14ac:dyDescent="0.3">
      <c r="A3217"/>
    </row>
    <row r="3218" spans="1:1" ht="14.4" x14ac:dyDescent="0.3">
      <c r="A3218"/>
    </row>
    <row r="3219" spans="1:1" ht="14.4" x14ac:dyDescent="0.3">
      <c r="A3219"/>
    </row>
    <row r="3220" spans="1:1" ht="14.4" x14ac:dyDescent="0.3">
      <c r="A3220"/>
    </row>
    <row r="3221" spans="1:1" ht="14.4" x14ac:dyDescent="0.3">
      <c r="A3221"/>
    </row>
    <row r="3222" spans="1:1" ht="14.4" x14ac:dyDescent="0.3">
      <c r="A3222"/>
    </row>
    <row r="3223" spans="1:1" ht="14.4" x14ac:dyDescent="0.3">
      <c r="A3223"/>
    </row>
    <row r="3224" spans="1:1" ht="14.4" x14ac:dyDescent="0.3">
      <c r="A3224"/>
    </row>
    <row r="3225" spans="1:1" ht="14.4" x14ac:dyDescent="0.3">
      <c r="A3225"/>
    </row>
    <row r="3226" spans="1:1" ht="14.4" x14ac:dyDescent="0.3">
      <c r="A3226"/>
    </row>
    <row r="3227" spans="1:1" ht="14.4" x14ac:dyDescent="0.3">
      <c r="A3227"/>
    </row>
    <row r="3228" spans="1:1" ht="14.4" x14ac:dyDescent="0.3">
      <c r="A3228"/>
    </row>
    <row r="3229" spans="1:1" ht="14.4" x14ac:dyDescent="0.3">
      <c r="A3229"/>
    </row>
    <row r="3230" spans="1:1" ht="14.4" x14ac:dyDescent="0.3">
      <c r="A3230"/>
    </row>
    <row r="3231" spans="1:1" ht="14.4" x14ac:dyDescent="0.3">
      <c r="A3231"/>
    </row>
    <row r="3232" spans="1:1" ht="14.4" x14ac:dyDescent="0.3">
      <c r="A3232"/>
    </row>
    <row r="3233" spans="1:1" ht="14.4" x14ac:dyDescent="0.3">
      <c r="A3233"/>
    </row>
    <row r="3234" spans="1:1" ht="14.4" x14ac:dyDescent="0.3">
      <c r="A3234"/>
    </row>
    <row r="3235" spans="1:1" ht="14.4" x14ac:dyDescent="0.3">
      <c r="A3235"/>
    </row>
    <row r="3236" spans="1:1" ht="14.4" x14ac:dyDescent="0.3">
      <c r="A3236"/>
    </row>
    <row r="3237" spans="1:1" ht="14.4" x14ac:dyDescent="0.3">
      <c r="A3237"/>
    </row>
    <row r="3238" spans="1:1" ht="14.4" x14ac:dyDescent="0.3">
      <c r="A3238"/>
    </row>
    <row r="3239" spans="1:1" ht="14.4" x14ac:dyDescent="0.3">
      <c r="A3239"/>
    </row>
    <row r="3240" spans="1:1" ht="14.4" x14ac:dyDescent="0.3">
      <c r="A3240"/>
    </row>
    <row r="3241" spans="1:1" ht="14.4" x14ac:dyDescent="0.3">
      <c r="A3241"/>
    </row>
    <row r="3242" spans="1:1" ht="14.4" x14ac:dyDescent="0.3">
      <c r="A3242"/>
    </row>
    <row r="3243" spans="1:1" ht="14.4" x14ac:dyDescent="0.3">
      <c r="A3243"/>
    </row>
    <row r="3244" spans="1:1" ht="14.4" x14ac:dyDescent="0.3">
      <c r="A3244"/>
    </row>
    <row r="3245" spans="1:1" ht="14.4" x14ac:dyDescent="0.3">
      <c r="A3245"/>
    </row>
    <row r="3246" spans="1:1" ht="14.4" x14ac:dyDescent="0.3">
      <c r="A3246"/>
    </row>
    <row r="3247" spans="1:1" ht="14.4" x14ac:dyDescent="0.3">
      <c r="A3247"/>
    </row>
    <row r="3248" spans="1:1" ht="14.4" x14ac:dyDescent="0.3">
      <c r="A3248"/>
    </row>
    <row r="3249" spans="1:1" ht="14.4" x14ac:dyDescent="0.3">
      <c r="A3249"/>
    </row>
    <row r="3250" spans="1:1" ht="14.4" x14ac:dyDescent="0.3">
      <c r="A3250"/>
    </row>
    <row r="3251" spans="1:1" ht="14.4" x14ac:dyDescent="0.3">
      <c r="A3251"/>
    </row>
    <row r="3252" spans="1:1" ht="14.4" x14ac:dyDescent="0.3">
      <c r="A3252"/>
    </row>
    <row r="3253" spans="1:1" ht="14.4" x14ac:dyDescent="0.3">
      <c r="A3253"/>
    </row>
    <row r="3254" spans="1:1" ht="14.4" x14ac:dyDescent="0.3">
      <c r="A3254"/>
    </row>
    <row r="3255" spans="1:1" ht="14.4" x14ac:dyDescent="0.3">
      <c r="A3255"/>
    </row>
    <row r="3256" spans="1:1" ht="14.4" x14ac:dyDescent="0.3">
      <c r="A3256"/>
    </row>
    <row r="3257" spans="1:1" ht="14.4" x14ac:dyDescent="0.3">
      <c r="A3257"/>
    </row>
    <row r="3258" spans="1:1" ht="14.4" x14ac:dyDescent="0.3">
      <c r="A3258"/>
    </row>
    <row r="3259" spans="1:1" ht="14.4" x14ac:dyDescent="0.3">
      <c r="A3259"/>
    </row>
    <row r="3260" spans="1:1" ht="14.4" x14ac:dyDescent="0.3">
      <c r="A3260"/>
    </row>
    <row r="3261" spans="1:1" ht="14.4" x14ac:dyDescent="0.3">
      <c r="A3261"/>
    </row>
    <row r="3262" spans="1:1" ht="14.4" x14ac:dyDescent="0.3">
      <c r="A3262"/>
    </row>
    <row r="3263" spans="1:1" ht="14.4" x14ac:dyDescent="0.3">
      <c r="A3263"/>
    </row>
    <row r="3264" spans="1:1" ht="14.4" x14ac:dyDescent="0.3">
      <c r="A3264"/>
    </row>
    <row r="3265" spans="1:1" ht="14.4" x14ac:dyDescent="0.3">
      <c r="A3265"/>
    </row>
    <row r="3266" spans="1:1" ht="14.4" x14ac:dyDescent="0.3">
      <c r="A3266"/>
    </row>
    <row r="3267" spans="1:1" ht="14.4" x14ac:dyDescent="0.3">
      <c r="A3267"/>
    </row>
    <row r="3268" spans="1:1" ht="14.4" x14ac:dyDescent="0.3">
      <c r="A3268"/>
    </row>
    <row r="3269" spans="1:1" ht="14.4" x14ac:dyDescent="0.3">
      <c r="A3269"/>
    </row>
    <row r="3270" spans="1:1" ht="14.4" x14ac:dyDescent="0.3">
      <c r="A3270"/>
    </row>
    <row r="3271" spans="1:1" ht="14.4" x14ac:dyDescent="0.3">
      <c r="A3271"/>
    </row>
    <row r="3272" spans="1:1" ht="14.4" x14ac:dyDescent="0.3">
      <c r="A3272"/>
    </row>
    <row r="3273" spans="1:1" ht="14.4" x14ac:dyDescent="0.3">
      <c r="A3273"/>
    </row>
    <row r="3274" spans="1:1" ht="14.4" x14ac:dyDescent="0.3">
      <c r="A3274"/>
    </row>
    <row r="3275" spans="1:1" ht="14.4" x14ac:dyDescent="0.3">
      <c r="A3275"/>
    </row>
    <row r="3276" spans="1:1" ht="14.4" x14ac:dyDescent="0.3">
      <c r="A3276"/>
    </row>
    <row r="3277" spans="1:1" ht="14.4" x14ac:dyDescent="0.3">
      <c r="A3277"/>
    </row>
    <row r="3278" spans="1:1" ht="14.4" x14ac:dyDescent="0.3">
      <c r="A3278"/>
    </row>
    <row r="3279" spans="1:1" ht="14.4" x14ac:dyDescent="0.3">
      <c r="A3279"/>
    </row>
    <row r="3280" spans="1:1" ht="14.4" x14ac:dyDescent="0.3">
      <c r="A3280"/>
    </row>
    <row r="3281" spans="1:1" ht="14.4" x14ac:dyDescent="0.3">
      <c r="A3281"/>
    </row>
    <row r="3282" spans="1:1" ht="14.4" x14ac:dyDescent="0.3">
      <c r="A3282"/>
    </row>
    <row r="3283" spans="1:1" ht="14.4" x14ac:dyDescent="0.3">
      <c r="A3283"/>
    </row>
    <row r="3284" spans="1:1" ht="14.4" x14ac:dyDescent="0.3">
      <c r="A3284"/>
    </row>
    <row r="3285" spans="1:1" ht="14.4" x14ac:dyDescent="0.3">
      <c r="A3285"/>
    </row>
    <row r="3286" spans="1:1" ht="14.4" x14ac:dyDescent="0.3">
      <c r="A3286"/>
    </row>
    <row r="3287" spans="1:1" ht="14.4" x14ac:dyDescent="0.3">
      <c r="A3287"/>
    </row>
    <row r="3288" spans="1:1" ht="14.4" x14ac:dyDescent="0.3">
      <c r="A3288"/>
    </row>
    <row r="3289" spans="1:1" ht="14.4" x14ac:dyDescent="0.3">
      <c r="A3289"/>
    </row>
    <row r="3290" spans="1:1" ht="14.4" x14ac:dyDescent="0.3">
      <c r="A3290"/>
    </row>
    <row r="3291" spans="1:1" ht="14.4" x14ac:dyDescent="0.3">
      <c r="A3291"/>
    </row>
    <row r="3292" spans="1:1" ht="14.4" x14ac:dyDescent="0.3">
      <c r="A3292"/>
    </row>
    <row r="3293" spans="1:1" ht="14.4" x14ac:dyDescent="0.3">
      <c r="A3293"/>
    </row>
    <row r="3294" spans="1:1" ht="14.4" x14ac:dyDescent="0.3">
      <c r="A3294"/>
    </row>
    <row r="3295" spans="1:1" ht="14.4" x14ac:dyDescent="0.3">
      <c r="A3295"/>
    </row>
    <row r="3296" spans="1:1" ht="14.4" x14ac:dyDescent="0.3">
      <c r="A3296"/>
    </row>
    <row r="3297" spans="1:1" ht="14.4" x14ac:dyDescent="0.3">
      <c r="A3297"/>
    </row>
    <row r="3298" spans="1:1" ht="14.4" x14ac:dyDescent="0.3">
      <c r="A3298"/>
    </row>
    <row r="3299" spans="1:1" ht="14.4" x14ac:dyDescent="0.3">
      <c r="A3299"/>
    </row>
    <row r="3300" spans="1:1" ht="14.4" x14ac:dyDescent="0.3">
      <c r="A3300"/>
    </row>
    <row r="3301" spans="1:1" ht="14.4" x14ac:dyDescent="0.3">
      <c r="A3301"/>
    </row>
    <row r="3302" spans="1:1" ht="14.4" x14ac:dyDescent="0.3">
      <c r="A3302"/>
    </row>
    <row r="3303" spans="1:1" ht="14.4" x14ac:dyDescent="0.3">
      <c r="A3303"/>
    </row>
    <row r="3304" spans="1:1" ht="14.4" x14ac:dyDescent="0.3">
      <c r="A3304"/>
    </row>
    <row r="3305" spans="1:1" ht="14.4" x14ac:dyDescent="0.3">
      <c r="A3305"/>
    </row>
    <row r="3306" spans="1:1" ht="14.4" x14ac:dyDescent="0.3">
      <c r="A3306"/>
    </row>
    <row r="3307" spans="1:1" ht="14.4" x14ac:dyDescent="0.3">
      <c r="A3307"/>
    </row>
    <row r="3308" spans="1:1" ht="14.4" x14ac:dyDescent="0.3">
      <c r="A3308"/>
    </row>
    <row r="3309" spans="1:1" ht="14.4" x14ac:dyDescent="0.3">
      <c r="A3309"/>
    </row>
    <row r="3310" spans="1:1" ht="14.4" x14ac:dyDescent="0.3">
      <c r="A3310"/>
    </row>
    <row r="3311" spans="1:1" ht="14.4" x14ac:dyDescent="0.3">
      <c r="A3311"/>
    </row>
    <row r="3312" spans="1:1" ht="14.4" x14ac:dyDescent="0.3">
      <c r="A3312"/>
    </row>
    <row r="3313" spans="1:1" ht="14.4" x14ac:dyDescent="0.3">
      <c r="A3313"/>
    </row>
    <row r="3314" spans="1:1" ht="14.4" x14ac:dyDescent="0.3">
      <c r="A3314"/>
    </row>
    <row r="3315" spans="1:1" ht="14.4" x14ac:dyDescent="0.3">
      <c r="A3315"/>
    </row>
    <row r="3316" spans="1:1" ht="14.4" x14ac:dyDescent="0.3">
      <c r="A3316"/>
    </row>
    <row r="3317" spans="1:1" ht="14.4" x14ac:dyDescent="0.3">
      <c r="A3317"/>
    </row>
    <row r="3318" spans="1:1" ht="14.4" x14ac:dyDescent="0.3">
      <c r="A3318"/>
    </row>
    <row r="3319" spans="1:1" ht="14.4" x14ac:dyDescent="0.3">
      <c r="A3319"/>
    </row>
    <row r="3320" spans="1:1" ht="14.4" x14ac:dyDescent="0.3">
      <c r="A3320"/>
    </row>
    <row r="3321" spans="1:1" ht="14.4" x14ac:dyDescent="0.3">
      <c r="A3321"/>
    </row>
    <row r="3322" spans="1:1" ht="14.4" x14ac:dyDescent="0.3">
      <c r="A3322"/>
    </row>
    <row r="3323" spans="1:1" ht="14.4" x14ac:dyDescent="0.3">
      <c r="A3323"/>
    </row>
    <row r="3324" spans="1:1" ht="14.4" x14ac:dyDescent="0.3">
      <c r="A3324"/>
    </row>
    <row r="3325" spans="1:1" ht="14.4" x14ac:dyDescent="0.3">
      <c r="A3325"/>
    </row>
    <row r="3326" spans="1:1" ht="14.4" x14ac:dyDescent="0.3">
      <c r="A3326"/>
    </row>
    <row r="3327" spans="1:1" ht="14.4" x14ac:dyDescent="0.3">
      <c r="A3327"/>
    </row>
    <row r="3328" spans="1:1" ht="14.4" x14ac:dyDescent="0.3">
      <c r="A3328"/>
    </row>
    <row r="3329" spans="1:1" ht="14.4" x14ac:dyDescent="0.3">
      <c r="A3329"/>
    </row>
    <row r="3330" spans="1:1" ht="14.4" x14ac:dyDescent="0.3">
      <c r="A3330"/>
    </row>
    <row r="3331" spans="1:1" ht="14.4" x14ac:dyDescent="0.3">
      <c r="A3331"/>
    </row>
    <row r="3332" spans="1:1" ht="14.4" x14ac:dyDescent="0.3">
      <c r="A3332"/>
    </row>
    <row r="3333" spans="1:1" ht="14.4" x14ac:dyDescent="0.3">
      <c r="A3333"/>
    </row>
    <row r="3334" spans="1:1" ht="14.4" x14ac:dyDescent="0.3">
      <c r="A3334"/>
    </row>
    <row r="3335" spans="1:1" ht="14.4" x14ac:dyDescent="0.3">
      <c r="A3335"/>
    </row>
    <row r="3336" spans="1:1" ht="14.4" x14ac:dyDescent="0.3">
      <c r="A3336"/>
    </row>
    <row r="3337" spans="1:1" ht="14.4" x14ac:dyDescent="0.3">
      <c r="A3337"/>
    </row>
    <row r="3338" spans="1:1" ht="14.4" x14ac:dyDescent="0.3">
      <c r="A3338"/>
    </row>
    <row r="3339" spans="1:1" ht="14.4" x14ac:dyDescent="0.3">
      <c r="A3339"/>
    </row>
    <row r="3340" spans="1:1" ht="14.4" x14ac:dyDescent="0.3">
      <c r="A3340"/>
    </row>
    <row r="3341" spans="1:1" ht="14.4" x14ac:dyDescent="0.3">
      <c r="A3341"/>
    </row>
    <row r="3342" spans="1:1" ht="14.4" x14ac:dyDescent="0.3">
      <c r="A3342"/>
    </row>
    <row r="3343" spans="1:1" ht="14.4" x14ac:dyDescent="0.3">
      <c r="A3343"/>
    </row>
    <row r="3344" spans="1:1" ht="14.4" x14ac:dyDescent="0.3">
      <c r="A3344"/>
    </row>
    <row r="3345" spans="1:1" ht="14.4" x14ac:dyDescent="0.3">
      <c r="A3345"/>
    </row>
    <row r="3346" spans="1:1" ht="14.4" x14ac:dyDescent="0.3">
      <c r="A3346"/>
    </row>
    <row r="3347" spans="1:1" ht="14.4" x14ac:dyDescent="0.3">
      <c r="A3347"/>
    </row>
    <row r="3348" spans="1:1" ht="14.4" x14ac:dyDescent="0.3">
      <c r="A3348"/>
    </row>
    <row r="3349" spans="1:1" ht="14.4" x14ac:dyDescent="0.3">
      <c r="A3349"/>
    </row>
    <row r="3350" spans="1:1" ht="14.4" x14ac:dyDescent="0.3">
      <c r="A3350"/>
    </row>
    <row r="3351" spans="1:1" ht="14.4" x14ac:dyDescent="0.3">
      <c r="A3351"/>
    </row>
    <row r="3352" spans="1:1" ht="14.4" x14ac:dyDescent="0.3">
      <c r="A3352"/>
    </row>
    <row r="3353" spans="1:1" ht="14.4" x14ac:dyDescent="0.3">
      <c r="A3353"/>
    </row>
    <row r="3354" spans="1:1" ht="14.4" x14ac:dyDescent="0.3">
      <c r="A3354"/>
    </row>
    <row r="3355" spans="1:1" ht="14.4" x14ac:dyDescent="0.3">
      <c r="A3355"/>
    </row>
    <row r="3356" spans="1:1" ht="14.4" x14ac:dyDescent="0.3">
      <c r="A3356"/>
    </row>
    <row r="3357" spans="1:1" ht="14.4" x14ac:dyDescent="0.3">
      <c r="A3357"/>
    </row>
    <row r="3358" spans="1:1" ht="14.4" x14ac:dyDescent="0.3">
      <c r="A3358"/>
    </row>
    <row r="3359" spans="1:1" ht="14.4" x14ac:dyDescent="0.3">
      <c r="A3359"/>
    </row>
    <row r="3360" spans="1:1" ht="14.4" x14ac:dyDescent="0.3">
      <c r="A3360"/>
    </row>
    <row r="3361" spans="1:1" ht="14.4" x14ac:dyDescent="0.3">
      <c r="A3361"/>
    </row>
    <row r="3362" spans="1:1" ht="14.4" x14ac:dyDescent="0.3">
      <c r="A3362"/>
    </row>
    <row r="3363" spans="1:1" ht="14.4" x14ac:dyDescent="0.3">
      <c r="A3363"/>
    </row>
    <row r="3364" spans="1:1" ht="14.4" x14ac:dyDescent="0.3">
      <c r="A3364"/>
    </row>
    <row r="3365" spans="1:1" ht="14.4" x14ac:dyDescent="0.3">
      <c r="A3365"/>
    </row>
    <row r="3366" spans="1:1" ht="14.4" x14ac:dyDescent="0.3">
      <c r="A3366"/>
    </row>
    <row r="3367" spans="1:1" ht="14.4" x14ac:dyDescent="0.3">
      <c r="A3367"/>
    </row>
    <row r="3368" spans="1:1" ht="14.4" x14ac:dyDescent="0.3">
      <c r="A3368"/>
    </row>
    <row r="3369" spans="1:1" ht="14.4" x14ac:dyDescent="0.3">
      <c r="A3369"/>
    </row>
    <row r="3370" spans="1:1" ht="14.4" x14ac:dyDescent="0.3">
      <c r="A3370"/>
    </row>
    <row r="3371" spans="1:1" ht="14.4" x14ac:dyDescent="0.3">
      <c r="A3371"/>
    </row>
    <row r="3372" spans="1:1" ht="14.4" x14ac:dyDescent="0.3">
      <c r="A3372"/>
    </row>
    <row r="3373" spans="1:1" ht="14.4" x14ac:dyDescent="0.3">
      <c r="A3373"/>
    </row>
    <row r="3374" spans="1:1" ht="14.4" x14ac:dyDescent="0.3">
      <c r="A3374"/>
    </row>
    <row r="3375" spans="1:1" ht="14.4" x14ac:dyDescent="0.3">
      <c r="A3375"/>
    </row>
    <row r="3376" spans="1:1" ht="14.4" x14ac:dyDescent="0.3">
      <c r="A3376"/>
    </row>
    <row r="3377" spans="1:1" ht="14.4" x14ac:dyDescent="0.3">
      <c r="A3377"/>
    </row>
    <row r="3378" spans="1:1" ht="14.4" x14ac:dyDescent="0.3">
      <c r="A3378"/>
    </row>
    <row r="3379" spans="1:1" ht="14.4" x14ac:dyDescent="0.3">
      <c r="A3379"/>
    </row>
    <row r="3380" spans="1:1" ht="14.4" x14ac:dyDescent="0.3">
      <c r="A3380"/>
    </row>
    <row r="3381" spans="1:1" ht="14.4" x14ac:dyDescent="0.3">
      <c r="A3381"/>
    </row>
    <row r="3382" spans="1:1" ht="14.4" x14ac:dyDescent="0.3">
      <c r="A3382"/>
    </row>
    <row r="3383" spans="1:1" ht="14.4" x14ac:dyDescent="0.3">
      <c r="A3383"/>
    </row>
    <row r="3384" spans="1:1" ht="14.4" x14ac:dyDescent="0.3">
      <c r="A3384"/>
    </row>
    <row r="3385" spans="1:1" ht="14.4" x14ac:dyDescent="0.3">
      <c r="A3385"/>
    </row>
    <row r="3386" spans="1:1" ht="14.4" x14ac:dyDescent="0.3">
      <c r="A3386"/>
    </row>
    <row r="3387" spans="1:1" ht="14.4" x14ac:dyDescent="0.3">
      <c r="A3387"/>
    </row>
    <row r="3388" spans="1:1" ht="14.4" x14ac:dyDescent="0.3">
      <c r="A3388"/>
    </row>
    <row r="3389" spans="1:1" ht="14.4" x14ac:dyDescent="0.3">
      <c r="A3389"/>
    </row>
    <row r="3390" spans="1:1" ht="14.4" x14ac:dyDescent="0.3">
      <c r="A3390"/>
    </row>
    <row r="3391" spans="1:1" ht="14.4" x14ac:dyDescent="0.3">
      <c r="A3391"/>
    </row>
    <row r="3392" spans="1:1" ht="14.4" x14ac:dyDescent="0.3">
      <c r="A3392"/>
    </row>
    <row r="3393" spans="1:1" ht="14.4" x14ac:dyDescent="0.3">
      <c r="A3393"/>
    </row>
    <row r="3394" spans="1:1" ht="14.4" x14ac:dyDescent="0.3">
      <c r="A3394"/>
    </row>
    <row r="3395" spans="1:1" ht="14.4" x14ac:dyDescent="0.3">
      <c r="A3395"/>
    </row>
    <row r="3396" spans="1:1" ht="14.4" x14ac:dyDescent="0.3">
      <c r="A3396"/>
    </row>
    <row r="3397" spans="1:1" ht="14.4" x14ac:dyDescent="0.3">
      <c r="A3397"/>
    </row>
    <row r="3398" spans="1:1" ht="14.4" x14ac:dyDescent="0.3">
      <c r="A3398"/>
    </row>
    <row r="3399" spans="1:1" ht="14.4" x14ac:dyDescent="0.3">
      <c r="A3399"/>
    </row>
    <row r="3400" spans="1:1" ht="14.4" x14ac:dyDescent="0.3">
      <c r="A3400"/>
    </row>
    <row r="3401" spans="1:1" ht="14.4" x14ac:dyDescent="0.3">
      <c r="A3401"/>
    </row>
    <row r="3402" spans="1:1" ht="14.4" x14ac:dyDescent="0.3">
      <c r="A3402"/>
    </row>
    <row r="3403" spans="1:1" ht="14.4" x14ac:dyDescent="0.3">
      <c r="A3403"/>
    </row>
    <row r="3404" spans="1:1" ht="14.4" x14ac:dyDescent="0.3">
      <c r="A3404"/>
    </row>
    <row r="3405" spans="1:1" ht="14.4" x14ac:dyDescent="0.3">
      <c r="A3405"/>
    </row>
    <row r="3406" spans="1:1" ht="14.4" x14ac:dyDescent="0.3">
      <c r="A3406"/>
    </row>
    <row r="3407" spans="1:1" ht="14.4" x14ac:dyDescent="0.3">
      <c r="A3407"/>
    </row>
    <row r="3408" spans="1:1" ht="14.4" x14ac:dyDescent="0.3">
      <c r="A3408"/>
    </row>
    <row r="3409" spans="1:1" ht="14.4" x14ac:dyDescent="0.3">
      <c r="A3409"/>
    </row>
    <row r="3410" spans="1:1" ht="14.4" x14ac:dyDescent="0.3">
      <c r="A3410"/>
    </row>
    <row r="3411" spans="1:1" ht="14.4" x14ac:dyDescent="0.3">
      <c r="A3411"/>
    </row>
    <row r="3412" spans="1:1" ht="14.4" x14ac:dyDescent="0.3">
      <c r="A3412"/>
    </row>
    <row r="3413" spans="1:1" ht="14.4" x14ac:dyDescent="0.3">
      <c r="A3413"/>
    </row>
    <row r="3414" spans="1:1" ht="14.4" x14ac:dyDescent="0.3">
      <c r="A3414"/>
    </row>
    <row r="3415" spans="1:1" ht="14.4" x14ac:dyDescent="0.3">
      <c r="A3415"/>
    </row>
    <row r="3416" spans="1:1" ht="14.4" x14ac:dyDescent="0.3">
      <c r="A3416"/>
    </row>
    <row r="3417" spans="1:1" ht="14.4" x14ac:dyDescent="0.3">
      <c r="A3417"/>
    </row>
    <row r="3418" spans="1:1" ht="14.4" x14ac:dyDescent="0.3">
      <c r="A3418"/>
    </row>
    <row r="3419" spans="1:1" ht="14.4" x14ac:dyDescent="0.3">
      <c r="A3419"/>
    </row>
    <row r="3420" spans="1:1" ht="14.4" x14ac:dyDescent="0.3">
      <c r="A3420"/>
    </row>
    <row r="3421" spans="1:1" ht="14.4" x14ac:dyDescent="0.3">
      <c r="A3421"/>
    </row>
    <row r="3422" spans="1:1" ht="14.4" x14ac:dyDescent="0.3">
      <c r="A3422"/>
    </row>
    <row r="3423" spans="1:1" ht="14.4" x14ac:dyDescent="0.3">
      <c r="A3423"/>
    </row>
    <row r="3424" spans="1:1" ht="14.4" x14ac:dyDescent="0.3">
      <c r="A3424"/>
    </row>
    <row r="3425" spans="1:1" ht="14.4" x14ac:dyDescent="0.3">
      <c r="A3425"/>
    </row>
    <row r="3426" spans="1:1" ht="14.4" x14ac:dyDescent="0.3">
      <c r="A3426"/>
    </row>
    <row r="3427" spans="1:1" ht="14.4" x14ac:dyDescent="0.3">
      <c r="A3427"/>
    </row>
    <row r="3428" spans="1:1" ht="14.4" x14ac:dyDescent="0.3">
      <c r="A3428"/>
    </row>
    <row r="3429" spans="1:1" ht="14.4" x14ac:dyDescent="0.3">
      <c r="A3429"/>
    </row>
    <row r="3430" spans="1:1" ht="14.4" x14ac:dyDescent="0.3">
      <c r="A3430"/>
    </row>
    <row r="3431" spans="1:1" ht="14.4" x14ac:dyDescent="0.3">
      <c r="A3431"/>
    </row>
    <row r="3432" spans="1:1" ht="14.4" x14ac:dyDescent="0.3">
      <c r="A3432"/>
    </row>
    <row r="3433" spans="1:1" ht="14.4" x14ac:dyDescent="0.3">
      <c r="A3433"/>
    </row>
    <row r="3434" spans="1:1" ht="14.4" x14ac:dyDescent="0.3">
      <c r="A3434"/>
    </row>
    <row r="3435" spans="1:1" ht="14.4" x14ac:dyDescent="0.3">
      <c r="A3435"/>
    </row>
    <row r="3436" spans="1:1" ht="14.4" x14ac:dyDescent="0.3">
      <c r="A3436"/>
    </row>
    <row r="3437" spans="1:1" ht="14.4" x14ac:dyDescent="0.3">
      <c r="A3437"/>
    </row>
    <row r="3438" spans="1:1" ht="14.4" x14ac:dyDescent="0.3">
      <c r="A3438"/>
    </row>
    <row r="3439" spans="1:1" ht="14.4" x14ac:dyDescent="0.3">
      <c r="A3439"/>
    </row>
    <row r="3440" spans="1:1" ht="14.4" x14ac:dyDescent="0.3">
      <c r="A3440"/>
    </row>
    <row r="3441" spans="1:1" ht="14.4" x14ac:dyDescent="0.3">
      <c r="A3441"/>
    </row>
    <row r="3442" spans="1:1" ht="14.4" x14ac:dyDescent="0.3">
      <c r="A3442"/>
    </row>
    <row r="3443" spans="1:1" ht="14.4" x14ac:dyDescent="0.3">
      <c r="A3443"/>
    </row>
    <row r="3444" spans="1:1" ht="14.4" x14ac:dyDescent="0.3">
      <c r="A3444"/>
    </row>
    <row r="3445" spans="1:1" ht="14.4" x14ac:dyDescent="0.3">
      <c r="A3445"/>
    </row>
    <row r="3446" spans="1:1" ht="14.4" x14ac:dyDescent="0.3">
      <c r="A3446"/>
    </row>
    <row r="3447" spans="1:1" ht="14.4" x14ac:dyDescent="0.3">
      <c r="A3447"/>
    </row>
    <row r="3448" spans="1:1" ht="14.4" x14ac:dyDescent="0.3">
      <c r="A3448"/>
    </row>
    <row r="3449" spans="1:1" ht="14.4" x14ac:dyDescent="0.3">
      <c r="A3449"/>
    </row>
    <row r="3450" spans="1:1" ht="14.4" x14ac:dyDescent="0.3">
      <c r="A3450"/>
    </row>
    <row r="3451" spans="1:1" ht="14.4" x14ac:dyDescent="0.3">
      <c r="A3451"/>
    </row>
    <row r="3452" spans="1:1" ht="14.4" x14ac:dyDescent="0.3">
      <c r="A3452"/>
    </row>
    <row r="3453" spans="1:1" ht="14.4" x14ac:dyDescent="0.3">
      <c r="A3453"/>
    </row>
    <row r="3454" spans="1:1" ht="14.4" x14ac:dyDescent="0.3">
      <c r="A3454"/>
    </row>
    <row r="3455" spans="1:1" ht="14.4" x14ac:dyDescent="0.3">
      <c r="A3455"/>
    </row>
    <row r="3456" spans="1:1" ht="14.4" x14ac:dyDescent="0.3">
      <c r="A3456"/>
    </row>
    <row r="3457" spans="1:1" ht="14.4" x14ac:dyDescent="0.3">
      <c r="A3457"/>
    </row>
    <row r="3458" spans="1:1" ht="14.4" x14ac:dyDescent="0.3">
      <c r="A3458"/>
    </row>
    <row r="3459" spans="1:1" ht="14.4" x14ac:dyDescent="0.3">
      <c r="A3459"/>
    </row>
    <row r="3460" spans="1:1" ht="14.4" x14ac:dyDescent="0.3">
      <c r="A3460"/>
    </row>
    <row r="3461" spans="1:1" ht="14.4" x14ac:dyDescent="0.3">
      <c r="A3461"/>
    </row>
    <row r="3462" spans="1:1" ht="14.4" x14ac:dyDescent="0.3">
      <c r="A3462"/>
    </row>
    <row r="3463" spans="1:1" ht="14.4" x14ac:dyDescent="0.3">
      <c r="A3463"/>
    </row>
    <row r="3464" spans="1:1" ht="14.4" x14ac:dyDescent="0.3">
      <c r="A3464"/>
    </row>
    <row r="3465" spans="1:1" ht="14.4" x14ac:dyDescent="0.3">
      <c r="A3465"/>
    </row>
    <row r="3466" spans="1:1" ht="14.4" x14ac:dyDescent="0.3">
      <c r="A3466"/>
    </row>
    <row r="3467" spans="1:1" ht="14.4" x14ac:dyDescent="0.3">
      <c r="A3467"/>
    </row>
    <row r="3468" spans="1:1" ht="14.4" x14ac:dyDescent="0.3">
      <c r="A3468"/>
    </row>
    <row r="3469" spans="1:1" ht="14.4" x14ac:dyDescent="0.3">
      <c r="A3469"/>
    </row>
    <row r="3470" spans="1:1" ht="14.4" x14ac:dyDescent="0.3">
      <c r="A3470"/>
    </row>
    <row r="3471" spans="1:1" ht="14.4" x14ac:dyDescent="0.3">
      <c r="A3471"/>
    </row>
    <row r="3472" spans="1:1" ht="14.4" x14ac:dyDescent="0.3">
      <c r="A3472"/>
    </row>
    <row r="3473" spans="1:1" ht="14.4" x14ac:dyDescent="0.3">
      <c r="A3473"/>
    </row>
    <row r="3474" spans="1:1" ht="14.4" x14ac:dyDescent="0.3">
      <c r="A3474"/>
    </row>
    <row r="3475" spans="1:1" ht="14.4" x14ac:dyDescent="0.3">
      <c r="A3475"/>
    </row>
    <row r="3476" spans="1:1" ht="14.4" x14ac:dyDescent="0.3">
      <c r="A3476"/>
    </row>
    <row r="3477" spans="1:1" ht="14.4" x14ac:dyDescent="0.3">
      <c r="A3477"/>
    </row>
    <row r="3478" spans="1:1" ht="14.4" x14ac:dyDescent="0.3">
      <c r="A3478"/>
    </row>
    <row r="3479" spans="1:1" ht="14.4" x14ac:dyDescent="0.3">
      <c r="A3479"/>
    </row>
    <row r="3480" spans="1:1" ht="14.4" x14ac:dyDescent="0.3">
      <c r="A3480"/>
    </row>
    <row r="3481" spans="1:1" ht="14.4" x14ac:dyDescent="0.3">
      <c r="A3481"/>
    </row>
    <row r="3482" spans="1:1" ht="14.4" x14ac:dyDescent="0.3">
      <c r="A3482"/>
    </row>
    <row r="3483" spans="1:1" ht="14.4" x14ac:dyDescent="0.3">
      <c r="A3483"/>
    </row>
    <row r="3484" spans="1:1" ht="14.4" x14ac:dyDescent="0.3">
      <c r="A3484"/>
    </row>
    <row r="3485" spans="1:1" ht="14.4" x14ac:dyDescent="0.3">
      <c r="A3485"/>
    </row>
    <row r="3486" spans="1:1" ht="14.4" x14ac:dyDescent="0.3">
      <c r="A3486"/>
    </row>
    <row r="3487" spans="1:1" ht="14.4" x14ac:dyDescent="0.3">
      <c r="A3487"/>
    </row>
    <row r="3488" spans="1:1" ht="14.4" x14ac:dyDescent="0.3">
      <c r="A3488"/>
    </row>
    <row r="3489" spans="1:1" ht="14.4" x14ac:dyDescent="0.3">
      <c r="A3489"/>
    </row>
    <row r="3490" spans="1:1" ht="14.4" x14ac:dyDescent="0.3">
      <c r="A3490"/>
    </row>
    <row r="3491" spans="1:1" ht="14.4" x14ac:dyDescent="0.3">
      <c r="A3491"/>
    </row>
    <row r="3492" spans="1:1" ht="14.4" x14ac:dyDescent="0.3">
      <c r="A3492"/>
    </row>
    <row r="3493" spans="1:1" ht="14.4" x14ac:dyDescent="0.3">
      <c r="A3493"/>
    </row>
    <row r="3494" spans="1:1" ht="14.4" x14ac:dyDescent="0.3">
      <c r="A3494"/>
    </row>
    <row r="3495" spans="1:1" ht="14.4" x14ac:dyDescent="0.3">
      <c r="A3495"/>
    </row>
    <row r="3496" spans="1:1" ht="14.4" x14ac:dyDescent="0.3">
      <c r="A3496"/>
    </row>
    <row r="3497" spans="1:1" ht="14.4" x14ac:dyDescent="0.3">
      <c r="A3497"/>
    </row>
    <row r="3498" spans="1:1" ht="14.4" x14ac:dyDescent="0.3">
      <c r="A3498"/>
    </row>
    <row r="3499" spans="1:1" ht="14.4" x14ac:dyDescent="0.3">
      <c r="A3499"/>
    </row>
    <row r="3500" spans="1:1" ht="14.4" x14ac:dyDescent="0.3">
      <c r="A3500"/>
    </row>
    <row r="3501" spans="1:1" ht="14.4" x14ac:dyDescent="0.3">
      <c r="A3501"/>
    </row>
    <row r="3502" spans="1:1" ht="14.4" x14ac:dyDescent="0.3">
      <c r="A3502"/>
    </row>
    <row r="3503" spans="1:1" ht="14.4" x14ac:dyDescent="0.3">
      <c r="A3503"/>
    </row>
    <row r="3504" spans="1:1" ht="14.4" x14ac:dyDescent="0.3">
      <c r="A3504"/>
    </row>
    <row r="3505" spans="1:1" ht="14.4" x14ac:dyDescent="0.3">
      <c r="A3505"/>
    </row>
    <row r="3506" spans="1:1" ht="14.4" x14ac:dyDescent="0.3">
      <c r="A3506"/>
    </row>
    <row r="3507" spans="1:1" ht="14.4" x14ac:dyDescent="0.3">
      <c r="A3507"/>
    </row>
    <row r="3508" spans="1:1" ht="14.4" x14ac:dyDescent="0.3">
      <c r="A3508"/>
    </row>
    <row r="3509" spans="1:1" ht="14.4" x14ac:dyDescent="0.3">
      <c r="A3509"/>
    </row>
    <row r="3510" spans="1:1" ht="14.4" x14ac:dyDescent="0.3">
      <c r="A3510"/>
    </row>
    <row r="3511" spans="1:1" ht="14.4" x14ac:dyDescent="0.3">
      <c r="A3511"/>
    </row>
    <row r="3512" spans="1:1" ht="14.4" x14ac:dyDescent="0.3">
      <c r="A3512"/>
    </row>
    <row r="3513" spans="1:1" ht="14.4" x14ac:dyDescent="0.3">
      <c r="A3513"/>
    </row>
    <row r="3514" spans="1:1" ht="14.4" x14ac:dyDescent="0.3">
      <c r="A3514"/>
    </row>
    <row r="3515" spans="1:1" ht="14.4" x14ac:dyDescent="0.3">
      <c r="A3515"/>
    </row>
    <row r="3516" spans="1:1" ht="14.4" x14ac:dyDescent="0.3">
      <c r="A3516"/>
    </row>
    <row r="3517" spans="1:1" ht="14.4" x14ac:dyDescent="0.3">
      <c r="A3517"/>
    </row>
    <row r="3518" spans="1:1" ht="14.4" x14ac:dyDescent="0.3">
      <c r="A3518"/>
    </row>
    <row r="3519" spans="1:1" ht="14.4" x14ac:dyDescent="0.3">
      <c r="A3519"/>
    </row>
    <row r="3520" spans="1:1" ht="14.4" x14ac:dyDescent="0.3">
      <c r="A3520"/>
    </row>
    <row r="3521" spans="1:1" ht="14.4" x14ac:dyDescent="0.3">
      <c r="A3521"/>
    </row>
    <row r="3522" spans="1:1" ht="14.4" x14ac:dyDescent="0.3">
      <c r="A3522"/>
    </row>
    <row r="3523" spans="1:1" ht="14.4" x14ac:dyDescent="0.3">
      <c r="A3523"/>
    </row>
    <row r="3524" spans="1:1" ht="14.4" x14ac:dyDescent="0.3">
      <c r="A3524"/>
    </row>
    <row r="3525" spans="1:1" ht="14.4" x14ac:dyDescent="0.3">
      <c r="A3525"/>
    </row>
    <row r="3526" spans="1:1" ht="14.4" x14ac:dyDescent="0.3">
      <c r="A3526"/>
    </row>
    <row r="3527" spans="1:1" ht="14.4" x14ac:dyDescent="0.3">
      <c r="A3527"/>
    </row>
    <row r="3528" spans="1:1" ht="14.4" x14ac:dyDescent="0.3">
      <c r="A3528"/>
    </row>
    <row r="3529" spans="1:1" ht="14.4" x14ac:dyDescent="0.3">
      <c r="A3529"/>
    </row>
    <row r="3530" spans="1:1" ht="14.4" x14ac:dyDescent="0.3">
      <c r="A3530"/>
    </row>
    <row r="3531" spans="1:1" ht="14.4" x14ac:dyDescent="0.3">
      <c r="A3531"/>
    </row>
    <row r="3532" spans="1:1" ht="14.4" x14ac:dyDescent="0.3">
      <c r="A3532"/>
    </row>
    <row r="3533" spans="1:1" ht="14.4" x14ac:dyDescent="0.3">
      <c r="A3533"/>
    </row>
    <row r="3534" spans="1:1" ht="14.4" x14ac:dyDescent="0.3">
      <c r="A3534"/>
    </row>
    <row r="3535" spans="1:1" ht="14.4" x14ac:dyDescent="0.3">
      <c r="A3535"/>
    </row>
    <row r="3536" spans="1:1" ht="14.4" x14ac:dyDescent="0.3">
      <c r="A3536"/>
    </row>
    <row r="3537" spans="1:1" ht="14.4" x14ac:dyDescent="0.3">
      <c r="A3537"/>
    </row>
    <row r="3538" spans="1:1" ht="14.4" x14ac:dyDescent="0.3">
      <c r="A3538"/>
    </row>
    <row r="3539" spans="1:1" ht="14.4" x14ac:dyDescent="0.3">
      <c r="A3539"/>
    </row>
    <row r="3540" spans="1:1" ht="14.4" x14ac:dyDescent="0.3">
      <c r="A3540"/>
    </row>
    <row r="3541" spans="1:1" ht="14.4" x14ac:dyDescent="0.3">
      <c r="A3541"/>
    </row>
    <row r="3542" spans="1:1" ht="14.4" x14ac:dyDescent="0.3">
      <c r="A3542"/>
    </row>
    <row r="3543" spans="1:1" ht="14.4" x14ac:dyDescent="0.3">
      <c r="A3543"/>
    </row>
    <row r="3544" spans="1:1" ht="14.4" x14ac:dyDescent="0.3">
      <c r="A3544"/>
    </row>
    <row r="3545" spans="1:1" ht="14.4" x14ac:dyDescent="0.3">
      <c r="A3545"/>
    </row>
    <row r="3546" spans="1:1" ht="14.4" x14ac:dyDescent="0.3">
      <c r="A3546"/>
    </row>
    <row r="3547" spans="1:1" ht="14.4" x14ac:dyDescent="0.3">
      <c r="A3547"/>
    </row>
    <row r="3548" spans="1:1" ht="14.4" x14ac:dyDescent="0.3">
      <c r="A3548"/>
    </row>
    <row r="3549" spans="1:1" ht="14.4" x14ac:dyDescent="0.3">
      <c r="A3549"/>
    </row>
    <row r="3550" spans="1:1" ht="14.4" x14ac:dyDescent="0.3">
      <c r="A3550"/>
    </row>
    <row r="3551" spans="1:1" ht="14.4" x14ac:dyDescent="0.3">
      <c r="A3551"/>
    </row>
    <row r="3552" spans="1:1" ht="14.4" x14ac:dyDescent="0.3">
      <c r="A3552"/>
    </row>
    <row r="3553" spans="1:1" ht="14.4" x14ac:dyDescent="0.3">
      <c r="A3553"/>
    </row>
    <row r="3554" spans="1:1" ht="14.4" x14ac:dyDescent="0.3">
      <c r="A3554"/>
    </row>
    <row r="3555" spans="1:1" ht="14.4" x14ac:dyDescent="0.3">
      <c r="A3555"/>
    </row>
    <row r="3556" spans="1:1" ht="14.4" x14ac:dyDescent="0.3">
      <c r="A3556"/>
    </row>
    <row r="3557" spans="1:1" ht="14.4" x14ac:dyDescent="0.3">
      <c r="A3557"/>
    </row>
    <row r="3558" spans="1:1" ht="14.4" x14ac:dyDescent="0.3">
      <c r="A3558"/>
    </row>
    <row r="3559" spans="1:1" ht="14.4" x14ac:dyDescent="0.3">
      <c r="A3559"/>
    </row>
    <row r="3560" spans="1:1" ht="14.4" x14ac:dyDescent="0.3">
      <c r="A3560"/>
    </row>
    <row r="3561" spans="1:1" ht="14.4" x14ac:dyDescent="0.3">
      <c r="A3561"/>
    </row>
    <row r="3562" spans="1:1" ht="14.4" x14ac:dyDescent="0.3">
      <c r="A3562"/>
    </row>
    <row r="3563" spans="1:1" ht="14.4" x14ac:dyDescent="0.3">
      <c r="A3563"/>
    </row>
    <row r="3564" spans="1:1" ht="14.4" x14ac:dyDescent="0.3">
      <c r="A3564"/>
    </row>
    <row r="3565" spans="1:1" ht="14.4" x14ac:dyDescent="0.3">
      <c r="A3565"/>
    </row>
    <row r="3566" spans="1:1" ht="14.4" x14ac:dyDescent="0.3">
      <c r="A3566"/>
    </row>
    <row r="3567" spans="1:1" ht="14.4" x14ac:dyDescent="0.3">
      <c r="A3567"/>
    </row>
    <row r="3568" spans="1:1" ht="14.4" x14ac:dyDescent="0.3">
      <c r="A3568"/>
    </row>
    <row r="3569" spans="1:1" ht="14.4" x14ac:dyDescent="0.3">
      <c r="A3569"/>
    </row>
    <row r="3570" spans="1:1" ht="14.4" x14ac:dyDescent="0.3">
      <c r="A3570"/>
    </row>
    <row r="3571" spans="1:1" ht="14.4" x14ac:dyDescent="0.3">
      <c r="A3571"/>
    </row>
    <row r="3572" spans="1:1" ht="14.4" x14ac:dyDescent="0.3">
      <c r="A3572"/>
    </row>
    <row r="3573" spans="1:1" ht="14.4" x14ac:dyDescent="0.3">
      <c r="A3573"/>
    </row>
    <row r="3574" spans="1:1" ht="14.4" x14ac:dyDescent="0.3">
      <c r="A3574"/>
    </row>
    <row r="3575" spans="1:1" ht="14.4" x14ac:dyDescent="0.3">
      <c r="A3575"/>
    </row>
    <row r="3576" spans="1:1" ht="14.4" x14ac:dyDescent="0.3">
      <c r="A3576"/>
    </row>
    <row r="3577" spans="1:1" ht="14.4" x14ac:dyDescent="0.3">
      <c r="A3577"/>
    </row>
    <row r="3578" spans="1:1" ht="14.4" x14ac:dyDescent="0.3">
      <c r="A3578"/>
    </row>
    <row r="3579" spans="1:1" ht="14.4" x14ac:dyDescent="0.3">
      <c r="A3579"/>
    </row>
    <row r="3580" spans="1:1" ht="14.4" x14ac:dyDescent="0.3">
      <c r="A3580"/>
    </row>
    <row r="3581" spans="1:1" ht="14.4" x14ac:dyDescent="0.3">
      <c r="A3581"/>
    </row>
    <row r="3582" spans="1:1" ht="14.4" x14ac:dyDescent="0.3">
      <c r="A3582"/>
    </row>
    <row r="3583" spans="1:1" ht="14.4" x14ac:dyDescent="0.3">
      <c r="A3583"/>
    </row>
    <row r="3584" spans="1:1" ht="14.4" x14ac:dyDescent="0.3">
      <c r="A3584"/>
    </row>
    <row r="3585" spans="1:1" ht="14.4" x14ac:dyDescent="0.3">
      <c r="A3585"/>
    </row>
    <row r="3586" spans="1:1" ht="14.4" x14ac:dyDescent="0.3">
      <c r="A3586"/>
    </row>
    <row r="3587" spans="1:1" ht="14.4" x14ac:dyDescent="0.3">
      <c r="A3587"/>
    </row>
    <row r="3588" spans="1:1" ht="14.4" x14ac:dyDescent="0.3">
      <c r="A3588"/>
    </row>
    <row r="3589" spans="1:1" ht="14.4" x14ac:dyDescent="0.3">
      <c r="A3589"/>
    </row>
    <row r="3590" spans="1:1" ht="14.4" x14ac:dyDescent="0.3">
      <c r="A3590"/>
    </row>
    <row r="3591" spans="1:1" ht="14.4" x14ac:dyDescent="0.3">
      <c r="A3591"/>
    </row>
    <row r="3592" spans="1:1" ht="14.4" x14ac:dyDescent="0.3">
      <c r="A3592"/>
    </row>
    <row r="3593" spans="1:1" ht="14.4" x14ac:dyDescent="0.3">
      <c r="A3593"/>
    </row>
    <row r="3594" spans="1:1" ht="14.4" x14ac:dyDescent="0.3">
      <c r="A3594"/>
    </row>
    <row r="3595" spans="1:1" ht="14.4" x14ac:dyDescent="0.3">
      <c r="A3595"/>
    </row>
    <row r="3596" spans="1:1" ht="14.4" x14ac:dyDescent="0.3">
      <c r="A3596"/>
    </row>
    <row r="3597" spans="1:1" ht="14.4" x14ac:dyDescent="0.3">
      <c r="A3597"/>
    </row>
    <row r="3598" spans="1:1" ht="14.4" x14ac:dyDescent="0.3">
      <c r="A3598"/>
    </row>
    <row r="3599" spans="1:1" ht="14.4" x14ac:dyDescent="0.3">
      <c r="A3599"/>
    </row>
    <row r="3600" spans="1:1" ht="14.4" x14ac:dyDescent="0.3">
      <c r="A3600"/>
    </row>
    <row r="3601" spans="1:1" ht="14.4" x14ac:dyDescent="0.3">
      <c r="A3601"/>
    </row>
    <row r="3602" spans="1:1" ht="14.4" x14ac:dyDescent="0.3">
      <c r="A3602"/>
    </row>
    <row r="3603" spans="1:1" ht="14.4" x14ac:dyDescent="0.3">
      <c r="A3603"/>
    </row>
    <row r="3604" spans="1:1" ht="14.4" x14ac:dyDescent="0.3">
      <c r="A3604"/>
    </row>
    <row r="3605" spans="1:1" ht="14.4" x14ac:dyDescent="0.3">
      <c r="A3605"/>
    </row>
    <row r="3606" spans="1:1" ht="14.4" x14ac:dyDescent="0.3">
      <c r="A3606"/>
    </row>
    <row r="3607" spans="1:1" ht="14.4" x14ac:dyDescent="0.3">
      <c r="A3607"/>
    </row>
    <row r="3608" spans="1:1" ht="14.4" x14ac:dyDescent="0.3">
      <c r="A3608"/>
    </row>
    <row r="3609" spans="1:1" ht="14.4" x14ac:dyDescent="0.3">
      <c r="A3609"/>
    </row>
    <row r="3610" spans="1:1" ht="14.4" x14ac:dyDescent="0.3">
      <c r="A3610"/>
    </row>
    <row r="3611" spans="1:1" ht="14.4" x14ac:dyDescent="0.3">
      <c r="A3611"/>
    </row>
    <row r="3612" spans="1:1" ht="14.4" x14ac:dyDescent="0.3">
      <c r="A3612"/>
    </row>
    <row r="3613" spans="1:1" ht="14.4" x14ac:dyDescent="0.3">
      <c r="A3613"/>
    </row>
    <row r="3614" spans="1:1" ht="14.4" x14ac:dyDescent="0.3">
      <c r="A3614"/>
    </row>
    <row r="3615" spans="1:1" ht="14.4" x14ac:dyDescent="0.3">
      <c r="A3615"/>
    </row>
    <row r="3616" spans="1:1" ht="14.4" x14ac:dyDescent="0.3">
      <c r="A3616"/>
    </row>
    <row r="3617" spans="1:1" ht="14.4" x14ac:dyDescent="0.3">
      <c r="A3617"/>
    </row>
    <row r="3618" spans="1:1" ht="14.4" x14ac:dyDescent="0.3">
      <c r="A3618"/>
    </row>
    <row r="3619" spans="1:1" ht="14.4" x14ac:dyDescent="0.3">
      <c r="A3619"/>
    </row>
    <row r="3620" spans="1:1" ht="14.4" x14ac:dyDescent="0.3">
      <c r="A3620"/>
    </row>
    <row r="3621" spans="1:1" ht="14.4" x14ac:dyDescent="0.3">
      <c r="A3621"/>
    </row>
    <row r="3622" spans="1:1" ht="14.4" x14ac:dyDescent="0.3">
      <c r="A3622"/>
    </row>
    <row r="3623" spans="1:1" ht="14.4" x14ac:dyDescent="0.3">
      <c r="A3623"/>
    </row>
    <row r="3624" spans="1:1" ht="14.4" x14ac:dyDescent="0.3">
      <c r="A3624"/>
    </row>
    <row r="3625" spans="1:1" ht="14.4" x14ac:dyDescent="0.3">
      <c r="A3625"/>
    </row>
    <row r="3626" spans="1:1" ht="14.4" x14ac:dyDescent="0.3">
      <c r="A3626"/>
    </row>
    <row r="3627" spans="1:1" ht="14.4" x14ac:dyDescent="0.3">
      <c r="A3627"/>
    </row>
    <row r="3628" spans="1:1" ht="14.4" x14ac:dyDescent="0.3">
      <c r="A3628"/>
    </row>
    <row r="3629" spans="1:1" ht="14.4" x14ac:dyDescent="0.3">
      <c r="A3629"/>
    </row>
    <row r="3630" spans="1:1" ht="14.4" x14ac:dyDescent="0.3">
      <c r="A3630"/>
    </row>
    <row r="3631" spans="1:1" ht="14.4" x14ac:dyDescent="0.3">
      <c r="A3631"/>
    </row>
    <row r="3632" spans="1:1" ht="14.4" x14ac:dyDescent="0.3">
      <c r="A3632"/>
    </row>
    <row r="3633" spans="1:1" ht="14.4" x14ac:dyDescent="0.3">
      <c r="A3633"/>
    </row>
    <row r="3634" spans="1:1" ht="14.4" x14ac:dyDescent="0.3">
      <c r="A3634"/>
    </row>
    <row r="3635" spans="1:1" ht="14.4" x14ac:dyDescent="0.3">
      <c r="A3635"/>
    </row>
    <row r="3636" spans="1:1" ht="14.4" x14ac:dyDescent="0.3">
      <c r="A3636"/>
    </row>
    <row r="3637" spans="1:1" ht="14.4" x14ac:dyDescent="0.3">
      <c r="A3637"/>
    </row>
    <row r="3638" spans="1:1" ht="14.4" x14ac:dyDescent="0.3">
      <c r="A3638"/>
    </row>
    <row r="3639" spans="1:1" ht="14.4" x14ac:dyDescent="0.3">
      <c r="A3639"/>
    </row>
    <row r="3640" spans="1:1" ht="14.4" x14ac:dyDescent="0.3">
      <c r="A3640"/>
    </row>
    <row r="3641" spans="1:1" ht="14.4" x14ac:dyDescent="0.3">
      <c r="A3641"/>
    </row>
    <row r="3642" spans="1:1" ht="14.4" x14ac:dyDescent="0.3">
      <c r="A3642"/>
    </row>
    <row r="3643" spans="1:1" ht="14.4" x14ac:dyDescent="0.3">
      <c r="A3643"/>
    </row>
    <row r="3644" spans="1:1" ht="14.4" x14ac:dyDescent="0.3">
      <c r="A3644"/>
    </row>
    <row r="3645" spans="1:1" ht="14.4" x14ac:dyDescent="0.3">
      <c r="A3645"/>
    </row>
    <row r="3646" spans="1:1" ht="14.4" x14ac:dyDescent="0.3">
      <c r="A3646"/>
    </row>
    <row r="3647" spans="1:1" ht="14.4" x14ac:dyDescent="0.3">
      <c r="A3647"/>
    </row>
    <row r="3648" spans="1:1" ht="14.4" x14ac:dyDescent="0.3">
      <c r="A3648"/>
    </row>
    <row r="3649" spans="1:1" ht="14.4" x14ac:dyDescent="0.3">
      <c r="A3649"/>
    </row>
    <row r="3650" spans="1:1" ht="14.4" x14ac:dyDescent="0.3">
      <c r="A3650"/>
    </row>
    <row r="3651" spans="1:1" ht="14.4" x14ac:dyDescent="0.3">
      <c r="A3651"/>
    </row>
    <row r="3652" spans="1:1" ht="14.4" x14ac:dyDescent="0.3">
      <c r="A3652"/>
    </row>
    <row r="3653" spans="1:1" ht="14.4" x14ac:dyDescent="0.3">
      <c r="A3653"/>
    </row>
    <row r="3654" spans="1:1" ht="14.4" x14ac:dyDescent="0.3">
      <c r="A3654"/>
    </row>
    <row r="3655" spans="1:1" ht="14.4" x14ac:dyDescent="0.3">
      <c r="A3655"/>
    </row>
    <row r="3656" spans="1:1" ht="14.4" x14ac:dyDescent="0.3">
      <c r="A3656"/>
    </row>
    <row r="3657" spans="1:1" ht="14.4" x14ac:dyDescent="0.3">
      <c r="A3657"/>
    </row>
    <row r="3658" spans="1:1" ht="14.4" x14ac:dyDescent="0.3">
      <c r="A3658"/>
    </row>
    <row r="3659" spans="1:1" ht="14.4" x14ac:dyDescent="0.3">
      <c r="A3659"/>
    </row>
    <row r="3660" spans="1:1" ht="14.4" x14ac:dyDescent="0.3">
      <c r="A3660"/>
    </row>
    <row r="3661" spans="1:1" ht="14.4" x14ac:dyDescent="0.3">
      <c r="A3661"/>
    </row>
    <row r="3662" spans="1:1" ht="14.4" x14ac:dyDescent="0.3">
      <c r="A3662"/>
    </row>
    <row r="3663" spans="1:1" ht="14.4" x14ac:dyDescent="0.3">
      <c r="A3663"/>
    </row>
    <row r="3664" spans="1:1" ht="14.4" x14ac:dyDescent="0.3">
      <c r="A3664"/>
    </row>
    <row r="3665" spans="1:1" ht="14.4" x14ac:dyDescent="0.3">
      <c r="A3665"/>
    </row>
    <row r="3666" spans="1:1" ht="14.4" x14ac:dyDescent="0.3">
      <c r="A3666"/>
    </row>
    <row r="3667" spans="1:1" ht="14.4" x14ac:dyDescent="0.3">
      <c r="A3667"/>
    </row>
    <row r="3668" spans="1:1" ht="14.4" x14ac:dyDescent="0.3">
      <c r="A3668"/>
    </row>
    <row r="3669" spans="1:1" ht="14.4" x14ac:dyDescent="0.3">
      <c r="A3669"/>
    </row>
    <row r="3670" spans="1:1" ht="14.4" x14ac:dyDescent="0.3">
      <c r="A3670"/>
    </row>
    <row r="3671" spans="1:1" ht="14.4" x14ac:dyDescent="0.3">
      <c r="A3671"/>
    </row>
    <row r="3672" spans="1:1" ht="14.4" x14ac:dyDescent="0.3">
      <c r="A3672"/>
    </row>
    <row r="3673" spans="1:1" ht="14.4" x14ac:dyDescent="0.3">
      <c r="A3673"/>
    </row>
    <row r="3674" spans="1:1" ht="14.4" x14ac:dyDescent="0.3">
      <c r="A3674"/>
    </row>
    <row r="3675" spans="1:1" ht="14.4" x14ac:dyDescent="0.3">
      <c r="A3675"/>
    </row>
    <row r="3676" spans="1:1" ht="14.4" x14ac:dyDescent="0.3">
      <c r="A3676"/>
    </row>
    <row r="3677" spans="1:1" ht="14.4" x14ac:dyDescent="0.3">
      <c r="A3677"/>
    </row>
    <row r="3678" spans="1:1" ht="14.4" x14ac:dyDescent="0.3">
      <c r="A3678"/>
    </row>
    <row r="3679" spans="1:1" ht="14.4" x14ac:dyDescent="0.3">
      <c r="A3679"/>
    </row>
    <row r="3680" spans="1:1" ht="14.4" x14ac:dyDescent="0.3">
      <c r="A3680"/>
    </row>
    <row r="3681" spans="1:1" ht="14.4" x14ac:dyDescent="0.3">
      <c r="A3681"/>
    </row>
    <row r="3682" spans="1:1" ht="14.4" x14ac:dyDescent="0.3">
      <c r="A3682"/>
    </row>
    <row r="3683" spans="1:1" ht="14.4" x14ac:dyDescent="0.3">
      <c r="A3683"/>
    </row>
    <row r="3684" spans="1:1" ht="14.4" x14ac:dyDescent="0.3">
      <c r="A3684"/>
    </row>
    <row r="3685" spans="1:1" ht="14.4" x14ac:dyDescent="0.3">
      <c r="A3685"/>
    </row>
    <row r="3686" spans="1:1" ht="14.4" x14ac:dyDescent="0.3">
      <c r="A3686"/>
    </row>
    <row r="3687" spans="1:1" ht="14.4" x14ac:dyDescent="0.3">
      <c r="A3687"/>
    </row>
    <row r="3688" spans="1:1" ht="14.4" x14ac:dyDescent="0.3">
      <c r="A3688"/>
    </row>
    <row r="3689" spans="1:1" ht="14.4" x14ac:dyDescent="0.3">
      <c r="A3689"/>
    </row>
    <row r="3690" spans="1:1" ht="14.4" x14ac:dyDescent="0.3">
      <c r="A3690"/>
    </row>
    <row r="3691" spans="1:1" ht="14.4" x14ac:dyDescent="0.3">
      <c r="A3691"/>
    </row>
    <row r="3692" spans="1:1" ht="14.4" x14ac:dyDescent="0.3">
      <c r="A3692"/>
    </row>
    <row r="3693" spans="1:1" ht="14.4" x14ac:dyDescent="0.3">
      <c r="A3693"/>
    </row>
    <row r="3694" spans="1:1" ht="14.4" x14ac:dyDescent="0.3">
      <c r="A3694"/>
    </row>
    <row r="3695" spans="1:1" ht="14.4" x14ac:dyDescent="0.3">
      <c r="A3695"/>
    </row>
    <row r="3696" spans="1:1" ht="14.4" x14ac:dyDescent="0.3">
      <c r="A3696"/>
    </row>
    <row r="3697" spans="1:1" ht="14.4" x14ac:dyDescent="0.3">
      <c r="A3697"/>
    </row>
    <row r="3698" spans="1:1" ht="14.4" x14ac:dyDescent="0.3">
      <c r="A3698"/>
    </row>
    <row r="3699" spans="1:1" ht="14.4" x14ac:dyDescent="0.3">
      <c r="A3699"/>
    </row>
    <row r="3700" spans="1:1" ht="14.4" x14ac:dyDescent="0.3">
      <c r="A3700"/>
    </row>
    <row r="3701" spans="1:1" ht="14.4" x14ac:dyDescent="0.3">
      <c r="A3701"/>
    </row>
    <row r="3702" spans="1:1" ht="14.4" x14ac:dyDescent="0.3">
      <c r="A3702"/>
    </row>
    <row r="3703" spans="1:1" ht="14.4" x14ac:dyDescent="0.3">
      <c r="A3703"/>
    </row>
    <row r="3704" spans="1:1" ht="14.4" x14ac:dyDescent="0.3">
      <c r="A3704"/>
    </row>
    <row r="3705" spans="1:1" ht="14.4" x14ac:dyDescent="0.3">
      <c r="A3705"/>
    </row>
    <row r="3706" spans="1:1" ht="14.4" x14ac:dyDescent="0.3">
      <c r="A3706"/>
    </row>
    <row r="3707" spans="1:1" ht="14.4" x14ac:dyDescent="0.3">
      <c r="A3707"/>
    </row>
    <row r="3708" spans="1:1" ht="14.4" x14ac:dyDescent="0.3">
      <c r="A3708"/>
    </row>
    <row r="3709" spans="1:1" ht="14.4" x14ac:dyDescent="0.3">
      <c r="A3709"/>
    </row>
    <row r="3710" spans="1:1" ht="14.4" x14ac:dyDescent="0.3">
      <c r="A3710"/>
    </row>
    <row r="3711" spans="1:1" ht="14.4" x14ac:dyDescent="0.3">
      <c r="A3711"/>
    </row>
    <row r="3712" spans="1:1" ht="14.4" x14ac:dyDescent="0.3">
      <c r="A3712"/>
    </row>
    <row r="3713" spans="1:1" ht="14.4" x14ac:dyDescent="0.3">
      <c r="A3713"/>
    </row>
    <row r="3714" spans="1:1" ht="14.4" x14ac:dyDescent="0.3">
      <c r="A3714"/>
    </row>
    <row r="3715" spans="1:1" ht="14.4" x14ac:dyDescent="0.3">
      <c r="A3715"/>
    </row>
    <row r="3716" spans="1:1" ht="14.4" x14ac:dyDescent="0.3">
      <c r="A3716"/>
    </row>
    <row r="3717" spans="1:1" ht="14.4" x14ac:dyDescent="0.3">
      <c r="A3717"/>
    </row>
    <row r="3718" spans="1:1" ht="14.4" x14ac:dyDescent="0.3">
      <c r="A3718"/>
    </row>
    <row r="3719" spans="1:1" ht="14.4" x14ac:dyDescent="0.3">
      <c r="A3719"/>
    </row>
    <row r="3720" spans="1:1" ht="14.4" x14ac:dyDescent="0.3">
      <c r="A3720"/>
    </row>
    <row r="3721" spans="1:1" ht="14.4" x14ac:dyDescent="0.3">
      <c r="A3721"/>
    </row>
    <row r="3722" spans="1:1" ht="14.4" x14ac:dyDescent="0.3">
      <c r="A3722"/>
    </row>
    <row r="3723" spans="1:1" ht="14.4" x14ac:dyDescent="0.3">
      <c r="A3723"/>
    </row>
    <row r="3724" spans="1:1" ht="14.4" x14ac:dyDescent="0.3">
      <c r="A3724"/>
    </row>
    <row r="3725" spans="1:1" ht="14.4" x14ac:dyDescent="0.3">
      <c r="A3725"/>
    </row>
    <row r="3726" spans="1:1" ht="14.4" x14ac:dyDescent="0.3">
      <c r="A3726"/>
    </row>
    <row r="3727" spans="1:1" ht="14.4" x14ac:dyDescent="0.3">
      <c r="A3727"/>
    </row>
    <row r="3728" spans="1:1" ht="14.4" x14ac:dyDescent="0.3">
      <c r="A3728"/>
    </row>
    <row r="3729" spans="1:1" ht="14.4" x14ac:dyDescent="0.3">
      <c r="A3729"/>
    </row>
    <row r="3730" spans="1:1" ht="14.4" x14ac:dyDescent="0.3">
      <c r="A3730"/>
    </row>
    <row r="3731" spans="1:1" ht="14.4" x14ac:dyDescent="0.3">
      <c r="A3731"/>
    </row>
    <row r="3732" spans="1:1" ht="14.4" x14ac:dyDescent="0.3">
      <c r="A3732"/>
    </row>
    <row r="3733" spans="1:1" ht="14.4" x14ac:dyDescent="0.3">
      <c r="A3733"/>
    </row>
    <row r="3734" spans="1:1" ht="14.4" x14ac:dyDescent="0.3">
      <c r="A3734"/>
    </row>
    <row r="3735" spans="1:1" ht="14.4" x14ac:dyDescent="0.3">
      <c r="A3735"/>
    </row>
    <row r="3736" spans="1:1" ht="14.4" x14ac:dyDescent="0.3">
      <c r="A3736"/>
    </row>
    <row r="3737" spans="1:1" ht="14.4" x14ac:dyDescent="0.3">
      <c r="A3737"/>
    </row>
    <row r="3738" spans="1:1" ht="14.4" x14ac:dyDescent="0.3">
      <c r="A3738"/>
    </row>
    <row r="3739" spans="1:1" ht="14.4" x14ac:dyDescent="0.3">
      <c r="A3739"/>
    </row>
    <row r="3740" spans="1:1" ht="14.4" x14ac:dyDescent="0.3">
      <c r="A3740"/>
    </row>
    <row r="3741" spans="1:1" ht="14.4" x14ac:dyDescent="0.3">
      <c r="A3741"/>
    </row>
    <row r="3742" spans="1:1" ht="14.4" x14ac:dyDescent="0.3">
      <c r="A3742"/>
    </row>
    <row r="3743" spans="1:1" ht="14.4" x14ac:dyDescent="0.3">
      <c r="A3743"/>
    </row>
    <row r="3744" spans="1:1" ht="14.4" x14ac:dyDescent="0.3">
      <c r="A3744"/>
    </row>
    <row r="3745" spans="1:1" ht="14.4" x14ac:dyDescent="0.3">
      <c r="A3745"/>
    </row>
    <row r="3746" spans="1:1" ht="14.4" x14ac:dyDescent="0.3">
      <c r="A3746"/>
    </row>
    <row r="3747" spans="1:1" ht="14.4" x14ac:dyDescent="0.3">
      <c r="A3747"/>
    </row>
    <row r="3748" spans="1:1" ht="14.4" x14ac:dyDescent="0.3">
      <c r="A3748"/>
    </row>
    <row r="3749" spans="1:1" ht="14.4" x14ac:dyDescent="0.3">
      <c r="A3749"/>
    </row>
    <row r="3750" spans="1:1" ht="14.4" x14ac:dyDescent="0.3">
      <c r="A3750"/>
    </row>
    <row r="3751" spans="1:1" ht="14.4" x14ac:dyDescent="0.3">
      <c r="A3751"/>
    </row>
    <row r="3752" spans="1:1" ht="14.4" x14ac:dyDescent="0.3">
      <c r="A3752"/>
    </row>
    <row r="3753" spans="1:1" ht="14.4" x14ac:dyDescent="0.3">
      <c r="A3753"/>
    </row>
    <row r="3754" spans="1:1" ht="14.4" x14ac:dyDescent="0.3">
      <c r="A3754"/>
    </row>
    <row r="3755" spans="1:1" ht="14.4" x14ac:dyDescent="0.3">
      <c r="A3755"/>
    </row>
    <row r="3756" spans="1:1" ht="14.4" x14ac:dyDescent="0.3">
      <c r="A3756"/>
    </row>
    <row r="3757" spans="1:1" ht="14.4" x14ac:dyDescent="0.3">
      <c r="A3757"/>
    </row>
    <row r="3758" spans="1:1" ht="14.4" x14ac:dyDescent="0.3">
      <c r="A3758"/>
    </row>
    <row r="3759" spans="1:1" ht="14.4" x14ac:dyDescent="0.3">
      <c r="A3759"/>
    </row>
    <row r="3760" spans="1:1" ht="14.4" x14ac:dyDescent="0.3">
      <c r="A3760"/>
    </row>
    <row r="3761" spans="1:1" ht="14.4" x14ac:dyDescent="0.3">
      <c r="A3761"/>
    </row>
    <row r="3762" spans="1:1" ht="14.4" x14ac:dyDescent="0.3">
      <c r="A3762"/>
    </row>
    <row r="3763" spans="1:1" ht="14.4" x14ac:dyDescent="0.3">
      <c r="A3763"/>
    </row>
    <row r="3764" spans="1:1" ht="14.4" x14ac:dyDescent="0.3">
      <c r="A3764"/>
    </row>
    <row r="3765" spans="1:1" ht="14.4" x14ac:dyDescent="0.3">
      <c r="A3765"/>
    </row>
    <row r="3766" spans="1:1" ht="14.4" x14ac:dyDescent="0.3">
      <c r="A3766"/>
    </row>
    <row r="3767" spans="1:1" ht="14.4" x14ac:dyDescent="0.3">
      <c r="A3767"/>
    </row>
    <row r="3768" spans="1:1" ht="14.4" x14ac:dyDescent="0.3">
      <c r="A3768"/>
    </row>
    <row r="3769" spans="1:1" ht="14.4" x14ac:dyDescent="0.3">
      <c r="A3769"/>
    </row>
    <row r="3770" spans="1:1" ht="14.4" x14ac:dyDescent="0.3">
      <c r="A3770"/>
    </row>
    <row r="3771" spans="1:1" ht="14.4" x14ac:dyDescent="0.3">
      <c r="A3771"/>
    </row>
    <row r="3772" spans="1:1" ht="14.4" x14ac:dyDescent="0.3">
      <c r="A3772"/>
    </row>
    <row r="3773" spans="1:1" ht="14.4" x14ac:dyDescent="0.3">
      <c r="A3773"/>
    </row>
    <row r="3774" spans="1:1" ht="14.4" x14ac:dyDescent="0.3">
      <c r="A3774"/>
    </row>
    <row r="3775" spans="1:1" ht="14.4" x14ac:dyDescent="0.3">
      <c r="A3775"/>
    </row>
    <row r="3776" spans="1:1" ht="14.4" x14ac:dyDescent="0.3">
      <c r="A3776"/>
    </row>
    <row r="3777" spans="1:1" ht="14.4" x14ac:dyDescent="0.3">
      <c r="A3777"/>
    </row>
    <row r="3778" spans="1:1" ht="14.4" x14ac:dyDescent="0.3">
      <c r="A3778"/>
    </row>
    <row r="3779" spans="1:1" ht="14.4" x14ac:dyDescent="0.3">
      <c r="A3779"/>
    </row>
    <row r="3780" spans="1:1" ht="14.4" x14ac:dyDescent="0.3">
      <c r="A3780"/>
    </row>
    <row r="3781" spans="1:1" ht="14.4" x14ac:dyDescent="0.3">
      <c r="A3781"/>
    </row>
    <row r="3782" spans="1:1" ht="14.4" x14ac:dyDescent="0.3">
      <c r="A3782"/>
    </row>
    <row r="3783" spans="1:1" ht="14.4" x14ac:dyDescent="0.3">
      <c r="A3783"/>
    </row>
    <row r="3784" spans="1:1" ht="14.4" x14ac:dyDescent="0.3">
      <c r="A3784"/>
    </row>
    <row r="3785" spans="1:1" ht="14.4" x14ac:dyDescent="0.3">
      <c r="A3785"/>
    </row>
    <row r="3786" spans="1:1" ht="14.4" x14ac:dyDescent="0.3">
      <c r="A3786"/>
    </row>
    <row r="3787" spans="1:1" ht="14.4" x14ac:dyDescent="0.3">
      <c r="A3787"/>
    </row>
    <row r="3788" spans="1:1" ht="14.4" x14ac:dyDescent="0.3">
      <c r="A3788"/>
    </row>
    <row r="3789" spans="1:1" ht="14.4" x14ac:dyDescent="0.3">
      <c r="A3789"/>
    </row>
    <row r="3790" spans="1:1" ht="14.4" x14ac:dyDescent="0.3">
      <c r="A3790"/>
    </row>
    <row r="3791" spans="1:1" ht="14.4" x14ac:dyDescent="0.3">
      <c r="A3791"/>
    </row>
    <row r="3792" spans="1:1" ht="14.4" x14ac:dyDescent="0.3">
      <c r="A3792"/>
    </row>
    <row r="3793" spans="1:1" ht="14.4" x14ac:dyDescent="0.3">
      <c r="A3793"/>
    </row>
    <row r="3794" spans="1:1" ht="14.4" x14ac:dyDescent="0.3">
      <c r="A3794"/>
    </row>
    <row r="3795" spans="1:1" ht="14.4" x14ac:dyDescent="0.3">
      <c r="A3795"/>
    </row>
    <row r="3796" spans="1:1" ht="14.4" x14ac:dyDescent="0.3">
      <c r="A3796"/>
    </row>
    <row r="3797" spans="1:1" ht="14.4" x14ac:dyDescent="0.3">
      <c r="A3797"/>
    </row>
    <row r="3798" spans="1:1" ht="14.4" x14ac:dyDescent="0.3">
      <c r="A3798"/>
    </row>
    <row r="3799" spans="1:1" ht="14.4" x14ac:dyDescent="0.3">
      <c r="A3799"/>
    </row>
    <row r="3800" spans="1:1" ht="14.4" x14ac:dyDescent="0.3">
      <c r="A3800"/>
    </row>
    <row r="3801" spans="1:1" ht="14.4" x14ac:dyDescent="0.3">
      <c r="A3801"/>
    </row>
    <row r="3802" spans="1:1" ht="14.4" x14ac:dyDescent="0.3">
      <c r="A3802"/>
    </row>
    <row r="3803" spans="1:1" ht="14.4" x14ac:dyDescent="0.3">
      <c r="A3803"/>
    </row>
    <row r="3804" spans="1:1" ht="14.4" x14ac:dyDescent="0.3">
      <c r="A3804"/>
    </row>
    <row r="3805" spans="1:1" ht="14.4" x14ac:dyDescent="0.3">
      <c r="A3805"/>
    </row>
    <row r="3806" spans="1:1" ht="14.4" x14ac:dyDescent="0.3">
      <c r="A3806"/>
    </row>
    <row r="3807" spans="1:1" ht="14.4" x14ac:dyDescent="0.3">
      <c r="A3807"/>
    </row>
    <row r="3808" spans="1:1" ht="14.4" x14ac:dyDescent="0.3">
      <c r="A3808"/>
    </row>
    <row r="3809" spans="1:1" ht="14.4" x14ac:dyDescent="0.3">
      <c r="A3809"/>
    </row>
    <row r="3810" spans="1:1" ht="14.4" x14ac:dyDescent="0.3">
      <c r="A3810"/>
    </row>
    <row r="3811" spans="1:1" ht="14.4" x14ac:dyDescent="0.3">
      <c r="A3811"/>
    </row>
    <row r="3812" spans="1:1" ht="14.4" x14ac:dyDescent="0.3">
      <c r="A3812"/>
    </row>
    <row r="3813" spans="1:1" ht="14.4" x14ac:dyDescent="0.3">
      <c r="A3813"/>
    </row>
    <row r="3814" spans="1:1" ht="14.4" x14ac:dyDescent="0.3">
      <c r="A3814"/>
    </row>
    <row r="3815" spans="1:1" ht="14.4" x14ac:dyDescent="0.3">
      <c r="A3815"/>
    </row>
    <row r="3816" spans="1:1" ht="14.4" x14ac:dyDescent="0.3">
      <c r="A3816"/>
    </row>
    <row r="3817" spans="1:1" ht="14.4" x14ac:dyDescent="0.3">
      <c r="A3817"/>
    </row>
    <row r="3818" spans="1:1" ht="14.4" x14ac:dyDescent="0.3">
      <c r="A3818"/>
    </row>
    <row r="3819" spans="1:1" ht="14.4" x14ac:dyDescent="0.3">
      <c r="A3819"/>
    </row>
    <row r="3820" spans="1:1" ht="14.4" x14ac:dyDescent="0.3">
      <c r="A3820"/>
    </row>
    <row r="3821" spans="1:1" ht="14.4" x14ac:dyDescent="0.3">
      <c r="A3821"/>
    </row>
    <row r="3822" spans="1:1" ht="14.4" x14ac:dyDescent="0.3">
      <c r="A3822"/>
    </row>
    <row r="3823" spans="1:1" ht="14.4" x14ac:dyDescent="0.3">
      <c r="A3823"/>
    </row>
    <row r="3824" spans="1:1" ht="14.4" x14ac:dyDescent="0.3">
      <c r="A3824"/>
    </row>
    <row r="3825" spans="1:1" ht="14.4" x14ac:dyDescent="0.3">
      <c r="A3825"/>
    </row>
    <row r="3826" spans="1:1" ht="14.4" x14ac:dyDescent="0.3">
      <c r="A3826"/>
    </row>
    <row r="3827" spans="1:1" ht="14.4" x14ac:dyDescent="0.3">
      <c r="A3827"/>
    </row>
    <row r="3828" spans="1:1" ht="14.4" x14ac:dyDescent="0.3">
      <c r="A3828"/>
    </row>
    <row r="3829" spans="1:1" ht="14.4" x14ac:dyDescent="0.3">
      <c r="A3829"/>
    </row>
    <row r="3830" spans="1:1" ht="14.4" x14ac:dyDescent="0.3">
      <c r="A3830"/>
    </row>
    <row r="3831" spans="1:1" ht="14.4" x14ac:dyDescent="0.3">
      <c r="A3831"/>
    </row>
    <row r="3832" spans="1:1" ht="14.4" x14ac:dyDescent="0.3">
      <c r="A3832"/>
    </row>
    <row r="3833" spans="1:1" ht="14.4" x14ac:dyDescent="0.3">
      <c r="A3833"/>
    </row>
    <row r="3834" spans="1:1" ht="14.4" x14ac:dyDescent="0.3">
      <c r="A3834"/>
    </row>
    <row r="3835" spans="1:1" ht="14.4" x14ac:dyDescent="0.3">
      <c r="A3835"/>
    </row>
    <row r="3836" spans="1:1" ht="14.4" x14ac:dyDescent="0.3">
      <c r="A3836"/>
    </row>
    <row r="3837" spans="1:1" ht="14.4" x14ac:dyDescent="0.3">
      <c r="A3837"/>
    </row>
    <row r="3838" spans="1:1" ht="14.4" x14ac:dyDescent="0.3">
      <c r="A3838"/>
    </row>
    <row r="3839" spans="1:1" ht="14.4" x14ac:dyDescent="0.3">
      <c r="A3839"/>
    </row>
    <row r="3840" spans="1:1" ht="14.4" x14ac:dyDescent="0.3">
      <c r="A3840"/>
    </row>
    <row r="3841" spans="1:1" ht="14.4" x14ac:dyDescent="0.3">
      <c r="A3841"/>
    </row>
    <row r="3842" spans="1:1" ht="14.4" x14ac:dyDescent="0.3">
      <c r="A3842"/>
    </row>
    <row r="3843" spans="1:1" ht="14.4" x14ac:dyDescent="0.3">
      <c r="A3843"/>
    </row>
    <row r="3844" spans="1:1" ht="14.4" x14ac:dyDescent="0.3">
      <c r="A3844"/>
    </row>
    <row r="3845" spans="1:1" ht="14.4" x14ac:dyDescent="0.3">
      <c r="A3845"/>
    </row>
    <row r="3846" spans="1:1" ht="14.4" x14ac:dyDescent="0.3">
      <c r="A3846"/>
    </row>
    <row r="3847" spans="1:1" ht="14.4" x14ac:dyDescent="0.3">
      <c r="A3847"/>
    </row>
    <row r="3848" spans="1:1" ht="14.4" x14ac:dyDescent="0.3">
      <c r="A3848"/>
    </row>
    <row r="3849" spans="1:1" ht="14.4" x14ac:dyDescent="0.3">
      <c r="A3849"/>
    </row>
    <row r="3850" spans="1:1" ht="14.4" x14ac:dyDescent="0.3">
      <c r="A3850"/>
    </row>
    <row r="3851" spans="1:1" ht="14.4" x14ac:dyDescent="0.3">
      <c r="A3851"/>
    </row>
    <row r="3852" spans="1:1" ht="14.4" x14ac:dyDescent="0.3">
      <c r="A3852"/>
    </row>
    <row r="3853" spans="1:1" ht="14.4" x14ac:dyDescent="0.3">
      <c r="A3853"/>
    </row>
    <row r="3854" spans="1:1" ht="14.4" x14ac:dyDescent="0.3">
      <c r="A3854"/>
    </row>
    <row r="3855" spans="1:1" ht="14.4" x14ac:dyDescent="0.3">
      <c r="A3855"/>
    </row>
    <row r="3856" spans="1:1" ht="14.4" x14ac:dyDescent="0.3">
      <c r="A3856"/>
    </row>
    <row r="3857" spans="1:1" ht="14.4" x14ac:dyDescent="0.3">
      <c r="A3857"/>
    </row>
    <row r="3858" spans="1:1" ht="14.4" x14ac:dyDescent="0.3">
      <c r="A3858"/>
    </row>
    <row r="3859" spans="1:1" ht="14.4" x14ac:dyDescent="0.3">
      <c r="A3859"/>
    </row>
    <row r="3860" spans="1:1" ht="14.4" x14ac:dyDescent="0.3">
      <c r="A3860"/>
    </row>
    <row r="3861" spans="1:1" ht="14.4" x14ac:dyDescent="0.3">
      <c r="A3861"/>
    </row>
    <row r="3862" spans="1:1" ht="14.4" x14ac:dyDescent="0.3">
      <c r="A3862"/>
    </row>
    <row r="3863" spans="1:1" ht="14.4" x14ac:dyDescent="0.3">
      <c r="A3863"/>
    </row>
    <row r="3864" spans="1:1" ht="14.4" x14ac:dyDescent="0.3">
      <c r="A3864"/>
    </row>
    <row r="3865" spans="1:1" ht="14.4" x14ac:dyDescent="0.3">
      <c r="A3865"/>
    </row>
    <row r="3866" spans="1:1" ht="14.4" x14ac:dyDescent="0.3">
      <c r="A3866"/>
    </row>
    <row r="3867" spans="1:1" ht="14.4" x14ac:dyDescent="0.3">
      <c r="A3867"/>
    </row>
    <row r="3868" spans="1:1" ht="14.4" x14ac:dyDescent="0.3">
      <c r="A3868"/>
    </row>
    <row r="3869" spans="1:1" ht="14.4" x14ac:dyDescent="0.3">
      <c r="A3869"/>
    </row>
    <row r="3870" spans="1:1" ht="14.4" x14ac:dyDescent="0.3">
      <c r="A3870"/>
    </row>
    <row r="3871" spans="1:1" ht="14.4" x14ac:dyDescent="0.3">
      <c r="A3871"/>
    </row>
    <row r="3872" spans="1:1" ht="14.4" x14ac:dyDescent="0.3">
      <c r="A3872"/>
    </row>
    <row r="3873" spans="1:1" ht="14.4" x14ac:dyDescent="0.3">
      <c r="A3873"/>
    </row>
    <row r="3874" spans="1:1" ht="14.4" x14ac:dyDescent="0.3">
      <c r="A3874"/>
    </row>
    <row r="3875" spans="1:1" ht="14.4" x14ac:dyDescent="0.3">
      <c r="A3875"/>
    </row>
    <row r="3876" spans="1:1" ht="14.4" x14ac:dyDescent="0.3">
      <c r="A3876"/>
    </row>
    <row r="3877" spans="1:1" ht="14.4" x14ac:dyDescent="0.3">
      <c r="A3877"/>
    </row>
    <row r="3878" spans="1:1" ht="14.4" x14ac:dyDescent="0.3">
      <c r="A3878"/>
    </row>
    <row r="3879" spans="1:1" ht="14.4" x14ac:dyDescent="0.3">
      <c r="A3879"/>
    </row>
    <row r="3880" spans="1:1" ht="14.4" x14ac:dyDescent="0.3">
      <c r="A3880"/>
    </row>
    <row r="3881" spans="1:1" ht="14.4" x14ac:dyDescent="0.3">
      <c r="A3881"/>
    </row>
    <row r="3882" spans="1:1" ht="14.4" x14ac:dyDescent="0.3">
      <c r="A3882"/>
    </row>
    <row r="3883" spans="1:1" ht="14.4" x14ac:dyDescent="0.3">
      <c r="A3883"/>
    </row>
    <row r="3884" spans="1:1" ht="14.4" x14ac:dyDescent="0.3">
      <c r="A3884"/>
    </row>
    <row r="3885" spans="1:1" ht="14.4" x14ac:dyDescent="0.3">
      <c r="A3885"/>
    </row>
    <row r="3886" spans="1:1" ht="14.4" x14ac:dyDescent="0.3">
      <c r="A3886"/>
    </row>
    <row r="3887" spans="1:1" ht="14.4" x14ac:dyDescent="0.3">
      <c r="A3887"/>
    </row>
    <row r="3888" spans="1:1" ht="14.4" x14ac:dyDescent="0.3">
      <c r="A3888"/>
    </row>
    <row r="3889" spans="1:1" ht="14.4" x14ac:dyDescent="0.3">
      <c r="A3889"/>
    </row>
    <row r="3890" spans="1:1" ht="14.4" x14ac:dyDescent="0.3">
      <c r="A3890"/>
    </row>
    <row r="3891" spans="1:1" ht="14.4" x14ac:dyDescent="0.3">
      <c r="A3891"/>
    </row>
    <row r="3892" spans="1:1" ht="14.4" x14ac:dyDescent="0.3">
      <c r="A3892"/>
    </row>
    <row r="3893" spans="1:1" ht="14.4" x14ac:dyDescent="0.3">
      <c r="A3893"/>
    </row>
    <row r="3894" spans="1:1" ht="14.4" x14ac:dyDescent="0.3">
      <c r="A3894"/>
    </row>
    <row r="3895" spans="1:1" ht="14.4" x14ac:dyDescent="0.3">
      <c r="A3895"/>
    </row>
    <row r="3896" spans="1:1" ht="14.4" x14ac:dyDescent="0.3">
      <c r="A3896"/>
    </row>
    <row r="3897" spans="1:1" ht="14.4" x14ac:dyDescent="0.3">
      <c r="A3897"/>
    </row>
    <row r="3898" spans="1:1" ht="14.4" x14ac:dyDescent="0.3">
      <c r="A3898"/>
    </row>
    <row r="3899" spans="1:1" ht="14.4" x14ac:dyDescent="0.3">
      <c r="A3899"/>
    </row>
    <row r="3900" spans="1:1" ht="14.4" x14ac:dyDescent="0.3">
      <c r="A3900"/>
    </row>
    <row r="3901" spans="1:1" ht="14.4" x14ac:dyDescent="0.3">
      <c r="A3901"/>
    </row>
    <row r="3902" spans="1:1" ht="14.4" x14ac:dyDescent="0.3">
      <c r="A3902"/>
    </row>
    <row r="3903" spans="1:1" ht="14.4" x14ac:dyDescent="0.3">
      <c r="A3903"/>
    </row>
    <row r="3904" spans="1:1" ht="14.4" x14ac:dyDescent="0.3">
      <c r="A3904"/>
    </row>
    <row r="3905" spans="1:1" ht="14.4" x14ac:dyDescent="0.3">
      <c r="A3905"/>
    </row>
    <row r="3906" spans="1:1" ht="14.4" x14ac:dyDescent="0.3">
      <c r="A3906"/>
    </row>
    <row r="3907" spans="1:1" ht="14.4" x14ac:dyDescent="0.3">
      <c r="A3907"/>
    </row>
    <row r="3908" spans="1:1" ht="14.4" x14ac:dyDescent="0.3">
      <c r="A3908"/>
    </row>
    <row r="3909" spans="1:1" ht="14.4" x14ac:dyDescent="0.3">
      <c r="A3909"/>
    </row>
    <row r="3910" spans="1:1" ht="14.4" x14ac:dyDescent="0.3">
      <c r="A3910"/>
    </row>
    <row r="3911" spans="1:1" ht="14.4" x14ac:dyDescent="0.3">
      <c r="A3911"/>
    </row>
    <row r="3912" spans="1:1" ht="14.4" x14ac:dyDescent="0.3">
      <c r="A3912"/>
    </row>
    <row r="3913" spans="1:1" ht="14.4" x14ac:dyDescent="0.3">
      <c r="A3913"/>
    </row>
    <row r="3914" spans="1:1" ht="14.4" x14ac:dyDescent="0.3">
      <c r="A3914"/>
    </row>
    <row r="3915" spans="1:1" ht="14.4" x14ac:dyDescent="0.3">
      <c r="A3915"/>
    </row>
    <row r="3916" spans="1:1" ht="14.4" x14ac:dyDescent="0.3">
      <c r="A3916"/>
    </row>
    <row r="3917" spans="1:1" ht="14.4" x14ac:dyDescent="0.3">
      <c r="A3917"/>
    </row>
    <row r="3918" spans="1:1" ht="14.4" x14ac:dyDescent="0.3">
      <c r="A3918"/>
    </row>
    <row r="3919" spans="1:1" ht="14.4" x14ac:dyDescent="0.3">
      <c r="A3919"/>
    </row>
    <row r="3920" spans="1:1" ht="14.4" x14ac:dyDescent="0.3">
      <c r="A3920"/>
    </row>
    <row r="3921" spans="1:1" ht="14.4" x14ac:dyDescent="0.3">
      <c r="A3921"/>
    </row>
    <row r="3922" spans="1:1" ht="14.4" x14ac:dyDescent="0.3">
      <c r="A3922"/>
    </row>
    <row r="3923" spans="1:1" ht="14.4" x14ac:dyDescent="0.3">
      <c r="A3923"/>
    </row>
    <row r="3924" spans="1:1" ht="14.4" x14ac:dyDescent="0.3">
      <c r="A3924"/>
    </row>
    <row r="3925" spans="1:1" ht="14.4" x14ac:dyDescent="0.3">
      <c r="A3925"/>
    </row>
    <row r="3926" spans="1:1" ht="14.4" x14ac:dyDescent="0.3">
      <c r="A3926"/>
    </row>
    <row r="3927" spans="1:1" ht="14.4" x14ac:dyDescent="0.3">
      <c r="A3927"/>
    </row>
    <row r="3928" spans="1:1" ht="14.4" x14ac:dyDescent="0.3">
      <c r="A3928"/>
    </row>
    <row r="3929" spans="1:1" ht="14.4" x14ac:dyDescent="0.3">
      <c r="A3929"/>
    </row>
    <row r="3930" spans="1:1" ht="14.4" x14ac:dyDescent="0.3">
      <c r="A3930"/>
    </row>
    <row r="3931" spans="1:1" ht="14.4" x14ac:dyDescent="0.3">
      <c r="A3931"/>
    </row>
    <row r="3932" spans="1:1" ht="14.4" x14ac:dyDescent="0.3">
      <c r="A3932"/>
    </row>
    <row r="3933" spans="1:1" ht="14.4" x14ac:dyDescent="0.3">
      <c r="A3933"/>
    </row>
    <row r="3934" spans="1:1" ht="14.4" x14ac:dyDescent="0.3">
      <c r="A3934"/>
    </row>
    <row r="3935" spans="1:1" ht="14.4" x14ac:dyDescent="0.3">
      <c r="A3935"/>
    </row>
    <row r="3936" spans="1:1" ht="14.4" x14ac:dyDescent="0.3">
      <c r="A3936"/>
    </row>
    <row r="3937" spans="1:1" ht="14.4" x14ac:dyDescent="0.3">
      <c r="A3937"/>
    </row>
    <row r="3938" spans="1:1" ht="14.4" x14ac:dyDescent="0.3">
      <c r="A3938"/>
    </row>
    <row r="3939" spans="1:1" ht="14.4" x14ac:dyDescent="0.3">
      <c r="A3939"/>
    </row>
    <row r="3940" spans="1:1" ht="14.4" x14ac:dyDescent="0.3">
      <c r="A3940"/>
    </row>
    <row r="3941" spans="1:1" ht="14.4" x14ac:dyDescent="0.3">
      <c r="A3941"/>
    </row>
    <row r="3942" spans="1:1" ht="14.4" x14ac:dyDescent="0.3">
      <c r="A3942"/>
    </row>
    <row r="3943" spans="1:1" ht="14.4" x14ac:dyDescent="0.3">
      <c r="A3943"/>
    </row>
    <row r="3944" spans="1:1" ht="14.4" x14ac:dyDescent="0.3">
      <c r="A3944"/>
    </row>
    <row r="3945" spans="1:1" ht="14.4" x14ac:dyDescent="0.3">
      <c r="A3945"/>
    </row>
    <row r="3946" spans="1:1" ht="14.4" x14ac:dyDescent="0.3">
      <c r="A3946"/>
    </row>
    <row r="3947" spans="1:1" ht="14.4" x14ac:dyDescent="0.3">
      <c r="A3947"/>
    </row>
    <row r="3948" spans="1:1" ht="14.4" x14ac:dyDescent="0.3">
      <c r="A3948"/>
    </row>
    <row r="3949" spans="1:1" ht="14.4" x14ac:dyDescent="0.3">
      <c r="A3949"/>
    </row>
    <row r="3950" spans="1:1" ht="14.4" x14ac:dyDescent="0.3">
      <c r="A3950"/>
    </row>
    <row r="3951" spans="1:1" ht="14.4" x14ac:dyDescent="0.3">
      <c r="A3951"/>
    </row>
    <row r="3952" spans="1:1" ht="14.4" x14ac:dyDescent="0.3">
      <c r="A3952"/>
    </row>
    <row r="3953" spans="1:1" ht="14.4" x14ac:dyDescent="0.3">
      <c r="A3953"/>
    </row>
    <row r="3954" spans="1:1" ht="14.4" x14ac:dyDescent="0.3">
      <c r="A3954"/>
    </row>
    <row r="3955" spans="1:1" ht="14.4" x14ac:dyDescent="0.3">
      <c r="A3955"/>
    </row>
    <row r="3956" spans="1:1" ht="14.4" x14ac:dyDescent="0.3">
      <c r="A3956"/>
    </row>
    <row r="3957" spans="1:1" ht="14.4" x14ac:dyDescent="0.3">
      <c r="A3957"/>
    </row>
    <row r="3958" spans="1:1" ht="14.4" x14ac:dyDescent="0.3">
      <c r="A3958"/>
    </row>
    <row r="3959" spans="1:1" ht="14.4" x14ac:dyDescent="0.3">
      <c r="A3959"/>
    </row>
    <row r="3960" spans="1:1" ht="14.4" x14ac:dyDescent="0.3">
      <c r="A3960"/>
    </row>
    <row r="3961" spans="1:1" ht="14.4" x14ac:dyDescent="0.3">
      <c r="A3961"/>
    </row>
    <row r="3962" spans="1:1" ht="14.4" x14ac:dyDescent="0.3">
      <c r="A3962"/>
    </row>
    <row r="3963" spans="1:1" ht="14.4" x14ac:dyDescent="0.3">
      <c r="A3963"/>
    </row>
    <row r="3964" spans="1:1" ht="14.4" x14ac:dyDescent="0.3">
      <c r="A3964"/>
    </row>
    <row r="3965" spans="1:1" ht="14.4" x14ac:dyDescent="0.3">
      <c r="A3965"/>
    </row>
    <row r="3966" spans="1:1" ht="14.4" x14ac:dyDescent="0.3">
      <c r="A3966"/>
    </row>
    <row r="3967" spans="1:1" ht="14.4" x14ac:dyDescent="0.3">
      <c r="A3967"/>
    </row>
    <row r="3968" spans="1:1" ht="14.4" x14ac:dyDescent="0.3">
      <c r="A3968"/>
    </row>
    <row r="3969" spans="1:1" ht="14.4" x14ac:dyDescent="0.3">
      <c r="A3969"/>
    </row>
    <row r="3970" spans="1:1" ht="14.4" x14ac:dyDescent="0.3">
      <c r="A3970"/>
    </row>
    <row r="3971" spans="1:1" ht="14.4" x14ac:dyDescent="0.3">
      <c r="A3971"/>
    </row>
    <row r="3972" spans="1:1" ht="14.4" x14ac:dyDescent="0.3">
      <c r="A3972"/>
    </row>
    <row r="3973" spans="1:1" ht="14.4" x14ac:dyDescent="0.3">
      <c r="A3973"/>
    </row>
    <row r="3974" spans="1:1" ht="14.4" x14ac:dyDescent="0.3">
      <c r="A3974"/>
    </row>
    <row r="3975" spans="1:1" ht="14.4" x14ac:dyDescent="0.3">
      <c r="A3975"/>
    </row>
    <row r="3976" spans="1:1" ht="14.4" x14ac:dyDescent="0.3">
      <c r="A3976"/>
    </row>
    <row r="3977" spans="1:1" ht="14.4" x14ac:dyDescent="0.3">
      <c r="A3977"/>
    </row>
    <row r="3978" spans="1:1" ht="14.4" x14ac:dyDescent="0.3">
      <c r="A3978"/>
    </row>
    <row r="3979" spans="1:1" ht="14.4" x14ac:dyDescent="0.3">
      <c r="A3979"/>
    </row>
    <row r="3980" spans="1:1" ht="14.4" x14ac:dyDescent="0.3">
      <c r="A3980"/>
    </row>
    <row r="3981" spans="1:1" ht="14.4" x14ac:dyDescent="0.3">
      <c r="A3981"/>
    </row>
    <row r="3982" spans="1:1" ht="14.4" x14ac:dyDescent="0.3">
      <c r="A3982"/>
    </row>
    <row r="3983" spans="1:1" ht="14.4" x14ac:dyDescent="0.3">
      <c r="A3983"/>
    </row>
    <row r="3984" spans="1:1" ht="14.4" x14ac:dyDescent="0.3">
      <c r="A3984"/>
    </row>
    <row r="3985" spans="1:1" ht="14.4" x14ac:dyDescent="0.3">
      <c r="A3985"/>
    </row>
    <row r="3986" spans="1:1" ht="14.4" x14ac:dyDescent="0.3">
      <c r="A3986"/>
    </row>
    <row r="3987" spans="1:1" ht="14.4" x14ac:dyDescent="0.3">
      <c r="A3987"/>
    </row>
    <row r="3988" spans="1:1" ht="14.4" x14ac:dyDescent="0.3">
      <c r="A3988"/>
    </row>
    <row r="3989" spans="1:1" ht="14.4" x14ac:dyDescent="0.3">
      <c r="A3989"/>
    </row>
    <row r="3990" spans="1:1" ht="14.4" x14ac:dyDescent="0.3">
      <c r="A3990"/>
    </row>
    <row r="3991" spans="1:1" ht="14.4" x14ac:dyDescent="0.3">
      <c r="A3991"/>
    </row>
    <row r="3992" spans="1:1" ht="14.4" x14ac:dyDescent="0.3">
      <c r="A3992"/>
    </row>
    <row r="3993" spans="1:1" ht="14.4" x14ac:dyDescent="0.3">
      <c r="A3993"/>
    </row>
    <row r="3994" spans="1:1" ht="14.4" x14ac:dyDescent="0.3">
      <c r="A3994"/>
    </row>
    <row r="3995" spans="1:1" ht="14.4" x14ac:dyDescent="0.3">
      <c r="A3995"/>
    </row>
    <row r="3996" spans="1:1" ht="14.4" x14ac:dyDescent="0.3">
      <c r="A3996"/>
    </row>
    <row r="3997" spans="1:1" ht="14.4" x14ac:dyDescent="0.3">
      <c r="A3997"/>
    </row>
    <row r="3998" spans="1:1" ht="14.4" x14ac:dyDescent="0.3">
      <c r="A3998"/>
    </row>
    <row r="3999" spans="1:1" ht="14.4" x14ac:dyDescent="0.3">
      <c r="A3999"/>
    </row>
    <row r="4000" spans="1:1" ht="14.4" x14ac:dyDescent="0.3">
      <c r="A4000"/>
    </row>
    <row r="4001" spans="1:1" ht="14.4" x14ac:dyDescent="0.3">
      <c r="A4001"/>
    </row>
    <row r="4002" spans="1:1" ht="14.4" x14ac:dyDescent="0.3">
      <c r="A4002"/>
    </row>
    <row r="4003" spans="1:1" ht="14.4" x14ac:dyDescent="0.3">
      <c r="A4003"/>
    </row>
    <row r="4004" spans="1:1" ht="14.4" x14ac:dyDescent="0.3">
      <c r="A4004"/>
    </row>
    <row r="4005" spans="1:1" ht="14.4" x14ac:dyDescent="0.3">
      <c r="A4005"/>
    </row>
    <row r="4006" spans="1:1" ht="14.4" x14ac:dyDescent="0.3">
      <c r="A4006"/>
    </row>
    <row r="4007" spans="1:1" ht="14.4" x14ac:dyDescent="0.3">
      <c r="A4007"/>
    </row>
    <row r="4008" spans="1:1" ht="14.4" x14ac:dyDescent="0.3">
      <c r="A4008"/>
    </row>
    <row r="4009" spans="1:1" ht="14.4" x14ac:dyDescent="0.3">
      <c r="A4009"/>
    </row>
    <row r="4010" spans="1:1" ht="14.4" x14ac:dyDescent="0.3">
      <c r="A4010"/>
    </row>
    <row r="4011" spans="1:1" ht="14.4" x14ac:dyDescent="0.3">
      <c r="A4011"/>
    </row>
    <row r="4012" spans="1:1" ht="14.4" x14ac:dyDescent="0.3">
      <c r="A4012"/>
    </row>
    <row r="4013" spans="1:1" ht="14.4" x14ac:dyDescent="0.3">
      <c r="A4013"/>
    </row>
    <row r="4014" spans="1:1" ht="14.4" x14ac:dyDescent="0.3">
      <c r="A4014"/>
    </row>
    <row r="4015" spans="1:1" ht="14.4" x14ac:dyDescent="0.3">
      <c r="A4015"/>
    </row>
    <row r="4016" spans="1:1" ht="14.4" x14ac:dyDescent="0.3">
      <c r="A4016"/>
    </row>
    <row r="4017" spans="1:1" ht="14.4" x14ac:dyDescent="0.3">
      <c r="A4017"/>
    </row>
    <row r="4018" spans="1:1" ht="14.4" x14ac:dyDescent="0.3">
      <c r="A4018"/>
    </row>
    <row r="4019" spans="1:1" ht="14.4" x14ac:dyDescent="0.3">
      <c r="A4019"/>
    </row>
    <row r="4020" spans="1:1" ht="14.4" x14ac:dyDescent="0.3">
      <c r="A4020"/>
    </row>
    <row r="4021" spans="1:1" ht="14.4" x14ac:dyDescent="0.3">
      <c r="A4021"/>
    </row>
    <row r="4022" spans="1:1" ht="14.4" x14ac:dyDescent="0.3">
      <c r="A4022"/>
    </row>
    <row r="4023" spans="1:1" ht="14.4" x14ac:dyDescent="0.3">
      <c r="A4023"/>
    </row>
    <row r="4024" spans="1:1" ht="14.4" x14ac:dyDescent="0.3">
      <c r="A4024"/>
    </row>
    <row r="4025" spans="1:1" ht="14.4" x14ac:dyDescent="0.3">
      <c r="A4025"/>
    </row>
    <row r="4026" spans="1:1" ht="14.4" x14ac:dyDescent="0.3">
      <c r="A4026"/>
    </row>
    <row r="4027" spans="1:1" ht="14.4" x14ac:dyDescent="0.3">
      <c r="A4027"/>
    </row>
    <row r="4028" spans="1:1" ht="14.4" x14ac:dyDescent="0.3">
      <c r="A4028"/>
    </row>
    <row r="4029" spans="1:1" ht="14.4" x14ac:dyDescent="0.3">
      <c r="A4029"/>
    </row>
    <row r="4030" spans="1:1" ht="14.4" x14ac:dyDescent="0.3">
      <c r="A4030"/>
    </row>
    <row r="4031" spans="1:1" ht="14.4" x14ac:dyDescent="0.3">
      <c r="A4031"/>
    </row>
    <row r="4032" spans="1:1" ht="14.4" x14ac:dyDescent="0.3">
      <c r="A4032"/>
    </row>
    <row r="4033" spans="1:1" ht="14.4" x14ac:dyDescent="0.3">
      <c r="A4033"/>
    </row>
    <row r="4034" spans="1:1" ht="14.4" x14ac:dyDescent="0.3">
      <c r="A4034"/>
    </row>
    <row r="4035" spans="1:1" ht="14.4" x14ac:dyDescent="0.3">
      <c r="A4035"/>
    </row>
    <row r="4036" spans="1:1" ht="14.4" x14ac:dyDescent="0.3">
      <c r="A4036"/>
    </row>
    <row r="4037" spans="1:1" ht="14.4" x14ac:dyDescent="0.3">
      <c r="A4037"/>
    </row>
    <row r="4038" spans="1:1" ht="14.4" x14ac:dyDescent="0.3">
      <c r="A4038"/>
    </row>
    <row r="4039" spans="1:1" ht="14.4" x14ac:dyDescent="0.3">
      <c r="A4039"/>
    </row>
    <row r="4040" spans="1:1" ht="14.4" x14ac:dyDescent="0.3">
      <c r="A4040"/>
    </row>
    <row r="4041" spans="1:1" ht="14.4" x14ac:dyDescent="0.3">
      <c r="A4041"/>
    </row>
    <row r="4042" spans="1:1" ht="14.4" x14ac:dyDescent="0.3">
      <c r="A4042"/>
    </row>
    <row r="4043" spans="1:1" ht="14.4" x14ac:dyDescent="0.3">
      <c r="A4043"/>
    </row>
    <row r="4044" spans="1:1" ht="14.4" x14ac:dyDescent="0.3">
      <c r="A4044"/>
    </row>
    <row r="4045" spans="1:1" ht="14.4" x14ac:dyDescent="0.3">
      <c r="A4045"/>
    </row>
    <row r="4046" spans="1:1" ht="14.4" x14ac:dyDescent="0.3">
      <c r="A4046"/>
    </row>
    <row r="4047" spans="1:1" ht="14.4" x14ac:dyDescent="0.3">
      <c r="A4047"/>
    </row>
    <row r="4048" spans="1:1" ht="14.4" x14ac:dyDescent="0.3">
      <c r="A4048"/>
    </row>
    <row r="4049" spans="1:1" ht="14.4" x14ac:dyDescent="0.3">
      <c r="A4049"/>
    </row>
    <row r="4050" spans="1:1" ht="14.4" x14ac:dyDescent="0.3">
      <c r="A4050"/>
    </row>
    <row r="4051" spans="1:1" ht="14.4" x14ac:dyDescent="0.3">
      <c r="A4051"/>
    </row>
    <row r="4052" spans="1:1" ht="14.4" x14ac:dyDescent="0.3">
      <c r="A4052"/>
    </row>
    <row r="4053" spans="1:1" ht="14.4" x14ac:dyDescent="0.3">
      <c r="A4053"/>
    </row>
    <row r="4054" spans="1:1" ht="14.4" x14ac:dyDescent="0.3">
      <c r="A4054"/>
    </row>
    <row r="4055" spans="1:1" ht="14.4" x14ac:dyDescent="0.3">
      <c r="A4055"/>
    </row>
    <row r="4056" spans="1:1" ht="14.4" x14ac:dyDescent="0.3">
      <c r="A4056"/>
    </row>
    <row r="4057" spans="1:1" ht="14.4" x14ac:dyDescent="0.3">
      <c r="A4057"/>
    </row>
    <row r="4058" spans="1:1" ht="14.4" x14ac:dyDescent="0.3">
      <c r="A4058"/>
    </row>
    <row r="4059" spans="1:1" ht="14.4" x14ac:dyDescent="0.3">
      <c r="A4059"/>
    </row>
    <row r="4060" spans="1:1" ht="14.4" x14ac:dyDescent="0.3">
      <c r="A4060"/>
    </row>
    <row r="4061" spans="1:1" ht="14.4" x14ac:dyDescent="0.3">
      <c r="A4061"/>
    </row>
    <row r="4062" spans="1:1" ht="14.4" x14ac:dyDescent="0.3">
      <c r="A4062"/>
    </row>
    <row r="4063" spans="1:1" ht="14.4" x14ac:dyDescent="0.3">
      <c r="A4063"/>
    </row>
    <row r="4064" spans="1:1" ht="14.4" x14ac:dyDescent="0.3">
      <c r="A4064"/>
    </row>
    <row r="4065" spans="1:1" ht="14.4" x14ac:dyDescent="0.3">
      <c r="A4065"/>
    </row>
    <row r="4066" spans="1:1" ht="14.4" x14ac:dyDescent="0.3">
      <c r="A4066"/>
    </row>
    <row r="4067" spans="1:1" ht="14.4" x14ac:dyDescent="0.3">
      <c r="A4067"/>
    </row>
    <row r="4068" spans="1:1" ht="14.4" x14ac:dyDescent="0.3">
      <c r="A4068"/>
    </row>
    <row r="4069" spans="1:1" ht="14.4" x14ac:dyDescent="0.3">
      <c r="A4069"/>
    </row>
    <row r="4070" spans="1:1" ht="14.4" x14ac:dyDescent="0.3">
      <c r="A4070"/>
    </row>
    <row r="4071" spans="1:1" ht="14.4" x14ac:dyDescent="0.3">
      <c r="A4071"/>
    </row>
    <row r="4072" spans="1:1" ht="14.4" x14ac:dyDescent="0.3">
      <c r="A4072"/>
    </row>
    <row r="4073" spans="1:1" ht="14.4" x14ac:dyDescent="0.3">
      <c r="A4073"/>
    </row>
    <row r="4074" spans="1:1" ht="14.4" x14ac:dyDescent="0.3">
      <c r="A4074"/>
    </row>
    <row r="4075" spans="1:1" ht="14.4" x14ac:dyDescent="0.3">
      <c r="A4075"/>
    </row>
    <row r="4076" spans="1:1" ht="14.4" x14ac:dyDescent="0.3">
      <c r="A4076"/>
    </row>
    <row r="4077" spans="1:1" ht="14.4" x14ac:dyDescent="0.3">
      <c r="A4077"/>
    </row>
    <row r="4078" spans="1:1" ht="14.4" x14ac:dyDescent="0.3">
      <c r="A4078"/>
    </row>
    <row r="4079" spans="1:1" ht="14.4" x14ac:dyDescent="0.3">
      <c r="A4079"/>
    </row>
    <row r="4080" spans="1:1" ht="14.4" x14ac:dyDescent="0.3">
      <c r="A4080"/>
    </row>
    <row r="4081" spans="1:1" ht="14.4" x14ac:dyDescent="0.3">
      <c r="A4081"/>
    </row>
    <row r="4082" spans="1:1" ht="14.4" x14ac:dyDescent="0.3">
      <c r="A4082"/>
    </row>
    <row r="4083" spans="1:1" ht="14.4" x14ac:dyDescent="0.3">
      <c r="A4083"/>
    </row>
    <row r="4084" spans="1:1" ht="14.4" x14ac:dyDescent="0.3">
      <c r="A4084"/>
    </row>
    <row r="4085" spans="1:1" ht="14.4" x14ac:dyDescent="0.3">
      <c r="A4085"/>
    </row>
    <row r="4086" spans="1:1" ht="14.4" x14ac:dyDescent="0.3">
      <c r="A4086"/>
    </row>
    <row r="4087" spans="1:1" ht="14.4" x14ac:dyDescent="0.3">
      <c r="A4087"/>
    </row>
    <row r="4088" spans="1:1" ht="14.4" x14ac:dyDescent="0.3">
      <c r="A4088"/>
    </row>
    <row r="4089" spans="1:1" ht="14.4" x14ac:dyDescent="0.3">
      <c r="A4089"/>
    </row>
    <row r="4090" spans="1:1" ht="14.4" x14ac:dyDescent="0.3">
      <c r="A4090"/>
    </row>
    <row r="4091" spans="1:1" ht="14.4" x14ac:dyDescent="0.3">
      <c r="A4091"/>
    </row>
    <row r="4092" spans="1:1" ht="14.4" x14ac:dyDescent="0.3">
      <c r="A4092"/>
    </row>
    <row r="4093" spans="1:1" ht="14.4" x14ac:dyDescent="0.3">
      <c r="A4093"/>
    </row>
    <row r="4094" spans="1:1" ht="14.4" x14ac:dyDescent="0.3">
      <c r="A4094"/>
    </row>
    <row r="4095" spans="1:1" ht="14.4" x14ac:dyDescent="0.3">
      <c r="A4095"/>
    </row>
    <row r="4096" spans="1:1" ht="14.4" x14ac:dyDescent="0.3">
      <c r="A4096"/>
    </row>
    <row r="4097" spans="1:1" ht="14.4" x14ac:dyDescent="0.3">
      <c r="A4097"/>
    </row>
    <row r="4098" spans="1:1" ht="14.4" x14ac:dyDescent="0.3">
      <c r="A4098"/>
    </row>
    <row r="4099" spans="1:1" ht="14.4" x14ac:dyDescent="0.3">
      <c r="A4099"/>
    </row>
    <row r="4100" spans="1:1" ht="14.4" x14ac:dyDescent="0.3">
      <c r="A4100"/>
    </row>
    <row r="4101" spans="1:1" ht="14.4" x14ac:dyDescent="0.3">
      <c r="A4101"/>
    </row>
    <row r="4102" spans="1:1" ht="14.4" x14ac:dyDescent="0.3">
      <c r="A4102"/>
    </row>
    <row r="4103" spans="1:1" ht="14.4" x14ac:dyDescent="0.3">
      <c r="A4103"/>
    </row>
    <row r="4104" spans="1:1" ht="14.4" x14ac:dyDescent="0.3">
      <c r="A4104"/>
    </row>
    <row r="4105" spans="1:1" ht="14.4" x14ac:dyDescent="0.3">
      <c r="A4105"/>
    </row>
    <row r="4106" spans="1:1" ht="14.4" x14ac:dyDescent="0.3">
      <c r="A4106"/>
    </row>
    <row r="4107" spans="1:1" ht="14.4" x14ac:dyDescent="0.3">
      <c r="A4107"/>
    </row>
    <row r="4108" spans="1:1" ht="14.4" x14ac:dyDescent="0.3">
      <c r="A4108"/>
    </row>
    <row r="4109" spans="1:1" ht="14.4" x14ac:dyDescent="0.3">
      <c r="A4109"/>
    </row>
    <row r="4110" spans="1:1" ht="14.4" x14ac:dyDescent="0.3">
      <c r="A4110"/>
    </row>
    <row r="4111" spans="1:1" ht="14.4" x14ac:dyDescent="0.3">
      <c r="A4111"/>
    </row>
    <row r="4112" spans="1:1" ht="14.4" x14ac:dyDescent="0.3">
      <c r="A4112"/>
    </row>
    <row r="4113" spans="1:1" ht="14.4" x14ac:dyDescent="0.3">
      <c r="A4113"/>
    </row>
    <row r="4114" spans="1:1" ht="14.4" x14ac:dyDescent="0.3">
      <c r="A4114"/>
    </row>
    <row r="4115" spans="1:1" ht="14.4" x14ac:dyDescent="0.3">
      <c r="A4115"/>
    </row>
    <row r="4116" spans="1:1" ht="14.4" x14ac:dyDescent="0.3">
      <c r="A4116"/>
    </row>
    <row r="4117" spans="1:1" ht="14.4" x14ac:dyDescent="0.3">
      <c r="A4117"/>
    </row>
    <row r="4118" spans="1:1" ht="14.4" x14ac:dyDescent="0.3">
      <c r="A4118"/>
    </row>
    <row r="4119" spans="1:1" ht="14.4" x14ac:dyDescent="0.3">
      <c r="A4119"/>
    </row>
    <row r="4120" spans="1:1" ht="14.4" x14ac:dyDescent="0.3">
      <c r="A4120"/>
    </row>
    <row r="4121" spans="1:1" ht="14.4" x14ac:dyDescent="0.3">
      <c r="A4121"/>
    </row>
    <row r="4122" spans="1:1" ht="14.4" x14ac:dyDescent="0.3">
      <c r="A4122"/>
    </row>
    <row r="4123" spans="1:1" ht="14.4" x14ac:dyDescent="0.3">
      <c r="A4123"/>
    </row>
    <row r="4124" spans="1:1" ht="14.4" x14ac:dyDescent="0.3">
      <c r="A4124"/>
    </row>
    <row r="4125" spans="1:1" ht="14.4" x14ac:dyDescent="0.3">
      <c r="A4125"/>
    </row>
    <row r="4126" spans="1:1" ht="14.4" x14ac:dyDescent="0.3">
      <c r="A4126"/>
    </row>
    <row r="4127" spans="1:1" ht="14.4" x14ac:dyDescent="0.3">
      <c r="A4127"/>
    </row>
    <row r="4128" spans="1:1" ht="14.4" x14ac:dyDescent="0.3">
      <c r="A4128"/>
    </row>
    <row r="4129" spans="1:1" ht="14.4" x14ac:dyDescent="0.3">
      <c r="A4129"/>
    </row>
    <row r="4130" spans="1:1" ht="14.4" x14ac:dyDescent="0.3">
      <c r="A4130"/>
    </row>
    <row r="4131" spans="1:1" ht="14.4" x14ac:dyDescent="0.3">
      <c r="A4131"/>
    </row>
    <row r="4132" spans="1:1" ht="14.4" x14ac:dyDescent="0.3">
      <c r="A4132"/>
    </row>
    <row r="4133" spans="1:1" ht="14.4" x14ac:dyDescent="0.3">
      <c r="A4133"/>
    </row>
    <row r="4134" spans="1:1" ht="14.4" x14ac:dyDescent="0.3">
      <c r="A4134"/>
    </row>
    <row r="4135" spans="1:1" ht="14.4" x14ac:dyDescent="0.3">
      <c r="A4135"/>
    </row>
    <row r="4136" spans="1:1" ht="14.4" x14ac:dyDescent="0.3">
      <c r="A4136"/>
    </row>
    <row r="4137" spans="1:1" ht="14.4" x14ac:dyDescent="0.3">
      <c r="A4137"/>
    </row>
    <row r="4138" spans="1:1" ht="14.4" x14ac:dyDescent="0.3">
      <c r="A4138"/>
    </row>
    <row r="4139" spans="1:1" ht="14.4" x14ac:dyDescent="0.3">
      <c r="A4139"/>
    </row>
    <row r="4140" spans="1:1" ht="14.4" x14ac:dyDescent="0.3">
      <c r="A4140"/>
    </row>
    <row r="4141" spans="1:1" ht="14.4" x14ac:dyDescent="0.3">
      <c r="A4141"/>
    </row>
    <row r="4142" spans="1:1" ht="14.4" x14ac:dyDescent="0.3">
      <c r="A4142"/>
    </row>
    <row r="4143" spans="1:1" ht="14.4" x14ac:dyDescent="0.3">
      <c r="A4143"/>
    </row>
    <row r="4144" spans="1:1" ht="14.4" x14ac:dyDescent="0.3">
      <c r="A4144"/>
    </row>
    <row r="4145" spans="1:1" ht="14.4" x14ac:dyDescent="0.3">
      <c r="A4145"/>
    </row>
    <row r="4146" spans="1:1" ht="14.4" x14ac:dyDescent="0.3">
      <c r="A4146"/>
    </row>
    <row r="4147" spans="1:1" ht="14.4" x14ac:dyDescent="0.3">
      <c r="A4147"/>
    </row>
    <row r="4148" spans="1:1" ht="14.4" x14ac:dyDescent="0.3">
      <c r="A4148"/>
    </row>
    <row r="4149" spans="1:1" ht="14.4" x14ac:dyDescent="0.3">
      <c r="A4149"/>
    </row>
    <row r="4150" spans="1:1" ht="14.4" x14ac:dyDescent="0.3">
      <c r="A4150"/>
    </row>
    <row r="4151" spans="1:1" ht="14.4" x14ac:dyDescent="0.3">
      <c r="A4151"/>
    </row>
    <row r="4152" spans="1:1" ht="14.4" x14ac:dyDescent="0.3">
      <c r="A4152"/>
    </row>
    <row r="4153" spans="1:1" ht="14.4" x14ac:dyDescent="0.3">
      <c r="A4153"/>
    </row>
    <row r="4154" spans="1:1" ht="14.4" x14ac:dyDescent="0.3">
      <c r="A4154"/>
    </row>
    <row r="4155" spans="1:1" ht="14.4" x14ac:dyDescent="0.3">
      <c r="A4155"/>
    </row>
    <row r="4156" spans="1:1" ht="14.4" x14ac:dyDescent="0.3">
      <c r="A4156"/>
    </row>
    <row r="4157" spans="1:1" ht="14.4" x14ac:dyDescent="0.3">
      <c r="A4157"/>
    </row>
    <row r="4158" spans="1:1" ht="14.4" x14ac:dyDescent="0.3">
      <c r="A4158"/>
    </row>
    <row r="4159" spans="1:1" ht="14.4" x14ac:dyDescent="0.3">
      <c r="A4159"/>
    </row>
    <row r="4160" spans="1:1" ht="14.4" x14ac:dyDescent="0.3">
      <c r="A4160"/>
    </row>
    <row r="4161" spans="1:1" ht="14.4" x14ac:dyDescent="0.3">
      <c r="A4161"/>
    </row>
    <row r="4162" spans="1:1" ht="14.4" x14ac:dyDescent="0.3">
      <c r="A4162"/>
    </row>
    <row r="4163" spans="1:1" ht="14.4" x14ac:dyDescent="0.3">
      <c r="A4163"/>
    </row>
    <row r="4164" spans="1:1" ht="14.4" x14ac:dyDescent="0.3">
      <c r="A4164"/>
    </row>
    <row r="4165" spans="1:1" ht="14.4" x14ac:dyDescent="0.3">
      <c r="A4165"/>
    </row>
    <row r="4166" spans="1:1" ht="14.4" x14ac:dyDescent="0.3">
      <c r="A4166"/>
    </row>
    <row r="4167" spans="1:1" ht="14.4" x14ac:dyDescent="0.3">
      <c r="A4167"/>
    </row>
    <row r="4168" spans="1:1" ht="14.4" x14ac:dyDescent="0.3">
      <c r="A4168"/>
    </row>
    <row r="4169" spans="1:1" ht="14.4" x14ac:dyDescent="0.3">
      <c r="A4169"/>
    </row>
    <row r="4170" spans="1:1" ht="14.4" x14ac:dyDescent="0.3">
      <c r="A4170"/>
    </row>
    <row r="4171" spans="1:1" ht="14.4" x14ac:dyDescent="0.3">
      <c r="A4171"/>
    </row>
    <row r="4172" spans="1:1" ht="14.4" x14ac:dyDescent="0.3">
      <c r="A4172"/>
    </row>
    <row r="4173" spans="1:1" ht="14.4" x14ac:dyDescent="0.3">
      <c r="A4173"/>
    </row>
    <row r="4174" spans="1:1" ht="14.4" x14ac:dyDescent="0.3">
      <c r="A4174"/>
    </row>
    <row r="4175" spans="1:1" ht="14.4" x14ac:dyDescent="0.3">
      <c r="A4175"/>
    </row>
    <row r="4176" spans="1:1" ht="14.4" x14ac:dyDescent="0.3">
      <c r="A4176"/>
    </row>
    <row r="4177" spans="1:1" ht="14.4" x14ac:dyDescent="0.3">
      <c r="A4177"/>
    </row>
    <row r="4178" spans="1:1" ht="14.4" x14ac:dyDescent="0.3">
      <c r="A4178"/>
    </row>
    <row r="4179" spans="1:1" ht="14.4" x14ac:dyDescent="0.3">
      <c r="A4179"/>
    </row>
    <row r="4180" spans="1:1" ht="14.4" x14ac:dyDescent="0.3">
      <c r="A4180"/>
    </row>
    <row r="4181" spans="1:1" ht="14.4" x14ac:dyDescent="0.3">
      <c r="A4181"/>
    </row>
    <row r="4182" spans="1:1" ht="14.4" x14ac:dyDescent="0.3">
      <c r="A4182"/>
    </row>
    <row r="4183" spans="1:1" ht="14.4" x14ac:dyDescent="0.3">
      <c r="A4183"/>
    </row>
    <row r="4184" spans="1:1" ht="14.4" x14ac:dyDescent="0.3">
      <c r="A4184"/>
    </row>
    <row r="4185" spans="1:1" ht="14.4" x14ac:dyDescent="0.3">
      <c r="A4185"/>
    </row>
    <row r="4186" spans="1:1" ht="14.4" x14ac:dyDescent="0.3">
      <c r="A4186"/>
    </row>
    <row r="4187" spans="1:1" ht="14.4" x14ac:dyDescent="0.3">
      <c r="A4187"/>
    </row>
    <row r="4188" spans="1:1" ht="14.4" x14ac:dyDescent="0.3">
      <c r="A4188"/>
    </row>
    <row r="4189" spans="1:1" ht="14.4" x14ac:dyDescent="0.3">
      <c r="A4189"/>
    </row>
    <row r="4190" spans="1:1" ht="14.4" x14ac:dyDescent="0.3">
      <c r="A4190"/>
    </row>
    <row r="4191" spans="1:1" ht="14.4" x14ac:dyDescent="0.3">
      <c r="A4191"/>
    </row>
    <row r="4192" spans="1:1" ht="14.4" x14ac:dyDescent="0.3">
      <c r="A4192"/>
    </row>
    <row r="4193" spans="1:1" ht="14.4" x14ac:dyDescent="0.3">
      <c r="A4193"/>
    </row>
    <row r="4194" spans="1:1" ht="14.4" x14ac:dyDescent="0.3">
      <c r="A4194"/>
    </row>
    <row r="4195" spans="1:1" ht="14.4" x14ac:dyDescent="0.3">
      <c r="A4195"/>
    </row>
    <row r="4196" spans="1:1" ht="14.4" x14ac:dyDescent="0.3">
      <c r="A4196"/>
    </row>
    <row r="4197" spans="1:1" ht="14.4" x14ac:dyDescent="0.3">
      <c r="A4197"/>
    </row>
    <row r="4198" spans="1:1" ht="14.4" x14ac:dyDescent="0.3">
      <c r="A4198"/>
    </row>
    <row r="4199" spans="1:1" ht="14.4" x14ac:dyDescent="0.3">
      <c r="A4199"/>
    </row>
    <row r="4200" spans="1:1" ht="14.4" x14ac:dyDescent="0.3">
      <c r="A4200"/>
    </row>
    <row r="4201" spans="1:1" ht="14.4" x14ac:dyDescent="0.3">
      <c r="A4201"/>
    </row>
    <row r="4202" spans="1:1" ht="14.4" x14ac:dyDescent="0.3">
      <c r="A4202"/>
    </row>
    <row r="4203" spans="1:1" ht="14.4" x14ac:dyDescent="0.3">
      <c r="A4203"/>
    </row>
    <row r="4204" spans="1:1" ht="14.4" x14ac:dyDescent="0.3">
      <c r="A4204"/>
    </row>
    <row r="4205" spans="1:1" ht="14.4" x14ac:dyDescent="0.3">
      <c r="A4205"/>
    </row>
    <row r="4206" spans="1:1" ht="14.4" x14ac:dyDescent="0.3">
      <c r="A4206"/>
    </row>
    <row r="4207" spans="1:1" ht="14.4" x14ac:dyDescent="0.3">
      <c r="A4207"/>
    </row>
    <row r="4208" spans="1:1" ht="14.4" x14ac:dyDescent="0.3">
      <c r="A4208"/>
    </row>
    <row r="4209" spans="1:1" ht="14.4" x14ac:dyDescent="0.3">
      <c r="A4209"/>
    </row>
    <row r="4210" spans="1:1" ht="14.4" x14ac:dyDescent="0.3">
      <c r="A4210"/>
    </row>
    <row r="4211" spans="1:1" ht="14.4" x14ac:dyDescent="0.3">
      <c r="A4211"/>
    </row>
    <row r="4212" spans="1:1" ht="14.4" x14ac:dyDescent="0.3">
      <c r="A4212"/>
    </row>
    <row r="4213" spans="1:1" ht="14.4" x14ac:dyDescent="0.3">
      <c r="A4213"/>
    </row>
    <row r="4214" spans="1:1" ht="14.4" x14ac:dyDescent="0.3">
      <c r="A4214"/>
    </row>
    <row r="4215" spans="1:1" ht="14.4" x14ac:dyDescent="0.3">
      <c r="A4215"/>
    </row>
    <row r="4216" spans="1:1" ht="14.4" x14ac:dyDescent="0.3">
      <c r="A4216"/>
    </row>
    <row r="4217" spans="1:1" ht="14.4" x14ac:dyDescent="0.3">
      <c r="A4217"/>
    </row>
    <row r="4218" spans="1:1" ht="14.4" x14ac:dyDescent="0.3">
      <c r="A4218"/>
    </row>
    <row r="4219" spans="1:1" ht="14.4" x14ac:dyDescent="0.3">
      <c r="A4219"/>
    </row>
    <row r="4220" spans="1:1" ht="14.4" x14ac:dyDescent="0.3">
      <c r="A4220"/>
    </row>
    <row r="4221" spans="1:1" ht="14.4" x14ac:dyDescent="0.3">
      <c r="A4221"/>
    </row>
    <row r="4222" spans="1:1" ht="14.4" x14ac:dyDescent="0.3">
      <c r="A4222"/>
    </row>
    <row r="4223" spans="1:1" ht="14.4" x14ac:dyDescent="0.3">
      <c r="A4223"/>
    </row>
    <row r="4224" spans="1:1" ht="14.4" x14ac:dyDescent="0.3">
      <c r="A4224"/>
    </row>
    <row r="4225" spans="1:1" ht="14.4" x14ac:dyDescent="0.3">
      <c r="A4225"/>
    </row>
    <row r="4226" spans="1:1" ht="14.4" x14ac:dyDescent="0.3">
      <c r="A4226"/>
    </row>
    <row r="4227" spans="1:1" ht="14.4" x14ac:dyDescent="0.3">
      <c r="A4227"/>
    </row>
    <row r="4228" spans="1:1" ht="14.4" x14ac:dyDescent="0.3">
      <c r="A4228"/>
    </row>
    <row r="4229" spans="1:1" ht="14.4" x14ac:dyDescent="0.3">
      <c r="A4229"/>
    </row>
    <row r="4230" spans="1:1" ht="14.4" x14ac:dyDescent="0.3">
      <c r="A4230"/>
    </row>
    <row r="4231" spans="1:1" ht="14.4" x14ac:dyDescent="0.3">
      <c r="A4231"/>
    </row>
    <row r="4232" spans="1:1" ht="14.4" x14ac:dyDescent="0.3">
      <c r="A4232"/>
    </row>
    <row r="4233" spans="1:1" ht="14.4" x14ac:dyDescent="0.3">
      <c r="A4233"/>
    </row>
    <row r="4234" spans="1:1" ht="14.4" x14ac:dyDescent="0.3">
      <c r="A4234"/>
    </row>
    <row r="4235" spans="1:1" ht="14.4" x14ac:dyDescent="0.3">
      <c r="A4235"/>
    </row>
    <row r="4236" spans="1:1" ht="14.4" x14ac:dyDescent="0.3">
      <c r="A4236"/>
    </row>
    <row r="4237" spans="1:1" ht="14.4" x14ac:dyDescent="0.3">
      <c r="A4237"/>
    </row>
    <row r="4238" spans="1:1" ht="14.4" x14ac:dyDescent="0.3">
      <c r="A4238"/>
    </row>
    <row r="4239" spans="1:1" ht="14.4" x14ac:dyDescent="0.3">
      <c r="A4239"/>
    </row>
    <row r="4240" spans="1:1" ht="14.4" x14ac:dyDescent="0.3">
      <c r="A4240"/>
    </row>
    <row r="4241" spans="1:1" ht="14.4" x14ac:dyDescent="0.3">
      <c r="A4241"/>
    </row>
    <row r="4242" spans="1:1" ht="14.4" x14ac:dyDescent="0.3">
      <c r="A4242"/>
    </row>
    <row r="4243" spans="1:1" ht="14.4" x14ac:dyDescent="0.3">
      <c r="A4243"/>
    </row>
    <row r="4244" spans="1:1" ht="14.4" x14ac:dyDescent="0.3">
      <c r="A4244"/>
    </row>
    <row r="4245" spans="1:1" ht="14.4" x14ac:dyDescent="0.3">
      <c r="A4245"/>
    </row>
    <row r="4246" spans="1:1" ht="14.4" x14ac:dyDescent="0.3">
      <c r="A4246"/>
    </row>
    <row r="4247" spans="1:1" ht="14.4" x14ac:dyDescent="0.3">
      <c r="A4247"/>
    </row>
    <row r="4248" spans="1:1" ht="14.4" x14ac:dyDescent="0.3">
      <c r="A4248"/>
    </row>
    <row r="4249" spans="1:1" ht="14.4" x14ac:dyDescent="0.3">
      <c r="A4249"/>
    </row>
    <row r="4250" spans="1:1" ht="14.4" x14ac:dyDescent="0.3">
      <c r="A4250"/>
    </row>
    <row r="4251" spans="1:1" ht="14.4" x14ac:dyDescent="0.3">
      <c r="A4251"/>
    </row>
    <row r="4252" spans="1:1" ht="14.4" x14ac:dyDescent="0.3">
      <c r="A4252"/>
    </row>
    <row r="4253" spans="1:1" ht="14.4" x14ac:dyDescent="0.3">
      <c r="A4253"/>
    </row>
    <row r="4254" spans="1:1" ht="14.4" x14ac:dyDescent="0.3">
      <c r="A4254"/>
    </row>
    <row r="4255" spans="1:1" ht="14.4" x14ac:dyDescent="0.3">
      <c r="A4255"/>
    </row>
    <row r="4256" spans="1:1" ht="14.4" x14ac:dyDescent="0.3">
      <c r="A4256"/>
    </row>
    <row r="4257" spans="1:1" ht="14.4" x14ac:dyDescent="0.3">
      <c r="A4257"/>
    </row>
    <row r="4258" spans="1:1" ht="14.4" x14ac:dyDescent="0.3">
      <c r="A4258"/>
    </row>
    <row r="4259" spans="1:1" ht="14.4" x14ac:dyDescent="0.3">
      <c r="A4259"/>
    </row>
    <row r="4260" spans="1:1" ht="14.4" x14ac:dyDescent="0.3">
      <c r="A4260"/>
    </row>
    <row r="4261" spans="1:1" ht="14.4" x14ac:dyDescent="0.3">
      <c r="A4261"/>
    </row>
    <row r="4262" spans="1:1" ht="14.4" x14ac:dyDescent="0.3">
      <c r="A4262"/>
    </row>
    <row r="4263" spans="1:1" ht="14.4" x14ac:dyDescent="0.3">
      <c r="A4263"/>
    </row>
    <row r="4264" spans="1:1" ht="14.4" x14ac:dyDescent="0.3">
      <c r="A4264"/>
    </row>
    <row r="4265" spans="1:1" ht="14.4" x14ac:dyDescent="0.3">
      <c r="A4265"/>
    </row>
    <row r="4266" spans="1:1" ht="14.4" x14ac:dyDescent="0.3">
      <c r="A4266"/>
    </row>
    <row r="4267" spans="1:1" ht="14.4" x14ac:dyDescent="0.3">
      <c r="A4267"/>
    </row>
    <row r="4268" spans="1:1" ht="14.4" x14ac:dyDescent="0.3">
      <c r="A4268"/>
    </row>
    <row r="4269" spans="1:1" ht="14.4" x14ac:dyDescent="0.3">
      <c r="A4269"/>
    </row>
    <row r="4270" spans="1:1" ht="14.4" x14ac:dyDescent="0.3">
      <c r="A4270"/>
    </row>
    <row r="4271" spans="1:1" ht="14.4" x14ac:dyDescent="0.3">
      <c r="A4271"/>
    </row>
    <row r="4272" spans="1:1" ht="14.4" x14ac:dyDescent="0.3">
      <c r="A4272"/>
    </row>
    <row r="4273" spans="1:1" ht="14.4" x14ac:dyDescent="0.3">
      <c r="A4273"/>
    </row>
    <row r="4274" spans="1:1" ht="14.4" x14ac:dyDescent="0.3">
      <c r="A4274"/>
    </row>
    <row r="4275" spans="1:1" ht="14.4" x14ac:dyDescent="0.3">
      <c r="A4275"/>
    </row>
    <row r="4276" spans="1:1" ht="14.4" x14ac:dyDescent="0.3">
      <c r="A4276"/>
    </row>
    <row r="4277" spans="1:1" ht="14.4" x14ac:dyDescent="0.3">
      <c r="A4277"/>
    </row>
    <row r="4278" spans="1:1" ht="14.4" x14ac:dyDescent="0.3">
      <c r="A4278"/>
    </row>
    <row r="4279" spans="1:1" ht="14.4" x14ac:dyDescent="0.3">
      <c r="A4279"/>
    </row>
    <row r="4280" spans="1:1" ht="14.4" x14ac:dyDescent="0.3">
      <c r="A4280"/>
    </row>
    <row r="4281" spans="1:1" ht="14.4" x14ac:dyDescent="0.3">
      <c r="A4281"/>
    </row>
    <row r="4282" spans="1:1" ht="14.4" x14ac:dyDescent="0.3">
      <c r="A4282"/>
    </row>
    <row r="4283" spans="1:1" ht="14.4" x14ac:dyDescent="0.3">
      <c r="A4283"/>
    </row>
    <row r="4284" spans="1:1" ht="14.4" x14ac:dyDescent="0.3">
      <c r="A4284"/>
    </row>
    <row r="4285" spans="1:1" ht="14.4" x14ac:dyDescent="0.3">
      <c r="A4285"/>
    </row>
    <row r="4286" spans="1:1" ht="14.4" x14ac:dyDescent="0.3">
      <c r="A4286"/>
    </row>
    <row r="4287" spans="1:1" ht="14.4" x14ac:dyDescent="0.3">
      <c r="A4287"/>
    </row>
    <row r="4288" spans="1:1" ht="14.4" x14ac:dyDescent="0.3">
      <c r="A4288"/>
    </row>
    <row r="4289" spans="1:1" ht="14.4" x14ac:dyDescent="0.3">
      <c r="A4289"/>
    </row>
    <row r="4290" spans="1:1" ht="14.4" x14ac:dyDescent="0.3">
      <c r="A4290"/>
    </row>
    <row r="4291" spans="1:1" ht="14.4" x14ac:dyDescent="0.3">
      <c r="A4291"/>
    </row>
    <row r="4292" spans="1:1" ht="14.4" x14ac:dyDescent="0.3">
      <c r="A4292"/>
    </row>
    <row r="4293" spans="1:1" ht="14.4" x14ac:dyDescent="0.3">
      <c r="A4293"/>
    </row>
    <row r="4294" spans="1:1" ht="14.4" x14ac:dyDescent="0.3">
      <c r="A4294"/>
    </row>
    <row r="4295" spans="1:1" ht="14.4" x14ac:dyDescent="0.3">
      <c r="A4295"/>
    </row>
    <row r="4296" spans="1:1" ht="14.4" x14ac:dyDescent="0.3">
      <c r="A4296"/>
    </row>
    <row r="4297" spans="1:1" ht="14.4" x14ac:dyDescent="0.3">
      <c r="A4297"/>
    </row>
    <row r="4298" spans="1:1" ht="14.4" x14ac:dyDescent="0.3">
      <c r="A4298"/>
    </row>
    <row r="4299" spans="1:1" ht="14.4" x14ac:dyDescent="0.3">
      <c r="A4299"/>
    </row>
    <row r="4300" spans="1:1" ht="14.4" x14ac:dyDescent="0.3">
      <c r="A4300"/>
    </row>
    <row r="4301" spans="1:1" ht="14.4" x14ac:dyDescent="0.3">
      <c r="A4301"/>
    </row>
    <row r="4302" spans="1:1" ht="14.4" x14ac:dyDescent="0.3">
      <c r="A4302"/>
    </row>
    <row r="4303" spans="1:1" ht="14.4" x14ac:dyDescent="0.3">
      <c r="A4303"/>
    </row>
    <row r="4304" spans="1:1" ht="14.4" x14ac:dyDescent="0.3">
      <c r="A4304"/>
    </row>
    <row r="4305" spans="1:1" ht="14.4" x14ac:dyDescent="0.3">
      <c r="A4305"/>
    </row>
    <row r="4306" spans="1:1" ht="14.4" x14ac:dyDescent="0.3">
      <c r="A4306"/>
    </row>
    <row r="4307" spans="1:1" ht="14.4" x14ac:dyDescent="0.3">
      <c r="A4307"/>
    </row>
    <row r="4308" spans="1:1" ht="14.4" x14ac:dyDescent="0.3">
      <c r="A4308"/>
    </row>
    <row r="4309" spans="1:1" ht="14.4" x14ac:dyDescent="0.3">
      <c r="A4309"/>
    </row>
    <row r="4310" spans="1:1" ht="14.4" x14ac:dyDescent="0.3">
      <c r="A4310"/>
    </row>
    <row r="4311" spans="1:1" ht="14.4" x14ac:dyDescent="0.3">
      <c r="A4311"/>
    </row>
    <row r="4312" spans="1:1" ht="14.4" x14ac:dyDescent="0.3">
      <c r="A4312"/>
    </row>
    <row r="4313" spans="1:1" ht="14.4" x14ac:dyDescent="0.3">
      <c r="A4313"/>
    </row>
    <row r="4314" spans="1:1" ht="14.4" x14ac:dyDescent="0.3">
      <c r="A4314"/>
    </row>
    <row r="4315" spans="1:1" ht="14.4" x14ac:dyDescent="0.3">
      <c r="A4315"/>
    </row>
    <row r="4316" spans="1:1" ht="14.4" x14ac:dyDescent="0.3">
      <c r="A4316"/>
    </row>
    <row r="4317" spans="1:1" ht="14.4" x14ac:dyDescent="0.3">
      <c r="A4317"/>
    </row>
    <row r="4318" spans="1:1" ht="14.4" x14ac:dyDescent="0.3">
      <c r="A4318"/>
    </row>
    <row r="4319" spans="1:1" ht="14.4" x14ac:dyDescent="0.3">
      <c r="A4319"/>
    </row>
    <row r="4320" spans="1:1" ht="14.4" x14ac:dyDescent="0.3">
      <c r="A4320"/>
    </row>
    <row r="4321" spans="1:1" ht="14.4" x14ac:dyDescent="0.3">
      <c r="A4321"/>
    </row>
    <row r="4322" spans="1:1" ht="14.4" x14ac:dyDescent="0.3">
      <c r="A4322"/>
    </row>
    <row r="4323" spans="1:1" ht="14.4" x14ac:dyDescent="0.3">
      <c r="A4323"/>
    </row>
    <row r="4324" spans="1:1" ht="14.4" x14ac:dyDescent="0.3">
      <c r="A4324"/>
    </row>
    <row r="4325" spans="1:1" ht="14.4" x14ac:dyDescent="0.3">
      <c r="A4325"/>
    </row>
    <row r="4326" spans="1:1" ht="14.4" x14ac:dyDescent="0.3">
      <c r="A4326"/>
    </row>
    <row r="4327" spans="1:1" ht="14.4" x14ac:dyDescent="0.3">
      <c r="A4327"/>
    </row>
    <row r="4328" spans="1:1" ht="14.4" x14ac:dyDescent="0.3">
      <c r="A4328"/>
    </row>
    <row r="4329" spans="1:1" ht="14.4" x14ac:dyDescent="0.3">
      <c r="A4329"/>
    </row>
    <row r="4330" spans="1:1" ht="14.4" x14ac:dyDescent="0.3">
      <c r="A4330"/>
    </row>
    <row r="4331" spans="1:1" ht="14.4" x14ac:dyDescent="0.3">
      <c r="A4331"/>
    </row>
    <row r="4332" spans="1:1" ht="14.4" x14ac:dyDescent="0.3">
      <c r="A4332"/>
    </row>
    <row r="4333" spans="1:1" ht="14.4" x14ac:dyDescent="0.3">
      <c r="A4333"/>
    </row>
    <row r="4334" spans="1:1" ht="14.4" x14ac:dyDescent="0.3">
      <c r="A4334"/>
    </row>
    <row r="4335" spans="1:1" ht="14.4" x14ac:dyDescent="0.3">
      <c r="A4335"/>
    </row>
    <row r="4336" spans="1:1" ht="14.4" x14ac:dyDescent="0.3">
      <c r="A4336"/>
    </row>
    <row r="4337" spans="1:1" ht="14.4" x14ac:dyDescent="0.3">
      <c r="A4337"/>
    </row>
    <row r="4338" spans="1:1" ht="14.4" x14ac:dyDescent="0.3">
      <c r="A4338"/>
    </row>
    <row r="4339" spans="1:1" ht="14.4" x14ac:dyDescent="0.3">
      <c r="A4339"/>
    </row>
    <row r="4340" spans="1:1" ht="14.4" x14ac:dyDescent="0.3">
      <c r="A4340"/>
    </row>
    <row r="4341" spans="1:1" ht="14.4" x14ac:dyDescent="0.3">
      <c r="A4341"/>
    </row>
    <row r="4342" spans="1:1" ht="14.4" x14ac:dyDescent="0.3">
      <c r="A4342"/>
    </row>
    <row r="4343" spans="1:1" ht="14.4" x14ac:dyDescent="0.3">
      <c r="A4343"/>
    </row>
    <row r="4344" spans="1:1" ht="14.4" x14ac:dyDescent="0.3">
      <c r="A4344"/>
    </row>
    <row r="4345" spans="1:1" ht="14.4" x14ac:dyDescent="0.3">
      <c r="A4345"/>
    </row>
    <row r="4346" spans="1:1" ht="14.4" x14ac:dyDescent="0.3">
      <c r="A4346"/>
    </row>
    <row r="4347" spans="1:1" ht="14.4" x14ac:dyDescent="0.3">
      <c r="A4347"/>
    </row>
    <row r="4348" spans="1:1" ht="14.4" x14ac:dyDescent="0.3">
      <c r="A4348"/>
    </row>
    <row r="4349" spans="1:1" ht="14.4" x14ac:dyDescent="0.3">
      <c r="A4349"/>
    </row>
    <row r="4350" spans="1:1" ht="14.4" x14ac:dyDescent="0.3">
      <c r="A4350"/>
    </row>
    <row r="4351" spans="1:1" ht="14.4" x14ac:dyDescent="0.3">
      <c r="A4351"/>
    </row>
    <row r="4352" spans="1:1" ht="14.4" x14ac:dyDescent="0.3">
      <c r="A4352"/>
    </row>
    <row r="4353" spans="1:1" ht="14.4" x14ac:dyDescent="0.3">
      <c r="A4353"/>
    </row>
    <row r="4354" spans="1:1" ht="14.4" x14ac:dyDescent="0.3">
      <c r="A4354"/>
    </row>
    <row r="4355" spans="1:1" ht="14.4" x14ac:dyDescent="0.3">
      <c r="A4355"/>
    </row>
    <row r="4356" spans="1:1" ht="14.4" x14ac:dyDescent="0.3">
      <c r="A4356"/>
    </row>
    <row r="4357" spans="1:1" ht="14.4" x14ac:dyDescent="0.3">
      <c r="A4357"/>
    </row>
    <row r="4358" spans="1:1" ht="14.4" x14ac:dyDescent="0.3">
      <c r="A4358"/>
    </row>
    <row r="4359" spans="1:1" ht="14.4" x14ac:dyDescent="0.3">
      <c r="A4359"/>
    </row>
    <row r="4360" spans="1:1" ht="14.4" x14ac:dyDescent="0.3">
      <c r="A4360"/>
    </row>
    <row r="4361" spans="1:1" ht="14.4" x14ac:dyDescent="0.3">
      <c r="A4361"/>
    </row>
    <row r="4362" spans="1:1" ht="14.4" x14ac:dyDescent="0.3">
      <c r="A4362"/>
    </row>
    <row r="4363" spans="1:1" ht="14.4" x14ac:dyDescent="0.3">
      <c r="A4363"/>
    </row>
    <row r="4364" spans="1:1" ht="14.4" x14ac:dyDescent="0.3">
      <c r="A4364"/>
    </row>
    <row r="4365" spans="1:1" ht="14.4" x14ac:dyDescent="0.3">
      <c r="A4365"/>
    </row>
    <row r="4366" spans="1:1" ht="14.4" x14ac:dyDescent="0.3">
      <c r="A4366"/>
    </row>
    <row r="4367" spans="1:1" ht="14.4" x14ac:dyDescent="0.3">
      <c r="A4367"/>
    </row>
    <row r="4368" spans="1:1" ht="14.4" x14ac:dyDescent="0.3">
      <c r="A4368"/>
    </row>
    <row r="4369" spans="1:1" ht="14.4" x14ac:dyDescent="0.3">
      <c r="A4369"/>
    </row>
    <row r="4370" spans="1:1" ht="14.4" x14ac:dyDescent="0.3">
      <c r="A4370"/>
    </row>
    <row r="4371" spans="1:1" ht="14.4" x14ac:dyDescent="0.3">
      <c r="A4371"/>
    </row>
    <row r="4372" spans="1:1" ht="14.4" x14ac:dyDescent="0.3">
      <c r="A4372"/>
    </row>
    <row r="4373" spans="1:1" ht="14.4" x14ac:dyDescent="0.3">
      <c r="A4373"/>
    </row>
    <row r="4374" spans="1:1" ht="14.4" x14ac:dyDescent="0.3">
      <c r="A4374"/>
    </row>
    <row r="4375" spans="1:1" ht="14.4" x14ac:dyDescent="0.3">
      <c r="A4375"/>
    </row>
    <row r="4376" spans="1:1" ht="14.4" x14ac:dyDescent="0.3">
      <c r="A4376"/>
    </row>
    <row r="4377" spans="1:1" ht="14.4" x14ac:dyDescent="0.3">
      <c r="A4377"/>
    </row>
    <row r="4378" spans="1:1" ht="14.4" x14ac:dyDescent="0.3">
      <c r="A4378"/>
    </row>
    <row r="4379" spans="1:1" ht="14.4" x14ac:dyDescent="0.3">
      <c r="A4379"/>
    </row>
    <row r="4380" spans="1:1" ht="14.4" x14ac:dyDescent="0.3">
      <c r="A4380"/>
    </row>
    <row r="4381" spans="1:1" ht="14.4" x14ac:dyDescent="0.3">
      <c r="A4381"/>
    </row>
    <row r="4382" spans="1:1" ht="14.4" x14ac:dyDescent="0.3">
      <c r="A4382"/>
    </row>
    <row r="4383" spans="1:1" ht="14.4" x14ac:dyDescent="0.3">
      <c r="A4383"/>
    </row>
    <row r="4384" spans="1:1" ht="14.4" x14ac:dyDescent="0.3">
      <c r="A4384"/>
    </row>
    <row r="4385" spans="1:1" ht="14.4" x14ac:dyDescent="0.3">
      <c r="A4385"/>
    </row>
    <row r="4386" spans="1:1" ht="14.4" x14ac:dyDescent="0.3">
      <c r="A4386"/>
    </row>
    <row r="4387" spans="1:1" ht="14.4" x14ac:dyDescent="0.3">
      <c r="A4387"/>
    </row>
    <row r="4388" spans="1:1" ht="14.4" x14ac:dyDescent="0.3">
      <c r="A4388"/>
    </row>
    <row r="4389" spans="1:1" ht="14.4" x14ac:dyDescent="0.3">
      <c r="A4389"/>
    </row>
    <row r="4390" spans="1:1" ht="14.4" x14ac:dyDescent="0.3">
      <c r="A4390"/>
    </row>
    <row r="4391" spans="1:1" ht="14.4" x14ac:dyDescent="0.3">
      <c r="A4391"/>
    </row>
    <row r="4392" spans="1:1" ht="14.4" x14ac:dyDescent="0.3">
      <c r="A4392"/>
    </row>
    <row r="4393" spans="1:1" ht="14.4" x14ac:dyDescent="0.3">
      <c r="A4393"/>
    </row>
    <row r="4394" spans="1:1" ht="14.4" x14ac:dyDescent="0.3">
      <c r="A4394"/>
    </row>
    <row r="4395" spans="1:1" ht="14.4" x14ac:dyDescent="0.3">
      <c r="A4395"/>
    </row>
    <row r="4396" spans="1:1" ht="14.4" x14ac:dyDescent="0.3">
      <c r="A4396"/>
    </row>
    <row r="4397" spans="1:1" ht="14.4" x14ac:dyDescent="0.3">
      <c r="A4397"/>
    </row>
    <row r="4398" spans="1:1" ht="14.4" x14ac:dyDescent="0.3">
      <c r="A4398"/>
    </row>
    <row r="4399" spans="1:1" ht="14.4" x14ac:dyDescent="0.3">
      <c r="A4399"/>
    </row>
    <row r="4400" spans="1:1" ht="14.4" x14ac:dyDescent="0.3">
      <c r="A4400"/>
    </row>
    <row r="4401" spans="1:1" ht="14.4" x14ac:dyDescent="0.3">
      <c r="A4401"/>
    </row>
    <row r="4402" spans="1:1" ht="14.4" x14ac:dyDescent="0.3">
      <c r="A4402"/>
    </row>
    <row r="4403" spans="1:1" ht="14.4" x14ac:dyDescent="0.3">
      <c r="A4403"/>
    </row>
    <row r="4404" spans="1:1" ht="14.4" x14ac:dyDescent="0.3">
      <c r="A4404"/>
    </row>
    <row r="4405" spans="1:1" ht="14.4" x14ac:dyDescent="0.3">
      <c r="A4405"/>
    </row>
    <row r="4406" spans="1:1" ht="14.4" x14ac:dyDescent="0.3">
      <c r="A4406"/>
    </row>
    <row r="4407" spans="1:1" ht="14.4" x14ac:dyDescent="0.3">
      <c r="A4407"/>
    </row>
    <row r="4408" spans="1:1" ht="14.4" x14ac:dyDescent="0.3">
      <c r="A4408"/>
    </row>
    <row r="4409" spans="1:1" ht="14.4" x14ac:dyDescent="0.3">
      <c r="A4409"/>
    </row>
    <row r="4410" spans="1:1" ht="14.4" x14ac:dyDescent="0.3">
      <c r="A4410"/>
    </row>
    <row r="4411" spans="1:1" ht="14.4" x14ac:dyDescent="0.3">
      <c r="A4411"/>
    </row>
    <row r="4412" spans="1:1" ht="14.4" x14ac:dyDescent="0.3">
      <c r="A4412"/>
    </row>
    <row r="4413" spans="1:1" ht="14.4" x14ac:dyDescent="0.3">
      <c r="A4413"/>
    </row>
    <row r="4414" spans="1:1" ht="14.4" x14ac:dyDescent="0.3">
      <c r="A4414"/>
    </row>
    <row r="4415" spans="1:1" ht="14.4" x14ac:dyDescent="0.3">
      <c r="A4415"/>
    </row>
    <row r="4416" spans="1:1" ht="14.4" x14ac:dyDescent="0.3">
      <c r="A4416"/>
    </row>
    <row r="4417" spans="1:1" ht="14.4" x14ac:dyDescent="0.3">
      <c r="A4417"/>
    </row>
    <row r="4418" spans="1:1" ht="14.4" x14ac:dyDescent="0.3">
      <c r="A4418"/>
    </row>
    <row r="4419" spans="1:1" ht="14.4" x14ac:dyDescent="0.3">
      <c r="A4419"/>
    </row>
    <row r="4420" spans="1:1" ht="14.4" x14ac:dyDescent="0.3">
      <c r="A4420"/>
    </row>
    <row r="4421" spans="1:1" ht="14.4" x14ac:dyDescent="0.3">
      <c r="A4421"/>
    </row>
    <row r="4422" spans="1:1" ht="14.4" x14ac:dyDescent="0.3">
      <c r="A4422"/>
    </row>
    <row r="4423" spans="1:1" ht="14.4" x14ac:dyDescent="0.3">
      <c r="A4423"/>
    </row>
    <row r="4424" spans="1:1" ht="14.4" x14ac:dyDescent="0.3">
      <c r="A4424"/>
    </row>
    <row r="4425" spans="1:1" ht="14.4" x14ac:dyDescent="0.3">
      <c r="A4425"/>
    </row>
    <row r="4426" spans="1:1" ht="14.4" x14ac:dyDescent="0.3">
      <c r="A4426"/>
    </row>
    <row r="4427" spans="1:1" ht="14.4" x14ac:dyDescent="0.3">
      <c r="A4427"/>
    </row>
    <row r="4428" spans="1:1" ht="14.4" x14ac:dyDescent="0.3">
      <c r="A4428"/>
    </row>
    <row r="4429" spans="1:1" ht="14.4" x14ac:dyDescent="0.3">
      <c r="A4429"/>
    </row>
    <row r="4430" spans="1:1" ht="14.4" x14ac:dyDescent="0.3">
      <c r="A4430"/>
    </row>
    <row r="4431" spans="1:1" ht="14.4" x14ac:dyDescent="0.3">
      <c r="A4431"/>
    </row>
    <row r="4432" spans="1:1" ht="14.4" x14ac:dyDescent="0.3">
      <c r="A4432"/>
    </row>
    <row r="4433" spans="1:1" ht="14.4" x14ac:dyDescent="0.3">
      <c r="A4433"/>
    </row>
    <row r="4434" spans="1:1" ht="14.4" x14ac:dyDescent="0.3">
      <c r="A4434"/>
    </row>
    <row r="4435" spans="1:1" ht="14.4" x14ac:dyDescent="0.3">
      <c r="A4435"/>
    </row>
    <row r="4436" spans="1:1" ht="14.4" x14ac:dyDescent="0.3">
      <c r="A4436"/>
    </row>
    <row r="4437" spans="1:1" ht="14.4" x14ac:dyDescent="0.3">
      <c r="A4437"/>
    </row>
    <row r="4438" spans="1:1" ht="14.4" x14ac:dyDescent="0.3">
      <c r="A4438"/>
    </row>
    <row r="4439" spans="1:1" ht="14.4" x14ac:dyDescent="0.3">
      <c r="A4439"/>
    </row>
    <row r="4440" spans="1:1" ht="14.4" x14ac:dyDescent="0.3">
      <c r="A4440"/>
    </row>
    <row r="4441" spans="1:1" ht="14.4" x14ac:dyDescent="0.3">
      <c r="A4441"/>
    </row>
    <row r="4442" spans="1:1" ht="14.4" x14ac:dyDescent="0.3">
      <c r="A4442"/>
    </row>
    <row r="4443" spans="1:1" ht="14.4" x14ac:dyDescent="0.3">
      <c r="A4443"/>
    </row>
    <row r="4444" spans="1:1" ht="14.4" x14ac:dyDescent="0.3">
      <c r="A4444"/>
    </row>
    <row r="4445" spans="1:1" ht="14.4" x14ac:dyDescent="0.3">
      <c r="A4445"/>
    </row>
    <row r="4446" spans="1:1" ht="14.4" x14ac:dyDescent="0.3">
      <c r="A4446"/>
    </row>
    <row r="4447" spans="1:1" ht="14.4" x14ac:dyDescent="0.3">
      <c r="A4447"/>
    </row>
    <row r="4448" spans="1:1" ht="14.4" x14ac:dyDescent="0.3">
      <c r="A4448"/>
    </row>
    <row r="4449" spans="1:1" ht="14.4" x14ac:dyDescent="0.3">
      <c r="A4449"/>
    </row>
    <row r="4450" spans="1:1" ht="14.4" x14ac:dyDescent="0.3">
      <c r="A4450"/>
    </row>
    <row r="4451" spans="1:1" ht="14.4" x14ac:dyDescent="0.3">
      <c r="A4451"/>
    </row>
    <row r="4452" spans="1:1" ht="14.4" x14ac:dyDescent="0.3">
      <c r="A4452"/>
    </row>
    <row r="4453" spans="1:1" ht="14.4" x14ac:dyDescent="0.3">
      <c r="A4453"/>
    </row>
    <row r="4454" spans="1:1" ht="14.4" x14ac:dyDescent="0.3">
      <c r="A4454"/>
    </row>
    <row r="4455" spans="1:1" ht="14.4" x14ac:dyDescent="0.3">
      <c r="A4455"/>
    </row>
    <row r="4456" spans="1:1" ht="14.4" x14ac:dyDescent="0.3">
      <c r="A4456"/>
    </row>
    <row r="4457" spans="1:1" ht="14.4" x14ac:dyDescent="0.3">
      <c r="A4457"/>
    </row>
    <row r="4458" spans="1:1" ht="14.4" x14ac:dyDescent="0.3">
      <c r="A4458"/>
    </row>
    <row r="4459" spans="1:1" ht="14.4" x14ac:dyDescent="0.3">
      <c r="A4459"/>
    </row>
    <row r="4460" spans="1:1" ht="14.4" x14ac:dyDescent="0.3">
      <c r="A4460"/>
    </row>
    <row r="4461" spans="1:1" ht="14.4" x14ac:dyDescent="0.3">
      <c r="A4461"/>
    </row>
    <row r="4462" spans="1:1" ht="14.4" x14ac:dyDescent="0.3">
      <c r="A4462"/>
    </row>
    <row r="4463" spans="1:1" ht="14.4" x14ac:dyDescent="0.3">
      <c r="A4463"/>
    </row>
    <row r="4464" spans="1:1" ht="14.4" x14ac:dyDescent="0.3">
      <c r="A4464"/>
    </row>
    <row r="4465" spans="1:1" ht="14.4" x14ac:dyDescent="0.3">
      <c r="A4465"/>
    </row>
    <row r="4466" spans="1:1" ht="14.4" x14ac:dyDescent="0.3">
      <c r="A4466"/>
    </row>
    <row r="4467" spans="1:1" ht="14.4" x14ac:dyDescent="0.3">
      <c r="A4467"/>
    </row>
    <row r="4468" spans="1:1" ht="14.4" x14ac:dyDescent="0.3">
      <c r="A4468"/>
    </row>
    <row r="4469" spans="1:1" ht="14.4" x14ac:dyDescent="0.3">
      <c r="A4469"/>
    </row>
    <row r="4470" spans="1:1" ht="14.4" x14ac:dyDescent="0.3">
      <c r="A4470"/>
    </row>
    <row r="4471" spans="1:1" ht="14.4" x14ac:dyDescent="0.3">
      <c r="A4471"/>
    </row>
    <row r="4472" spans="1:1" ht="14.4" x14ac:dyDescent="0.3">
      <c r="A4472"/>
    </row>
    <row r="4473" spans="1:1" ht="14.4" x14ac:dyDescent="0.3">
      <c r="A4473"/>
    </row>
    <row r="4474" spans="1:1" ht="14.4" x14ac:dyDescent="0.3">
      <c r="A4474"/>
    </row>
    <row r="4475" spans="1:1" ht="14.4" x14ac:dyDescent="0.3">
      <c r="A4475"/>
    </row>
    <row r="4476" spans="1:1" ht="14.4" x14ac:dyDescent="0.3">
      <c r="A4476"/>
    </row>
    <row r="4477" spans="1:1" ht="14.4" x14ac:dyDescent="0.3">
      <c r="A4477"/>
    </row>
    <row r="4478" spans="1:1" ht="14.4" x14ac:dyDescent="0.3">
      <c r="A4478"/>
    </row>
    <row r="4479" spans="1:1" ht="14.4" x14ac:dyDescent="0.3">
      <c r="A4479"/>
    </row>
    <row r="4480" spans="1:1" ht="14.4" x14ac:dyDescent="0.3">
      <c r="A4480"/>
    </row>
    <row r="4481" spans="1:1" ht="14.4" x14ac:dyDescent="0.3">
      <c r="A4481"/>
    </row>
    <row r="4482" spans="1:1" ht="14.4" x14ac:dyDescent="0.3">
      <c r="A4482"/>
    </row>
    <row r="4483" spans="1:1" ht="14.4" x14ac:dyDescent="0.3">
      <c r="A4483"/>
    </row>
    <row r="4484" spans="1:1" ht="14.4" x14ac:dyDescent="0.3">
      <c r="A4484"/>
    </row>
    <row r="4485" spans="1:1" ht="14.4" x14ac:dyDescent="0.3">
      <c r="A4485"/>
    </row>
    <row r="4486" spans="1:1" ht="14.4" x14ac:dyDescent="0.3">
      <c r="A4486"/>
    </row>
    <row r="4487" spans="1:1" ht="14.4" x14ac:dyDescent="0.3">
      <c r="A4487"/>
    </row>
    <row r="4488" spans="1:1" ht="14.4" x14ac:dyDescent="0.3">
      <c r="A4488"/>
    </row>
    <row r="4489" spans="1:1" ht="14.4" x14ac:dyDescent="0.3">
      <c r="A4489"/>
    </row>
    <row r="4490" spans="1:1" ht="14.4" x14ac:dyDescent="0.3">
      <c r="A4490"/>
    </row>
    <row r="4491" spans="1:1" ht="14.4" x14ac:dyDescent="0.3">
      <c r="A4491"/>
    </row>
    <row r="4492" spans="1:1" ht="14.4" x14ac:dyDescent="0.3">
      <c r="A4492"/>
    </row>
    <row r="4493" spans="1:1" ht="14.4" x14ac:dyDescent="0.3">
      <c r="A4493"/>
    </row>
    <row r="4494" spans="1:1" ht="14.4" x14ac:dyDescent="0.3">
      <c r="A4494"/>
    </row>
    <row r="4495" spans="1:1" ht="14.4" x14ac:dyDescent="0.3">
      <c r="A4495"/>
    </row>
    <row r="4496" spans="1:1" ht="14.4" x14ac:dyDescent="0.3">
      <c r="A4496"/>
    </row>
    <row r="4497" spans="1:1" ht="14.4" x14ac:dyDescent="0.3">
      <c r="A4497"/>
    </row>
    <row r="4498" spans="1:1" ht="14.4" x14ac:dyDescent="0.3">
      <c r="A4498"/>
    </row>
    <row r="4499" spans="1:1" ht="14.4" x14ac:dyDescent="0.3">
      <c r="A4499"/>
    </row>
    <row r="4500" spans="1:1" ht="14.4" x14ac:dyDescent="0.3">
      <c r="A4500"/>
    </row>
    <row r="4501" spans="1:1" ht="14.4" x14ac:dyDescent="0.3">
      <c r="A4501"/>
    </row>
    <row r="4502" spans="1:1" ht="14.4" x14ac:dyDescent="0.3">
      <c r="A4502"/>
    </row>
    <row r="4503" spans="1:1" ht="14.4" x14ac:dyDescent="0.3">
      <c r="A4503"/>
    </row>
    <row r="4504" spans="1:1" ht="14.4" x14ac:dyDescent="0.3">
      <c r="A4504"/>
    </row>
    <row r="4505" spans="1:1" ht="14.4" x14ac:dyDescent="0.3">
      <c r="A4505"/>
    </row>
    <row r="4506" spans="1:1" ht="14.4" x14ac:dyDescent="0.3">
      <c r="A4506"/>
    </row>
    <row r="4507" spans="1:1" ht="14.4" x14ac:dyDescent="0.3">
      <c r="A4507"/>
    </row>
    <row r="4508" spans="1:1" ht="14.4" x14ac:dyDescent="0.3">
      <c r="A4508"/>
    </row>
    <row r="4509" spans="1:1" ht="14.4" x14ac:dyDescent="0.3">
      <c r="A4509"/>
    </row>
    <row r="4510" spans="1:1" ht="14.4" x14ac:dyDescent="0.3">
      <c r="A4510"/>
    </row>
    <row r="4511" spans="1:1" ht="14.4" x14ac:dyDescent="0.3">
      <c r="A4511"/>
    </row>
    <row r="4512" spans="1:1" ht="14.4" x14ac:dyDescent="0.3">
      <c r="A4512"/>
    </row>
    <row r="4513" spans="1:1" ht="14.4" x14ac:dyDescent="0.3">
      <c r="A4513"/>
    </row>
    <row r="4514" spans="1:1" ht="14.4" x14ac:dyDescent="0.3">
      <c r="A4514"/>
    </row>
    <row r="4515" spans="1:1" ht="14.4" x14ac:dyDescent="0.3">
      <c r="A4515"/>
    </row>
    <row r="4516" spans="1:1" ht="14.4" x14ac:dyDescent="0.3">
      <c r="A4516"/>
    </row>
    <row r="4517" spans="1:1" ht="14.4" x14ac:dyDescent="0.3">
      <c r="A4517"/>
    </row>
    <row r="4518" spans="1:1" ht="14.4" x14ac:dyDescent="0.3">
      <c r="A4518"/>
    </row>
    <row r="4519" spans="1:1" ht="14.4" x14ac:dyDescent="0.3">
      <c r="A4519"/>
    </row>
    <row r="4520" spans="1:1" ht="14.4" x14ac:dyDescent="0.3">
      <c r="A4520"/>
    </row>
    <row r="4521" spans="1:1" ht="14.4" x14ac:dyDescent="0.3">
      <c r="A4521"/>
    </row>
    <row r="4522" spans="1:1" ht="14.4" x14ac:dyDescent="0.3">
      <c r="A4522"/>
    </row>
    <row r="4523" spans="1:1" ht="14.4" x14ac:dyDescent="0.3">
      <c r="A4523"/>
    </row>
    <row r="4524" spans="1:1" ht="14.4" x14ac:dyDescent="0.3">
      <c r="A4524"/>
    </row>
    <row r="4525" spans="1:1" ht="14.4" x14ac:dyDescent="0.3">
      <c r="A4525"/>
    </row>
    <row r="4526" spans="1:1" ht="14.4" x14ac:dyDescent="0.3">
      <c r="A4526"/>
    </row>
    <row r="4527" spans="1:1" ht="14.4" x14ac:dyDescent="0.3">
      <c r="A4527"/>
    </row>
    <row r="4528" spans="1:1" ht="14.4" x14ac:dyDescent="0.3">
      <c r="A4528"/>
    </row>
    <row r="4529" spans="1:1" ht="14.4" x14ac:dyDescent="0.3">
      <c r="A4529"/>
    </row>
    <row r="4530" spans="1:1" ht="14.4" x14ac:dyDescent="0.3">
      <c r="A4530"/>
    </row>
    <row r="4531" spans="1:1" ht="14.4" x14ac:dyDescent="0.3">
      <c r="A4531"/>
    </row>
    <row r="4532" spans="1:1" ht="14.4" x14ac:dyDescent="0.3">
      <c r="A4532"/>
    </row>
    <row r="4533" spans="1:1" ht="14.4" x14ac:dyDescent="0.3">
      <c r="A4533"/>
    </row>
    <row r="4534" spans="1:1" ht="14.4" x14ac:dyDescent="0.3">
      <c r="A4534"/>
    </row>
    <row r="4535" spans="1:1" ht="14.4" x14ac:dyDescent="0.3">
      <c r="A4535"/>
    </row>
    <row r="4536" spans="1:1" ht="14.4" x14ac:dyDescent="0.3">
      <c r="A4536"/>
    </row>
    <row r="4537" spans="1:1" ht="14.4" x14ac:dyDescent="0.3">
      <c r="A4537"/>
    </row>
    <row r="4538" spans="1:1" ht="14.4" x14ac:dyDescent="0.3">
      <c r="A4538"/>
    </row>
    <row r="4539" spans="1:1" ht="14.4" x14ac:dyDescent="0.3">
      <c r="A4539"/>
    </row>
    <row r="4540" spans="1:1" ht="14.4" x14ac:dyDescent="0.3">
      <c r="A4540"/>
    </row>
    <row r="4541" spans="1:1" ht="14.4" x14ac:dyDescent="0.3">
      <c r="A4541"/>
    </row>
    <row r="4542" spans="1:1" ht="14.4" x14ac:dyDescent="0.3">
      <c r="A4542"/>
    </row>
    <row r="4543" spans="1:1" ht="14.4" x14ac:dyDescent="0.3">
      <c r="A4543"/>
    </row>
    <row r="4544" spans="1:1" ht="14.4" x14ac:dyDescent="0.3">
      <c r="A4544"/>
    </row>
    <row r="4545" spans="1:1" ht="14.4" x14ac:dyDescent="0.3">
      <c r="A4545"/>
    </row>
    <row r="4546" spans="1:1" ht="14.4" x14ac:dyDescent="0.3">
      <c r="A4546"/>
    </row>
    <row r="4547" spans="1:1" ht="14.4" x14ac:dyDescent="0.3">
      <c r="A4547"/>
    </row>
    <row r="4548" spans="1:1" ht="14.4" x14ac:dyDescent="0.3">
      <c r="A4548"/>
    </row>
    <row r="4549" spans="1:1" ht="14.4" x14ac:dyDescent="0.3">
      <c r="A4549"/>
    </row>
    <row r="4550" spans="1:1" ht="14.4" x14ac:dyDescent="0.3">
      <c r="A4550"/>
    </row>
    <row r="4551" spans="1:1" ht="14.4" x14ac:dyDescent="0.3">
      <c r="A4551"/>
    </row>
    <row r="4552" spans="1:1" ht="14.4" x14ac:dyDescent="0.3">
      <c r="A4552"/>
    </row>
    <row r="4553" spans="1:1" ht="14.4" x14ac:dyDescent="0.3">
      <c r="A4553"/>
    </row>
    <row r="4554" spans="1:1" ht="14.4" x14ac:dyDescent="0.3">
      <c r="A4554"/>
    </row>
    <row r="4555" spans="1:1" ht="14.4" x14ac:dyDescent="0.3">
      <c r="A4555"/>
    </row>
    <row r="4556" spans="1:1" ht="14.4" x14ac:dyDescent="0.3">
      <c r="A4556"/>
    </row>
    <row r="4557" spans="1:1" ht="14.4" x14ac:dyDescent="0.3">
      <c r="A4557"/>
    </row>
    <row r="4558" spans="1:1" ht="14.4" x14ac:dyDescent="0.3">
      <c r="A4558"/>
    </row>
    <row r="4559" spans="1:1" ht="14.4" x14ac:dyDescent="0.3">
      <c r="A4559"/>
    </row>
    <row r="4560" spans="1:1" ht="14.4" x14ac:dyDescent="0.3">
      <c r="A4560"/>
    </row>
    <row r="4561" spans="1:1" ht="14.4" x14ac:dyDescent="0.3">
      <c r="A4561"/>
    </row>
    <row r="4562" spans="1:1" ht="14.4" x14ac:dyDescent="0.3">
      <c r="A4562"/>
    </row>
    <row r="4563" spans="1:1" ht="14.4" x14ac:dyDescent="0.3">
      <c r="A4563"/>
    </row>
    <row r="4564" spans="1:1" ht="14.4" x14ac:dyDescent="0.3">
      <c r="A4564"/>
    </row>
    <row r="4565" spans="1:1" ht="14.4" x14ac:dyDescent="0.3">
      <c r="A4565"/>
    </row>
    <row r="4566" spans="1:1" ht="14.4" x14ac:dyDescent="0.3">
      <c r="A4566"/>
    </row>
    <row r="4567" spans="1:1" ht="14.4" x14ac:dyDescent="0.3">
      <c r="A4567"/>
    </row>
    <row r="4568" spans="1:1" ht="14.4" x14ac:dyDescent="0.3">
      <c r="A4568"/>
    </row>
    <row r="4569" spans="1:1" ht="14.4" x14ac:dyDescent="0.3">
      <c r="A4569"/>
    </row>
    <row r="4570" spans="1:1" ht="14.4" x14ac:dyDescent="0.3">
      <c r="A4570"/>
    </row>
    <row r="4571" spans="1:1" ht="14.4" x14ac:dyDescent="0.3">
      <c r="A4571"/>
    </row>
    <row r="4572" spans="1:1" ht="14.4" x14ac:dyDescent="0.3">
      <c r="A4572"/>
    </row>
    <row r="4573" spans="1:1" ht="14.4" x14ac:dyDescent="0.3">
      <c r="A4573"/>
    </row>
    <row r="4574" spans="1:1" ht="14.4" x14ac:dyDescent="0.3">
      <c r="A4574"/>
    </row>
    <row r="4575" spans="1:1" ht="14.4" x14ac:dyDescent="0.3">
      <c r="A4575"/>
    </row>
    <row r="4576" spans="1:1" ht="14.4" x14ac:dyDescent="0.3">
      <c r="A4576"/>
    </row>
    <row r="4577" spans="1:1" ht="14.4" x14ac:dyDescent="0.3">
      <c r="A4577"/>
    </row>
    <row r="4578" spans="1:1" ht="14.4" x14ac:dyDescent="0.3">
      <c r="A4578"/>
    </row>
    <row r="4579" spans="1:1" ht="14.4" x14ac:dyDescent="0.3">
      <c r="A4579"/>
    </row>
    <row r="4580" spans="1:1" ht="14.4" x14ac:dyDescent="0.3">
      <c r="A4580"/>
    </row>
    <row r="4581" spans="1:1" ht="14.4" x14ac:dyDescent="0.3">
      <c r="A4581"/>
    </row>
    <row r="4582" spans="1:1" ht="14.4" x14ac:dyDescent="0.3">
      <c r="A4582"/>
    </row>
    <row r="4583" spans="1:1" ht="14.4" x14ac:dyDescent="0.3">
      <c r="A4583"/>
    </row>
    <row r="4584" spans="1:1" ht="14.4" x14ac:dyDescent="0.3">
      <c r="A4584"/>
    </row>
    <row r="4585" spans="1:1" ht="14.4" x14ac:dyDescent="0.3">
      <c r="A4585"/>
    </row>
    <row r="4586" spans="1:1" ht="14.4" x14ac:dyDescent="0.3">
      <c r="A4586"/>
    </row>
    <row r="4587" spans="1:1" ht="14.4" x14ac:dyDescent="0.3">
      <c r="A4587"/>
    </row>
    <row r="4588" spans="1:1" ht="14.4" x14ac:dyDescent="0.3">
      <c r="A4588"/>
    </row>
    <row r="4589" spans="1:1" ht="14.4" x14ac:dyDescent="0.3">
      <c r="A4589"/>
    </row>
    <row r="4590" spans="1:1" ht="14.4" x14ac:dyDescent="0.3">
      <c r="A4590"/>
    </row>
    <row r="4591" spans="1:1" ht="14.4" x14ac:dyDescent="0.3">
      <c r="A4591"/>
    </row>
    <row r="4592" spans="1:1" ht="14.4" x14ac:dyDescent="0.3">
      <c r="A4592"/>
    </row>
    <row r="4593" spans="1:1" ht="14.4" x14ac:dyDescent="0.3">
      <c r="A4593"/>
    </row>
    <row r="4594" spans="1:1" ht="14.4" x14ac:dyDescent="0.3">
      <c r="A4594"/>
    </row>
    <row r="4595" spans="1:1" ht="14.4" x14ac:dyDescent="0.3">
      <c r="A4595"/>
    </row>
    <row r="4596" spans="1:1" ht="14.4" x14ac:dyDescent="0.3">
      <c r="A4596"/>
    </row>
    <row r="4597" spans="1:1" ht="14.4" x14ac:dyDescent="0.3">
      <c r="A4597"/>
    </row>
    <row r="4598" spans="1:1" ht="14.4" x14ac:dyDescent="0.3">
      <c r="A4598"/>
    </row>
    <row r="4599" spans="1:1" ht="14.4" x14ac:dyDescent="0.3">
      <c r="A4599"/>
    </row>
    <row r="4600" spans="1:1" ht="14.4" x14ac:dyDescent="0.3">
      <c r="A4600"/>
    </row>
    <row r="4601" spans="1:1" ht="14.4" x14ac:dyDescent="0.3">
      <c r="A4601"/>
    </row>
    <row r="4602" spans="1:1" ht="14.4" x14ac:dyDescent="0.3">
      <c r="A4602"/>
    </row>
    <row r="4603" spans="1:1" ht="14.4" x14ac:dyDescent="0.3">
      <c r="A4603"/>
    </row>
    <row r="4604" spans="1:1" ht="14.4" x14ac:dyDescent="0.3">
      <c r="A4604"/>
    </row>
    <row r="4605" spans="1:1" ht="14.4" x14ac:dyDescent="0.3">
      <c r="A4605"/>
    </row>
    <row r="4606" spans="1:1" ht="14.4" x14ac:dyDescent="0.3">
      <c r="A4606"/>
    </row>
    <row r="4607" spans="1:1" ht="14.4" x14ac:dyDescent="0.3">
      <c r="A4607"/>
    </row>
    <row r="4608" spans="1:1" ht="14.4" x14ac:dyDescent="0.3">
      <c r="A4608"/>
    </row>
    <row r="4609" spans="1:1" ht="14.4" x14ac:dyDescent="0.3">
      <c r="A4609"/>
    </row>
    <row r="4610" spans="1:1" ht="14.4" x14ac:dyDescent="0.3">
      <c r="A4610"/>
    </row>
    <row r="4611" spans="1:1" ht="14.4" x14ac:dyDescent="0.3">
      <c r="A4611"/>
    </row>
    <row r="4612" spans="1:1" ht="14.4" x14ac:dyDescent="0.3">
      <c r="A4612"/>
    </row>
    <row r="4613" spans="1:1" ht="14.4" x14ac:dyDescent="0.3">
      <c r="A4613"/>
    </row>
    <row r="4614" spans="1:1" ht="14.4" x14ac:dyDescent="0.3">
      <c r="A4614"/>
    </row>
    <row r="4615" spans="1:1" ht="14.4" x14ac:dyDescent="0.3">
      <c r="A4615"/>
    </row>
    <row r="4616" spans="1:1" ht="14.4" x14ac:dyDescent="0.3">
      <c r="A4616"/>
    </row>
    <row r="4617" spans="1:1" ht="14.4" x14ac:dyDescent="0.3">
      <c r="A4617"/>
    </row>
    <row r="4618" spans="1:1" ht="14.4" x14ac:dyDescent="0.3">
      <c r="A4618"/>
    </row>
    <row r="4619" spans="1:1" ht="14.4" x14ac:dyDescent="0.3">
      <c r="A4619"/>
    </row>
    <row r="4620" spans="1:1" ht="14.4" x14ac:dyDescent="0.3">
      <c r="A4620"/>
    </row>
    <row r="4621" spans="1:1" ht="14.4" x14ac:dyDescent="0.3">
      <c r="A4621"/>
    </row>
    <row r="4622" spans="1:1" ht="14.4" x14ac:dyDescent="0.3">
      <c r="A4622"/>
    </row>
    <row r="4623" spans="1:1" ht="14.4" x14ac:dyDescent="0.3">
      <c r="A4623"/>
    </row>
    <row r="4624" spans="1:1" ht="14.4" x14ac:dyDescent="0.3">
      <c r="A4624"/>
    </row>
    <row r="4625" spans="1:1" ht="14.4" x14ac:dyDescent="0.3">
      <c r="A4625"/>
    </row>
    <row r="4626" spans="1:1" ht="14.4" x14ac:dyDescent="0.3">
      <c r="A4626"/>
    </row>
    <row r="4627" spans="1:1" ht="14.4" x14ac:dyDescent="0.3">
      <c r="A4627"/>
    </row>
    <row r="4628" spans="1:1" ht="14.4" x14ac:dyDescent="0.3">
      <c r="A4628"/>
    </row>
    <row r="4629" spans="1:1" ht="14.4" x14ac:dyDescent="0.3">
      <c r="A4629"/>
    </row>
    <row r="4630" spans="1:1" ht="14.4" x14ac:dyDescent="0.3">
      <c r="A4630"/>
    </row>
    <row r="4631" spans="1:1" ht="14.4" x14ac:dyDescent="0.3">
      <c r="A4631"/>
    </row>
    <row r="4632" spans="1:1" ht="14.4" x14ac:dyDescent="0.3">
      <c r="A4632"/>
    </row>
    <row r="4633" spans="1:1" ht="14.4" x14ac:dyDescent="0.3">
      <c r="A4633"/>
    </row>
    <row r="4634" spans="1:1" ht="14.4" x14ac:dyDescent="0.3">
      <c r="A4634"/>
    </row>
    <row r="4635" spans="1:1" ht="14.4" x14ac:dyDescent="0.3">
      <c r="A4635"/>
    </row>
    <row r="4636" spans="1:1" ht="14.4" x14ac:dyDescent="0.3">
      <c r="A4636"/>
    </row>
    <row r="4637" spans="1:1" ht="14.4" x14ac:dyDescent="0.3">
      <c r="A4637"/>
    </row>
    <row r="4638" spans="1:1" ht="14.4" x14ac:dyDescent="0.3">
      <c r="A4638"/>
    </row>
    <row r="4639" spans="1:1" ht="14.4" x14ac:dyDescent="0.3">
      <c r="A4639"/>
    </row>
    <row r="4640" spans="1:1" ht="14.4" x14ac:dyDescent="0.3">
      <c r="A4640"/>
    </row>
    <row r="4641" spans="1:1" ht="14.4" x14ac:dyDescent="0.3">
      <c r="A4641"/>
    </row>
    <row r="4642" spans="1:1" ht="14.4" x14ac:dyDescent="0.3">
      <c r="A4642"/>
    </row>
    <row r="4643" spans="1:1" ht="14.4" x14ac:dyDescent="0.3">
      <c r="A4643"/>
    </row>
    <row r="4644" spans="1:1" ht="14.4" x14ac:dyDescent="0.3">
      <c r="A4644"/>
    </row>
    <row r="4645" spans="1:1" ht="14.4" x14ac:dyDescent="0.3">
      <c r="A4645"/>
    </row>
    <row r="4646" spans="1:1" ht="14.4" x14ac:dyDescent="0.3">
      <c r="A4646"/>
    </row>
    <row r="4647" spans="1:1" ht="14.4" x14ac:dyDescent="0.3">
      <c r="A4647"/>
    </row>
    <row r="4648" spans="1:1" ht="14.4" x14ac:dyDescent="0.3">
      <c r="A4648"/>
    </row>
    <row r="4649" spans="1:1" ht="14.4" x14ac:dyDescent="0.3">
      <c r="A4649"/>
    </row>
    <row r="4650" spans="1:1" ht="14.4" x14ac:dyDescent="0.3">
      <c r="A4650"/>
    </row>
    <row r="4651" spans="1:1" ht="14.4" x14ac:dyDescent="0.3">
      <c r="A4651"/>
    </row>
    <row r="4652" spans="1:1" ht="14.4" x14ac:dyDescent="0.3">
      <c r="A4652"/>
    </row>
    <row r="4653" spans="1:1" ht="14.4" x14ac:dyDescent="0.3">
      <c r="A4653"/>
    </row>
    <row r="4654" spans="1:1" ht="14.4" x14ac:dyDescent="0.3">
      <c r="A4654"/>
    </row>
    <row r="4655" spans="1:1" ht="14.4" x14ac:dyDescent="0.3">
      <c r="A4655"/>
    </row>
    <row r="4656" spans="1:1" ht="14.4" x14ac:dyDescent="0.3">
      <c r="A4656"/>
    </row>
    <row r="4657" spans="1:1" ht="14.4" x14ac:dyDescent="0.3">
      <c r="A4657"/>
    </row>
    <row r="4658" spans="1:1" ht="14.4" x14ac:dyDescent="0.3">
      <c r="A4658"/>
    </row>
    <row r="4659" spans="1:1" ht="14.4" x14ac:dyDescent="0.3">
      <c r="A4659"/>
    </row>
    <row r="4660" spans="1:1" ht="14.4" x14ac:dyDescent="0.3">
      <c r="A4660"/>
    </row>
    <row r="4661" spans="1:1" ht="14.4" x14ac:dyDescent="0.3">
      <c r="A4661"/>
    </row>
    <row r="4662" spans="1:1" ht="14.4" x14ac:dyDescent="0.3">
      <c r="A4662"/>
    </row>
    <row r="4663" spans="1:1" ht="14.4" x14ac:dyDescent="0.3">
      <c r="A4663"/>
    </row>
    <row r="4664" spans="1:1" ht="14.4" x14ac:dyDescent="0.3">
      <c r="A4664"/>
    </row>
    <row r="4665" spans="1:1" ht="14.4" x14ac:dyDescent="0.3">
      <c r="A4665"/>
    </row>
    <row r="4666" spans="1:1" ht="14.4" x14ac:dyDescent="0.3">
      <c r="A4666"/>
    </row>
    <row r="4667" spans="1:1" ht="14.4" x14ac:dyDescent="0.3">
      <c r="A4667"/>
    </row>
    <row r="4668" spans="1:1" ht="14.4" x14ac:dyDescent="0.3">
      <c r="A4668"/>
    </row>
    <row r="4669" spans="1:1" ht="14.4" x14ac:dyDescent="0.3">
      <c r="A4669"/>
    </row>
    <row r="4670" spans="1:1" ht="14.4" x14ac:dyDescent="0.3">
      <c r="A4670"/>
    </row>
    <row r="4671" spans="1:1" ht="14.4" x14ac:dyDescent="0.3">
      <c r="A4671"/>
    </row>
    <row r="4672" spans="1:1" ht="14.4" x14ac:dyDescent="0.3">
      <c r="A4672"/>
    </row>
    <row r="4673" spans="1:1" ht="14.4" x14ac:dyDescent="0.3">
      <c r="A4673"/>
    </row>
    <row r="4674" spans="1:1" ht="14.4" x14ac:dyDescent="0.3">
      <c r="A4674"/>
    </row>
    <row r="4675" spans="1:1" ht="14.4" x14ac:dyDescent="0.3">
      <c r="A4675"/>
    </row>
    <row r="4676" spans="1:1" ht="14.4" x14ac:dyDescent="0.3">
      <c r="A4676"/>
    </row>
    <row r="4677" spans="1:1" ht="14.4" x14ac:dyDescent="0.3">
      <c r="A4677"/>
    </row>
    <row r="4678" spans="1:1" ht="14.4" x14ac:dyDescent="0.3">
      <c r="A4678"/>
    </row>
    <row r="4679" spans="1:1" ht="14.4" x14ac:dyDescent="0.3">
      <c r="A4679"/>
    </row>
    <row r="4680" spans="1:1" ht="14.4" x14ac:dyDescent="0.3">
      <c r="A4680"/>
    </row>
    <row r="4681" spans="1:1" ht="14.4" x14ac:dyDescent="0.3">
      <c r="A4681"/>
    </row>
    <row r="4682" spans="1:1" ht="14.4" x14ac:dyDescent="0.3">
      <c r="A4682"/>
    </row>
    <row r="4683" spans="1:1" ht="14.4" x14ac:dyDescent="0.3">
      <c r="A4683"/>
    </row>
    <row r="4684" spans="1:1" ht="14.4" x14ac:dyDescent="0.3">
      <c r="A4684"/>
    </row>
    <row r="4685" spans="1:1" ht="14.4" x14ac:dyDescent="0.3">
      <c r="A4685"/>
    </row>
    <row r="4686" spans="1:1" ht="14.4" x14ac:dyDescent="0.3">
      <c r="A4686"/>
    </row>
    <row r="4687" spans="1:1" ht="14.4" x14ac:dyDescent="0.3">
      <c r="A4687"/>
    </row>
    <row r="4688" spans="1:1" ht="14.4" x14ac:dyDescent="0.3">
      <c r="A4688"/>
    </row>
    <row r="4689" spans="1:1" ht="14.4" x14ac:dyDescent="0.3">
      <c r="A4689"/>
    </row>
    <row r="4690" spans="1:1" ht="14.4" x14ac:dyDescent="0.3">
      <c r="A4690"/>
    </row>
    <row r="4691" spans="1:1" ht="14.4" x14ac:dyDescent="0.3">
      <c r="A4691"/>
    </row>
    <row r="4692" spans="1:1" ht="14.4" x14ac:dyDescent="0.3">
      <c r="A4692"/>
    </row>
    <row r="4693" spans="1:1" ht="14.4" x14ac:dyDescent="0.3">
      <c r="A4693"/>
    </row>
    <row r="4694" spans="1:1" ht="14.4" x14ac:dyDescent="0.3">
      <c r="A4694"/>
    </row>
    <row r="4695" spans="1:1" ht="14.4" x14ac:dyDescent="0.3">
      <c r="A4695"/>
    </row>
    <row r="4696" spans="1:1" ht="14.4" x14ac:dyDescent="0.3">
      <c r="A4696"/>
    </row>
    <row r="4697" spans="1:1" ht="14.4" x14ac:dyDescent="0.3">
      <c r="A4697"/>
    </row>
    <row r="4698" spans="1:1" ht="14.4" x14ac:dyDescent="0.3">
      <c r="A4698"/>
    </row>
    <row r="4699" spans="1:1" ht="14.4" x14ac:dyDescent="0.3">
      <c r="A4699"/>
    </row>
    <row r="4700" spans="1:1" ht="14.4" x14ac:dyDescent="0.3">
      <c r="A4700"/>
    </row>
    <row r="4701" spans="1:1" ht="14.4" x14ac:dyDescent="0.3">
      <c r="A4701"/>
    </row>
    <row r="4702" spans="1:1" ht="14.4" x14ac:dyDescent="0.3">
      <c r="A4702"/>
    </row>
    <row r="4703" spans="1:1" ht="14.4" x14ac:dyDescent="0.3">
      <c r="A4703"/>
    </row>
    <row r="4704" spans="1:1" ht="14.4" x14ac:dyDescent="0.3">
      <c r="A4704"/>
    </row>
    <row r="4705" spans="1:1" ht="14.4" x14ac:dyDescent="0.3">
      <c r="A4705"/>
    </row>
    <row r="4706" spans="1:1" ht="14.4" x14ac:dyDescent="0.3">
      <c r="A4706"/>
    </row>
    <row r="4707" spans="1:1" ht="14.4" x14ac:dyDescent="0.3">
      <c r="A4707"/>
    </row>
    <row r="4708" spans="1:1" ht="14.4" x14ac:dyDescent="0.3">
      <c r="A4708"/>
    </row>
    <row r="4709" spans="1:1" ht="14.4" x14ac:dyDescent="0.3">
      <c r="A4709"/>
    </row>
    <row r="4710" spans="1:1" ht="14.4" x14ac:dyDescent="0.3">
      <c r="A4710"/>
    </row>
    <row r="4711" spans="1:1" ht="14.4" x14ac:dyDescent="0.3">
      <c r="A4711"/>
    </row>
    <row r="4712" spans="1:1" ht="14.4" x14ac:dyDescent="0.3">
      <c r="A4712"/>
    </row>
    <row r="4713" spans="1:1" ht="14.4" x14ac:dyDescent="0.3">
      <c r="A4713"/>
    </row>
    <row r="4714" spans="1:1" ht="14.4" x14ac:dyDescent="0.3">
      <c r="A4714"/>
    </row>
    <row r="4715" spans="1:1" ht="14.4" x14ac:dyDescent="0.3">
      <c r="A4715"/>
    </row>
    <row r="4716" spans="1:1" ht="14.4" x14ac:dyDescent="0.3">
      <c r="A4716"/>
    </row>
    <row r="4717" spans="1:1" ht="14.4" x14ac:dyDescent="0.3">
      <c r="A4717"/>
    </row>
    <row r="4718" spans="1:1" ht="14.4" x14ac:dyDescent="0.3">
      <c r="A4718"/>
    </row>
    <row r="4719" spans="1:1" ht="14.4" x14ac:dyDescent="0.3">
      <c r="A4719"/>
    </row>
    <row r="4720" spans="1:1" ht="14.4" x14ac:dyDescent="0.3">
      <c r="A4720"/>
    </row>
    <row r="4721" spans="1:1" ht="14.4" x14ac:dyDescent="0.3">
      <c r="A4721"/>
    </row>
    <row r="4722" spans="1:1" ht="14.4" x14ac:dyDescent="0.3">
      <c r="A4722"/>
    </row>
    <row r="4723" spans="1:1" ht="14.4" x14ac:dyDescent="0.3">
      <c r="A4723"/>
    </row>
    <row r="4724" spans="1:1" ht="14.4" x14ac:dyDescent="0.3">
      <c r="A4724"/>
    </row>
    <row r="4725" spans="1:1" ht="14.4" x14ac:dyDescent="0.3">
      <c r="A4725"/>
    </row>
    <row r="4726" spans="1:1" ht="14.4" x14ac:dyDescent="0.3">
      <c r="A4726"/>
    </row>
    <row r="4727" spans="1:1" ht="14.4" x14ac:dyDescent="0.3">
      <c r="A4727"/>
    </row>
    <row r="4728" spans="1:1" ht="14.4" x14ac:dyDescent="0.3">
      <c r="A4728"/>
    </row>
    <row r="4729" spans="1:1" ht="14.4" x14ac:dyDescent="0.3">
      <c r="A4729"/>
    </row>
    <row r="4730" spans="1:1" ht="14.4" x14ac:dyDescent="0.3">
      <c r="A4730"/>
    </row>
    <row r="4731" spans="1:1" ht="14.4" x14ac:dyDescent="0.3">
      <c r="A4731"/>
    </row>
    <row r="4732" spans="1:1" ht="14.4" x14ac:dyDescent="0.3">
      <c r="A4732"/>
    </row>
    <row r="4733" spans="1:1" ht="14.4" x14ac:dyDescent="0.3">
      <c r="A4733"/>
    </row>
    <row r="4734" spans="1:1" ht="14.4" x14ac:dyDescent="0.3">
      <c r="A4734"/>
    </row>
    <row r="4735" spans="1:1" ht="14.4" x14ac:dyDescent="0.3">
      <c r="A4735"/>
    </row>
    <row r="4736" spans="1:1" ht="14.4" x14ac:dyDescent="0.3">
      <c r="A4736"/>
    </row>
    <row r="4737" spans="1:1" ht="14.4" x14ac:dyDescent="0.3">
      <c r="A4737"/>
    </row>
    <row r="4738" spans="1:1" ht="14.4" x14ac:dyDescent="0.3">
      <c r="A4738"/>
    </row>
    <row r="4739" spans="1:1" ht="14.4" x14ac:dyDescent="0.3">
      <c r="A4739"/>
    </row>
    <row r="4740" spans="1:1" ht="14.4" x14ac:dyDescent="0.3">
      <c r="A4740"/>
    </row>
    <row r="4741" spans="1:1" ht="14.4" x14ac:dyDescent="0.3">
      <c r="A4741"/>
    </row>
    <row r="4742" spans="1:1" ht="14.4" x14ac:dyDescent="0.3">
      <c r="A4742"/>
    </row>
    <row r="4743" spans="1:1" ht="14.4" x14ac:dyDescent="0.3">
      <c r="A4743"/>
    </row>
    <row r="4744" spans="1:1" ht="14.4" x14ac:dyDescent="0.3">
      <c r="A4744"/>
    </row>
    <row r="4745" spans="1:1" ht="14.4" x14ac:dyDescent="0.3">
      <c r="A4745"/>
    </row>
    <row r="4746" spans="1:1" ht="14.4" x14ac:dyDescent="0.3">
      <c r="A4746"/>
    </row>
    <row r="4747" spans="1:1" ht="14.4" x14ac:dyDescent="0.3">
      <c r="A4747"/>
    </row>
    <row r="4748" spans="1:1" ht="14.4" x14ac:dyDescent="0.3">
      <c r="A4748"/>
    </row>
    <row r="4749" spans="1:1" ht="14.4" x14ac:dyDescent="0.3">
      <c r="A4749"/>
    </row>
    <row r="4750" spans="1:1" ht="14.4" x14ac:dyDescent="0.3">
      <c r="A4750"/>
    </row>
    <row r="4751" spans="1:1" ht="14.4" x14ac:dyDescent="0.3">
      <c r="A4751"/>
    </row>
    <row r="4752" spans="1:1" ht="14.4" x14ac:dyDescent="0.3">
      <c r="A4752"/>
    </row>
    <row r="4753" spans="1:1" ht="14.4" x14ac:dyDescent="0.3">
      <c r="A4753"/>
    </row>
    <row r="4754" spans="1:1" ht="14.4" x14ac:dyDescent="0.3">
      <c r="A4754"/>
    </row>
    <row r="4755" spans="1:1" ht="14.4" x14ac:dyDescent="0.3">
      <c r="A4755"/>
    </row>
    <row r="4756" spans="1:1" ht="14.4" x14ac:dyDescent="0.3">
      <c r="A4756"/>
    </row>
    <row r="4757" spans="1:1" ht="14.4" x14ac:dyDescent="0.3">
      <c r="A4757"/>
    </row>
    <row r="4758" spans="1:1" ht="14.4" x14ac:dyDescent="0.3">
      <c r="A4758"/>
    </row>
    <row r="4759" spans="1:1" ht="14.4" x14ac:dyDescent="0.3">
      <c r="A4759"/>
    </row>
    <row r="4760" spans="1:1" ht="14.4" x14ac:dyDescent="0.3">
      <c r="A4760"/>
    </row>
    <row r="4761" spans="1:1" ht="14.4" x14ac:dyDescent="0.3">
      <c r="A4761"/>
    </row>
    <row r="4762" spans="1:1" ht="14.4" x14ac:dyDescent="0.3">
      <c r="A4762"/>
    </row>
    <row r="4763" spans="1:1" ht="14.4" x14ac:dyDescent="0.3">
      <c r="A4763"/>
    </row>
    <row r="4764" spans="1:1" ht="14.4" x14ac:dyDescent="0.3">
      <c r="A4764"/>
    </row>
    <row r="4765" spans="1:1" ht="14.4" x14ac:dyDescent="0.3">
      <c r="A4765"/>
    </row>
    <row r="4766" spans="1:1" ht="14.4" x14ac:dyDescent="0.3">
      <c r="A4766"/>
    </row>
    <row r="4767" spans="1:1" ht="14.4" x14ac:dyDescent="0.3">
      <c r="A4767"/>
    </row>
    <row r="4768" spans="1:1" ht="14.4" x14ac:dyDescent="0.3">
      <c r="A4768"/>
    </row>
    <row r="4769" spans="1:1" ht="14.4" x14ac:dyDescent="0.3">
      <c r="A4769"/>
    </row>
    <row r="4770" spans="1:1" ht="14.4" x14ac:dyDescent="0.3">
      <c r="A4770"/>
    </row>
    <row r="4771" spans="1:1" ht="14.4" x14ac:dyDescent="0.3">
      <c r="A4771"/>
    </row>
    <row r="4772" spans="1:1" ht="14.4" x14ac:dyDescent="0.3">
      <c r="A4772"/>
    </row>
    <row r="4773" spans="1:1" ht="14.4" x14ac:dyDescent="0.3">
      <c r="A4773"/>
    </row>
    <row r="4774" spans="1:1" ht="14.4" x14ac:dyDescent="0.3">
      <c r="A4774"/>
    </row>
    <row r="4775" spans="1:1" ht="14.4" x14ac:dyDescent="0.3">
      <c r="A4775"/>
    </row>
    <row r="4776" spans="1:1" ht="14.4" x14ac:dyDescent="0.3">
      <c r="A4776"/>
    </row>
    <row r="4777" spans="1:1" ht="14.4" x14ac:dyDescent="0.3">
      <c r="A4777"/>
    </row>
    <row r="4778" spans="1:1" ht="14.4" x14ac:dyDescent="0.3">
      <c r="A4778"/>
    </row>
    <row r="4779" spans="1:1" ht="14.4" x14ac:dyDescent="0.3">
      <c r="A4779"/>
    </row>
    <row r="4780" spans="1:1" ht="14.4" x14ac:dyDescent="0.3">
      <c r="A4780"/>
    </row>
    <row r="4781" spans="1:1" ht="14.4" x14ac:dyDescent="0.3">
      <c r="A4781"/>
    </row>
    <row r="4782" spans="1:1" ht="14.4" x14ac:dyDescent="0.3">
      <c r="A4782"/>
    </row>
    <row r="4783" spans="1:1" ht="14.4" x14ac:dyDescent="0.3">
      <c r="A4783"/>
    </row>
    <row r="4784" spans="1:1" ht="14.4" x14ac:dyDescent="0.3">
      <c r="A4784"/>
    </row>
    <row r="4785" spans="1:1" ht="14.4" x14ac:dyDescent="0.3">
      <c r="A4785"/>
    </row>
    <row r="4786" spans="1:1" ht="14.4" x14ac:dyDescent="0.3">
      <c r="A4786"/>
    </row>
    <row r="4787" spans="1:1" ht="14.4" x14ac:dyDescent="0.3">
      <c r="A4787"/>
    </row>
    <row r="4788" spans="1:1" ht="14.4" x14ac:dyDescent="0.3">
      <c r="A4788"/>
    </row>
    <row r="4789" spans="1:1" ht="14.4" x14ac:dyDescent="0.3">
      <c r="A4789"/>
    </row>
    <row r="4790" spans="1:1" ht="14.4" x14ac:dyDescent="0.3">
      <c r="A4790"/>
    </row>
    <row r="4791" spans="1:1" ht="14.4" x14ac:dyDescent="0.3">
      <c r="A4791"/>
    </row>
    <row r="4792" spans="1:1" ht="14.4" x14ac:dyDescent="0.3">
      <c r="A4792"/>
    </row>
    <row r="4793" spans="1:1" ht="14.4" x14ac:dyDescent="0.3">
      <c r="A4793"/>
    </row>
    <row r="4794" spans="1:1" ht="14.4" x14ac:dyDescent="0.3">
      <c r="A4794"/>
    </row>
    <row r="4795" spans="1:1" ht="14.4" x14ac:dyDescent="0.3">
      <c r="A4795"/>
    </row>
    <row r="4796" spans="1:1" ht="14.4" x14ac:dyDescent="0.3">
      <c r="A4796"/>
    </row>
    <row r="4797" spans="1:1" ht="14.4" x14ac:dyDescent="0.3">
      <c r="A4797"/>
    </row>
    <row r="4798" spans="1:1" ht="14.4" x14ac:dyDescent="0.3">
      <c r="A4798"/>
    </row>
    <row r="4799" spans="1:1" ht="14.4" x14ac:dyDescent="0.3">
      <c r="A4799"/>
    </row>
    <row r="4800" spans="1:1" ht="14.4" x14ac:dyDescent="0.3">
      <c r="A4800"/>
    </row>
    <row r="4801" spans="1:1" ht="14.4" x14ac:dyDescent="0.3">
      <c r="A4801"/>
    </row>
    <row r="4802" spans="1:1" ht="14.4" x14ac:dyDescent="0.3">
      <c r="A4802"/>
    </row>
    <row r="4803" spans="1:1" ht="14.4" x14ac:dyDescent="0.3">
      <c r="A4803"/>
    </row>
    <row r="4804" spans="1:1" ht="14.4" x14ac:dyDescent="0.3">
      <c r="A4804"/>
    </row>
    <row r="4805" spans="1:1" ht="14.4" x14ac:dyDescent="0.3">
      <c r="A4805"/>
    </row>
    <row r="4806" spans="1:1" ht="14.4" x14ac:dyDescent="0.3">
      <c r="A4806"/>
    </row>
    <row r="4807" spans="1:1" ht="14.4" x14ac:dyDescent="0.3">
      <c r="A4807"/>
    </row>
    <row r="4808" spans="1:1" ht="14.4" x14ac:dyDescent="0.3">
      <c r="A4808"/>
    </row>
    <row r="4809" spans="1:1" ht="14.4" x14ac:dyDescent="0.3">
      <c r="A4809"/>
    </row>
    <row r="4810" spans="1:1" ht="14.4" x14ac:dyDescent="0.3">
      <c r="A4810"/>
    </row>
    <row r="4811" spans="1:1" ht="14.4" x14ac:dyDescent="0.3">
      <c r="A4811"/>
    </row>
    <row r="4812" spans="1:1" ht="14.4" x14ac:dyDescent="0.3">
      <c r="A4812"/>
    </row>
    <row r="4813" spans="1:1" ht="14.4" x14ac:dyDescent="0.3">
      <c r="A4813"/>
    </row>
    <row r="4814" spans="1:1" ht="14.4" x14ac:dyDescent="0.3">
      <c r="A4814"/>
    </row>
    <row r="4815" spans="1:1" ht="14.4" x14ac:dyDescent="0.3">
      <c r="A4815"/>
    </row>
    <row r="4816" spans="1:1" ht="14.4" x14ac:dyDescent="0.3">
      <c r="A4816"/>
    </row>
    <row r="4817" spans="1:1" ht="14.4" x14ac:dyDescent="0.3">
      <c r="A4817"/>
    </row>
    <row r="4818" spans="1:1" ht="14.4" x14ac:dyDescent="0.3">
      <c r="A4818"/>
    </row>
    <row r="4819" spans="1:1" ht="14.4" x14ac:dyDescent="0.3">
      <c r="A4819"/>
    </row>
    <row r="4820" spans="1:1" ht="14.4" x14ac:dyDescent="0.3">
      <c r="A4820"/>
    </row>
    <row r="4821" spans="1:1" ht="14.4" x14ac:dyDescent="0.3">
      <c r="A4821"/>
    </row>
    <row r="4822" spans="1:1" ht="14.4" x14ac:dyDescent="0.3">
      <c r="A4822"/>
    </row>
    <row r="4823" spans="1:1" ht="14.4" x14ac:dyDescent="0.3">
      <c r="A4823"/>
    </row>
    <row r="4824" spans="1:1" ht="14.4" x14ac:dyDescent="0.3">
      <c r="A4824"/>
    </row>
    <row r="4825" spans="1:1" ht="14.4" x14ac:dyDescent="0.3">
      <c r="A4825"/>
    </row>
    <row r="4826" spans="1:1" ht="14.4" x14ac:dyDescent="0.3">
      <c r="A4826"/>
    </row>
    <row r="4827" spans="1:1" ht="14.4" x14ac:dyDescent="0.3">
      <c r="A4827"/>
    </row>
    <row r="4828" spans="1:1" ht="14.4" x14ac:dyDescent="0.3">
      <c r="A4828"/>
    </row>
    <row r="4829" spans="1:1" ht="14.4" x14ac:dyDescent="0.3">
      <c r="A4829"/>
    </row>
    <row r="4830" spans="1:1" ht="14.4" x14ac:dyDescent="0.3">
      <c r="A4830"/>
    </row>
    <row r="4831" spans="1:1" ht="14.4" x14ac:dyDescent="0.3">
      <c r="A4831"/>
    </row>
    <row r="4832" spans="1:1" ht="14.4" x14ac:dyDescent="0.3">
      <c r="A4832"/>
    </row>
    <row r="4833" spans="1:1" ht="14.4" x14ac:dyDescent="0.3">
      <c r="A4833"/>
    </row>
    <row r="4834" spans="1:1" ht="14.4" x14ac:dyDescent="0.3">
      <c r="A4834"/>
    </row>
    <row r="4835" spans="1:1" ht="14.4" x14ac:dyDescent="0.3">
      <c r="A4835"/>
    </row>
    <row r="4836" spans="1:1" ht="14.4" x14ac:dyDescent="0.3">
      <c r="A4836"/>
    </row>
    <row r="4837" spans="1:1" ht="14.4" x14ac:dyDescent="0.3">
      <c r="A4837"/>
    </row>
    <row r="4838" spans="1:1" ht="14.4" x14ac:dyDescent="0.3">
      <c r="A4838"/>
    </row>
    <row r="4839" spans="1:1" ht="14.4" x14ac:dyDescent="0.3">
      <c r="A4839"/>
    </row>
    <row r="4840" spans="1:1" ht="14.4" x14ac:dyDescent="0.3">
      <c r="A4840"/>
    </row>
    <row r="4841" spans="1:1" ht="14.4" x14ac:dyDescent="0.3">
      <c r="A4841"/>
    </row>
    <row r="4842" spans="1:1" ht="14.4" x14ac:dyDescent="0.3">
      <c r="A4842"/>
    </row>
    <row r="4843" spans="1:1" ht="14.4" x14ac:dyDescent="0.3">
      <c r="A4843"/>
    </row>
    <row r="4844" spans="1:1" ht="14.4" x14ac:dyDescent="0.3">
      <c r="A4844"/>
    </row>
    <row r="4845" spans="1:1" ht="14.4" x14ac:dyDescent="0.3">
      <c r="A4845"/>
    </row>
    <row r="4846" spans="1:1" ht="14.4" x14ac:dyDescent="0.3">
      <c r="A4846"/>
    </row>
    <row r="4847" spans="1:1" ht="14.4" x14ac:dyDescent="0.3">
      <c r="A4847"/>
    </row>
    <row r="4848" spans="1:1" ht="14.4" x14ac:dyDescent="0.3">
      <c r="A4848"/>
    </row>
    <row r="4849" spans="1:1" ht="14.4" x14ac:dyDescent="0.3">
      <c r="A4849"/>
    </row>
    <row r="4850" spans="1:1" ht="14.4" x14ac:dyDescent="0.3">
      <c r="A4850"/>
    </row>
    <row r="4851" spans="1:1" ht="14.4" x14ac:dyDescent="0.3">
      <c r="A4851"/>
    </row>
    <row r="4852" spans="1:1" ht="14.4" x14ac:dyDescent="0.3">
      <c r="A4852"/>
    </row>
    <row r="4853" spans="1:1" ht="14.4" x14ac:dyDescent="0.3">
      <c r="A4853"/>
    </row>
    <row r="4854" spans="1:1" ht="14.4" x14ac:dyDescent="0.3">
      <c r="A4854"/>
    </row>
    <row r="4855" spans="1:1" ht="14.4" x14ac:dyDescent="0.3">
      <c r="A4855"/>
    </row>
    <row r="4856" spans="1:1" ht="14.4" x14ac:dyDescent="0.3">
      <c r="A4856"/>
    </row>
    <row r="4857" spans="1:1" ht="14.4" x14ac:dyDescent="0.3">
      <c r="A4857"/>
    </row>
    <row r="4858" spans="1:1" ht="14.4" x14ac:dyDescent="0.3">
      <c r="A4858"/>
    </row>
    <row r="4859" spans="1:1" ht="14.4" x14ac:dyDescent="0.3">
      <c r="A4859"/>
    </row>
    <row r="4860" spans="1:1" ht="14.4" x14ac:dyDescent="0.3">
      <c r="A4860"/>
    </row>
    <row r="4861" spans="1:1" ht="14.4" x14ac:dyDescent="0.3">
      <c r="A4861"/>
    </row>
    <row r="4862" spans="1:1" ht="14.4" x14ac:dyDescent="0.3">
      <c r="A4862"/>
    </row>
    <row r="4863" spans="1:1" ht="14.4" x14ac:dyDescent="0.3">
      <c r="A4863"/>
    </row>
    <row r="4864" spans="1:1" ht="14.4" x14ac:dyDescent="0.3">
      <c r="A4864"/>
    </row>
    <row r="4865" spans="1:1" ht="14.4" x14ac:dyDescent="0.3">
      <c r="A4865"/>
    </row>
    <row r="4866" spans="1:1" ht="14.4" x14ac:dyDescent="0.3">
      <c r="A4866"/>
    </row>
    <row r="4867" spans="1:1" ht="14.4" x14ac:dyDescent="0.3">
      <c r="A4867"/>
    </row>
    <row r="4868" spans="1:1" ht="14.4" x14ac:dyDescent="0.3">
      <c r="A4868"/>
    </row>
    <row r="4869" spans="1:1" ht="14.4" x14ac:dyDescent="0.3">
      <c r="A4869"/>
    </row>
    <row r="4870" spans="1:1" ht="14.4" x14ac:dyDescent="0.3">
      <c r="A4870"/>
    </row>
    <row r="4871" spans="1:1" ht="14.4" x14ac:dyDescent="0.3">
      <c r="A4871"/>
    </row>
    <row r="4872" spans="1:1" ht="14.4" x14ac:dyDescent="0.3">
      <c r="A4872"/>
    </row>
    <row r="4873" spans="1:1" ht="14.4" x14ac:dyDescent="0.3">
      <c r="A4873"/>
    </row>
    <row r="4874" spans="1:1" ht="14.4" x14ac:dyDescent="0.3">
      <c r="A4874"/>
    </row>
    <row r="4875" spans="1:1" ht="14.4" x14ac:dyDescent="0.3">
      <c r="A4875"/>
    </row>
    <row r="4876" spans="1:1" ht="14.4" x14ac:dyDescent="0.3">
      <c r="A4876"/>
    </row>
    <row r="4877" spans="1:1" ht="14.4" x14ac:dyDescent="0.3">
      <c r="A4877"/>
    </row>
    <row r="4878" spans="1:1" ht="14.4" x14ac:dyDescent="0.3">
      <c r="A4878"/>
    </row>
    <row r="4879" spans="1:1" ht="14.4" x14ac:dyDescent="0.3">
      <c r="A4879"/>
    </row>
    <row r="4880" spans="1:1" ht="14.4" x14ac:dyDescent="0.3">
      <c r="A4880"/>
    </row>
    <row r="4881" spans="1:1" ht="14.4" x14ac:dyDescent="0.3">
      <c r="A4881"/>
    </row>
    <row r="4882" spans="1:1" ht="14.4" x14ac:dyDescent="0.3">
      <c r="A4882"/>
    </row>
    <row r="4883" spans="1:1" ht="14.4" x14ac:dyDescent="0.3">
      <c r="A4883"/>
    </row>
    <row r="4884" spans="1:1" ht="14.4" x14ac:dyDescent="0.3">
      <c r="A4884"/>
    </row>
    <row r="4885" spans="1:1" ht="14.4" x14ac:dyDescent="0.3">
      <c r="A4885"/>
    </row>
    <row r="4886" spans="1:1" ht="14.4" x14ac:dyDescent="0.3">
      <c r="A4886"/>
    </row>
    <row r="4887" spans="1:1" ht="14.4" x14ac:dyDescent="0.3">
      <c r="A4887"/>
    </row>
    <row r="4888" spans="1:1" ht="14.4" x14ac:dyDescent="0.3">
      <c r="A4888"/>
    </row>
    <row r="4889" spans="1:1" ht="14.4" x14ac:dyDescent="0.3">
      <c r="A4889"/>
    </row>
    <row r="4890" spans="1:1" ht="14.4" x14ac:dyDescent="0.3">
      <c r="A4890"/>
    </row>
    <row r="4891" spans="1:1" ht="14.4" x14ac:dyDescent="0.3">
      <c r="A4891"/>
    </row>
    <row r="4892" spans="1:1" ht="14.4" x14ac:dyDescent="0.3">
      <c r="A4892"/>
    </row>
    <row r="4893" spans="1:1" ht="14.4" x14ac:dyDescent="0.3">
      <c r="A4893"/>
    </row>
    <row r="4894" spans="1:1" ht="14.4" x14ac:dyDescent="0.3">
      <c r="A4894"/>
    </row>
    <row r="4895" spans="1:1" ht="14.4" x14ac:dyDescent="0.3">
      <c r="A4895"/>
    </row>
    <row r="4896" spans="1:1" ht="14.4" x14ac:dyDescent="0.3">
      <c r="A4896"/>
    </row>
    <row r="4897" spans="1:1" ht="14.4" x14ac:dyDescent="0.3">
      <c r="A4897"/>
    </row>
    <row r="4898" spans="1:1" ht="14.4" x14ac:dyDescent="0.3">
      <c r="A4898"/>
    </row>
    <row r="4899" spans="1:1" ht="14.4" x14ac:dyDescent="0.3">
      <c r="A4899"/>
    </row>
    <row r="4900" spans="1:1" ht="14.4" x14ac:dyDescent="0.3">
      <c r="A4900"/>
    </row>
    <row r="4901" spans="1:1" ht="14.4" x14ac:dyDescent="0.3">
      <c r="A4901"/>
    </row>
    <row r="4902" spans="1:1" ht="14.4" x14ac:dyDescent="0.3">
      <c r="A4902"/>
    </row>
    <row r="4903" spans="1:1" ht="14.4" x14ac:dyDescent="0.3">
      <c r="A4903"/>
    </row>
    <row r="4904" spans="1:1" ht="14.4" x14ac:dyDescent="0.3">
      <c r="A4904"/>
    </row>
    <row r="4905" spans="1:1" ht="14.4" x14ac:dyDescent="0.3">
      <c r="A4905"/>
    </row>
    <row r="4906" spans="1:1" ht="14.4" x14ac:dyDescent="0.3">
      <c r="A4906"/>
    </row>
    <row r="4907" spans="1:1" ht="14.4" x14ac:dyDescent="0.3">
      <c r="A4907"/>
    </row>
    <row r="4908" spans="1:1" ht="14.4" x14ac:dyDescent="0.3">
      <c r="A4908"/>
    </row>
    <row r="4909" spans="1:1" ht="14.4" x14ac:dyDescent="0.3">
      <c r="A4909"/>
    </row>
    <row r="4910" spans="1:1" ht="14.4" x14ac:dyDescent="0.3">
      <c r="A4910"/>
    </row>
    <row r="4911" spans="1:1" ht="14.4" x14ac:dyDescent="0.3">
      <c r="A4911"/>
    </row>
    <row r="4912" spans="1:1" ht="14.4" x14ac:dyDescent="0.3">
      <c r="A4912"/>
    </row>
    <row r="4913" spans="1:1" ht="14.4" x14ac:dyDescent="0.3">
      <c r="A4913"/>
    </row>
    <row r="4914" spans="1:1" ht="14.4" x14ac:dyDescent="0.3">
      <c r="A4914"/>
    </row>
    <row r="4915" spans="1:1" ht="14.4" x14ac:dyDescent="0.3">
      <c r="A4915"/>
    </row>
    <row r="4916" spans="1:1" ht="14.4" x14ac:dyDescent="0.3">
      <c r="A4916"/>
    </row>
    <row r="4917" spans="1:1" ht="14.4" x14ac:dyDescent="0.3">
      <c r="A4917"/>
    </row>
    <row r="4918" spans="1:1" ht="14.4" x14ac:dyDescent="0.3">
      <c r="A4918"/>
    </row>
    <row r="4919" spans="1:1" ht="14.4" x14ac:dyDescent="0.3">
      <c r="A4919"/>
    </row>
    <row r="4920" spans="1:1" ht="14.4" x14ac:dyDescent="0.3">
      <c r="A4920"/>
    </row>
    <row r="4921" spans="1:1" ht="14.4" x14ac:dyDescent="0.3">
      <c r="A4921"/>
    </row>
    <row r="4922" spans="1:1" ht="14.4" x14ac:dyDescent="0.3">
      <c r="A4922"/>
    </row>
    <row r="4923" spans="1:1" ht="14.4" x14ac:dyDescent="0.3">
      <c r="A4923"/>
    </row>
    <row r="4924" spans="1:1" ht="14.4" x14ac:dyDescent="0.3">
      <c r="A4924"/>
    </row>
    <row r="4925" spans="1:1" ht="14.4" x14ac:dyDescent="0.3">
      <c r="A4925"/>
    </row>
    <row r="4926" spans="1:1" ht="14.4" x14ac:dyDescent="0.3">
      <c r="A4926"/>
    </row>
    <row r="4927" spans="1:1" ht="14.4" x14ac:dyDescent="0.3">
      <c r="A4927"/>
    </row>
    <row r="4928" spans="1:1" ht="14.4" x14ac:dyDescent="0.3">
      <c r="A4928"/>
    </row>
    <row r="4929" spans="1:1" ht="14.4" x14ac:dyDescent="0.3">
      <c r="A4929"/>
    </row>
    <row r="4930" spans="1:1" ht="14.4" x14ac:dyDescent="0.3">
      <c r="A4930"/>
    </row>
    <row r="4931" spans="1:1" ht="14.4" x14ac:dyDescent="0.3">
      <c r="A4931"/>
    </row>
    <row r="4932" spans="1:1" ht="14.4" x14ac:dyDescent="0.3">
      <c r="A4932"/>
    </row>
    <row r="4933" spans="1:1" ht="14.4" x14ac:dyDescent="0.3">
      <c r="A4933"/>
    </row>
    <row r="4934" spans="1:1" ht="14.4" x14ac:dyDescent="0.3">
      <c r="A4934"/>
    </row>
    <row r="4935" spans="1:1" ht="14.4" x14ac:dyDescent="0.3">
      <c r="A4935"/>
    </row>
    <row r="4936" spans="1:1" ht="14.4" x14ac:dyDescent="0.3">
      <c r="A4936"/>
    </row>
    <row r="4937" spans="1:1" ht="14.4" x14ac:dyDescent="0.3">
      <c r="A4937"/>
    </row>
    <row r="4938" spans="1:1" ht="14.4" x14ac:dyDescent="0.3">
      <c r="A4938"/>
    </row>
    <row r="4939" spans="1:1" ht="14.4" x14ac:dyDescent="0.3">
      <c r="A4939"/>
    </row>
    <row r="4940" spans="1:1" ht="14.4" x14ac:dyDescent="0.3">
      <c r="A4940"/>
    </row>
    <row r="4941" spans="1:1" ht="14.4" x14ac:dyDescent="0.3">
      <c r="A4941"/>
    </row>
    <row r="4942" spans="1:1" ht="14.4" x14ac:dyDescent="0.3">
      <c r="A4942"/>
    </row>
    <row r="4943" spans="1:1" ht="14.4" x14ac:dyDescent="0.3">
      <c r="A4943"/>
    </row>
    <row r="4944" spans="1:1" ht="14.4" x14ac:dyDescent="0.3">
      <c r="A4944"/>
    </row>
    <row r="4945" spans="1:1" ht="14.4" x14ac:dyDescent="0.3">
      <c r="A4945"/>
    </row>
    <row r="4946" spans="1:1" ht="14.4" x14ac:dyDescent="0.3">
      <c r="A4946"/>
    </row>
    <row r="4947" spans="1:1" ht="14.4" x14ac:dyDescent="0.3">
      <c r="A4947"/>
    </row>
    <row r="4948" spans="1:1" ht="14.4" x14ac:dyDescent="0.3">
      <c r="A4948"/>
    </row>
    <row r="4949" spans="1:1" ht="14.4" x14ac:dyDescent="0.3">
      <c r="A4949"/>
    </row>
    <row r="4950" spans="1:1" ht="14.4" x14ac:dyDescent="0.3">
      <c r="A4950"/>
    </row>
    <row r="4951" spans="1:1" ht="14.4" x14ac:dyDescent="0.3">
      <c r="A4951"/>
    </row>
    <row r="4952" spans="1:1" ht="14.4" x14ac:dyDescent="0.3">
      <c r="A4952"/>
    </row>
    <row r="4953" spans="1:1" ht="14.4" x14ac:dyDescent="0.3">
      <c r="A4953"/>
    </row>
    <row r="4954" spans="1:1" ht="14.4" x14ac:dyDescent="0.3">
      <c r="A4954"/>
    </row>
    <row r="4955" spans="1:1" ht="14.4" x14ac:dyDescent="0.3">
      <c r="A4955"/>
    </row>
    <row r="4956" spans="1:1" ht="14.4" x14ac:dyDescent="0.3">
      <c r="A4956"/>
    </row>
    <row r="4957" spans="1:1" ht="14.4" x14ac:dyDescent="0.3">
      <c r="A4957"/>
    </row>
    <row r="4958" spans="1:1" ht="14.4" x14ac:dyDescent="0.3">
      <c r="A4958"/>
    </row>
    <row r="4959" spans="1:1" ht="14.4" x14ac:dyDescent="0.3">
      <c r="A4959"/>
    </row>
    <row r="4960" spans="1:1" ht="14.4" x14ac:dyDescent="0.3">
      <c r="A4960"/>
    </row>
    <row r="4961" spans="1:1" ht="14.4" x14ac:dyDescent="0.3">
      <c r="A4961"/>
    </row>
    <row r="4962" spans="1:1" ht="14.4" x14ac:dyDescent="0.3">
      <c r="A4962"/>
    </row>
    <row r="4963" spans="1:1" ht="14.4" x14ac:dyDescent="0.3">
      <c r="A4963"/>
    </row>
    <row r="4964" spans="1:1" ht="14.4" x14ac:dyDescent="0.3">
      <c r="A4964"/>
    </row>
    <row r="4965" spans="1:1" ht="14.4" x14ac:dyDescent="0.3">
      <c r="A4965"/>
    </row>
    <row r="4966" spans="1:1" ht="14.4" x14ac:dyDescent="0.3">
      <c r="A4966"/>
    </row>
    <row r="4967" spans="1:1" ht="14.4" x14ac:dyDescent="0.3">
      <c r="A4967"/>
    </row>
    <row r="4968" spans="1:1" ht="14.4" x14ac:dyDescent="0.3">
      <c r="A4968"/>
    </row>
    <row r="4969" spans="1:1" ht="14.4" x14ac:dyDescent="0.3">
      <c r="A4969"/>
    </row>
    <row r="4970" spans="1:1" ht="14.4" x14ac:dyDescent="0.3">
      <c r="A4970"/>
    </row>
    <row r="4971" spans="1:1" ht="14.4" x14ac:dyDescent="0.3">
      <c r="A4971"/>
    </row>
    <row r="4972" spans="1:1" ht="14.4" x14ac:dyDescent="0.3">
      <c r="A4972"/>
    </row>
    <row r="4973" spans="1:1" ht="14.4" x14ac:dyDescent="0.3">
      <c r="A4973"/>
    </row>
    <row r="4974" spans="1:1" ht="14.4" x14ac:dyDescent="0.3">
      <c r="A4974"/>
    </row>
    <row r="4975" spans="1:1" ht="14.4" x14ac:dyDescent="0.3">
      <c r="A4975"/>
    </row>
    <row r="4976" spans="1:1" ht="14.4" x14ac:dyDescent="0.3">
      <c r="A4976"/>
    </row>
    <row r="4977" spans="1:1" ht="14.4" x14ac:dyDescent="0.3">
      <c r="A4977"/>
    </row>
    <row r="4978" spans="1:1" ht="14.4" x14ac:dyDescent="0.3">
      <c r="A4978"/>
    </row>
    <row r="4979" spans="1:1" ht="14.4" x14ac:dyDescent="0.3">
      <c r="A4979"/>
    </row>
    <row r="4980" spans="1:1" ht="14.4" x14ac:dyDescent="0.3">
      <c r="A4980"/>
    </row>
    <row r="4981" spans="1:1" ht="14.4" x14ac:dyDescent="0.3">
      <c r="A4981"/>
    </row>
    <row r="4982" spans="1:1" ht="14.4" x14ac:dyDescent="0.3">
      <c r="A4982"/>
    </row>
    <row r="4983" spans="1:1" ht="14.4" x14ac:dyDescent="0.3">
      <c r="A4983"/>
    </row>
    <row r="4984" spans="1:1" ht="14.4" x14ac:dyDescent="0.3">
      <c r="A4984"/>
    </row>
    <row r="4985" spans="1:1" ht="14.4" x14ac:dyDescent="0.3">
      <c r="A4985"/>
    </row>
    <row r="4986" spans="1:1" ht="14.4" x14ac:dyDescent="0.3">
      <c r="A4986"/>
    </row>
    <row r="4987" spans="1:1" ht="14.4" x14ac:dyDescent="0.3">
      <c r="A4987"/>
    </row>
    <row r="4988" spans="1:1" ht="14.4" x14ac:dyDescent="0.3">
      <c r="A4988"/>
    </row>
    <row r="4989" spans="1:1" ht="14.4" x14ac:dyDescent="0.3">
      <c r="A4989"/>
    </row>
    <row r="4990" spans="1:1" ht="14.4" x14ac:dyDescent="0.3">
      <c r="A4990"/>
    </row>
    <row r="4991" spans="1:1" ht="14.4" x14ac:dyDescent="0.3">
      <c r="A4991"/>
    </row>
    <row r="4992" spans="1:1" ht="14.4" x14ac:dyDescent="0.3">
      <c r="A4992"/>
    </row>
    <row r="4993" spans="1:1" ht="14.4" x14ac:dyDescent="0.3">
      <c r="A4993"/>
    </row>
    <row r="4994" spans="1:1" ht="14.4" x14ac:dyDescent="0.3">
      <c r="A4994"/>
    </row>
    <row r="4995" spans="1:1" ht="14.4" x14ac:dyDescent="0.3">
      <c r="A4995"/>
    </row>
    <row r="4996" spans="1:1" ht="14.4" x14ac:dyDescent="0.3">
      <c r="A4996"/>
    </row>
    <row r="4997" spans="1:1" ht="14.4" x14ac:dyDescent="0.3">
      <c r="A4997"/>
    </row>
    <row r="4998" spans="1:1" ht="14.4" x14ac:dyDescent="0.3">
      <c r="A4998"/>
    </row>
    <row r="4999" spans="1:1" ht="14.4" x14ac:dyDescent="0.3">
      <c r="A4999"/>
    </row>
    <row r="5000" spans="1:1" ht="14.4" x14ac:dyDescent="0.3">
      <c r="A5000"/>
    </row>
    <row r="5001" spans="1:1" ht="14.4" x14ac:dyDescent="0.3">
      <c r="A5001"/>
    </row>
    <row r="5002" spans="1:1" ht="14.4" x14ac:dyDescent="0.3">
      <c r="A5002"/>
    </row>
  </sheetData>
  <autoFilter ref="A1:B366" xr:uid="{D6AE48A3-94A1-4ACB-901D-1DE01FFEF52F}">
    <sortState xmlns:xlrd2="http://schemas.microsoft.com/office/spreadsheetml/2017/richdata2" ref="A2:B366">
      <sortCondition descending="1" ref="B1:B366"/>
    </sortState>
  </autoFilter>
  <dataValidations count="1">
    <dataValidation type="list" allowBlank="1" showInputMessage="1" showErrorMessage="1" sqref="I2:I428" xr:uid="{A703DE43-C8C1-4FC3-A070-8FAC0E04FDE7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2853-914E-42E2-9301-2068C5C74813}">
  <dimension ref="B1:L23"/>
  <sheetViews>
    <sheetView showGridLines="0" rightToLeft="1" topLeftCell="B1" zoomScale="130" zoomScaleNormal="130" workbookViewId="0">
      <selection sqref="A1:A1048576"/>
    </sheetView>
  </sheetViews>
  <sheetFormatPr defaultColWidth="0" defaultRowHeight="14.4" zeroHeight="1" x14ac:dyDescent="0.3"/>
  <cols>
    <col min="1" max="1" width="8.88671875" hidden="1" customWidth="1"/>
    <col min="2" max="12" width="8.88671875" customWidth="1"/>
    <col min="13" max="16384" width="8.88671875" hidden="1"/>
  </cols>
  <sheetData>
    <row r="1" spans="2:12" x14ac:dyDescent="0.3"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2:12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2:12" x14ac:dyDescent="0.3"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</row>
    <row r="4" spans="2:12" x14ac:dyDescent="0.3"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</row>
    <row r="5" spans="2:12" x14ac:dyDescent="0.3"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</row>
    <row r="6" spans="2:12" x14ac:dyDescent="0.3"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</row>
    <row r="7" spans="2:12" x14ac:dyDescent="0.3"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</row>
    <row r="8" spans="2:12" x14ac:dyDescent="0.3"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</row>
    <row r="9" spans="2:12" x14ac:dyDescent="0.3"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</row>
    <row r="10" spans="2:12" x14ac:dyDescent="0.3"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</row>
    <row r="11" spans="2:12" x14ac:dyDescent="0.3"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</row>
    <row r="12" spans="2:12" x14ac:dyDescent="0.3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2:12" x14ac:dyDescent="0.3"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</row>
    <row r="14" spans="2:12" x14ac:dyDescent="0.3"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2:12" x14ac:dyDescent="0.3"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</row>
    <row r="16" spans="2:12" x14ac:dyDescent="0.3"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</row>
    <row r="17" spans="2:12" x14ac:dyDescent="0.3"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2:12" x14ac:dyDescent="0.3"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</row>
    <row r="19" spans="2:12" x14ac:dyDescent="0.3"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</row>
    <row r="20" spans="2:12" x14ac:dyDescent="0.3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</row>
    <row r="21" spans="2:12" x14ac:dyDescent="0.3"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</row>
    <row r="22" spans="2:12" x14ac:dyDescent="0.3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</row>
    <row r="23" spans="2:12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9A0B-C9AA-4F26-9286-73D691705713}">
  <sheetPr>
    <tabColor rgb="FF00B050"/>
  </sheetPr>
  <dimension ref="B1:AC2945"/>
  <sheetViews>
    <sheetView showGridLines="0" rightToLeft="1" tabSelected="1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E10" sqref="E10"/>
    </sheetView>
  </sheetViews>
  <sheetFormatPr defaultRowHeight="18" x14ac:dyDescent="0.35"/>
  <cols>
    <col min="2" max="2" width="13.44140625" style="149" customWidth="1"/>
    <col min="3" max="3" width="10" style="81" customWidth="1"/>
    <col min="4" max="4" width="29" style="64" customWidth="1"/>
    <col min="5" max="5" width="15.33203125" style="67" customWidth="1"/>
    <col min="6" max="6" width="16" style="67" customWidth="1"/>
    <col min="7" max="7" width="18.21875" style="85" customWidth="1"/>
    <col min="8" max="8" width="22.21875" style="85" bestFit="1" customWidth="1"/>
    <col min="9" max="9" width="13.109375" style="63" customWidth="1"/>
    <col min="10" max="10" width="15.109375" style="63" bestFit="1" customWidth="1"/>
    <col min="11" max="11" width="19.21875" style="68" customWidth="1"/>
    <col min="12" max="12" width="20.6640625" style="68" bestFit="1" customWidth="1"/>
    <col min="13" max="13" width="17.6640625" style="68" customWidth="1"/>
    <col min="14" max="14" width="11.6640625" style="30" customWidth="1"/>
    <col min="16" max="16" width="51.88671875" bestFit="1" customWidth="1"/>
    <col min="20" max="21" width="13.44140625" customWidth="1"/>
  </cols>
  <sheetData>
    <row r="1" spans="2:29" x14ac:dyDescent="0.35">
      <c r="B1" s="147"/>
      <c r="C1" s="78"/>
      <c r="D1" s="23"/>
      <c r="E1" s="25"/>
      <c r="F1" s="25"/>
      <c r="G1" s="82"/>
      <c r="H1" s="82"/>
      <c r="I1" s="22"/>
      <c r="J1" s="22"/>
      <c r="K1" s="30"/>
      <c r="L1" s="30"/>
      <c r="M1" s="30"/>
    </row>
    <row r="2" spans="2:29" x14ac:dyDescent="0.35">
      <c r="B2" s="147"/>
      <c r="C2" s="78"/>
      <c r="D2" s="23"/>
      <c r="E2" s="25"/>
      <c r="F2" s="25"/>
      <c r="G2" s="82"/>
      <c r="H2" s="82"/>
      <c r="I2" s="22"/>
      <c r="J2" s="22"/>
      <c r="K2" s="24"/>
      <c r="L2" s="24"/>
      <c r="M2" s="24"/>
      <c r="N2" s="24"/>
    </row>
    <row r="3" spans="2:29" ht="42" customHeight="1" x14ac:dyDescent="0.35">
      <c r="B3" s="147"/>
      <c r="C3" s="78"/>
      <c r="D3" s="22"/>
      <c r="E3" s="25"/>
      <c r="F3" s="25"/>
      <c r="G3" s="82"/>
      <c r="H3" s="82"/>
      <c r="I3" s="25"/>
      <c r="J3" s="25"/>
      <c r="K3" s="101">
        <f>SUBTOTAL(9,K6:K1048576)</f>
        <v>560605</v>
      </c>
      <c r="L3" s="101">
        <f>SUBTOTAL(9,L6:L1048576)</f>
        <v>370955</v>
      </c>
      <c r="M3" s="101">
        <f>SUBTOTAL(9,M6:M1048576)</f>
        <v>189650</v>
      </c>
      <c r="N3" s="24"/>
    </row>
    <row r="4" spans="2:29" ht="14.25" customHeight="1" thickBot="1" x14ac:dyDescent="0.4">
      <c r="B4" s="147"/>
      <c r="C4" s="78"/>
      <c r="D4" s="22"/>
      <c r="E4" s="25"/>
      <c r="F4" s="25"/>
      <c r="G4" s="82"/>
      <c r="H4" s="82"/>
      <c r="I4" s="25"/>
      <c r="J4" s="25"/>
      <c r="K4" s="25"/>
      <c r="L4" s="25"/>
      <c r="M4" s="25"/>
      <c r="N4" s="24"/>
    </row>
    <row r="5" spans="2:29" ht="36" customHeight="1" thickBot="1" x14ac:dyDescent="0.35">
      <c r="B5" s="150" t="s">
        <v>4</v>
      </c>
      <c r="C5" s="151" t="s">
        <v>244</v>
      </c>
      <c r="D5" s="152" t="s">
        <v>228</v>
      </c>
      <c r="E5" s="152" t="s">
        <v>202</v>
      </c>
      <c r="F5" s="152" t="s">
        <v>203</v>
      </c>
      <c r="G5" s="152" t="s">
        <v>218</v>
      </c>
      <c r="H5" s="152" t="s">
        <v>208</v>
      </c>
      <c r="I5" s="152" t="s">
        <v>3</v>
      </c>
      <c r="J5" s="152" t="s">
        <v>2</v>
      </c>
      <c r="K5" s="153" t="s">
        <v>5</v>
      </c>
      <c r="L5" s="153" t="s">
        <v>220</v>
      </c>
      <c r="M5" s="153" t="s">
        <v>207</v>
      </c>
      <c r="N5" s="24"/>
      <c r="T5" s="21" t="s">
        <v>202</v>
      </c>
      <c r="U5" s="21" t="s">
        <v>203</v>
      </c>
      <c r="AC5" s="7" t="s">
        <v>244</v>
      </c>
    </row>
    <row r="6" spans="2:29" ht="23.4" customHeight="1" x14ac:dyDescent="0.3">
      <c r="B6" s="148">
        <v>45834</v>
      </c>
      <c r="C6" s="79">
        <f t="shared" ref="C6:C69" si="0">MONTH(B6)</f>
        <v>6</v>
      </c>
      <c r="D6" s="70" t="s">
        <v>7</v>
      </c>
      <c r="E6" s="71" t="s">
        <v>209</v>
      </c>
      <c r="F6" s="83" t="s">
        <v>0</v>
      </c>
      <c r="G6" s="71"/>
      <c r="H6" s="84" t="s">
        <v>489</v>
      </c>
      <c r="I6" s="72">
        <v>1</v>
      </c>
      <c r="J6" s="72">
        <v>1750</v>
      </c>
      <c r="K6" s="73">
        <f t="shared" ref="K6:K69" si="1">I6*J6</f>
        <v>1750</v>
      </c>
      <c r="L6" s="73">
        <f>K6</f>
        <v>1750</v>
      </c>
      <c r="M6" s="73">
        <f t="shared" ref="M6:M69" si="2">K6-L6</f>
        <v>0</v>
      </c>
      <c r="N6" s="29"/>
      <c r="Z6">
        <v>1</v>
      </c>
      <c r="AA6" t="s">
        <v>423</v>
      </c>
      <c r="AC6" t="str">
        <f>IFERROR(INDEX(AA:AA,MATCH(C6,Z:Z,0)),"")</f>
        <v>Jun</v>
      </c>
    </row>
    <row r="7" spans="2:29" ht="18" customHeight="1" x14ac:dyDescent="0.3">
      <c r="B7" s="148">
        <v>45830</v>
      </c>
      <c r="C7" s="80">
        <f t="shared" si="0"/>
        <v>6</v>
      </c>
      <c r="D7" s="74" t="s">
        <v>13</v>
      </c>
      <c r="E7" s="71" t="s">
        <v>219</v>
      </c>
      <c r="F7" s="84" t="s">
        <v>0</v>
      </c>
      <c r="G7" s="84"/>
      <c r="H7" s="84" t="s">
        <v>487</v>
      </c>
      <c r="I7" s="69">
        <v>2</v>
      </c>
      <c r="J7" s="69">
        <v>4875</v>
      </c>
      <c r="K7" s="75">
        <f t="shared" si="1"/>
        <v>9750</v>
      </c>
      <c r="L7" s="75"/>
      <c r="M7" s="73">
        <f t="shared" si="2"/>
        <v>9750</v>
      </c>
      <c r="N7" s="29"/>
      <c r="Z7">
        <v>2</v>
      </c>
      <c r="AA7" t="s">
        <v>424</v>
      </c>
      <c r="AC7" t="str">
        <f t="shared" ref="AC7:AC70" si="3">IFERROR(INDEX(AA:AA,MATCH(C7,Z:Z,0)),"")</f>
        <v>Jun</v>
      </c>
    </row>
    <row r="8" spans="2:29" ht="18" customHeight="1" x14ac:dyDescent="0.3">
      <c r="B8" s="148">
        <v>45830</v>
      </c>
      <c r="C8" s="80">
        <f t="shared" si="0"/>
        <v>6</v>
      </c>
      <c r="D8" s="74" t="s">
        <v>13</v>
      </c>
      <c r="E8" s="71" t="s">
        <v>219</v>
      </c>
      <c r="F8" s="84" t="s">
        <v>0</v>
      </c>
      <c r="G8" s="84"/>
      <c r="H8" s="84" t="s">
        <v>483</v>
      </c>
      <c r="I8" s="69">
        <v>1</v>
      </c>
      <c r="J8" s="69">
        <v>5050</v>
      </c>
      <c r="K8" s="75">
        <f t="shared" si="1"/>
        <v>5050</v>
      </c>
      <c r="L8" s="75"/>
      <c r="M8" s="73">
        <f t="shared" si="2"/>
        <v>5050</v>
      </c>
      <c r="N8" s="29"/>
      <c r="Z8">
        <v>3</v>
      </c>
      <c r="AA8" t="s">
        <v>425</v>
      </c>
      <c r="AC8" t="str">
        <f t="shared" si="3"/>
        <v>Jun</v>
      </c>
    </row>
    <row r="9" spans="2:29" ht="18" customHeight="1" x14ac:dyDescent="0.3">
      <c r="B9" s="148">
        <v>45840</v>
      </c>
      <c r="C9" s="79">
        <f t="shared" si="0"/>
        <v>7</v>
      </c>
      <c r="D9" s="70" t="s">
        <v>10</v>
      </c>
      <c r="E9" s="71" t="s">
        <v>209</v>
      </c>
      <c r="F9" s="83" t="s">
        <v>1</v>
      </c>
      <c r="G9" s="71"/>
      <c r="H9" s="83" t="s">
        <v>484</v>
      </c>
      <c r="I9" s="72">
        <v>1</v>
      </c>
      <c r="J9" s="72">
        <v>1750</v>
      </c>
      <c r="K9" s="73">
        <f t="shared" si="1"/>
        <v>1750</v>
      </c>
      <c r="L9" s="73">
        <f t="shared" ref="L9:L72" si="4">K9</f>
        <v>1750</v>
      </c>
      <c r="M9" s="73">
        <f t="shared" si="2"/>
        <v>0</v>
      </c>
      <c r="N9" s="29"/>
      <c r="Z9">
        <v>4</v>
      </c>
      <c r="AA9" t="s">
        <v>434</v>
      </c>
      <c r="AC9" t="str">
        <f t="shared" si="3"/>
        <v>Jul</v>
      </c>
    </row>
    <row r="10" spans="2:29" ht="18" customHeight="1" x14ac:dyDescent="0.3">
      <c r="B10" s="148">
        <v>45842</v>
      </c>
      <c r="C10" s="79">
        <f t="shared" si="0"/>
        <v>7</v>
      </c>
      <c r="D10" s="70" t="s">
        <v>94</v>
      </c>
      <c r="E10" s="71" t="s">
        <v>209</v>
      </c>
      <c r="F10" s="83" t="s">
        <v>204</v>
      </c>
      <c r="G10" s="71"/>
      <c r="H10" s="84" t="s">
        <v>480</v>
      </c>
      <c r="I10" s="72">
        <v>5</v>
      </c>
      <c r="J10" s="72">
        <v>190</v>
      </c>
      <c r="K10" s="73">
        <f t="shared" si="1"/>
        <v>950</v>
      </c>
      <c r="L10" s="73">
        <f t="shared" si="4"/>
        <v>950</v>
      </c>
      <c r="M10" s="73">
        <f t="shared" si="2"/>
        <v>0</v>
      </c>
      <c r="N10" s="29"/>
      <c r="Z10">
        <v>5</v>
      </c>
      <c r="AA10" t="s">
        <v>426</v>
      </c>
      <c r="AC10" t="str">
        <f t="shared" si="3"/>
        <v>Jul</v>
      </c>
    </row>
    <row r="11" spans="2:29" ht="18" customHeight="1" x14ac:dyDescent="0.3">
      <c r="B11" s="148">
        <v>45842</v>
      </c>
      <c r="C11" s="79">
        <f t="shared" si="0"/>
        <v>7</v>
      </c>
      <c r="D11" s="70" t="s">
        <v>129</v>
      </c>
      <c r="E11" s="71" t="s">
        <v>209</v>
      </c>
      <c r="F11" s="83" t="s">
        <v>204</v>
      </c>
      <c r="G11" s="71"/>
      <c r="H11" s="84" t="s">
        <v>480</v>
      </c>
      <c r="I11" s="72">
        <v>5</v>
      </c>
      <c r="J11" s="72">
        <v>220</v>
      </c>
      <c r="K11" s="73">
        <f t="shared" si="1"/>
        <v>1100</v>
      </c>
      <c r="L11" s="73">
        <f t="shared" si="4"/>
        <v>1100</v>
      </c>
      <c r="M11" s="73">
        <f t="shared" si="2"/>
        <v>0</v>
      </c>
      <c r="N11" s="29"/>
      <c r="Z11">
        <v>6</v>
      </c>
      <c r="AA11" t="s">
        <v>436</v>
      </c>
      <c r="AC11" t="str">
        <f t="shared" si="3"/>
        <v>Jul</v>
      </c>
    </row>
    <row r="12" spans="2:29" ht="18" customHeight="1" x14ac:dyDescent="0.3">
      <c r="B12" s="148">
        <v>45842</v>
      </c>
      <c r="C12" s="79">
        <f t="shared" si="0"/>
        <v>7</v>
      </c>
      <c r="D12" s="70" t="s">
        <v>11</v>
      </c>
      <c r="E12" s="71" t="s">
        <v>209</v>
      </c>
      <c r="F12" s="83" t="s">
        <v>204</v>
      </c>
      <c r="G12" s="71"/>
      <c r="H12" s="84" t="s">
        <v>480</v>
      </c>
      <c r="I12" s="72">
        <v>5</v>
      </c>
      <c r="J12" s="72">
        <v>220</v>
      </c>
      <c r="K12" s="73">
        <f t="shared" si="1"/>
        <v>1100</v>
      </c>
      <c r="L12" s="73">
        <f t="shared" si="4"/>
        <v>1100</v>
      </c>
      <c r="M12" s="73">
        <f t="shared" si="2"/>
        <v>0</v>
      </c>
      <c r="N12" s="29"/>
      <c r="Z12">
        <v>7</v>
      </c>
      <c r="AA12" t="s">
        <v>435</v>
      </c>
      <c r="AC12" t="str">
        <f t="shared" si="3"/>
        <v>Jul</v>
      </c>
    </row>
    <row r="13" spans="2:29" ht="18" customHeight="1" x14ac:dyDescent="0.3">
      <c r="B13" s="148">
        <v>45842</v>
      </c>
      <c r="C13" s="79">
        <f t="shared" si="0"/>
        <v>7</v>
      </c>
      <c r="D13" s="70" t="s">
        <v>159</v>
      </c>
      <c r="E13" s="71" t="s">
        <v>209</v>
      </c>
      <c r="F13" s="83" t="s">
        <v>204</v>
      </c>
      <c r="G13" s="71"/>
      <c r="H13" s="84" t="s">
        <v>480</v>
      </c>
      <c r="I13" s="72">
        <v>1</v>
      </c>
      <c r="J13" s="72">
        <v>400</v>
      </c>
      <c r="K13" s="73">
        <f t="shared" si="1"/>
        <v>400</v>
      </c>
      <c r="L13" s="73">
        <f t="shared" si="4"/>
        <v>400</v>
      </c>
      <c r="M13" s="73">
        <f t="shared" si="2"/>
        <v>0</v>
      </c>
      <c r="N13" s="29"/>
      <c r="Z13">
        <v>8</v>
      </c>
      <c r="AA13" t="s">
        <v>427</v>
      </c>
      <c r="AC13" t="str">
        <f t="shared" si="3"/>
        <v>Jul</v>
      </c>
    </row>
    <row r="14" spans="2:29" ht="18" customHeight="1" x14ac:dyDescent="0.3">
      <c r="B14" s="148">
        <v>45843</v>
      </c>
      <c r="C14" s="79">
        <f t="shared" si="0"/>
        <v>7</v>
      </c>
      <c r="D14" s="70" t="s">
        <v>12</v>
      </c>
      <c r="E14" s="71" t="s">
        <v>209</v>
      </c>
      <c r="F14" s="83" t="s">
        <v>204</v>
      </c>
      <c r="G14" s="71"/>
      <c r="H14" s="83" t="s">
        <v>484</v>
      </c>
      <c r="I14" s="72">
        <v>1</v>
      </c>
      <c r="J14" s="72">
        <v>325</v>
      </c>
      <c r="K14" s="73">
        <f t="shared" si="1"/>
        <v>325</v>
      </c>
      <c r="L14" s="73">
        <f t="shared" si="4"/>
        <v>325</v>
      </c>
      <c r="M14" s="73">
        <f t="shared" si="2"/>
        <v>0</v>
      </c>
      <c r="N14" s="29"/>
      <c r="Z14">
        <v>9</v>
      </c>
      <c r="AA14" t="s">
        <v>428</v>
      </c>
      <c r="AC14" t="str">
        <f t="shared" si="3"/>
        <v>Jul</v>
      </c>
    </row>
    <row r="15" spans="2:29" ht="18" customHeight="1" x14ac:dyDescent="0.3">
      <c r="B15" s="148">
        <v>45843</v>
      </c>
      <c r="C15" s="79">
        <f t="shared" si="0"/>
        <v>7</v>
      </c>
      <c r="D15" s="70" t="s">
        <v>17</v>
      </c>
      <c r="E15" s="71" t="s">
        <v>209</v>
      </c>
      <c r="F15" s="83" t="s">
        <v>204</v>
      </c>
      <c r="G15" s="71"/>
      <c r="H15" s="83" t="s">
        <v>484</v>
      </c>
      <c r="I15" s="72">
        <v>1</v>
      </c>
      <c r="J15" s="72">
        <v>70</v>
      </c>
      <c r="K15" s="73">
        <f t="shared" si="1"/>
        <v>70</v>
      </c>
      <c r="L15" s="73">
        <f t="shared" si="4"/>
        <v>70</v>
      </c>
      <c r="M15" s="73">
        <f t="shared" si="2"/>
        <v>0</v>
      </c>
      <c r="N15" s="29"/>
      <c r="Z15">
        <v>10</v>
      </c>
      <c r="AA15" t="s">
        <v>429</v>
      </c>
      <c r="AC15" t="str">
        <f t="shared" si="3"/>
        <v>Jul</v>
      </c>
    </row>
    <row r="16" spans="2:29" ht="18" customHeight="1" x14ac:dyDescent="0.3">
      <c r="B16" s="148">
        <v>45843</v>
      </c>
      <c r="C16" s="79">
        <f t="shared" si="0"/>
        <v>7</v>
      </c>
      <c r="D16" s="70" t="s">
        <v>12</v>
      </c>
      <c r="E16" s="71" t="s">
        <v>209</v>
      </c>
      <c r="F16" s="83" t="s">
        <v>204</v>
      </c>
      <c r="G16" s="71"/>
      <c r="H16" s="84" t="s">
        <v>469</v>
      </c>
      <c r="I16" s="72">
        <v>1</v>
      </c>
      <c r="J16" s="72">
        <v>325</v>
      </c>
      <c r="K16" s="73">
        <f t="shared" si="1"/>
        <v>325</v>
      </c>
      <c r="L16" s="73">
        <f t="shared" si="4"/>
        <v>325</v>
      </c>
      <c r="M16" s="73">
        <f t="shared" si="2"/>
        <v>0</v>
      </c>
      <c r="N16" s="29"/>
      <c r="Z16">
        <v>11</v>
      </c>
      <c r="AA16" t="s">
        <v>430</v>
      </c>
      <c r="AC16" t="str">
        <f t="shared" si="3"/>
        <v>Jul</v>
      </c>
    </row>
    <row r="17" spans="2:29" ht="18" customHeight="1" x14ac:dyDescent="0.3">
      <c r="B17" s="148">
        <v>45843</v>
      </c>
      <c r="C17" s="79">
        <f t="shared" si="0"/>
        <v>7</v>
      </c>
      <c r="D17" s="70" t="s">
        <v>35</v>
      </c>
      <c r="E17" s="71" t="s">
        <v>209</v>
      </c>
      <c r="F17" s="83" t="s">
        <v>204</v>
      </c>
      <c r="G17" s="71"/>
      <c r="H17" s="84" t="s">
        <v>469</v>
      </c>
      <c r="I17" s="72">
        <v>2</v>
      </c>
      <c r="J17" s="72">
        <v>175</v>
      </c>
      <c r="K17" s="73">
        <f t="shared" si="1"/>
        <v>350</v>
      </c>
      <c r="L17" s="73">
        <f t="shared" si="4"/>
        <v>350</v>
      </c>
      <c r="M17" s="73">
        <f t="shared" si="2"/>
        <v>0</v>
      </c>
      <c r="N17" s="29"/>
      <c r="Z17">
        <v>12</v>
      </c>
      <c r="AA17" t="s">
        <v>431</v>
      </c>
      <c r="AC17" t="str">
        <f t="shared" si="3"/>
        <v>Jul</v>
      </c>
    </row>
    <row r="18" spans="2:29" ht="18" customHeight="1" x14ac:dyDescent="0.3">
      <c r="B18" s="148">
        <v>45843</v>
      </c>
      <c r="C18" s="79">
        <f t="shared" si="0"/>
        <v>7</v>
      </c>
      <c r="D18" s="70" t="s">
        <v>12</v>
      </c>
      <c r="E18" s="71" t="s">
        <v>209</v>
      </c>
      <c r="F18" s="84" t="s">
        <v>204</v>
      </c>
      <c r="G18" s="71"/>
      <c r="H18" s="83" t="s">
        <v>484</v>
      </c>
      <c r="I18" s="72">
        <v>1</v>
      </c>
      <c r="J18" s="72">
        <v>325</v>
      </c>
      <c r="K18" s="73">
        <f t="shared" si="1"/>
        <v>325</v>
      </c>
      <c r="L18" s="73">
        <f t="shared" si="4"/>
        <v>325</v>
      </c>
      <c r="M18" s="73">
        <f t="shared" si="2"/>
        <v>0</v>
      </c>
      <c r="N18" s="29"/>
      <c r="AC18" t="str">
        <f t="shared" si="3"/>
        <v>Jul</v>
      </c>
    </row>
    <row r="19" spans="2:29" ht="18" customHeight="1" x14ac:dyDescent="0.3">
      <c r="B19" s="148">
        <v>45843</v>
      </c>
      <c r="C19" s="79">
        <f t="shared" si="0"/>
        <v>7</v>
      </c>
      <c r="D19" s="70" t="s">
        <v>12</v>
      </c>
      <c r="E19" s="71" t="s">
        <v>209</v>
      </c>
      <c r="F19" s="84" t="s">
        <v>204</v>
      </c>
      <c r="G19" s="71"/>
      <c r="H19" s="84" t="s">
        <v>480</v>
      </c>
      <c r="I19" s="72">
        <v>1</v>
      </c>
      <c r="J19" s="72">
        <v>325</v>
      </c>
      <c r="K19" s="73">
        <f t="shared" si="1"/>
        <v>325</v>
      </c>
      <c r="L19" s="73">
        <f t="shared" si="4"/>
        <v>325</v>
      </c>
      <c r="M19" s="73">
        <f t="shared" si="2"/>
        <v>0</v>
      </c>
      <c r="N19" s="29"/>
      <c r="AC19" t="str">
        <f t="shared" si="3"/>
        <v>Jul</v>
      </c>
    </row>
    <row r="20" spans="2:29" ht="18" customHeight="1" x14ac:dyDescent="0.3">
      <c r="B20" s="148">
        <v>45843</v>
      </c>
      <c r="C20" s="79">
        <f t="shared" si="0"/>
        <v>7</v>
      </c>
      <c r="D20" s="70" t="s">
        <v>12</v>
      </c>
      <c r="E20" s="71" t="s">
        <v>209</v>
      </c>
      <c r="F20" s="84" t="s">
        <v>204</v>
      </c>
      <c r="G20" s="71"/>
      <c r="H20" s="84" t="s">
        <v>469</v>
      </c>
      <c r="I20" s="72">
        <v>1</v>
      </c>
      <c r="J20" s="72">
        <v>325</v>
      </c>
      <c r="K20" s="73">
        <f t="shared" si="1"/>
        <v>325</v>
      </c>
      <c r="L20" s="73">
        <f t="shared" si="4"/>
        <v>325</v>
      </c>
      <c r="M20" s="73">
        <f t="shared" si="2"/>
        <v>0</v>
      </c>
      <c r="N20" s="29"/>
      <c r="AC20" t="str">
        <f t="shared" si="3"/>
        <v>Jul</v>
      </c>
    </row>
    <row r="21" spans="2:29" ht="18" customHeight="1" x14ac:dyDescent="0.3">
      <c r="B21" s="148">
        <v>45843</v>
      </c>
      <c r="C21" s="79">
        <f t="shared" si="0"/>
        <v>7</v>
      </c>
      <c r="D21" s="70" t="s">
        <v>12</v>
      </c>
      <c r="E21" s="71" t="s">
        <v>209</v>
      </c>
      <c r="F21" s="84" t="s">
        <v>204</v>
      </c>
      <c r="G21" s="71"/>
      <c r="H21" s="84" t="s">
        <v>483</v>
      </c>
      <c r="I21" s="72">
        <v>1</v>
      </c>
      <c r="J21" s="72">
        <v>325</v>
      </c>
      <c r="K21" s="73">
        <f t="shared" si="1"/>
        <v>325</v>
      </c>
      <c r="L21" s="73">
        <f t="shared" si="4"/>
        <v>325</v>
      </c>
      <c r="M21" s="73">
        <f t="shared" si="2"/>
        <v>0</v>
      </c>
      <c r="N21" s="29"/>
      <c r="AC21" t="str">
        <f t="shared" si="3"/>
        <v>Jul</v>
      </c>
    </row>
    <row r="22" spans="2:29" ht="18" customHeight="1" x14ac:dyDescent="0.3">
      <c r="B22" s="148">
        <v>45843</v>
      </c>
      <c r="C22" s="79">
        <f t="shared" si="0"/>
        <v>7</v>
      </c>
      <c r="D22" s="70" t="s">
        <v>102</v>
      </c>
      <c r="E22" s="71" t="s">
        <v>209</v>
      </c>
      <c r="F22" s="84" t="s">
        <v>204</v>
      </c>
      <c r="G22" s="71"/>
      <c r="H22" s="84" t="s">
        <v>483</v>
      </c>
      <c r="I22" s="72">
        <v>1</v>
      </c>
      <c r="J22" s="72">
        <v>920</v>
      </c>
      <c r="K22" s="73">
        <f t="shared" si="1"/>
        <v>920</v>
      </c>
      <c r="L22" s="73">
        <f t="shared" si="4"/>
        <v>920</v>
      </c>
      <c r="M22" s="73">
        <f t="shared" si="2"/>
        <v>0</v>
      </c>
      <c r="N22" s="29"/>
      <c r="AC22" t="str">
        <f t="shared" si="3"/>
        <v>Jul</v>
      </c>
    </row>
    <row r="23" spans="2:29" ht="18" customHeight="1" x14ac:dyDescent="0.3">
      <c r="B23" s="148">
        <v>45843</v>
      </c>
      <c r="C23" s="79">
        <f t="shared" si="0"/>
        <v>7</v>
      </c>
      <c r="D23" s="70" t="s">
        <v>18</v>
      </c>
      <c r="E23" s="71" t="s">
        <v>209</v>
      </c>
      <c r="F23" s="84" t="s">
        <v>1</v>
      </c>
      <c r="G23" s="71"/>
      <c r="H23" s="84" t="s">
        <v>469</v>
      </c>
      <c r="I23" s="72">
        <v>1</v>
      </c>
      <c r="J23" s="72">
        <v>1350</v>
      </c>
      <c r="K23" s="73">
        <f t="shared" si="1"/>
        <v>1350</v>
      </c>
      <c r="L23" s="73">
        <f t="shared" si="4"/>
        <v>1350</v>
      </c>
      <c r="M23" s="73">
        <f t="shared" si="2"/>
        <v>0</v>
      </c>
      <c r="N23" s="29"/>
      <c r="AC23" t="str">
        <f t="shared" si="3"/>
        <v>Jul</v>
      </c>
    </row>
    <row r="24" spans="2:29" ht="18" customHeight="1" x14ac:dyDescent="0.3">
      <c r="B24" s="148">
        <v>45843</v>
      </c>
      <c r="C24" s="79">
        <f t="shared" si="0"/>
        <v>7</v>
      </c>
      <c r="D24" s="70" t="s">
        <v>79</v>
      </c>
      <c r="E24" s="71" t="s">
        <v>209</v>
      </c>
      <c r="F24" s="84" t="s">
        <v>204</v>
      </c>
      <c r="G24" s="71"/>
      <c r="H24" s="84" t="s">
        <v>478</v>
      </c>
      <c r="I24" s="72">
        <v>1</v>
      </c>
      <c r="J24" s="72">
        <v>630</v>
      </c>
      <c r="K24" s="73">
        <f t="shared" si="1"/>
        <v>630</v>
      </c>
      <c r="L24" s="73">
        <f t="shared" si="4"/>
        <v>630</v>
      </c>
      <c r="M24" s="73">
        <f t="shared" si="2"/>
        <v>0</v>
      </c>
      <c r="N24" s="29"/>
      <c r="AC24" t="str">
        <f t="shared" si="3"/>
        <v>Jul</v>
      </c>
    </row>
    <row r="25" spans="2:29" ht="18" customHeight="1" x14ac:dyDescent="0.3">
      <c r="B25" s="148">
        <v>45844</v>
      </c>
      <c r="C25" s="79">
        <f t="shared" si="0"/>
        <v>7</v>
      </c>
      <c r="D25" s="70" t="s">
        <v>21</v>
      </c>
      <c r="E25" s="71" t="s">
        <v>209</v>
      </c>
      <c r="F25" s="84" t="s">
        <v>1</v>
      </c>
      <c r="G25" s="71"/>
      <c r="H25" s="84" t="s">
        <v>470</v>
      </c>
      <c r="I25" s="72">
        <v>1</v>
      </c>
      <c r="J25" s="72">
        <v>1750</v>
      </c>
      <c r="K25" s="73">
        <f t="shared" si="1"/>
        <v>1750</v>
      </c>
      <c r="L25" s="73">
        <f t="shared" si="4"/>
        <v>1750</v>
      </c>
      <c r="M25" s="73">
        <f t="shared" si="2"/>
        <v>0</v>
      </c>
      <c r="N25" s="29"/>
      <c r="AC25" t="str">
        <f t="shared" si="3"/>
        <v>Jul</v>
      </c>
    </row>
    <row r="26" spans="2:29" ht="18" customHeight="1" x14ac:dyDescent="0.3">
      <c r="B26" s="148">
        <v>45844</v>
      </c>
      <c r="C26" s="79">
        <f t="shared" si="0"/>
        <v>7</v>
      </c>
      <c r="D26" s="70" t="s">
        <v>7</v>
      </c>
      <c r="E26" s="71" t="s">
        <v>209</v>
      </c>
      <c r="F26" s="84" t="s">
        <v>0</v>
      </c>
      <c r="G26" s="71"/>
      <c r="H26" s="83" t="s">
        <v>484</v>
      </c>
      <c r="I26" s="72">
        <v>2</v>
      </c>
      <c r="J26" s="72">
        <v>1750</v>
      </c>
      <c r="K26" s="73">
        <f t="shared" si="1"/>
        <v>3500</v>
      </c>
      <c r="L26" s="73">
        <f t="shared" si="4"/>
        <v>3500</v>
      </c>
      <c r="M26" s="73">
        <f t="shared" si="2"/>
        <v>0</v>
      </c>
      <c r="N26" s="29"/>
      <c r="AC26" t="str">
        <f t="shared" si="3"/>
        <v>Jul</v>
      </c>
    </row>
    <row r="27" spans="2:29" ht="18" customHeight="1" x14ac:dyDescent="0.3">
      <c r="B27" s="148">
        <v>45844</v>
      </c>
      <c r="C27" s="79">
        <f t="shared" si="0"/>
        <v>7</v>
      </c>
      <c r="D27" s="70" t="s">
        <v>23</v>
      </c>
      <c r="E27" s="71" t="s">
        <v>209</v>
      </c>
      <c r="F27" s="84" t="s">
        <v>204</v>
      </c>
      <c r="G27" s="71"/>
      <c r="H27" s="83" t="s">
        <v>484</v>
      </c>
      <c r="I27" s="72">
        <v>1</v>
      </c>
      <c r="J27" s="72">
        <v>250</v>
      </c>
      <c r="K27" s="73">
        <f t="shared" si="1"/>
        <v>250</v>
      </c>
      <c r="L27" s="73">
        <f t="shared" si="4"/>
        <v>250</v>
      </c>
      <c r="M27" s="73">
        <f t="shared" si="2"/>
        <v>0</v>
      </c>
      <c r="N27" s="29"/>
      <c r="AC27" t="str">
        <f t="shared" si="3"/>
        <v>Jul</v>
      </c>
    </row>
    <row r="28" spans="2:29" ht="18" customHeight="1" x14ac:dyDescent="0.3">
      <c r="B28" s="148">
        <v>45844</v>
      </c>
      <c r="C28" s="79">
        <f t="shared" si="0"/>
        <v>7</v>
      </c>
      <c r="D28" s="70" t="s">
        <v>24</v>
      </c>
      <c r="E28" s="71" t="s">
        <v>209</v>
      </c>
      <c r="F28" s="84" t="s">
        <v>204</v>
      </c>
      <c r="G28" s="71"/>
      <c r="H28" s="83" t="s">
        <v>484</v>
      </c>
      <c r="I28" s="72">
        <v>1</v>
      </c>
      <c r="J28" s="72">
        <v>100</v>
      </c>
      <c r="K28" s="73">
        <f t="shared" si="1"/>
        <v>100</v>
      </c>
      <c r="L28" s="73">
        <f t="shared" si="4"/>
        <v>100</v>
      </c>
      <c r="M28" s="73">
        <f t="shared" si="2"/>
        <v>0</v>
      </c>
      <c r="N28" s="29"/>
      <c r="AC28" t="str">
        <f t="shared" si="3"/>
        <v>Jul</v>
      </c>
    </row>
    <row r="29" spans="2:29" ht="18" customHeight="1" x14ac:dyDescent="0.3">
      <c r="B29" s="148">
        <v>45844</v>
      </c>
      <c r="C29" s="79">
        <f t="shared" si="0"/>
        <v>7</v>
      </c>
      <c r="D29" s="70" t="s">
        <v>25</v>
      </c>
      <c r="E29" s="71" t="s">
        <v>209</v>
      </c>
      <c r="F29" s="84" t="s">
        <v>204</v>
      </c>
      <c r="G29" s="71"/>
      <c r="H29" s="83" t="s">
        <v>484</v>
      </c>
      <c r="I29" s="72">
        <v>1</v>
      </c>
      <c r="J29" s="72">
        <v>325</v>
      </c>
      <c r="K29" s="73">
        <f t="shared" si="1"/>
        <v>325</v>
      </c>
      <c r="L29" s="73">
        <f t="shared" si="4"/>
        <v>325</v>
      </c>
      <c r="M29" s="73">
        <f t="shared" si="2"/>
        <v>0</v>
      </c>
      <c r="N29" s="29"/>
      <c r="AC29" t="str">
        <f t="shared" si="3"/>
        <v>Jul</v>
      </c>
    </row>
    <row r="30" spans="2:29" ht="18" customHeight="1" x14ac:dyDescent="0.3">
      <c r="B30" s="148">
        <v>45844</v>
      </c>
      <c r="C30" s="79">
        <f t="shared" si="0"/>
        <v>7</v>
      </c>
      <c r="D30" s="70" t="s">
        <v>25</v>
      </c>
      <c r="E30" s="71" t="s">
        <v>209</v>
      </c>
      <c r="F30" s="84" t="s">
        <v>204</v>
      </c>
      <c r="G30" s="71"/>
      <c r="H30" s="83" t="s">
        <v>484</v>
      </c>
      <c r="I30" s="72">
        <v>1</v>
      </c>
      <c r="J30" s="72">
        <v>325</v>
      </c>
      <c r="K30" s="73">
        <f t="shared" si="1"/>
        <v>325</v>
      </c>
      <c r="L30" s="73">
        <f t="shared" si="4"/>
        <v>325</v>
      </c>
      <c r="M30" s="73">
        <f t="shared" si="2"/>
        <v>0</v>
      </c>
      <c r="N30" s="29"/>
      <c r="AC30" t="str">
        <f t="shared" si="3"/>
        <v>Jul</v>
      </c>
    </row>
    <row r="31" spans="2:29" ht="18" customHeight="1" x14ac:dyDescent="0.3">
      <c r="B31" s="148">
        <v>45844</v>
      </c>
      <c r="C31" s="79">
        <f t="shared" si="0"/>
        <v>7</v>
      </c>
      <c r="D31" s="70" t="s">
        <v>22</v>
      </c>
      <c r="E31" s="71" t="s">
        <v>209</v>
      </c>
      <c r="F31" s="84" t="s">
        <v>204</v>
      </c>
      <c r="G31" s="71"/>
      <c r="H31" s="83" t="s">
        <v>484</v>
      </c>
      <c r="I31" s="72">
        <v>1</v>
      </c>
      <c r="J31" s="72">
        <v>2650</v>
      </c>
      <c r="K31" s="73">
        <f t="shared" si="1"/>
        <v>2650</v>
      </c>
      <c r="L31" s="73">
        <f t="shared" si="4"/>
        <v>2650</v>
      </c>
      <c r="M31" s="73">
        <f t="shared" si="2"/>
        <v>0</v>
      </c>
      <c r="N31" s="29"/>
      <c r="AC31" t="str">
        <f t="shared" si="3"/>
        <v>Jul</v>
      </c>
    </row>
    <row r="32" spans="2:29" ht="18" customHeight="1" x14ac:dyDescent="0.3">
      <c r="B32" s="148">
        <v>45844</v>
      </c>
      <c r="C32" s="79">
        <f t="shared" si="0"/>
        <v>7</v>
      </c>
      <c r="D32" s="70" t="s">
        <v>49</v>
      </c>
      <c r="E32" s="71" t="s">
        <v>209</v>
      </c>
      <c r="F32" s="84" t="s">
        <v>1</v>
      </c>
      <c r="G32" s="71"/>
      <c r="H32" s="84" t="s">
        <v>471</v>
      </c>
      <c r="I32" s="72">
        <v>1</v>
      </c>
      <c r="J32" s="72">
        <v>2500</v>
      </c>
      <c r="K32" s="73">
        <f t="shared" si="1"/>
        <v>2500</v>
      </c>
      <c r="L32" s="73">
        <f t="shared" si="4"/>
        <v>2500</v>
      </c>
      <c r="M32" s="73">
        <f t="shared" si="2"/>
        <v>0</v>
      </c>
      <c r="N32" s="29"/>
      <c r="AC32" t="str">
        <f t="shared" si="3"/>
        <v>Jul</v>
      </c>
    </row>
    <row r="33" spans="2:29" ht="18" customHeight="1" x14ac:dyDescent="0.3">
      <c r="B33" s="148">
        <v>45845</v>
      </c>
      <c r="C33" s="79">
        <f t="shared" si="0"/>
        <v>7</v>
      </c>
      <c r="D33" s="70" t="s">
        <v>49</v>
      </c>
      <c r="E33" s="71" t="s">
        <v>209</v>
      </c>
      <c r="F33" s="84" t="s">
        <v>1</v>
      </c>
      <c r="G33" s="71"/>
      <c r="H33" s="84" t="s">
        <v>483</v>
      </c>
      <c r="I33" s="72">
        <v>1</v>
      </c>
      <c r="J33" s="72">
        <v>2500</v>
      </c>
      <c r="K33" s="73">
        <f t="shared" si="1"/>
        <v>2500</v>
      </c>
      <c r="L33" s="73">
        <f t="shared" si="4"/>
        <v>2500</v>
      </c>
      <c r="M33" s="73">
        <f t="shared" si="2"/>
        <v>0</v>
      </c>
      <c r="N33" s="29"/>
      <c r="AC33" t="str">
        <f t="shared" si="3"/>
        <v>Jul</v>
      </c>
    </row>
    <row r="34" spans="2:29" ht="18" customHeight="1" x14ac:dyDescent="0.3">
      <c r="B34" s="148">
        <v>45845</v>
      </c>
      <c r="C34" s="79">
        <f t="shared" si="0"/>
        <v>7</v>
      </c>
      <c r="D34" s="70" t="s">
        <v>21</v>
      </c>
      <c r="E34" s="71" t="s">
        <v>209</v>
      </c>
      <c r="F34" s="84" t="s">
        <v>1</v>
      </c>
      <c r="G34" s="71"/>
      <c r="H34" s="84" t="s">
        <v>485</v>
      </c>
      <c r="I34" s="72">
        <v>1</v>
      </c>
      <c r="J34" s="72">
        <v>1750</v>
      </c>
      <c r="K34" s="73">
        <f t="shared" si="1"/>
        <v>1750</v>
      </c>
      <c r="L34" s="73">
        <f t="shared" si="4"/>
        <v>1750</v>
      </c>
      <c r="M34" s="73">
        <f t="shared" si="2"/>
        <v>0</v>
      </c>
      <c r="N34" s="29"/>
      <c r="AC34" t="str">
        <f t="shared" si="3"/>
        <v>Jul</v>
      </c>
    </row>
    <row r="35" spans="2:29" ht="18" customHeight="1" x14ac:dyDescent="0.3">
      <c r="B35" s="148">
        <v>45845</v>
      </c>
      <c r="C35" s="79">
        <f t="shared" si="0"/>
        <v>7</v>
      </c>
      <c r="D35" s="70" t="s">
        <v>26</v>
      </c>
      <c r="E35" s="71" t="s">
        <v>209</v>
      </c>
      <c r="F35" s="84" t="s">
        <v>204</v>
      </c>
      <c r="G35" s="71"/>
      <c r="H35" s="83" t="s">
        <v>484</v>
      </c>
      <c r="I35" s="72">
        <v>1</v>
      </c>
      <c r="J35" s="72">
        <v>630</v>
      </c>
      <c r="K35" s="73">
        <f t="shared" si="1"/>
        <v>630</v>
      </c>
      <c r="L35" s="73">
        <f t="shared" si="4"/>
        <v>630</v>
      </c>
      <c r="M35" s="73">
        <f t="shared" si="2"/>
        <v>0</v>
      </c>
      <c r="N35" s="29"/>
      <c r="AC35" t="str">
        <f t="shared" si="3"/>
        <v>Jul</v>
      </c>
    </row>
    <row r="36" spans="2:29" ht="18" customHeight="1" x14ac:dyDescent="0.3">
      <c r="B36" s="148">
        <v>45845</v>
      </c>
      <c r="C36" s="79">
        <f t="shared" si="0"/>
        <v>7</v>
      </c>
      <c r="D36" s="70" t="s">
        <v>27</v>
      </c>
      <c r="E36" s="71" t="s">
        <v>209</v>
      </c>
      <c r="F36" s="84" t="s">
        <v>204</v>
      </c>
      <c r="G36" s="71"/>
      <c r="H36" s="83" t="s">
        <v>484</v>
      </c>
      <c r="I36" s="72">
        <v>1</v>
      </c>
      <c r="J36" s="72">
        <v>60</v>
      </c>
      <c r="K36" s="73">
        <f t="shared" si="1"/>
        <v>60</v>
      </c>
      <c r="L36" s="73">
        <f t="shared" si="4"/>
        <v>60</v>
      </c>
      <c r="M36" s="73">
        <f t="shared" si="2"/>
        <v>0</v>
      </c>
      <c r="N36" s="29"/>
      <c r="AC36" t="str">
        <f t="shared" si="3"/>
        <v>Jul</v>
      </c>
    </row>
    <row r="37" spans="2:29" ht="18" customHeight="1" x14ac:dyDescent="0.3">
      <c r="B37" s="148">
        <v>45845</v>
      </c>
      <c r="C37" s="79">
        <f t="shared" si="0"/>
        <v>7</v>
      </c>
      <c r="D37" s="70" t="s">
        <v>23</v>
      </c>
      <c r="E37" s="71" t="s">
        <v>209</v>
      </c>
      <c r="F37" s="84" t="s">
        <v>204</v>
      </c>
      <c r="G37" s="71"/>
      <c r="H37" s="83" t="s">
        <v>484</v>
      </c>
      <c r="I37" s="72">
        <v>1</v>
      </c>
      <c r="J37" s="72">
        <v>250</v>
      </c>
      <c r="K37" s="73">
        <f t="shared" si="1"/>
        <v>250</v>
      </c>
      <c r="L37" s="73">
        <f t="shared" si="4"/>
        <v>250</v>
      </c>
      <c r="M37" s="73">
        <f t="shared" si="2"/>
        <v>0</v>
      </c>
      <c r="N37" s="29"/>
      <c r="AC37" t="str">
        <f t="shared" si="3"/>
        <v>Jul</v>
      </c>
    </row>
    <row r="38" spans="2:29" ht="18" customHeight="1" x14ac:dyDescent="0.3">
      <c r="B38" s="148">
        <v>45844</v>
      </c>
      <c r="C38" s="79">
        <f t="shared" si="0"/>
        <v>7</v>
      </c>
      <c r="D38" s="70" t="s">
        <v>28</v>
      </c>
      <c r="E38" s="71" t="s">
        <v>209</v>
      </c>
      <c r="F38" s="84" t="s">
        <v>204</v>
      </c>
      <c r="G38" s="71"/>
      <c r="H38" s="84" t="s">
        <v>483</v>
      </c>
      <c r="I38" s="72">
        <v>1</v>
      </c>
      <c r="J38" s="72">
        <v>1600</v>
      </c>
      <c r="K38" s="73">
        <f t="shared" si="1"/>
        <v>1600</v>
      </c>
      <c r="L38" s="73">
        <f t="shared" si="4"/>
        <v>1600</v>
      </c>
      <c r="M38" s="73">
        <f t="shared" si="2"/>
        <v>0</v>
      </c>
      <c r="N38" s="29"/>
      <c r="AC38" t="str">
        <f t="shared" si="3"/>
        <v>Jul</v>
      </c>
    </row>
    <row r="39" spans="2:29" ht="18" customHeight="1" x14ac:dyDescent="0.3">
      <c r="B39" s="148">
        <v>45846</v>
      </c>
      <c r="C39" s="79">
        <f t="shared" si="0"/>
        <v>7</v>
      </c>
      <c r="D39" s="70" t="s">
        <v>120</v>
      </c>
      <c r="E39" s="71" t="s">
        <v>209</v>
      </c>
      <c r="F39" s="84" t="s">
        <v>1</v>
      </c>
      <c r="G39" s="71"/>
      <c r="H39" s="84" t="s">
        <v>482</v>
      </c>
      <c r="I39" s="72">
        <v>1</v>
      </c>
      <c r="J39" s="72">
        <v>2450</v>
      </c>
      <c r="K39" s="73">
        <f t="shared" si="1"/>
        <v>2450</v>
      </c>
      <c r="L39" s="73">
        <f t="shared" si="4"/>
        <v>2450</v>
      </c>
      <c r="M39" s="73">
        <f t="shared" si="2"/>
        <v>0</v>
      </c>
      <c r="N39" s="29"/>
      <c r="AC39" t="str">
        <f t="shared" si="3"/>
        <v>Jul</v>
      </c>
    </row>
    <row r="40" spans="2:29" ht="18" customHeight="1" x14ac:dyDescent="0.3">
      <c r="B40" s="148">
        <v>45846</v>
      </c>
      <c r="C40" s="79">
        <f t="shared" si="0"/>
        <v>7</v>
      </c>
      <c r="D40" s="70" t="s">
        <v>33</v>
      </c>
      <c r="E40" s="71" t="s">
        <v>209</v>
      </c>
      <c r="F40" s="84" t="s">
        <v>1</v>
      </c>
      <c r="G40" s="71"/>
      <c r="H40" s="84" t="s">
        <v>481</v>
      </c>
      <c r="I40" s="72">
        <v>1</v>
      </c>
      <c r="J40" s="72">
        <v>1350</v>
      </c>
      <c r="K40" s="73">
        <f t="shared" si="1"/>
        <v>1350</v>
      </c>
      <c r="L40" s="73">
        <f t="shared" si="4"/>
        <v>1350</v>
      </c>
      <c r="M40" s="73">
        <f t="shared" si="2"/>
        <v>0</v>
      </c>
      <c r="N40" s="29"/>
      <c r="AC40" t="str">
        <f t="shared" si="3"/>
        <v>Jul</v>
      </c>
    </row>
    <row r="41" spans="2:29" ht="18" customHeight="1" x14ac:dyDescent="0.3">
      <c r="B41" s="148">
        <v>45846</v>
      </c>
      <c r="C41" s="79">
        <f t="shared" si="0"/>
        <v>7</v>
      </c>
      <c r="D41" s="70" t="s">
        <v>34</v>
      </c>
      <c r="E41" s="71" t="s">
        <v>209</v>
      </c>
      <c r="F41" s="84" t="s">
        <v>0</v>
      </c>
      <c r="G41" s="71"/>
      <c r="H41" s="84" t="s">
        <v>486</v>
      </c>
      <c r="I41" s="72">
        <v>2</v>
      </c>
      <c r="J41" s="72">
        <v>2250</v>
      </c>
      <c r="K41" s="73">
        <f t="shared" si="1"/>
        <v>4500</v>
      </c>
      <c r="L41" s="73">
        <f t="shared" si="4"/>
        <v>4500</v>
      </c>
      <c r="M41" s="73">
        <f t="shared" si="2"/>
        <v>0</v>
      </c>
      <c r="N41" s="29"/>
      <c r="AC41" t="str">
        <f t="shared" si="3"/>
        <v>Jul</v>
      </c>
    </row>
    <row r="42" spans="2:29" ht="18" customHeight="1" x14ac:dyDescent="0.3">
      <c r="B42" s="148">
        <v>45846</v>
      </c>
      <c r="C42" s="79">
        <f t="shared" si="0"/>
        <v>7</v>
      </c>
      <c r="D42" s="70" t="s">
        <v>35</v>
      </c>
      <c r="E42" s="71" t="s">
        <v>209</v>
      </c>
      <c r="F42" s="84" t="s">
        <v>204</v>
      </c>
      <c r="G42" s="71"/>
      <c r="H42" s="84" t="s">
        <v>482</v>
      </c>
      <c r="I42" s="72">
        <v>1</v>
      </c>
      <c r="J42" s="72">
        <v>250</v>
      </c>
      <c r="K42" s="73">
        <f t="shared" si="1"/>
        <v>250</v>
      </c>
      <c r="L42" s="73">
        <f t="shared" si="4"/>
        <v>250</v>
      </c>
      <c r="M42" s="73">
        <f t="shared" si="2"/>
        <v>0</v>
      </c>
      <c r="N42" s="29"/>
      <c r="AC42" t="str">
        <f t="shared" si="3"/>
        <v>Jul</v>
      </c>
    </row>
    <row r="43" spans="2:29" ht="18" customHeight="1" x14ac:dyDescent="0.3">
      <c r="B43" s="148">
        <v>45846</v>
      </c>
      <c r="C43" s="79">
        <f t="shared" si="0"/>
        <v>7</v>
      </c>
      <c r="D43" s="70" t="s">
        <v>37</v>
      </c>
      <c r="E43" s="71" t="s">
        <v>209</v>
      </c>
      <c r="F43" s="84" t="s">
        <v>204</v>
      </c>
      <c r="G43" s="71"/>
      <c r="H43" s="84" t="s">
        <v>483</v>
      </c>
      <c r="I43" s="72">
        <v>1</v>
      </c>
      <c r="J43" s="72">
        <v>250</v>
      </c>
      <c r="K43" s="73">
        <f t="shared" si="1"/>
        <v>250</v>
      </c>
      <c r="L43" s="73">
        <f t="shared" si="4"/>
        <v>250</v>
      </c>
      <c r="M43" s="73">
        <f t="shared" si="2"/>
        <v>0</v>
      </c>
      <c r="N43" s="29"/>
      <c r="AC43" t="str">
        <f t="shared" si="3"/>
        <v>Jul</v>
      </c>
    </row>
    <row r="44" spans="2:29" ht="18" customHeight="1" x14ac:dyDescent="0.3">
      <c r="B44" s="148">
        <v>45847</v>
      </c>
      <c r="C44" s="79">
        <f t="shared" si="0"/>
        <v>7</v>
      </c>
      <c r="D44" s="70" t="s">
        <v>28</v>
      </c>
      <c r="E44" s="71" t="s">
        <v>209</v>
      </c>
      <c r="F44" s="84" t="s">
        <v>204</v>
      </c>
      <c r="G44" s="71"/>
      <c r="H44" s="84" t="s">
        <v>482</v>
      </c>
      <c r="I44" s="72">
        <v>1</v>
      </c>
      <c r="J44" s="72">
        <v>280</v>
      </c>
      <c r="K44" s="73">
        <f t="shared" si="1"/>
        <v>280</v>
      </c>
      <c r="L44" s="73">
        <f t="shared" si="4"/>
        <v>280</v>
      </c>
      <c r="M44" s="73">
        <f t="shared" si="2"/>
        <v>0</v>
      </c>
      <c r="N44" s="29"/>
      <c r="AC44" t="str">
        <f t="shared" si="3"/>
        <v>Jul</v>
      </c>
    </row>
    <row r="45" spans="2:29" ht="18" customHeight="1" x14ac:dyDescent="0.3">
      <c r="B45" s="148">
        <v>45847</v>
      </c>
      <c r="C45" s="79">
        <f t="shared" si="0"/>
        <v>7</v>
      </c>
      <c r="D45" s="70" t="s">
        <v>39</v>
      </c>
      <c r="E45" s="71" t="s">
        <v>209</v>
      </c>
      <c r="F45" s="84" t="s">
        <v>204</v>
      </c>
      <c r="G45" s="71"/>
      <c r="H45" s="84" t="s">
        <v>482</v>
      </c>
      <c r="I45" s="72">
        <v>2</v>
      </c>
      <c r="J45" s="72">
        <v>230</v>
      </c>
      <c r="K45" s="73">
        <f t="shared" si="1"/>
        <v>460</v>
      </c>
      <c r="L45" s="73">
        <f t="shared" si="4"/>
        <v>460</v>
      </c>
      <c r="M45" s="73">
        <f t="shared" si="2"/>
        <v>0</v>
      </c>
      <c r="N45" s="29"/>
      <c r="AC45" t="str">
        <f t="shared" si="3"/>
        <v>Jul</v>
      </c>
    </row>
    <row r="46" spans="2:29" ht="18" customHeight="1" x14ac:dyDescent="0.3">
      <c r="B46" s="148">
        <v>45847</v>
      </c>
      <c r="C46" s="79">
        <f t="shared" si="0"/>
        <v>7</v>
      </c>
      <c r="D46" s="70" t="s">
        <v>25</v>
      </c>
      <c r="E46" s="71" t="s">
        <v>209</v>
      </c>
      <c r="F46" s="84" t="s">
        <v>204</v>
      </c>
      <c r="G46" s="71"/>
      <c r="H46" s="84" t="s">
        <v>487</v>
      </c>
      <c r="I46" s="72">
        <v>1</v>
      </c>
      <c r="J46" s="72">
        <v>325</v>
      </c>
      <c r="K46" s="73">
        <f t="shared" si="1"/>
        <v>325</v>
      </c>
      <c r="L46" s="73">
        <f t="shared" si="4"/>
        <v>325</v>
      </c>
      <c r="M46" s="73">
        <f t="shared" si="2"/>
        <v>0</v>
      </c>
      <c r="N46" s="29"/>
      <c r="AC46" t="str">
        <f t="shared" si="3"/>
        <v>Jul</v>
      </c>
    </row>
    <row r="47" spans="2:29" ht="18" customHeight="1" x14ac:dyDescent="0.3">
      <c r="B47" s="148">
        <v>45848</v>
      </c>
      <c r="C47" s="79">
        <f t="shared" si="0"/>
        <v>7</v>
      </c>
      <c r="D47" s="70" t="s">
        <v>44</v>
      </c>
      <c r="E47" s="71" t="s">
        <v>209</v>
      </c>
      <c r="F47" s="84" t="s">
        <v>204</v>
      </c>
      <c r="G47" s="71"/>
      <c r="H47" s="83" t="s">
        <v>484</v>
      </c>
      <c r="I47" s="72">
        <v>1</v>
      </c>
      <c r="J47" s="72">
        <v>350</v>
      </c>
      <c r="K47" s="73">
        <f t="shared" si="1"/>
        <v>350</v>
      </c>
      <c r="L47" s="73">
        <f t="shared" si="4"/>
        <v>350</v>
      </c>
      <c r="M47" s="73">
        <f t="shared" si="2"/>
        <v>0</v>
      </c>
      <c r="N47" s="29"/>
      <c r="AC47" t="str">
        <f t="shared" si="3"/>
        <v>Jul</v>
      </c>
    </row>
    <row r="48" spans="2:29" ht="18" customHeight="1" x14ac:dyDescent="0.3">
      <c r="B48" s="148">
        <v>45848</v>
      </c>
      <c r="C48" s="79">
        <f t="shared" si="0"/>
        <v>7</v>
      </c>
      <c r="D48" s="70" t="s">
        <v>43</v>
      </c>
      <c r="E48" s="71" t="s">
        <v>209</v>
      </c>
      <c r="F48" s="84" t="s">
        <v>204</v>
      </c>
      <c r="G48" s="71"/>
      <c r="H48" s="83" t="s">
        <v>484</v>
      </c>
      <c r="I48" s="72">
        <v>1</v>
      </c>
      <c r="J48" s="72">
        <v>220</v>
      </c>
      <c r="K48" s="73">
        <f t="shared" si="1"/>
        <v>220</v>
      </c>
      <c r="L48" s="73">
        <f t="shared" si="4"/>
        <v>220</v>
      </c>
      <c r="M48" s="73">
        <f t="shared" si="2"/>
        <v>0</v>
      </c>
      <c r="N48" s="29"/>
      <c r="AC48" t="str">
        <f t="shared" si="3"/>
        <v>Jul</v>
      </c>
    </row>
    <row r="49" spans="2:29" ht="18" customHeight="1" x14ac:dyDescent="0.3">
      <c r="B49" s="148">
        <v>45848</v>
      </c>
      <c r="C49" s="79">
        <f t="shared" si="0"/>
        <v>7</v>
      </c>
      <c r="D49" s="70" t="s">
        <v>25</v>
      </c>
      <c r="E49" s="71" t="s">
        <v>209</v>
      </c>
      <c r="F49" s="84" t="s">
        <v>204</v>
      </c>
      <c r="G49" s="71"/>
      <c r="H49" s="83" t="s">
        <v>484</v>
      </c>
      <c r="I49" s="72">
        <v>1</v>
      </c>
      <c r="J49" s="72">
        <v>325</v>
      </c>
      <c r="K49" s="73">
        <f t="shared" si="1"/>
        <v>325</v>
      </c>
      <c r="L49" s="73">
        <f t="shared" si="4"/>
        <v>325</v>
      </c>
      <c r="M49" s="73">
        <f t="shared" si="2"/>
        <v>0</v>
      </c>
      <c r="N49" s="29"/>
      <c r="AC49" t="str">
        <f t="shared" si="3"/>
        <v>Jul</v>
      </c>
    </row>
    <row r="50" spans="2:29" ht="18" customHeight="1" x14ac:dyDescent="0.3">
      <c r="B50" s="148">
        <v>45849</v>
      </c>
      <c r="C50" s="79">
        <f t="shared" si="0"/>
        <v>7</v>
      </c>
      <c r="D50" s="70" t="s">
        <v>25</v>
      </c>
      <c r="E50" s="71" t="s">
        <v>209</v>
      </c>
      <c r="F50" s="84" t="s">
        <v>204</v>
      </c>
      <c r="G50" s="71"/>
      <c r="H50" s="83" t="s">
        <v>484</v>
      </c>
      <c r="I50" s="72">
        <v>1</v>
      </c>
      <c r="J50" s="72">
        <v>325</v>
      </c>
      <c r="K50" s="73">
        <f t="shared" si="1"/>
        <v>325</v>
      </c>
      <c r="L50" s="73">
        <f t="shared" si="4"/>
        <v>325</v>
      </c>
      <c r="M50" s="73">
        <f t="shared" si="2"/>
        <v>0</v>
      </c>
      <c r="N50" s="29"/>
      <c r="AC50" t="str">
        <f t="shared" si="3"/>
        <v>Jul</v>
      </c>
    </row>
    <row r="51" spans="2:29" ht="18" customHeight="1" x14ac:dyDescent="0.3">
      <c r="B51" s="148">
        <v>45849</v>
      </c>
      <c r="C51" s="79">
        <f t="shared" si="0"/>
        <v>7</v>
      </c>
      <c r="D51" s="70" t="s">
        <v>22</v>
      </c>
      <c r="E51" s="71" t="s">
        <v>209</v>
      </c>
      <c r="F51" s="84" t="s">
        <v>204</v>
      </c>
      <c r="G51" s="71"/>
      <c r="H51" s="83" t="s">
        <v>484</v>
      </c>
      <c r="I51" s="72">
        <v>1</v>
      </c>
      <c r="J51" s="72">
        <v>2600</v>
      </c>
      <c r="K51" s="73">
        <f t="shared" si="1"/>
        <v>2600</v>
      </c>
      <c r="L51" s="73">
        <f t="shared" si="4"/>
        <v>2600</v>
      </c>
      <c r="M51" s="73">
        <f t="shared" si="2"/>
        <v>0</v>
      </c>
      <c r="N51" s="29"/>
      <c r="AC51" t="str">
        <f t="shared" si="3"/>
        <v>Jul</v>
      </c>
    </row>
    <row r="52" spans="2:29" ht="18" customHeight="1" x14ac:dyDescent="0.3">
      <c r="B52" s="148">
        <v>45849</v>
      </c>
      <c r="C52" s="79">
        <f t="shared" si="0"/>
        <v>7</v>
      </c>
      <c r="D52" s="70" t="s">
        <v>45</v>
      </c>
      <c r="E52" s="71" t="s">
        <v>209</v>
      </c>
      <c r="F52" s="84" t="s">
        <v>204</v>
      </c>
      <c r="G52" s="71"/>
      <c r="H52" s="83" t="s">
        <v>484</v>
      </c>
      <c r="I52" s="72">
        <v>1</v>
      </c>
      <c r="J52" s="72">
        <v>750</v>
      </c>
      <c r="K52" s="73">
        <f t="shared" si="1"/>
        <v>750</v>
      </c>
      <c r="L52" s="73">
        <f t="shared" si="4"/>
        <v>750</v>
      </c>
      <c r="M52" s="73">
        <f t="shared" si="2"/>
        <v>0</v>
      </c>
      <c r="N52" s="29"/>
      <c r="AC52" t="str">
        <f t="shared" si="3"/>
        <v>Jul</v>
      </c>
    </row>
    <row r="53" spans="2:29" ht="18" customHeight="1" x14ac:dyDescent="0.3">
      <c r="B53" s="148">
        <v>45849</v>
      </c>
      <c r="C53" s="79">
        <f t="shared" si="0"/>
        <v>7</v>
      </c>
      <c r="D53" s="70" t="s">
        <v>46</v>
      </c>
      <c r="E53" s="71" t="s">
        <v>209</v>
      </c>
      <c r="F53" s="84" t="s">
        <v>204</v>
      </c>
      <c r="G53" s="71"/>
      <c r="H53" s="83" t="s">
        <v>484</v>
      </c>
      <c r="I53" s="72">
        <v>1</v>
      </c>
      <c r="J53" s="72">
        <v>200</v>
      </c>
      <c r="K53" s="73">
        <f t="shared" si="1"/>
        <v>200</v>
      </c>
      <c r="L53" s="73">
        <f t="shared" si="4"/>
        <v>200</v>
      </c>
      <c r="M53" s="73">
        <f t="shared" si="2"/>
        <v>0</v>
      </c>
      <c r="N53" s="29"/>
      <c r="AC53" t="str">
        <f t="shared" si="3"/>
        <v>Jul</v>
      </c>
    </row>
    <row r="54" spans="2:29" ht="18" customHeight="1" x14ac:dyDescent="0.3">
      <c r="B54" s="148">
        <v>45849</v>
      </c>
      <c r="C54" s="79">
        <f t="shared" si="0"/>
        <v>7</v>
      </c>
      <c r="D54" s="70" t="s">
        <v>28</v>
      </c>
      <c r="E54" s="71" t="s">
        <v>209</v>
      </c>
      <c r="F54" s="84" t="s">
        <v>204</v>
      </c>
      <c r="G54" s="71"/>
      <c r="H54" s="83" t="s">
        <v>484</v>
      </c>
      <c r="I54" s="72">
        <v>1</v>
      </c>
      <c r="J54" s="72">
        <v>300</v>
      </c>
      <c r="K54" s="73">
        <f t="shared" si="1"/>
        <v>300</v>
      </c>
      <c r="L54" s="73">
        <f t="shared" si="4"/>
        <v>300</v>
      </c>
      <c r="M54" s="73">
        <f t="shared" si="2"/>
        <v>0</v>
      </c>
      <c r="N54" s="29"/>
      <c r="AC54" t="str">
        <f t="shared" si="3"/>
        <v>Jul</v>
      </c>
    </row>
    <row r="55" spans="2:29" ht="18" customHeight="1" x14ac:dyDescent="0.3">
      <c r="B55" s="148">
        <v>45849</v>
      </c>
      <c r="C55" s="79">
        <f t="shared" si="0"/>
        <v>7</v>
      </c>
      <c r="D55" s="70" t="s">
        <v>25</v>
      </c>
      <c r="E55" s="71" t="s">
        <v>209</v>
      </c>
      <c r="F55" s="84" t="s">
        <v>204</v>
      </c>
      <c r="G55" s="71"/>
      <c r="H55" s="84" t="s">
        <v>483</v>
      </c>
      <c r="I55" s="72">
        <v>1</v>
      </c>
      <c r="J55" s="72">
        <v>325</v>
      </c>
      <c r="K55" s="73">
        <f t="shared" si="1"/>
        <v>325</v>
      </c>
      <c r="L55" s="73">
        <f t="shared" si="4"/>
        <v>325</v>
      </c>
      <c r="M55" s="73">
        <f t="shared" si="2"/>
        <v>0</v>
      </c>
      <c r="N55" s="29"/>
      <c r="AC55" t="str">
        <f t="shared" si="3"/>
        <v>Jul</v>
      </c>
    </row>
    <row r="56" spans="2:29" ht="18" customHeight="1" x14ac:dyDescent="0.3">
      <c r="B56" s="148">
        <v>45849</v>
      </c>
      <c r="C56" s="79">
        <f t="shared" si="0"/>
        <v>7</v>
      </c>
      <c r="D56" s="70" t="s">
        <v>48</v>
      </c>
      <c r="E56" s="71" t="s">
        <v>209</v>
      </c>
      <c r="F56" s="84" t="s">
        <v>204</v>
      </c>
      <c r="G56" s="71"/>
      <c r="H56" s="84" t="s">
        <v>488</v>
      </c>
      <c r="I56" s="72">
        <v>4</v>
      </c>
      <c r="J56" s="72">
        <v>32.5</v>
      </c>
      <c r="K56" s="73">
        <f t="shared" si="1"/>
        <v>130</v>
      </c>
      <c r="L56" s="73">
        <f t="shared" si="4"/>
        <v>130</v>
      </c>
      <c r="M56" s="73">
        <f t="shared" si="2"/>
        <v>0</v>
      </c>
      <c r="N56" s="29"/>
      <c r="AC56" t="str">
        <f t="shared" si="3"/>
        <v>Jul</v>
      </c>
    </row>
    <row r="57" spans="2:29" ht="18" customHeight="1" x14ac:dyDescent="0.3">
      <c r="B57" s="148">
        <v>45849</v>
      </c>
      <c r="C57" s="79">
        <f t="shared" si="0"/>
        <v>7</v>
      </c>
      <c r="D57" s="70" t="s">
        <v>47</v>
      </c>
      <c r="E57" s="71" t="s">
        <v>209</v>
      </c>
      <c r="F57" s="84" t="s">
        <v>204</v>
      </c>
      <c r="G57" s="71"/>
      <c r="H57" s="84" t="s">
        <v>488</v>
      </c>
      <c r="I57" s="72">
        <v>4</v>
      </c>
      <c r="J57" s="72">
        <v>67.5</v>
      </c>
      <c r="K57" s="73">
        <f t="shared" si="1"/>
        <v>270</v>
      </c>
      <c r="L57" s="73">
        <f t="shared" si="4"/>
        <v>270</v>
      </c>
      <c r="M57" s="73">
        <f t="shared" si="2"/>
        <v>0</v>
      </c>
      <c r="N57" s="29"/>
      <c r="AC57" t="str">
        <f t="shared" si="3"/>
        <v>Jul</v>
      </c>
    </row>
    <row r="58" spans="2:29" ht="18" customHeight="1" x14ac:dyDescent="0.3">
      <c r="B58" s="148">
        <v>45849</v>
      </c>
      <c r="C58" s="79">
        <f t="shared" si="0"/>
        <v>7</v>
      </c>
      <c r="D58" s="70" t="s">
        <v>25</v>
      </c>
      <c r="E58" s="71" t="s">
        <v>209</v>
      </c>
      <c r="F58" s="84" t="s">
        <v>204</v>
      </c>
      <c r="G58" s="71"/>
      <c r="H58" s="83" t="s">
        <v>484</v>
      </c>
      <c r="I58" s="72">
        <v>1</v>
      </c>
      <c r="J58" s="72">
        <v>325</v>
      </c>
      <c r="K58" s="73">
        <f t="shared" si="1"/>
        <v>325</v>
      </c>
      <c r="L58" s="73">
        <f t="shared" si="4"/>
        <v>325</v>
      </c>
      <c r="M58" s="73">
        <f t="shared" si="2"/>
        <v>0</v>
      </c>
      <c r="N58" s="29"/>
      <c r="AC58" t="str">
        <f t="shared" si="3"/>
        <v>Jul</v>
      </c>
    </row>
    <row r="59" spans="2:29" ht="18" customHeight="1" x14ac:dyDescent="0.3">
      <c r="B59" s="148">
        <v>45849</v>
      </c>
      <c r="C59" s="79">
        <f t="shared" si="0"/>
        <v>7</v>
      </c>
      <c r="D59" s="70" t="s">
        <v>49</v>
      </c>
      <c r="E59" s="71" t="s">
        <v>209</v>
      </c>
      <c r="F59" s="84" t="s">
        <v>1</v>
      </c>
      <c r="G59" s="71"/>
      <c r="H59" s="84" t="s">
        <v>483</v>
      </c>
      <c r="I59" s="72">
        <v>1</v>
      </c>
      <c r="J59" s="72">
        <v>2750</v>
      </c>
      <c r="K59" s="73">
        <f t="shared" si="1"/>
        <v>2750</v>
      </c>
      <c r="L59" s="73">
        <f t="shared" si="4"/>
        <v>2750</v>
      </c>
      <c r="M59" s="73">
        <f t="shared" si="2"/>
        <v>0</v>
      </c>
      <c r="N59" s="29"/>
      <c r="AC59" t="str">
        <f t="shared" si="3"/>
        <v>Jul</v>
      </c>
    </row>
    <row r="60" spans="2:29" ht="18" customHeight="1" x14ac:dyDescent="0.3">
      <c r="B60" s="148">
        <v>45849</v>
      </c>
      <c r="C60" s="79">
        <f t="shared" si="0"/>
        <v>7</v>
      </c>
      <c r="D60" s="70" t="s">
        <v>50</v>
      </c>
      <c r="E60" s="71" t="s">
        <v>209</v>
      </c>
      <c r="F60" s="84" t="s">
        <v>0</v>
      </c>
      <c r="G60" s="71"/>
      <c r="H60" s="84" t="s">
        <v>482</v>
      </c>
      <c r="I60" s="72">
        <v>2</v>
      </c>
      <c r="J60" s="72">
        <v>1850</v>
      </c>
      <c r="K60" s="73">
        <f t="shared" si="1"/>
        <v>3700</v>
      </c>
      <c r="L60" s="73">
        <f t="shared" si="4"/>
        <v>3700</v>
      </c>
      <c r="M60" s="73">
        <f t="shared" si="2"/>
        <v>0</v>
      </c>
      <c r="N60" s="29"/>
      <c r="AC60" t="str">
        <f t="shared" si="3"/>
        <v>Jul</v>
      </c>
    </row>
    <row r="61" spans="2:29" ht="18" customHeight="1" x14ac:dyDescent="0.3">
      <c r="B61" s="148">
        <v>45849</v>
      </c>
      <c r="C61" s="79">
        <f t="shared" si="0"/>
        <v>7</v>
      </c>
      <c r="D61" s="70" t="s">
        <v>56</v>
      </c>
      <c r="E61" s="71" t="s">
        <v>209</v>
      </c>
      <c r="F61" s="84" t="s">
        <v>0</v>
      </c>
      <c r="G61" s="71"/>
      <c r="H61" s="84" t="s">
        <v>488</v>
      </c>
      <c r="I61" s="72">
        <v>4</v>
      </c>
      <c r="J61" s="72">
        <v>3800</v>
      </c>
      <c r="K61" s="73">
        <f t="shared" si="1"/>
        <v>15200</v>
      </c>
      <c r="L61" s="73">
        <f t="shared" si="4"/>
        <v>15200</v>
      </c>
      <c r="M61" s="73">
        <f t="shared" si="2"/>
        <v>0</v>
      </c>
      <c r="N61" s="29"/>
      <c r="AC61" t="str">
        <f t="shared" si="3"/>
        <v>Jul</v>
      </c>
    </row>
    <row r="62" spans="2:29" ht="18" customHeight="1" x14ac:dyDescent="0.3">
      <c r="B62" s="148">
        <v>45849</v>
      </c>
      <c r="C62" s="79">
        <f t="shared" si="0"/>
        <v>7</v>
      </c>
      <c r="D62" s="70" t="s">
        <v>99</v>
      </c>
      <c r="E62" s="71" t="s">
        <v>209</v>
      </c>
      <c r="F62" s="84" t="s">
        <v>204</v>
      </c>
      <c r="G62" s="71"/>
      <c r="H62" s="84" t="s">
        <v>481</v>
      </c>
      <c r="I62" s="72">
        <v>1</v>
      </c>
      <c r="J62" s="72">
        <v>820</v>
      </c>
      <c r="K62" s="73">
        <f t="shared" si="1"/>
        <v>820</v>
      </c>
      <c r="L62" s="73">
        <f t="shared" si="4"/>
        <v>820</v>
      </c>
      <c r="M62" s="73">
        <f t="shared" si="2"/>
        <v>0</v>
      </c>
      <c r="N62" s="29"/>
      <c r="AC62" t="str">
        <f t="shared" si="3"/>
        <v>Jul</v>
      </c>
    </row>
    <row r="63" spans="2:29" ht="18" customHeight="1" x14ac:dyDescent="0.3">
      <c r="B63" s="148">
        <v>45849</v>
      </c>
      <c r="C63" s="79">
        <f t="shared" si="0"/>
        <v>7</v>
      </c>
      <c r="D63" s="70" t="s">
        <v>23</v>
      </c>
      <c r="E63" s="71" t="s">
        <v>209</v>
      </c>
      <c r="F63" s="84" t="s">
        <v>204</v>
      </c>
      <c r="G63" s="71"/>
      <c r="H63" s="83" t="s">
        <v>484</v>
      </c>
      <c r="I63" s="72">
        <v>1</v>
      </c>
      <c r="J63" s="72">
        <v>230</v>
      </c>
      <c r="K63" s="73">
        <f t="shared" si="1"/>
        <v>230</v>
      </c>
      <c r="L63" s="73">
        <f t="shared" si="4"/>
        <v>230</v>
      </c>
      <c r="M63" s="73">
        <f t="shared" si="2"/>
        <v>0</v>
      </c>
      <c r="N63" s="29"/>
      <c r="AC63" t="str">
        <f t="shared" si="3"/>
        <v>Jul</v>
      </c>
    </row>
    <row r="64" spans="2:29" ht="18" customHeight="1" x14ac:dyDescent="0.3">
      <c r="B64" s="148">
        <v>45849</v>
      </c>
      <c r="C64" s="79">
        <f t="shared" si="0"/>
        <v>7</v>
      </c>
      <c r="D64" s="70" t="s">
        <v>54</v>
      </c>
      <c r="E64" s="71" t="s">
        <v>209</v>
      </c>
      <c r="F64" s="84" t="s">
        <v>204</v>
      </c>
      <c r="G64" s="71"/>
      <c r="H64" s="83" t="s">
        <v>484</v>
      </c>
      <c r="I64" s="72">
        <v>1</v>
      </c>
      <c r="J64" s="72">
        <v>150</v>
      </c>
      <c r="K64" s="73">
        <f t="shared" si="1"/>
        <v>150</v>
      </c>
      <c r="L64" s="73">
        <f t="shared" si="4"/>
        <v>150</v>
      </c>
      <c r="M64" s="73">
        <f t="shared" si="2"/>
        <v>0</v>
      </c>
      <c r="N64" s="29"/>
      <c r="AC64" t="str">
        <f t="shared" si="3"/>
        <v>Jul</v>
      </c>
    </row>
    <row r="65" spans="2:29" ht="18" customHeight="1" x14ac:dyDescent="0.3">
      <c r="B65" s="148">
        <v>45849</v>
      </c>
      <c r="C65" s="79">
        <f t="shared" si="0"/>
        <v>7</v>
      </c>
      <c r="D65" s="70" t="s">
        <v>45</v>
      </c>
      <c r="E65" s="71" t="s">
        <v>209</v>
      </c>
      <c r="F65" s="84" t="s">
        <v>204</v>
      </c>
      <c r="G65" s="71"/>
      <c r="H65" s="83" t="s">
        <v>484</v>
      </c>
      <c r="I65" s="72">
        <v>1</v>
      </c>
      <c r="J65" s="72">
        <v>750</v>
      </c>
      <c r="K65" s="73">
        <f t="shared" si="1"/>
        <v>750</v>
      </c>
      <c r="L65" s="73">
        <f t="shared" si="4"/>
        <v>750</v>
      </c>
      <c r="M65" s="73">
        <f t="shared" si="2"/>
        <v>0</v>
      </c>
      <c r="N65" s="29"/>
      <c r="AC65" t="str">
        <f t="shared" si="3"/>
        <v>Jul</v>
      </c>
    </row>
    <row r="66" spans="2:29" ht="18" customHeight="1" x14ac:dyDescent="0.3">
      <c r="B66" s="148">
        <v>45849</v>
      </c>
      <c r="C66" s="79">
        <f t="shared" si="0"/>
        <v>7</v>
      </c>
      <c r="D66" s="70" t="s">
        <v>59</v>
      </c>
      <c r="E66" s="71" t="s">
        <v>209</v>
      </c>
      <c r="F66" s="84" t="s">
        <v>204</v>
      </c>
      <c r="G66" s="71"/>
      <c r="H66" s="83" t="s">
        <v>484</v>
      </c>
      <c r="I66" s="72">
        <v>1</v>
      </c>
      <c r="J66" s="72">
        <v>150</v>
      </c>
      <c r="K66" s="73">
        <f t="shared" si="1"/>
        <v>150</v>
      </c>
      <c r="L66" s="73">
        <f t="shared" si="4"/>
        <v>150</v>
      </c>
      <c r="M66" s="73">
        <f t="shared" si="2"/>
        <v>0</v>
      </c>
      <c r="N66" s="29"/>
      <c r="AC66" t="str">
        <f t="shared" si="3"/>
        <v>Jul</v>
      </c>
    </row>
    <row r="67" spans="2:29" ht="18" customHeight="1" x14ac:dyDescent="0.3">
      <c r="B67" s="148">
        <v>45850</v>
      </c>
      <c r="C67" s="79">
        <f t="shared" si="0"/>
        <v>7</v>
      </c>
      <c r="D67" s="70" t="s">
        <v>47</v>
      </c>
      <c r="E67" s="71" t="s">
        <v>209</v>
      </c>
      <c r="F67" s="84" t="s">
        <v>204</v>
      </c>
      <c r="G67" s="71"/>
      <c r="H67" s="84" t="s">
        <v>469</v>
      </c>
      <c r="I67" s="72">
        <v>4</v>
      </c>
      <c r="J67" s="72">
        <v>67.5</v>
      </c>
      <c r="K67" s="73">
        <f t="shared" si="1"/>
        <v>270</v>
      </c>
      <c r="L67" s="73">
        <f t="shared" si="4"/>
        <v>270</v>
      </c>
      <c r="M67" s="73">
        <f t="shared" si="2"/>
        <v>0</v>
      </c>
      <c r="N67" s="29"/>
      <c r="AC67" t="str">
        <f t="shared" si="3"/>
        <v>Jul</v>
      </c>
    </row>
    <row r="68" spans="2:29" x14ac:dyDescent="0.3">
      <c r="B68" s="148">
        <v>45850</v>
      </c>
      <c r="C68" s="79">
        <f t="shared" si="0"/>
        <v>7</v>
      </c>
      <c r="D68" s="70" t="s">
        <v>25</v>
      </c>
      <c r="E68" s="71" t="s">
        <v>209</v>
      </c>
      <c r="F68" s="84" t="s">
        <v>204</v>
      </c>
      <c r="G68" s="71"/>
      <c r="H68" s="84" t="s">
        <v>488</v>
      </c>
      <c r="I68" s="72">
        <v>1</v>
      </c>
      <c r="J68" s="72">
        <v>325</v>
      </c>
      <c r="K68" s="73">
        <f t="shared" si="1"/>
        <v>325</v>
      </c>
      <c r="L68" s="73">
        <f t="shared" si="4"/>
        <v>325</v>
      </c>
      <c r="M68" s="73">
        <f t="shared" si="2"/>
        <v>0</v>
      </c>
      <c r="N68" s="29"/>
      <c r="AC68" t="str">
        <f t="shared" si="3"/>
        <v>Jul</v>
      </c>
    </row>
    <row r="69" spans="2:29" x14ac:dyDescent="0.3">
      <c r="B69" s="148">
        <v>45850</v>
      </c>
      <c r="C69" s="79">
        <f t="shared" si="0"/>
        <v>7</v>
      </c>
      <c r="D69" s="70" t="s">
        <v>25</v>
      </c>
      <c r="E69" s="71" t="s">
        <v>209</v>
      </c>
      <c r="F69" s="84" t="s">
        <v>204</v>
      </c>
      <c r="G69" s="71"/>
      <c r="H69" s="84" t="s">
        <v>481</v>
      </c>
      <c r="I69" s="72">
        <v>1</v>
      </c>
      <c r="J69" s="72">
        <v>325</v>
      </c>
      <c r="K69" s="73">
        <f t="shared" si="1"/>
        <v>325</v>
      </c>
      <c r="L69" s="73">
        <f t="shared" si="4"/>
        <v>325</v>
      </c>
      <c r="M69" s="73">
        <f t="shared" si="2"/>
        <v>0</v>
      </c>
      <c r="N69" s="29"/>
      <c r="AC69" t="str">
        <f t="shared" si="3"/>
        <v>Jul</v>
      </c>
    </row>
    <row r="70" spans="2:29" x14ac:dyDescent="0.3">
      <c r="B70" s="148">
        <v>45850</v>
      </c>
      <c r="C70" s="79">
        <f t="shared" ref="C70:C133" si="5">MONTH(B70)</f>
        <v>7</v>
      </c>
      <c r="D70" s="70" t="s">
        <v>47</v>
      </c>
      <c r="E70" s="71" t="s">
        <v>209</v>
      </c>
      <c r="F70" s="84" t="s">
        <v>204</v>
      </c>
      <c r="G70" s="71"/>
      <c r="H70" s="84" t="s">
        <v>480</v>
      </c>
      <c r="I70" s="72">
        <v>4</v>
      </c>
      <c r="J70" s="72">
        <v>67.5</v>
      </c>
      <c r="K70" s="73">
        <f t="shared" ref="K70:K133" si="6">I70*J70</f>
        <v>270</v>
      </c>
      <c r="L70" s="73">
        <f t="shared" si="4"/>
        <v>270</v>
      </c>
      <c r="M70" s="73">
        <f t="shared" ref="M70:M133" si="7">K70-L70</f>
        <v>0</v>
      </c>
      <c r="N70" s="29"/>
      <c r="AC70" t="str">
        <f t="shared" si="3"/>
        <v>Jul</v>
      </c>
    </row>
    <row r="71" spans="2:29" x14ac:dyDescent="0.3">
      <c r="B71" s="148">
        <v>45850</v>
      </c>
      <c r="C71" s="79">
        <f t="shared" si="5"/>
        <v>7</v>
      </c>
      <c r="D71" s="70" t="s">
        <v>60</v>
      </c>
      <c r="E71" s="71" t="s">
        <v>209</v>
      </c>
      <c r="F71" s="84" t="s">
        <v>1</v>
      </c>
      <c r="G71" s="71"/>
      <c r="H71" s="84" t="s">
        <v>483</v>
      </c>
      <c r="I71" s="72">
        <v>1</v>
      </c>
      <c r="J71" s="72">
        <v>1800</v>
      </c>
      <c r="K71" s="73">
        <f t="shared" si="6"/>
        <v>1800</v>
      </c>
      <c r="L71" s="73">
        <f t="shared" si="4"/>
        <v>1800</v>
      </c>
      <c r="M71" s="73">
        <f t="shared" si="7"/>
        <v>0</v>
      </c>
      <c r="N71" s="29"/>
      <c r="AC71" t="str">
        <f t="shared" ref="AC71:AC134" si="8">IFERROR(INDEX(AA:AA,MATCH(C71,Z:Z,0)),"")</f>
        <v>Jul</v>
      </c>
    </row>
    <row r="72" spans="2:29" x14ac:dyDescent="0.3">
      <c r="B72" s="148">
        <v>45850</v>
      </c>
      <c r="C72" s="79">
        <f t="shared" si="5"/>
        <v>7</v>
      </c>
      <c r="D72" s="70" t="s">
        <v>21</v>
      </c>
      <c r="E72" s="71" t="s">
        <v>209</v>
      </c>
      <c r="F72" s="84" t="s">
        <v>1</v>
      </c>
      <c r="G72" s="71"/>
      <c r="H72" s="84" t="s">
        <v>477</v>
      </c>
      <c r="I72" s="72">
        <v>1</v>
      </c>
      <c r="J72" s="72">
        <v>1700</v>
      </c>
      <c r="K72" s="73">
        <f t="shared" si="6"/>
        <v>1700</v>
      </c>
      <c r="L72" s="73">
        <f t="shared" si="4"/>
        <v>1700</v>
      </c>
      <c r="M72" s="73">
        <f t="shared" si="7"/>
        <v>0</v>
      </c>
      <c r="N72" s="29"/>
      <c r="AC72" t="str">
        <f t="shared" si="8"/>
        <v>Jul</v>
      </c>
    </row>
    <row r="73" spans="2:29" x14ac:dyDescent="0.3">
      <c r="B73" s="148">
        <v>45851</v>
      </c>
      <c r="C73" s="79">
        <f t="shared" si="5"/>
        <v>7</v>
      </c>
      <c r="D73" s="70" t="s">
        <v>56</v>
      </c>
      <c r="E73" s="71" t="s">
        <v>209</v>
      </c>
      <c r="F73" s="84" t="s">
        <v>0</v>
      </c>
      <c r="G73" s="71"/>
      <c r="H73" s="84" t="s">
        <v>486</v>
      </c>
      <c r="I73" s="72">
        <v>4</v>
      </c>
      <c r="J73" s="72">
        <v>3750</v>
      </c>
      <c r="K73" s="73">
        <f t="shared" si="6"/>
        <v>15000</v>
      </c>
      <c r="L73" s="73">
        <f t="shared" ref="L73:L136" si="9">K73</f>
        <v>15000</v>
      </c>
      <c r="M73" s="73">
        <f t="shared" si="7"/>
        <v>0</v>
      </c>
      <c r="N73" s="29"/>
      <c r="AC73" t="str">
        <f t="shared" si="8"/>
        <v>Jul</v>
      </c>
    </row>
    <row r="74" spans="2:29" x14ac:dyDescent="0.3">
      <c r="B74" s="148">
        <v>45851</v>
      </c>
      <c r="C74" s="79">
        <f t="shared" si="5"/>
        <v>7</v>
      </c>
      <c r="D74" s="70" t="s">
        <v>62</v>
      </c>
      <c r="E74" s="71" t="s">
        <v>209</v>
      </c>
      <c r="F74" s="84" t="s">
        <v>0</v>
      </c>
      <c r="G74" s="71"/>
      <c r="H74" s="84" t="s">
        <v>486</v>
      </c>
      <c r="I74" s="72">
        <v>4</v>
      </c>
      <c r="J74" s="72">
        <v>7675</v>
      </c>
      <c r="K74" s="73">
        <f t="shared" si="6"/>
        <v>30700</v>
      </c>
      <c r="L74" s="73">
        <f t="shared" si="9"/>
        <v>30700</v>
      </c>
      <c r="M74" s="73">
        <f t="shared" si="7"/>
        <v>0</v>
      </c>
      <c r="N74" s="29"/>
      <c r="AC74" t="str">
        <f t="shared" si="8"/>
        <v>Jul</v>
      </c>
    </row>
    <row r="75" spans="2:29" x14ac:dyDescent="0.3">
      <c r="B75" s="148">
        <v>45851</v>
      </c>
      <c r="C75" s="79">
        <f t="shared" si="5"/>
        <v>7</v>
      </c>
      <c r="D75" s="70" t="s">
        <v>63</v>
      </c>
      <c r="E75" s="71" t="s">
        <v>209</v>
      </c>
      <c r="F75" s="84" t="s">
        <v>204</v>
      </c>
      <c r="G75" s="71"/>
      <c r="H75" s="83" t="s">
        <v>484</v>
      </c>
      <c r="I75" s="72">
        <v>1</v>
      </c>
      <c r="J75" s="72">
        <v>70</v>
      </c>
      <c r="K75" s="73">
        <f t="shared" si="6"/>
        <v>70</v>
      </c>
      <c r="L75" s="73">
        <f t="shared" si="9"/>
        <v>70</v>
      </c>
      <c r="M75" s="73">
        <f t="shared" si="7"/>
        <v>0</v>
      </c>
      <c r="N75" s="29"/>
      <c r="AC75" t="str">
        <f t="shared" si="8"/>
        <v>Jul</v>
      </c>
    </row>
    <row r="76" spans="2:29" x14ac:dyDescent="0.3">
      <c r="B76" s="148">
        <v>45851</v>
      </c>
      <c r="C76" s="79">
        <f t="shared" si="5"/>
        <v>7</v>
      </c>
      <c r="D76" s="70" t="s">
        <v>65</v>
      </c>
      <c r="E76" s="71" t="s">
        <v>209</v>
      </c>
      <c r="F76" s="84" t="s">
        <v>204</v>
      </c>
      <c r="G76" s="71"/>
      <c r="H76" s="83" t="s">
        <v>484</v>
      </c>
      <c r="I76" s="72">
        <v>1</v>
      </c>
      <c r="J76" s="72">
        <v>80</v>
      </c>
      <c r="K76" s="73">
        <f t="shared" si="6"/>
        <v>80</v>
      </c>
      <c r="L76" s="73">
        <f t="shared" si="9"/>
        <v>80</v>
      </c>
      <c r="M76" s="73">
        <f t="shared" si="7"/>
        <v>0</v>
      </c>
      <c r="N76" s="29"/>
      <c r="AC76" t="str">
        <f t="shared" si="8"/>
        <v>Jul</v>
      </c>
    </row>
    <row r="77" spans="2:29" x14ac:dyDescent="0.3">
      <c r="B77" s="148">
        <v>45851</v>
      </c>
      <c r="C77" s="79">
        <f t="shared" si="5"/>
        <v>7</v>
      </c>
      <c r="D77" s="70" t="s">
        <v>66</v>
      </c>
      <c r="E77" s="71" t="s">
        <v>209</v>
      </c>
      <c r="F77" s="84" t="s">
        <v>204</v>
      </c>
      <c r="G77" s="71"/>
      <c r="H77" s="83" t="s">
        <v>484</v>
      </c>
      <c r="I77" s="72">
        <v>5</v>
      </c>
      <c r="J77" s="72">
        <v>40</v>
      </c>
      <c r="K77" s="73">
        <f t="shared" si="6"/>
        <v>200</v>
      </c>
      <c r="L77" s="73">
        <f t="shared" si="9"/>
        <v>200</v>
      </c>
      <c r="M77" s="73">
        <f t="shared" si="7"/>
        <v>0</v>
      </c>
      <c r="N77" s="29"/>
      <c r="AC77" t="str">
        <f t="shared" si="8"/>
        <v>Jul</v>
      </c>
    </row>
    <row r="78" spans="2:29" x14ac:dyDescent="0.3">
      <c r="B78" s="148">
        <v>45851</v>
      </c>
      <c r="C78" s="79">
        <f t="shared" si="5"/>
        <v>7</v>
      </c>
      <c r="D78" s="70" t="s">
        <v>23</v>
      </c>
      <c r="E78" s="71" t="s">
        <v>209</v>
      </c>
      <c r="F78" s="84" t="s">
        <v>204</v>
      </c>
      <c r="G78" s="71"/>
      <c r="H78" s="83" t="s">
        <v>484</v>
      </c>
      <c r="I78" s="72">
        <v>1</v>
      </c>
      <c r="J78" s="72">
        <v>200</v>
      </c>
      <c r="K78" s="73">
        <f t="shared" si="6"/>
        <v>200</v>
      </c>
      <c r="L78" s="73">
        <f t="shared" si="9"/>
        <v>200</v>
      </c>
      <c r="M78" s="73">
        <f t="shared" si="7"/>
        <v>0</v>
      </c>
      <c r="N78" s="29"/>
      <c r="AC78" t="str">
        <f t="shared" si="8"/>
        <v>Jul</v>
      </c>
    </row>
    <row r="79" spans="2:29" x14ac:dyDescent="0.3">
      <c r="B79" s="148">
        <v>45851</v>
      </c>
      <c r="C79" s="79">
        <f t="shared" si="5"/>
        <v>7</v>
      </c>
      <c r="D79" s="70" t="s">
        <v>64</v>
      </c>
      <c r="E79" s="71" t="s">
        <v>209</v>
      </c>
      <c r="F79" s="84" t="s">
        <v>204</v>
      </c>
      <c r="G79" s="71"/>
      <c r="H79" s="83" t="s">
        <v>484</v>
      </c>
      <c r="I79" s="72">
        <v>1</v>
      </c>
      <c r="J79" s="72">
        <v>90</v>
      </c>
      <c r="K79" s="73">
        <f t="shared" si="6"/>
        <v>90</v>
      </c>
      <c r="L79" s="73">
        <f t="shared" si="9"/>
        <v>90</v>
      </c>
      <c r="M79" s="73">
        <f t="shared" si="7"/>
        <v>0</v>
      </c>
      <c r="N79" s="29"/>
      <c r="AC79" t="str">
        <f t="shared" si="8"/>
        <v>Jul</v>
      </c>
    </row>
    <row r="80" spans="2:29" x14ac:dyDescent="0.3">
      <c r="B80" s="148">
        <v>45851</v>
      </c>
      <c r="C80" s="79">
        <f t="shared" si="5"/>
        <v>7</v>
      </c>
      <c r="D80" s="70" t="s">
        <v>66</v>
      </c>
      <c r="E80" s="71" t="s">
        <v>209</v>
      </c>
      <c r="F80" s="84" t="s">
        <v>204</v>
      </c>
      <c r="G80" s="71"/>
      <c r="H80" s="83" t="s">
        <v>484</v>
      </c>
      <c r="I80" s="72">
        <v>20</v>
      </c>
      <c r="J80" s="72">
        <v>30</v>
      </c>
      <c r="K80" s="73">
        <f t="shared" si="6"/>
        <v>600</v>
      </c>
      <c r="L80" s="73">
        <f t="shared" si="9"/>
        <v>600</v>
      </c>
      <c r="M80" s="73">
        <f t="shared" si="7"/>
        <v>0</v>
      </c>
      <c r="N80" s="29"/>
      <c r="AC80" t="str">
        <f t="shared" si="8"/>
        <v>Jul</v>
      </c>
    </row>
    <row r="81" spans="2:29" x14ac:dyDescent="0.3">
      <c r="B81" s="148">
        <v>45851</v>
      </c>
      <c r="C81" s="79">
        <f t="shared" si="5"/>
        <v>7</v>
      </c>
      <c r="D81" s="70" t="s">
        <v>43</v>
      </c>
      <c r="E81" s="71" t="s">
        <v>209</v>
      </c>
      <c r="F81" s="84" t="s">
        <v>204</v>
      </c>
      <c r="G81" s="71"/>
      <c r="H81" s="83" t="s">
        <v>484</v>
      </c>
      <c r="I81" s="72">
        <v>1</v>
      </c>
      <c r="J81" s="72">
        <v>200</v>
      </c>
      <c r="K81" s="73">
        <f t="shared" si="6"/>
        <v>200</v>
      </c>
      <c r="L81" s="73">
        <f t="shared" si="9"/>
        <v>200</v>
      </c>
      <c r="M81" s="73">
        <f t="shared" si="7"/>
        <v>0</v>
      </c>
      <c r="N81" s="29"/>
      <c r="AC81" t="str">
        <f t="shared" si="8"/>
        <v>Jul</v>
      </c>
    </row>
    <row r="82" spans="2:29" x14ac:dyDescent="0.3">
      <c r="B82" s="148">
        <v>45851</v>
      </c>
      <c r="C82" s="79">
        <f t="shared" si="5"/>
        <v>7</v>
      </c>
      <c r="D82" s="70" t="s">
        <v>67</v>
      </c>
      <c r="E82" s="71" t="s">
        <v>209</v>
      </c>
      <c r="F82" s="84" t="s">
        <v>204</v>
      </c>
      <c r="G82" s="71"/>
      <c r="H82" s="84" t="s">
        <v>486</v>
      </c>
      <c r="I82" s="72">
        <v>1</v>
      </c>
      <c r="J82" s="72">
        <v>700</v>
      </c>
      <c r="K82" s="73">
        <f t="shared" si="6"/>
        <v>700</v>
      </c>
      <c r="L82" s="73">
        <f t="shared" si="9"/>
        <v>700</v>
      </c>
      <c r="M82" s="73">
        <f t="shared" si="7"/>
        <v>0</v>
      </c>
      <c r="N82" s="29"/>
      <c r="AC82" t="str">
        <f t="shared" si="8"/>
        <v>Jul</v>
      </c>
    </row>
    <row r="83" spans="2:29" x14ac:dyDescent="0.3">
      <c r="B83" s="148">
        <v>45851</v>
      </c>
      <c r="C83" s="79">
        <f t="shared" si="5"/>
        <v>7</v>
      </c>
      <c r="D83" s="70" t="s">
        <v>68</v>
      </c>
      <c r="E83" s="71" t="s">
        <v>209</v>
      </c>
      <c r="F83" s="84" t="s">
        <v>204</v>
      </c>
      <c r="G83" s="71"/>
      <c r="H83" s="84" t="s">
        <v>486</v>
      </c>
      <c r="I83" s="72">
        <v>1</v>
      </c>
      <c r="J83" s="72">
        <v>85</v>
      </c>
      <c r="K83" s="73">
        <f t="shared" si="6"/>
        <v>85</v>
      </c>
      <c r="L83" s="73">
        <f t="shared" si="9"/>
        <v>85</v>
      </c>
      <c r="M83" s="73">
        <f t="shared" si="7"/>
        <v>0</v>
      </c>
      <c r="N83" s="29"/>
      <c r="AC83" t="str">
        <f t="shared" si="8"/>
        <v>Jul</v>
      </c>
    </row>
    <row r="84" spans="2:29" x14ac:dyDescent="0.3">
      <c r="B84" s="148">
        <v>45852</v>
      </c>
      <c r="C84" s="79">
        <f t="shared" si="5"/>
        <v>7</v>
      </c>
      <c r="D84" s="70" t="s">
        <v>76</v>
      </c>
      <c r="E84" s="71" t="s">
        <v>209</v>
      </c>
      <c r="F84" s="84" t="s">
        <v>1</v>
      </c>
      <c r="G84" s="71"/>
      <c r="H84" s="83" t="s">
        <v>484</v>
      </c>
      <c r="I84" s="72">
        <v>1</v>
      </c>
      <c r="J84" s="72">
        <v>1700</v>
      </c>
      <c r="K84" s="73">
        <f t="shared" si="6"/>
        <v>1700</v>
      </c>
      <c r="L84" s="73">
        <f t="shared" si="9"/>
        <v>1700</v>
      </c>
      <c r="M84" s="73">
        <f t="shared" si="7"/>
        <v>0</v>
      </c>
      <c r="N84" s="29"/>
      <c r="AC84" t="str">
        <f t="shared" si="8"/>
        <v>Jul</v>
      </c>
    </row>
    <row r="85" spans="2:29" x14ac:dyDescent="0.3">
      <c r="B85" s="148">
        <v>45852</v>
      </c>
      <c r="C85" s="79">
        <f t="shared" si="5"/>
        <v>7</v>
      </c>
      <c r="D85" s="70" t="s">
        <v>76</v>
      </c>
      <c r="E85" s="71" t="s">
        <v>209</v>
      </c>
      <c r="F85" s="84" t="s">
        <v>1</v>
      </c>
      <c r="G85" s="71"/>
      <c r="H85" s="84" t="s">
        <v>483</v>
      </c>
      <c r="I85" s="72">
        <v>1</v>
      </c>
      <c r="J85" s="72">
        <v>1700</v>
      </c>
      <c r="K85" s="73">
        <f t="shared" si="6"/>
        <v>1700</v>
      </c>
      <c r="L85" s="73">
        <f t="shared" si="9"/>
        <v>1700</v>
      </c>
      <c r="M85" s="73">
        <f t="shared" si="7"/>
        <v>0</v>
      </c>
      <c r="N85" s="29"/>
      <c r="AC85" t="str">
        <f t="shared" si="8"/>
        <v>Jul</v>
      </c>
    </row>
    <row r="86" spans="2:29" x14ac:dyDescent="0.3">
      <c r="B86" s="148">
        <v>45852</v>
      </c>
      <c r="C86" s="79">
        <f t="shared" si="5"/>
        <v>7</v>
      </c>
      <c r="D86" s="70" t="s">
        <v>49</v>
      </c>
      <c r="E86" s="71" t="s">
        <v>209</v>
      </c>
      <c r="F86" s="84" t="s">
        <v>1</v>
      </c>
      <c r="G86" s="71"/>
      <c r="H86" s="84" t="s">
        <v>485</v>
      </c>
      <c r="I86" s="72">
        <v>1</v>
      </c>
      <c r="J86" s="72">
        <v>3250</v>
      </c>
      <c r="K86" s="73">
        <f t="shared" si="6"/>
        <v>3250</v>
      </c>
      <c r="L86" s="73">
        <f t="shared" si="9"/>
        <v>3250</v>
      </c>
      <c r="M86" s="73">
        <f t="shared" si="7"/>
        <v>0</v>
      </c>
      <c r="N86" s="29"/>
      <c r="AC86" t="str">
        <f t="shared" si="8"/>
        <v>Jul</v>
      </c>
    </row>
    <row r="87" spans="2:29" x14ac:dyDescent="0.3">
      <c r="B87" s="148">
        <v>45852</v>
      </c>
      <c r="C87" s="79">
        <f t="shared" si="5"/>
        <v>7</v>
      </c>
      <c r="D87" s="70" t="s">
        <v>77</v>
      </c>
      <c r="E87" s="71" t="s">
        <v>209</v>
      </c>
      <c r="F87" s="84" t="s">
        <v>204</v>
      </c>
      <c r="G87" s="71"/>
      <c r="H87" s="83" t="s">
        <v>484</v>
      </c>
      <c r="I87" s="72">
        <v>1</v>
      </c>
      <c r="J87" s="72">
        <v>70</v>
      </c>
      <c r="K87" s="73">
        <f t="shared" si="6"/>
        <v>70</v>
      </c>
      <c r="L87" s="73">
        <f t="shared" si="9"/>
        <v>70</v>
      </c>
      <c r="M87" s="73">
        <f t="shared" si="7"/>
        <v>0</v>
      </c>
      <c r="N87" s="29"/>
      <c r="AC87" t="str">
        <f t="shared" si="8"/>
        <v>Jul</v>
      </c>
    </row>
    <row r="88" spans="2:29" x14ac:dyDescent="0.3">
      <c r="B88" s="148">
        <v>45852</v>
      </c>
      <c r="C88" s="79">
        <f t="shared" si="5"/>
        <v>7</v>
      </c>
      <c r="D88" s="70" t="s">
        <v>69</v>
      </c>
      <c r="E88" s="71" t="s">
        <v>209</v>
      </c>
      <c r="F88" s="84" t="s">
        <v>204</v>
      </c>
      <c r="G88" s="71"/>
      <c r="H88" s="83" t="s">
        <v>484</v>
      </c>
      <c r="I88" s="72">
        <v>1</v>
      </c>
      <c r="J88" s="72">
        <v>350</v>
      </c>
      <c r="K88" s="73">
        <f t="shared" si="6"/>
        <v>350</v>
      </c>
      <c r="L88" s="73">
        <f t="shared" si="9"/>
        <v>350</v>
      </c>
      <c r="M88" s="73">
        <f t="shared" si="7"/>
        <v>0</v>
      </c>
      <c r="N88" s="29"/>
      <c r="AC88" t="str">
        <f t="shared" si="8"/>
        <v>Jul</v>
      </c>
    </row>
    <row r="89" spans="2:29" x14ac:dyDescent="0.3">
      <c r="B89" s="148">
        <v>45852</v>
      </c>
      <c r="C89" s="79">
        <f t="shared" si="5"/>
        <v>7</v>
      </c>
      <c r="D89" s="70" t="s">
        <v>70</v>
      </c>
      <c r="E89" s="71" t="s">
        <v>209</v>
      </c>
      <c r="F89" s="84" t="s">
        <v>204</v>
      </c>
      <c r="G89" s="71"/>
      <c r="H89" s="83" t="s">
        <v>484</v>
      </c>
      <c r="I89" s="72">
        <v>1</v>
      </c>
      <c r="J89" s="72">
        <v>250</v>
      </c>
      <c r="K89" s="73">
        <f t="shared" si="6"/>
        <v>250</v>
      </c>
      <c r="L89" s="73">
        <f t="shared" si="9"/>
        <v>250</v>
      </c>
      <c r="M89" s="73">
        <f t="shared" si="7"/>
        <v>0</v>
      </c>
      <c r="N89" s="29"/>
      <c r="AC89" t="str">
        <f t="shared" si="8"/>
        <v>Jul</v>
      </c>
    </row>
    <row r="90" spans="2:29" x14ac:dyDescent="0.3">
      <c r="B90" s="148">
        <v>45852</v>
      </c>
      <c r="C90" s="79">
        <f t="shared" si="5"/>
        <v>7</v>
      </c>
      <c r="D90" s="70" t="s">
        <v>71</v>
      </c>
      <c r="E90" s="71" t="s">
        <v>209</v>
      </c>
      <c r="F90" s="84" t="s">
        <v>204</v>
      </c>
      <c r="G90" s="71"/>
      <c r="H90" s="83" t="s">
        <v>484</v>
      </c>
      <c r="I90" s="72">
        <v>1</v>
      </c>
      <c r="J90" s="72">
        <v>150</v>
      </c>
      <c r="K90" s="73">
        <f t="shared" si="6"/>
        <v>150</v>
      </c>
      <c r="L90" s="73">
        <f t="shared" si="9"/>
        <v>150</v>
      </c>
      <c r="M90" s="73">
        <f t="shared" si="7"/>
        <v>0</v>
      </c>
      <c r="N90" s="29"/>
      <c r="AC90" t="str">
        <f t="shared" si="8"/>
        <v>Jul</v>
      </c>
    </row>
    <row r="91" spans="2:29" x14ac:dyDescent="0.3">
      <c r="B91" s="148">
        <v>45853</v>
      </c>
      <c r="C91" s="79">
        <f t="shared" si="5"/>
        <v>7</v>
      </c>
      <c r="D91" s="70" t="s">
        <v>59</v>
      </c>
      <c r="E91" s="71" t="s">
        <v>209</v>
      </c>
      <c r="F91" s="84" t="s">
        <v>204</v>
      </c>
      <c r="G91" s="71"/>
      <c r="H91" s="84" t="s">
        <v>486</v>
      </c>
      <c r="I91" s="72">
        <v>1</v>
      </c>
      <c r="J91" s="72">
        <v>150</v>
      </c>
      <c r="K91" s="73">
        <f t="shared" si="6"/>
        <v>150</v>
      </c>
      <c r="L91" s="73">
        <f t="shared" si="9"/>
        <v>150</v>
      </c>
      <c r="M91" s="73">
        <f t="shared" si="7"/>
        <v>0</v>
      </c>
      <c r="N91" s="29"/>
      <c r="AC91" t="str">
        <f t="shared" si="8"/>
        <v>Jul</v>
      </c>
    </row>
    <row r="92" spans="2:29" x14ac:dyDescent="0.3">
      <c r="B92" s="148">
        <v>45853</v>
      </c>
      <c r="C92" s="79">
        <f t="shared" si="5"/>
        <v>7</v>
      </c>
      <c r="D92" s="70" t="s">
        <v>75</v>
      </c>
      <c r="E92" s="71" t="s">
        <v>209</v>
      </c>
      <c r="F92" s="84" t="s">
        <v>204</v>
      </c>
      <c r="G92" s="71"/>
      <c r="H92" s="83" t="s">
        <v>484</v>
      </c>
      <c r="I92" s="72">
        <v>1</v>
      </c>
      <c r="J92" s="72">
        <v>30</v>
      </c>
      <c r="K92" s="73">
        <f t="shared" si="6"/>
        <v>30</v>
      </c>
      <c r="L92" s="73">
        <f t="shared" si="9"/>
        <v>30</v>
      </c>
      <c r="M92" s="73">
        <f t="shared" si="7"/>
        <v>0</v>
      </c>
      <c r="N92" s="29"/>
      <c r="AC92" t="str">
        <f t="shared" si="8"/>
        <v>Jul</v>
      </c>
    </row>
    <row r="93" spans="2:29" x14ac:dyDescent="0.3">
      <c r="B93" s="148">
        <v>45853</v>
      </c>
      <c r="C93" s="79">
        <f t="shared" si="5"/>
        <v>7</v>
      </c>
      <c r="D93" s="70" t="s">
        <v>77</v>
      </c>
      <c r="E93" s="71" t="s">
        <v>209</v>
      </c>
      <c r="F93" s="84" t="s">
        <v>204</v>
      </c>
      <c r="G93" s="71"/>
      <c r="H93" s="83" t="s">
        <v>484</v>
      </c>
      <c r="I93" s="72">
        <v>1</v>
      </c>
      <c r="J93" s="72">
        <v>70</v>
      </c>
      <c r="K93" s="73">
        <f t="shared" si="6"/>
        <v>70</v>
      </c>
      <c r="L93" s="73">
        <f t="shared" si="9"/>
        <v>70</v>
      </c>
      <c r="M93" s="73">
        <f t="shared" si="7"/>
        <v>0</v>
      </c>
      <c r="N93" s="29"/>
      <c r="AC93" t="str">
        <f t="shared" si="8"/>
        <v>Jul</v>
      </c>
    </row>
    <row r="94" spans="2:29" x14ac:dyDescent="0.3">
      <c r="B94" s="148">
        <v>45853</v>
      </c>
      <c r="C94" s="79">
        <f t="shared" si="5"/>
        <v>7</v>
      </c>
      <c r="D94" s="70" t="s">
        <v>119</v>
      </c>
      <c r="E94" s="71" t="s">
        <v>209</v>
      </c>
      <c r="F94" s="84" t="s">
        <v>204</v>
      </c>
      <c r="G94" s="71"/>
      <c r="H94" s="84" t="s">
        <v>486</v>
      </c>
      <c r="I94" s="72">
        <v>1</v>
      </c>
      <c r="J94" s="72">
        <v>260</v>
      </c>
      <c r="K94" s="73">
        <f t="shared" si="6"/>
        <v>260</v>
      </c>
      <c r="L94" s="73">
        <f t="shared" si="9"/>
        <v>260</v>
      </c>
      <c r="M94" s="73">
        <f t="shared" si="7"/>
        <v>0</v>
      </c>
      <c r="N94" s="29"/>
      <c r="AC94" t="str">
        <f t="shared" si="8"/>
        <v>Jul</v>
      </c>
    </row>
    <row r="95" spans="2:29" x14ac:dyDescent="0.3">
      <c r="B95" s="148">
        <v>45853</v>
      </c>
      <c r="C95" s="79">
        <f t="shared" si="5"/>
        <v>7</v>
      </c>
      <c r="D95" s="70" t="s">
        <v>25</v>
      </c>
      <c r="E95" s="71" t="s">
        <v>209</v>
      </c>
      <c r="F95" s="84" t="s">
        <v>204</v>
      </c>
      <c r="G95" s="71"/>
      <c r="H95" s="84" t="s">
        <v>480</v>
      </c>
      <c r="I95" s="72">
        <v>1</v>
      </c>
      <c r="J95" s="72">
        <v>350</v>
      </c>
      <c r="K95" s="73">
        <f t="shared" si="6"/>
        <v>350</v>
      </c>
      <c r="L95" s="73">
        <f t="shared" si="9"/>
        <v>350</v>
      </c>
      <c r="M95" s="73">
        <f t="shared" si="7"/>
        <v>0</v>
      </c>
      <c r="N95" s="29"/>
      <c r="AC95" t="str">
        <f t="shared" si="8"/>
        <v>Jul</v>
      </c>
    </row>
    <row r="96" spans="2:29" x14ac:dyDescent="0.3">
      <c r="B96" s="148">
        <v>45853</v>
      </c>
      <c r="C96" s="79">
        <f t="shared" si="5"/>
        <v>7</v>
      </c>
      <c r="D96" s="70" t="s">
        <v>35</v>
      </c>
      <c r="E96" s="71" t="s">
        <v>209</v>
      </c>
      <c r="F96" s="84" t="s">
        <v>204</v>
      </c>
      <c r="G96" s="71"/>
      <c r="H96" s="84" t="s">
        <v>480</v>
      </c>
      <c r="I96" s="72">
        <v>1</v>
      </c>
      <c r="J96" s="72">
        <v>230</v>
      </c>
      <c r="K96" s="73">
        <f t="shared" si="6"/>
        <v>230</v>
      </c>
      <c r="L96" s="73">
        <f t="shared" si="9"/>
        <v>230</v>
      </c>
      <c r="M96" s="73">
        <f t="shared" si="7"/>
        <v>0</v>
      </c>
      <c r="N96" s="29"/>
      <c r="AC96" t="str">
        <f t="shared" si="8"/>
        <v>Jul</v>
      </c>
    </row>
    <row r="97" spans="2:29" x14ac:dyDescent="0.3">
      <c r="B97" s="148">
        <v>45853</v>
      </c>
      <c r="C97" s="79">
        <f t="shared" si="5"/>
        <v>7</v>
      </c>
      <c r="D97" s="70" t="s">
        <v>78</v>
      </c>
      <c r="E97" s="71" t="s">
        <v>209</v>
      </c>
      <c r="F97" s="84" t="s">
        <v>204</v>
      </c>
      <c r="G97" s="71"/>
      <c r="H97" s="84" t="s">
        <v>483</v>
      </c>
      <c r="I97" s="72">
        <v>1</v>
      </c>
      <c r="J97" s="72">
        <v>200</v>
      </c>
      <c r="K97" s="73">
        <f t="shared" si="6"/>
        <v>200</v>
      </c>
      <c r="L97" s="73">
        <f t="shared" si="9"/>
        <v>200</v>
      </c>
      <c r="M97" s="73">
        <f t="shared" si="7"/>
        <v>0</v>
      </c>
      <c r="N97" s="29"/>
      <c r="AC97" t="str">
        <f t="shared" si="8"/>
        <v>Jul</v>
      </c>
    </row>
    <row r="98" spans="2:29" x14ac:dyDescent="0.3">
      <c r="B98" s="148">
        <v>45853</v>
      </c>
      <c r="C98" s="79">
        <f t="shared" si="5"/>
        <v>7</v>
      </c>
      <c r="D98" s="70" t="s">
        <v>66</v>
      </c>
      <c r="E98" s="71" t="s">
        <v>209</v>
      </c>
      <c r="F98" s="84" t="s">
        <v>204</v>
      </c>
      <c r="G98" s="71"/>
      <c r="H98" s="84" t="s">
        <v>487</v>
      </c>
      <c r="I98" s="72">
        <v>20</v>
      </c>
      <c r="J98" s="72">
        <v>35</v>
      </c>
      <c r="K98" s="73">
        <f t="shared" si="6"/>
        <v>700</v>
      </c>
      <c r="L98" s="73">
        <f t="shared" si="9"/>
        <v>700</v>
      </c>
      <c r="M98" s="73">
        <f t="shared" si="7"/>
        <v>0</v>
      </c>
      <c r="N98" s="29"/>
      <c r="AC98" t="str">
        <f t="shared" si="8"/>
        <v>Jul</v>
      </c>
    </row>
    <row r="99" spans="2:29" x14ac:dyDescent="0.3">
      <c r="B99" s="148">
        <v>45853</v>
      </c>
      <c r="C99" s="79">
        <f t="shared" si="5"/>
        <v>7</v>
      </c>
      <c r="D99" s="70" t="s">
        <v>79</v>
      </c>
      <c r="E99" s="71" t="s">
        <v>209</v>
      </c>
      <c r="F99" s="84" t="s">
        <v>204</v>
      </c>
      <c r="G99" s="71"/>
      <c r="H99" s="84" t="s">
        <v>477</v>
      </c>
      <c r="I99" s="72">
        <v>1</v>
      </c>
      <c r="J99" s="72">
        <v>1200</v>
      </c>
      <c r="K99" s="73">
        <f t="shared" si="6"/>
        <v>1200</v>
      </c>
      <c r="L99" s="73">
        <f t="shared" si="9"/>
        <v>1200</v>
      </c>
      <c r="M99" s="73">
        <f t="shared" si="7"/>
        <v>0</v>
      </c>
      <c r="N99" s="29"/>
      <c r="AC99" t="str">
        <f t="shared" si="8"/>
        <v>Jul</v>
      </c>
    </row>
    <row r="100" spans="2:29" x14ac:dyDescent="0.3">
      <c r="B100" s="148">
        <v>45853</v>
      </c>
      <c r="C100" s="79">
        <f t="shared" si="5"/>
        <v>7</v>
      </c>
      <c r="D100" s="70" t="s">
        <v>35</v>
      </c>
      <c r="E100" s="71" t="s">
        <v>209</v>
      </c>
      <c r="F100" s="84" t="s">
        <v>204</v>
      </c>
      <c r="G100" s="71"/>
      <c r="H100" s="83" t="s">
        <v>484</v>
      </c>
      <c r="I100" s="72">
        <v>1</v>
      </c>
      <c r="J100" s="72">
        <v>230</v>
      </c>
      <c r="K100" s="73">
        <f t="shared" si="6"/>
        <v>230</v>
      </c>
      <c r="L100" s="73">
        <f t="shared" si="9"/>
        <v>230</v>
      </c>
      <c r="M100" s="73">
        <f t="shared" si="7"/>
        <v>0</v>
      </c>
      <c r="N100" s="29"/>
      <c r="AC100" t="str">
        <f t="shared" si="8"/>
        <v>Jul</v>
      </c>
    </row>
    <row r="101" spans="2:29" x14ac:dyDescent="0.3">
      <c r="B101" s="148">
        <v>45853</v>
      </c>
      <c r="C101" s="79">
        <f t="shared" si="5"/>
        <v>7</v>
      </c>
      <c r="D101" s="70" t="s">
        <v>25</v>
      </c>
      <c r="E101" s="71" t="s">
        <v>209</v>
      </c>
      <c r="F101" s="84" t="s">
        <v>204</v>
      </c>
      <c r="G101" s="71"/>
      <c r="H101" s="83" t="s">
        <v>484</v>
      </c>
      <c r="I101" s="72">
        <v>1</v>
      </c>
      <c r="J101" s="72">
        <v>350</v>
      </c>
      <c r="K101" s="73">
        <f t="shared" si="6"/>
        <v>350</v>
      </c>
      <c r="L101" s="73">
        <f t="shared" si="9"/>
        <v>350</v>
      </c>
      <c r="M101" s="73">
        <f t="shared" si="7"/>
        <v>0</v>
      </c>
      <c r="N101" s="29"/>
      <c r="AC101" t="str">
        <f t="shared" si="8"/>
        <v>Jul</v>
      </c>
    </row>
    <row r="102" spans="2:29" x14ac:dyDescent="0.3">
      <c r="B102" s="148">
        <v>45853</v>
      </c>
      <c r="C102" s="79">
        <f t="shared" si="5"/>
        <v>7</v>
      </c>
      <c r="D102" s="70" t="s">
        <v>47</v>
      </c>
      <c r="E102" s="71" t="s">
        <v>209</v>
      </c>
      <c r="F102" s="84" t="s">
        <v>204</v>
      </c>
      <c r="G102" s="71"/>
      <c r="H102" s="83" t="s">
        <v>484</v>
      </c>
      <c r="I102" s="72">
        <v>4</v>
      </c>
      <c r="J102" s="72">
        <v>67.5</v>
      </c>
      <c r="K102" s="73">
        <f t="shared" si="6"/>
        <v>270</v>
      </c>
      <c r="L102" s="73">
        <f t="shared" si="9"/>
        <v>270</v>
      </c>
      <c r="M102" s="73">
        <f t="shared" si="7"/>
        <v>0</v>
      </c>
      <c r="N102" s="29"/>
      <c r="AC102" t="str">
        <f t="shared" si="8"/>
        <v>Jul</v>
      </c>
    </row>
    <row r="103" spans="2:29" x14ac:dyDescent="0.3">
      <c r="B103" s="148">
        <v>45854</v>
      </c>
      <c r="C103" s="79">
        <f t="shared" si="5"/>
        <v>7</v>
      </c>
      <c r="D103" s="70" t="s">
        <v>84</v>
      </c>
      <c r="E103" s="71" t="s">
        <v>209</v>
      </c>
      <c r="F103" s="84" t="s">
        <v>0</v>
      </c>
      <c r="G103" s="71"/>
      <c r="H103" s="83" t="s">
        <v>484</v>
      </c>
      <c r="I103" s="72">
        <v>4</v>
      </c>
      <c r="J103" s="72">
        <v>3875</v>
      </c>
      <c r="K103" s="73">
        <f t="shared" si="6"/>
        <v>15500</v>
      </c>
      <c r="L103" s="73">
        <f t="shared" si="9"/>
        <v>15500</v>
      </c>
      <c r="M103" s="73">
        <f t="shared" si="7"/>
        <v>0</v>
      </c>
      <c r="N103" s="29"/>
      <c r="AC103" t="str">
        <f t="shared" si="8"/>
        <v>Jul</v>
      </c>
    </row>
    <row r="104" spans="2:29" x14ac:dyDescent="0.3">
      <c r="B104" s="148">
        <v>45854</v>
      </c>
      <c r="C104" s="79">
        <f t="shared" si="5"/>
        <v>7</v>
      </c>
      <c r="D104" s="70" t="s">
        <v>85</v>
      </c>
      <c r="E104" s="71" t="s">
        <v>209</v>
      </c>
      <c r="F104" s="84" t="s">
        <v>204</v>
      </c>
      <c r="G104" s="71"/>
      <c r="H104" s="84" t="s">
        <v>486</v>
      </c>
      <c r="I104" s="72">
        <v>1</v>
      </c>
      <c r="J104" s="72">
        <v>2450</v>
      </c>
      <c r="K104" s="73">
        <f t="shared" si="6"/>
        <v>2450</v>
      </c>
      <c r="L104" s="73">
        <f t="shared" si="9"/>
        <v>2450</v>
      </c>
      <c r="M104" s="73">
        <f t="shared" si="7"/>
        <v>0</v>
      </c>
      <c r="N104" s="29"/>
      <c r="AC104" t="str">
        <f t="shared" si="8"/>
        <v>Jul</v>
      </c>
    </row>
    <row r="105" spans="2:29" x14ac:dyDescent="0.3">
      <c r="B105" s="148">
        <v>45854</v>
      </c>
      <c r="C105" s="79">
        <f t="shared" si="5"/>
        <v>7</v>
      </c>
      <c r="D105" s="70" t="s">
        <v>59</v>
      </c>
      <c r="E105" s="71" t="s">
        <v>209</v>
      </c>
      <c r="F105" s="84" t="s">
        <v>204</v>
      </c>
      <c r="G105" s="71"/>
      <c r="H105" s="84" t="s">
        <v>486</v>
      </c>
      <c r="I105" s="72">
        <v>1</v>
      </c>
      <c r="J105" s="72">
        <v>150</v>
      </c>
      <c r="K105" s="73">
        <f t="shared" si="6"/>
        <v>150</v>
      </c>
      <c r="L105" s="73">
        <f t="shared" si="9"/>
        <v>150</v>
      </c>
      <c r="M105" s="73">
        <f t="shared" si="7"/>
        <v>0</v>
      </c>
      <c r="N105" s="29"/>
      <c r="AC105" t="str">
        <f t="shared" si="8"/>
        <v>Jul</v>
      </c>
    </row>
    <row r="106" spans="2:29" x14ac:dyDescent="0.3">
      <c r="B106" s="148">
        <v>45854</v>
      </c>
      <c r="C106" s="79">
        <f t="shared" si="5"/>
        <v>7</v>
      </c>
      <c r="D106" s="70" t="s">
        <v>86</v>
      </c>
      <c r="E106" s="71" t="s">
        <v>209</v>
      </c>
      <c r="F106" s="84" t="s">
        <v>204</v>
      </c>
      <c r="G106" s="71"/>
      <c r="H106" s="84" t="s">
        <v>486</v>
      </c>
      <c r="I106" s="72">
        <v>1</v>
      </c>
      <c r="J106" s="72">
        <v>150</v>
      </c>
      <c r="K106" s="73">
        <f t="shared" si="6"/>
        <v>150</v>
      </c>
      <c r="L106" s="73">
        <f t="shared" si="9"/>
        <v>150</v>
      </c>
      <c r="M106" s="73">
        <f t="shared" si="7"/>
        <v>0</v>
      </c>
      <c r="N106" s="29"/>
      <c r="AC106" t="str">
        <f t="shared" si="8"/>
        <v>Jul</v>
      </c>
    </row>
    <row r="107" spans="2:29" x14ac:dyDescent="0.3">
      <c r="B107" s="148">
        <v>45854</v>
      </c>
      <c r="C107" s="79">
        <f t="shared" si="5"/>
        <v>7</v>
      </c>
      <c r="D107" s="70" t="s">
        <v>87</v>
      </c>
      <c r="E107" s="71" t="s">
        <v>209</v>
      </c>
      <c r="F107" s="84" t="s">
        <v>204</v>
      </c>
      <c r="G107" s="71"/>
      <c r="H107" s="84" t="s">
        <v>486</v>
      </c>
      <c r="I107" s="72">
        <v>1</v>
      </c>
      <c r="J107" s="72">
        <v>250</v>
      </c>
      <c r="K107" s="73">
        <f t="shared" si="6"/>
        <v>250</v>
      </c>
      <c r="L107" s="73">
        <f t="shared" si="9"/>
        <v>250</v>
      </c>
      <c r="M107" s="73">
        <f t="shared" si="7"/>
        <v>0</v>
      </c>
      <c r="N107" s="29"/>
      <c r="AC107" t="str">
        <f t="shared" si="8"/>
        <v>Jul</v>
      </c>
    </row>
    <row r="108" spans="2:29" x14ac:dyDescent="0.3">
      <c r="B108" s="148">
        <v>45855</v>
      </c>
      <c r="C108" s="79">
        <f t="shared" si="5"/>
        <v>7</v>
      </c>
      <c r="D108" s="70" t="s">
        <v>76</v>
      </c>
      <c r="E108" s="71" t="s">
        <v>209</v>
      </c>
      <c r="F108" s="84" t="s">
        <v>1</v>
      </c>
      <c r="G108" s="71"/>
      <c r="H108" s="84" t="s">
        <v>486</v>
      </c>
      <c r="I108" s="72">
        <v>1</v>
      </c>
      <c r="J108" s="72">
        <v>1750</v>
      </c>
      <c r="K108" s="73">
        <f t="shared" si="6"/>
        <v>1750</v>
      </c>
      <c r="L108" s="73">
        <f t="shared" si="9"/>
        <v>1750</v>
      </c>
      <c r="M108" s="73">
        <f t="shared" si="7"/>
        <v>0</v>
      </c>
      <c r="N108" s="29"/>
      <c r="AC108" t="str">
        <f t="shared" si="8"/>
        <v>Jul</v>
      </c>
    </row>
    <row r="109" spans="2:29" x14ac:dyDescent="0.3">
      <c r="B109" s="148">
        <v>45855</v>
      </c>
      <c r="C109" s="79">
        <f t="shared" si="5"/>
        <v>7</v>
      </c>
      <c r="D109" s="70" t="s">
        <v>76</v>
      </c>
      <c r="E109" s="71" t="s">
        <v>209</v>
      </c>
      <c r="F109" s="84" t="s">
        <v>1</v>
      </c>
      <c r="G109" s="71"/>
      <c r="H109" s="84" t="s">
        <v>487</v>
      </c>
      <c r="I109" s="72">
        <v>1</v>
      </c>
      <c r="J109" s="72">
        <v>1700</v>
      </c>
      <c r="K109" s="73">
        <f t="shared" si="6"/>
        <v>1700</v>
      </c>
      <c r="L109" s="73">
        <f t="shared" si="9"/>
        <v>1700</v>
      </c>
      <c r="M109" s="73">
        <f t="shared" si="7"/>
        <v>0</v>
      </c>
      <c r="N109" s="29"/>
      <c r="AC109" t="str">
        <f t="shared" si="8"/>
        <v>Jul</v>
      </c>
    </row>
    <row r="110" spans="2:29" x14ac:dyDescent="0.3">
      <c r="B110" s="148">
        <v>45855</v>
      </c>
      <c r="C110" s="79">
        <f t="shared" si="5"/>
        <v>7</v>
      </c>
      <c r="D110" s="70" t="s">
        <v>75</v>
      </c>
      <c r="E110" s="71" t="s">
        <v>209</v>
      </c>
      <c r="F110" s="84" t="s">
        <v>204</v>
      </c>
      <c r="G110" s="71"/>
      <c r="H110" s="83" t="s">
        <v>484</v>
      </c>
      <c r="I110" s="72">
        <v>1</v>
      </c>
      <c r="J110" s="72">
        <v>30</v>
      </c>
      <c r="K110" s="73">
        <f t="shared" si="6"/>
        <v>30</v>
      </c>
      <c r="L110" s="73">
        <f t="shared" si="9"/>
        <v>30</v>
      </c>
      <c r="M110" s="73">
        <f t="shared" si="7"/>
        <v>0</v>
      </c>
      <c r="N110" s="29"/>
      <c r="AC110" t="str">
        <f t="shared" si="8"/>
        <v>Jul</v>
      </c>
    </row>
    <row r="111" spans="2:29" x14ac:dyDescent="0.3">
      <c r="B111" s="148">
        <v>45855</v>
      </c>
      <c r="C111" s="79">
        <f t="shared" si="5"/>
        <v>7</v>
      </c>
      <c r="D111" s="70" t="s">
        <v>75</v>
      </c>
      <c r="E111" s="71" t="s">
        <v>209</v>
      </c>
      <c r="F111" s="84" t="s">
        <v>204</v>
      </c>
      <c r="G111" s="71"/>
      <c r="H111" s="83" t="s">
        <v>484</v>
      </c>
      <c r="I111" s="72">
        <v>1</v>
      </c>
      <c r="J111" s="72">
        <v>30</v>
      </c>
      <c r="K111" s="73">
        <f t="shared" si="6"/>
        <v>30</v>
      </c>
      <c r="L111" s="73">
        <f t="shared" si="9"/>
        <v>30</v>
      </c>
      <c r="M111" s="73">
        <f t="shared" si="7"/>
        <v>0</v>
      </c>
      <c r="N111" s="29"/>
      <c r="AC111" t="str">
        <f t="shared" si="8"/>
        <v>Jul</v>
      </c>
    </row>
    <row r="112" spans="2:29" x14ac:dyDescent="0.3">
      <c r="B112" s="148">
        <v>45855</v>
      </c>
      <c r="C112" s="79">
        <f t="shared" si="5"/>
        <v>7</v>
      </c>
      <c r="D112" s="70" t="s">
        <v>148</v>
      </c>
      <c r="E112" s="71" t="s">
        <v>209</v>
      </c>
      <c r="F112" s="84" t="s">
        <v>204</v>
      </c>
      <c r="G112" s="71"/>
      <c r="H112" s="83" t="s">
        <v>484</v>
      </c>
      <c r="I112" s="72">
        <v>2</v>
      </c>
      <c r="J112" s="72">
        <v>280</v>
      </c>
      <c r="K112" s="73">
        <f t="shared" si="6"/>
        <v>560</v>
      </c>
      <c r="L112" s="73">
        <f t="shared" si="9"/>
        <v>560</v>
      </c>
      <c r="M112" s="73">
        <f t="shared" si="7"/>
        <v>0</v>
      </c>
      <c r="N112" s="29"/>
      <c r="AC112" t="str">
        <f t="shared" si="8"/>
        <v>Jul</v>
      </c>
    </row>
    <row r="113" spans="2:29" x14ac:dyDescent="0.3">
      <c r="B113" s="148">
        <v>45855</v>
      </c>
      <c r="C113" s="79">
        <f t="shared" si="5"/>
        <v>7</v>
      </c>
      <c r="D113" s="70" t="s">
        <v>93</v>
      </c>
      <c r="E113" s="71" t="s">
        <v>209</v>
      </c>
      <c r="F113" s="84" t="s">
        <v>204</v>
      </c>
      <c r="G113" s="71"/>
      <c r="H113" s="83" t="s">
        <v>484</v>
      </c>
      <c r="I113" s="72">
        <v>2</v>
      </c>
      <c r="J113" s="72">
        <v>900</v>
      </c>
      <c r="K113" s="73">
        <f t="shared" si="6"/>
        <v>1800</v>
      </c>
      <c r="L113" s="73">
        <f t="shared" si="9"/>
        <v>1800</v>
      </c>
      <c r="M113" s="73">
        <f t="shared" si="7"/>
        <v>0</v>
      </c>
      <c r="N113" s="29"/>
      <c r="AC113" t="str">
        <f t="shared" si="8"/>
        <v>Jul</v>
      </c>
    </row>
    <row r="114" spans="2:29" x14ac:dyDescent="0.3">
      <c r="B114" s="148">
        <v>45855</v>
      </c>
      <c r="C114" s="79">
        <f t="shared" si="5"/>
        <v>7</v>
      </c>
      <c r="D114" s="70" t="s">
        <v>88</v>
      </c>
      <c r="E114" s="71" t="s">
        <v>209</v>
      </c>
      <c r="F114" s="84" t="s">
        <v>204</v>
      </c>
      <c r="G114" s="71"/>
      <c r="H114" s="83" t="s">
        <v>484</v>
      </c>
      <c r="I114" s="72">
        <v>1</v>
      </c>
      <c r="J114" s="72">
        <v>200</v>
      </c>
      <c r="K114" s="73">
        <f t="shared" si="6"/>
        <v>200</v>
      </c>
      <c r="L114" s="73">
        <f t="shared" si="9"/>
        <v>200</v>
      </c>
      <c r="M114" s="73">
        <f t="shared" si="7"/>
        <v>0</v>
      </c>
      <c r="N114" s="29"/>
      <c r="AC114" t="str">
        <f t="shared" si="8"/>
        <v>Jul</v>
      </c>
    </row>
    <row r="115" spans="2:29" x14ac:dyDescent="0.3">
      <c r="B115" s="148">
        <v>45855</v>
      </c>
      <c r="C115" s="79">
        <f t="shared" si="5"/>
        <v>7</v>
      </c>
      <c r="D115" s="70" t="s">
        <v>132</v>
      </c>
      <c r="E115" s="71" t="s">
        <v>209</v>
      </c>
      <c r="F115" s="84" t="s">
        <v>204</v>
      </c>
      <c r="G115" s="71"/>
      <c r="H115" s="83" t="s">
        <v>484</v>
      </c>
      <c r="I115" s="72">
        <v>1</v>
      </c>
      <c r="J115" s="72">
        <v>550</v>
      </c>
      <c r="K115" s="73">
        <f t="shared" si="6"/>
        <v>550</v>
      </c>
      <c r="L115" s="73">
        <f t="shared" si="9"/>
        <v>550</v>
      </c>
      <c r="M115" s="73">
        <f t="shared" si="7"/>
        <v>0</v>
      </c>
      <c r="N115" s="29"/>
      <c r="AC115" t="str">
        <f t="shared" si="8"/>
        <v>Jul</v>
      </c>
    </row>
    <row r="116" spans="2:29" x14ac:dyDescent="0.3">
      <c r="B116" s="148">
        <v>45855</v>
      </c>
      <c r="C116" s="79">
        <f t="shared" si="5"/>
        <v>7</v>
      </c>
      <c r="D116" s="70" t="s">
        <v>89</v>
      </c>
      <c r="E116" s="71" t="s">
        <v>209</v>
      </c>
      <c r="F116" s="84" t="s">
        <v>204</v>
      </c>
      <c r="G116" s="71"/>
      <c r="H116" s="83" t="s">
        <v>484</v>
      </c>
      <c r="I116" s="72">
        <v>2</v>
      </c>
      <c r="J116" s="72">
        <v>270</v>
      </c>
      <c r="K116" s="73">
        <f t="shared" si="6"/>
        <v>540</v>
      </c>
      <c r="L116" s="73">
        <f t="shared" si="9"/>
        <v>540</v>
      </c>
      <c r="M116" s="73">
        <f t="shared" si="7"/>
        <v>0</v>
      </c>
      <c r="N116" s="29"/>
      <c r="AC116" t="str">
        <f t="shared" si="8"/>
        <v>Jul</v>
      </c>
    </row>
    <row r="117" spans="2:29" x14ac:dyDescent="0.3">
      <c r="B117" s="148">
        <v>45855</v>
      </c>
      <c r="C117" s="79">
        <f t="shared" si="5"/>
        <v>7</v>
      </c>
      <c r="D117" s="70" t="s">
        <v>90</v>
      </c>
      <c r="E117" s="71" t="s">
        <v>209</v>
      </c>
      <c r="F117" s="84" t="s">
        <v>204</v>
      </c>
      <c r="G117" s="71"/>
      <c r="H117" s="84" t="s">
        <v>488</v>
      </c>
      <c r="I117" s="72">
        <v>1</v>
      </c>
      <c r="J117" s="72">
        <v>350</v>
      </c>
      <c r="K117" s="73">
        <f t="shared" si="6"/>
        <v>350</v>
      </c>
      <c r="L117" s="73">
        <f t="shared" si="9"/>
        <v>350</v>
      </c>
      <c r="M117" s="73">
        <f t="shared" si="7"/>
        <v>0</v>
      </c>
      <c r="N117" s="29"/>
      <c r="AC117" t="str">
        <f t="shared" si="8"/>
        <v>Jul</v>
      </c>
    </row>
    <row r="118" spans="2:29" x14ac:dyDescent="0.3">
      <c r="B118" s="148">
        <v>45855</v>
      </c>
      <c r="C118" s="79">
        <f t="shared" si="5"/>
        <v>7</v>
      </c>
      <c r="D118" s="70" t="s">
        <v>69</v>
      </c>
      <c r="E118" s="71" t="s">
        <v>209</v>
      </c>
      <c r="F118" s="84" t="s">
        <v>204</v>
      </c>
      <c r="G118" s="71"/>
      <c r="H118" s="83" t="s">
        <v>484</v>
      </c>
      <c r="I118" s="72">
        <v>1</v>
      </c>
      <c r="J118" s="72">
        <v>350</v>
      </c>
      <c r="K118" s="73">
        <f t="shared" si="6"/>
        <v>350</v>
      </c>
      <c r="L118" s="73">
        <f t="shared" si="9"/>
        <v>350</v>
      </c>
      <c r="M118" s="73">
        <f t="shared" si="7"/>
        <v>0</v>
      </c>
      <c r="N118" s="29"/>
      <c r="AC118" t="str">
        <f t="shared" si="8"/>
        <v>Jul</v>
      </c>
    </row>
    <row r="119" spans="2:29" x14ac:dyDescent="0.3">
      <c r="B119" s="148">
        <v>45855</v>
      </c>
      <c r="C119" s="79">
        <f t="shared" si="5"/>
        <v>7</v>
      </c>
      <c r="D119" s="70" t="s">
        <v>43</v>
      </c>
      <c r="E119" s="71" t="s">
        <v>209</v>
      </c>
      <c r="F119" s="84" t="s">
        <v>204</v>
      </c>
      <c r="G119" s="71"/>
      <c r="H119" s="83" t="s">
        <v>484</v>
      </c>
      <c r="I119" s="72">
        <v>5</v>
      </c>
      <c r="J119" s="72">
        <v>130</v>
      </c>
      <c r="K119" s="73">
        <f t="shared" si="6"/>
        <v>650</v>
      </c>
      <c r="L119" s="73">
        <f t="shared" si="9"/>
        <v>650</v>
      </c>
      <c r="M119" s="73">
        <f t="shared" si="7"/>
        <v>0</v>
      </c>
      <c r="N119" s="29"/>
      <c r="AC119" t="str">
        <f t="shared" si="8"/>
        <v>Jul</v>
      </c>
    </row>
    <row r="120" spans="2:29" x14ac:dyDescent="0.3">
      <c r="B120" s="148">
        <v>45855</v>
      </c>
      <c r="C120" s="79">
        <f t="shared" si="5"/>
        <v>7</v>
      </c>
      <c r="D120" s="70" t="s">
        <v>92</v>
      </c>
      <c r="E120" s="71" t="s">
        <v>209</v>
      </c>
      <c r="F120" s="84" t="s">
        <v>204</v>
      </c>
      <c r="G120" s="71"/>
      <c r="H120" s="83" t="s">
        <v>484</v>
      </c>
      <c r="I120" s="72">
        <v>4</v>
      </c>
      <c r="J120" s="72">
        <v>70</v>
      </c>
      <c r="K120" s="73">
        <f t="shared" si="6"/>
        <v>280</v>
      </c>
      <c r="L120" s="73">
        <f t="shared" si="9"/>
        <v>280</v>
      </c>
      <c r="M120" s="73">
        <f t="shared" si="7"/>
        <v>0</v>
      </c>
      <c r="N120" s="29"/>
      <c r="AC120" t="str">
        <f t="shared" si="8"/>
        <v>Jul</v>
      </c>
    </row>
    <row r="121" spans="2:29" x14ac:dyDescent="0.3">
      <c r="B121" s="148">
        <v>45855</v>
      </c>
      <c r="C121" s="79">
        <f t="shared" si="5"/>
        <v>7</v>
      </c>
      <c r="D121" s="70" t="s">
        <v>59</v>
      </c>
      <c r="E121" s="71" t="s">
        <v>209</v>
      </c>
      <c r="F121" s="84" t="s">
        <v>204</v>
      </c>
      <c r="G121" s="71"/>
      <c r="H121" s="83" t="s">
        <v>484</v>
      </c>
      <c r="I121" s="72">
        <v>1</v>
      </c>
      <c r="J121" s="72">
        <v>150</v>
      </c>
      <c r="K121" s="73">
        <f t="shared" si="6"/>
        <v>150</v>
      </c>
      <c r="L121" s="73">
        <f t="shared" si="9"/>
        <v>150</v>
      </c>
      <c r="M121" s="73">
        <f t="shared" si="7"/>
        <v>0</v>
      </c>
      <c r="N121" s="29"/>
      <c r="AC121" t="str">
        <f t="shared" si="8"/>
        <v>Jul</v>
      </c>
    </row>
    <row r="122" spans="2:29" x14ac:dyDescent="0.3">
      <c r="B122" s="148">
        <v>45856</v>
      </c>
      <c r="C122" s="79">
        <f t="shared" si="5"/>
        <v>7</v>
      </c>
      <c r="D122" s="70" t="s">
        <v>88</v>
      </c>
      <c r="E122" s="71" t="s">
        <v>209</v>
      </c>
      <c r="F122" s="84" t="s">
        <v>204</v>
      </c>
      <c r="G122" s="71"/>
      <c r="H122" s="84" t="s">
        <v>487</v>
      </c>
      <c r="I122" s="72">
        <v>2</v>
      </c>
      <c r="J122" s="72">
        <v>1445</v>
      </c>
      <c r="K122" s="73">
        <f t="shared" si="6"/>
        <v>2890</v>
      </c>
      <c r="L122" s="73">
        <f t="shared" si="9"/>
        <v>2890</v>
      </c>
      <c r="M122" s="73">
        <f t="shared" si="7"/>
        <v>0</v>
      </c>
      <c r="N122" s="29"/>
      <c r="AC122" t="str">
        <f t="shared" si="8"/>
        <v>Jul</v>
      </c>
    </row>
    <row r="123" spans="2:29" x14ac:dyDescent="0.3">
      <c r="B123" s="148">
        <v>45856</v>
      </c>
      <c r="C123" s="79">
        <f t="shared" si="5"/>
        <v>7</v>
      </c>
      <c r="D123" s="70" t="s">
        <v>132</v>
      </c>
      <c r="E123" s="71" t="s">
        <v>209</v>
      </c>
      <c r="F123" s="84" t="s">
        <v>204</v>
      </c>
      <c r="G123" s="71"/>
      <c r="H123" s="84" t="s">
        <v>487</v>
      </c>
      <c r="I123" s="72">
        <v>1</v>
      </c>
      <c r="J123" s="72">
        <v>1950</v>
      </c>
      <c r="K123" s="73">
        <f t="shared" si="6"/>
        <v>1950</v>
      </c>
      <c r="L123" s="73">
        <f t="shared" si="9"/>
        <v>1950</v>
      </c>
      <c r="M123" s="73">
        <f t="shared" si="7"/>
        <v>0</v>
      </c>
      <c r="N123" s="29"/>
      <c r="AC123" t="str">
        <f t="shared" si="8"/>
        <v>Jul</v>
      </c>
    </row>
    <row r="124" spans="2:29" x14ac:dyDescent="0.3">
      <c r="B124" s="148">
        <v>45856</v>
      </c>
      <c r="C124" s="79">
        <f t="shared" si="5"/>
        <v>7</v>
      </c>
      <c r="D124" s="70" t="s">
        <v>88</v>
      </c>
      <c r="E124" s="71" t="s">
        <v>209</v>
      </c>
      <c r="F124" s="84" t="s">
        <v>204</v>
      </c>
      <c r="G124" s="71"/>
      <c r="H124" s="84" t="s">
        <v>483</v>
      </c>
      <c r="I124" s="72">
        <v>1</v>
      </c>
      <c r="J124" s="72">
        <v>175</v>
      </c>
      <c r="K124" s="73">
        <f t="shared" si="6"/>
        <v>175</v>
      </c>
      <c r="L124" s="73">
        <f t="shared" si="9"/>
        <v>175</v>
      </c>
      <c r="M124" s="73">
        <f t="shared" si="7"/>
        <v>0</v>
      </c>
      <c r="N124" s="29"/>
      <c r="AC124" t="str">
        <f t="shared" si="8"/>
        <v>Jul</v>
      </c>
    </row>
    <row r="125" spans="2:29" x14ac:dyDescent="0.3">
      <c r="B125" s="148">
        <v>45856</v>
      </c>
      <c r="C125" s="79">
        <f t="shared" si="5"/>
        <v>7</v>
      </c>
      <c r="D125" s="70" t="s">
        <v>25</v>
      </c>
      <c r="E125" s="71" t="s">
        <v>209</v>
      </c>
      <c r="F125" s="84" t="s">
        <v>204</v>
      </c>
      <c r="G125" s="71"/>
      <c r="H125" s="84" t="s">
        <v>479</v>
      </c>
      <c r="I125" s="72">
        <v>1</v>
      </c>
      <c r="J125" s="72">
        <v>300</v>
      </c>
      <c r="K125" s="73">
        <f t="shared" si="6"/>
        <v>300</v>
      </c>
      <c r="L125" s="73">
        <f t="shared" si="9"/>
        <v>300</v>
      </c>
      <c r="M125" s="73">
        <f t="shared" si="7"/>
        <v>0</v>
      </c>
      <c r="N125" s="29"/>
      <c r="AC125" t="str">
        <f t="shared" si="8"/>
        <v>Jul</v>
      </c>
    </row>
    <row r="126" spans="2:29" x14ac:dyDescent="0.3">
      <c r="B126" s="148">
        <v>45856</v>
      </c>
      <c r="C126" s="79">
        <f t="shared" si="5"/>
        <v>7</v>
      </c>
      <c r="D126" s="70" t="s">
        <v>63</v>
      </c>
      <c r="E126" s="71" t="s">
        <v>209</v>
      </c>
      <c r="F126" s="84" t="s">
        <v>204</v>
      </c>
      <c r="G126" s="71"/>
      <c r="H126" s="84" t="s">
        <v>479</v>
      </c>
      <c r="I126" s="72">
        <v>1</v>
      </c>
      <c r="J126" s="72">
        <v>60</v>
      </c>
      <c r="K126" s="73">
        <f t="shared" si="6"/>
        <v>60</v>
      </c>
      <c r="L126" s="73">
        <f t="shared" si="9"/>
        <v>60</v>
      </c>
      <c r="M126" s="73">
        <f t="shared" si="7"/>
        <v>0</v>
      </c>
      <c r="N126" s="29"/>
      <c r="AC126" t="str">
        <f t="shared" si="8"/>
        <v>Jul</v>
      </c>
    </row>
    <row r="127" spans="2:29" x14ac:dyDescent="0.3">
      <c r="B127" s="148">
        <v>45856</v>
      </c>
      <c r="C127" s="79">
        <f t="shared" si="5"/>
        <v>7</v>
      </c>
      <c r="D127" s="70" t="s">
        <v>100</v>
      </c>
      <c r="E127" s="71" t="s">
        <v>209</v>
      </c>
      <c r="F127" s="84" t="s">
        <v>204</v>
      </c>
      <c r="G127" s="71"/>
      <c r="H127" s="84" t="s">
        <v>477</v>
      </c>
      <c r="I127" s="72">
        <v>1</v>
      </c>
      <c r="J127" s="72">
        <v>800</v>
      </c>
      <c r="K127" s="73">
        <f t="shared" si="6"/>
        <v>800</v>
      </c>
      <c r="L127" s="73">
        <f t="shared" si="9"/>
        <v>800</v>
      </c>
      <c r="M127" s="73">
        <f t="shared" si="7"/>
        <v>0</v>
      </c>
      <c r="N127" s="29"/>
      <c r="AC127" t="str">
        <f t="shared" si="8"/>
        <v>Jul</v>
      </c>
    </row>
    <row r="128" spans="2:29" x14ac:dyDescent="0.3">
      <c r="B128" s="148">
        <v>45856</v>
      </c>
      <c r="C128" s="79">
        <f t="shared" si="5"/>
        <v>7</v>
      </c>
      <c r="D128" s="70" t="s">
        <v>94</v>
      </c>
      <c r="E128" s="71" t="s">
        <v>209</v>
      </c>
      <c r="F128" s="84" t="s">
        <v>204</v>
      </c>
      <c r="G128" s="71"/>
      <c r="H128" s="84" t="s">
        <v>477</v>
      </c>
      <c r="I128" s="72">
        <v>1</v>
      </c>
      <c r="J128" s="72">
        <v>230</v>
      </c>
      <c r="K128" s="73">
        <f t="shared" si="6"/>
        <v>230</v>
      </c>
      <c r="L128" s="73">
        <f t="shared" si="9"/>
        <v>230</v>
      </c>
      <c r="M128" s="73">
        <f t="shared" si="7"/>
        <v>0</v>
      </c>
      <c r="N128" s="29"/>
      <c r="AC128" t="str">
        <f t="shared" si="8"/>
        <v>Jul</v>
      </c>
    </row>
    <row r="129" spans="2:29" x14ac:dyDescent="0.3">
      <c r="B129" s="148">
        <v>45856</v>
      </c>
      <c r="C129" s="79">
        <f t="shared" si="5"/>
        <v>7</v>
      </c>
      <c r="D129" s="70" t="s">
        <v>183</v>
      </c>
      <c r="E129" s="71" t="s">
        <v>209</v>
      </c>
      <c r="F129" s="84" t="s">
        <v>204</v>
      </c>
      <c r="G129" s="71"/>
      <c r="H129" s="84" t="s">
        <v>477</v>
      </c>
      <c r="I129" s="72">
        <v>1</v>
      </c>
      <c r="J129" s="72">
        <v>320</v>
      </c>
      <c r="K129" s="73">
        <f t="shared" si="6"/>
        <v>320</v>
      </c>
      <c r="L129" s="73">
        <f t="shared" si="9"/>
        <v>320</v>
      </c>
      <c r="M129" s="73">
        <f t="shared" si="7"/>
        <v>0</v>
      </c>
      <c r="N129" s="29"/>
      <c r="AC129" t="str">
        <f t="shared" si="8"/>
        <v>Jul</v>
      </c>
    </row>
    <row r="130" spans="2:29" x14ac:dyDescent="0.3">
      <c r="B130" s="148">
        <v>45856</v>
      </c>
      <c r="C130" s="79">
        <f t="shared" si="5"/>
        <v>7</v>
      </c>
      <c r="D130" s="70" t="s">
        <v>96</v>
      </c>
      <c r="E130" s="71" t="s">
        <v>209</v>
      </c>
      <c r="F130" s="84" t="s">
        <v>204</v>
      </c>
      <c r="G130" s="71"/>
      <c r="H130" s="84" t="s">
        <v>477</v>
      </c>
      <c r="I130" s="72">
        <v>1</v>
      </c>
      <c r="J130" s="72">
        <v>620</v>
      </c>
      <c r="K130" s="73">
        <f t="shared" si="6"/>
        <v>620</v>
      </c>
      <c r="L130" s="73">
        <f t="shared" si="9"/>
        <v>620</v>
      </c>
      <c r="M130" s="73">
        <f t="shared" si="7"/>
        <v>0</v>
      </c>
      <c r="N130" s="29"/>
      <c r="AC130" t="str">
        <f t="shared" si="8"/>
        <v>Jul</v>
      </c>
    </row>
    <row r="131" spans="2:29" x14ac:dyDescent="0.3">
      <c r="B131" s="148">
        <v>45856</v>
      </c>
      <c r="C131" s="79">
        <f t="shared" si="5"/>
        <v>7</v>
      </c>
      <c r="D131" s="70" t="s">
        <v>97</v>
      </c>
      <c r="E131" s="71" t="s">
        <v>209</v>
      </c>
      <c r="F131" s="84" t="s">
        <v>204</v>
      </c>
      <c r="G131" s="71"/>
      <c r="H131" s="84" t="s">
        <v>477</v>
      </c>
      <c r="I131" s="72">
        <v>1</v>
      </c>
      <c r="J131" s="72">
        <v>150</v>
      </c>
      <c r="K131" s="73">
        <f t="shared" si="6"/>
        <v>150</v>
      </c>
      <c r="L131" s="73">
        <f t="shared" si="9"/>
        <v>150</v>
      </c>
      <c r="M131" s="73">
        <f t="shared" si="7"/>
        <v>0</v>
      </c>
      <c r="N131" s="29"/>
      <c r="AC131" t="str">
        <f t="shared" si="8"/>
        <v>Jul</v>
      </c>
    </row>
    <row r="132" spans="2:29" x14ac:dyDescent="0.3">
      <c r="B132" s="148">
        <v>45856</v>
      </c>
      <c r="C132" s="79">
        <f t="shared" si="5"/>
        <v>7</v>
      </c>
      <c r="D132" s="70" t="s">
        <v>98</v>
      </c>
      <c r="E132" s="71" t="s">
        <v>209</v>
      </c>
      <c r="F132" s="84" t="s">
        <v>204</v>
      </c>
      <c r="G132" s="71"/>
      <c r="H132" s="84" t="s">
        <v>477</v>
      </c>
      <c r="I132" s="72">
        <v>1</v>
      </c>
      <c r="J132" s="72">
        <v>30</v>
      </c>
      <c r="K132" s="73">
        <f t="shared" si="6"/>
        <v>30</v>
      </c>
      <c r="L132" s="73">
        <f t="shared" si="9"/>
        <v>30</v>
      </c>
      <c r="M132" s="73">
        <f t="shared" si="7"/>
        <v>0</v>
      </c>
      <c r="N132" s="29"/>
      <c r="AC132" t="str">
        <f t="shared" si="8"/>
        <v>Jul</v>
      </c>
    </row>
    <row r="133" spans="2:29" x14ac:dyDescent="0.3">
      <c r="B133" s="148">
        <v>45856</v>
      </c>
      <c r="C133" s="79">
        <f t="shared" si="5"/>
        <v>7</v>
      </c>
      <c r="D133" s="70" t="s">
        <v>23</v>
      </c>
      <c r="E133" s="71" t="s">
        <v>209</v>
      </c>
      <c r="F133" s="84" t="s">
        <v>204</v>
      </c>
      <c r="G133" s="71"/>
      <c r="H133" s="84" t="s">
        <v>477</v>
      </c>
      <c r="I133" s="72">
        <v>1</v>
      </c>
      <c r="J133" s="72">
        <v>250</v>
      </c>
      <c r="K133" s="73">
        <f t="shared" si="6"/>
        <v>250</v>
      </c>
      <c r="L133" s="73">
        <f t="shared" si="9"/>
        <v>250</v>
      </c>
      <c r="M133" s="73">
        <f t="shared" si="7"/>
        <v>0</v>
      </c>
      <c r="N133" s="29"/>
      <c r="AC133" t="str">
        <f t="shared" si="8"/>
        <v>Jul</v>
      </c>
    </row>
    <row r="134" spans="2:29" x14ac:dyDescent="0.3">
      <c r="B134" s="148">
        <v>45856</v>
      </c>
      <c r="C134" s="79">
        <f t="shared" ref="C134:C197" si="10">MONTH(B134)</f>
        <v>7</v>
      </c>
      <c r="D134" s="70" t="s">
        <v>101</v>
      </c>
      <c r="E134" s="71" t="s">
        <v>209</v>
      </c>
      <c r="F134" s="84" t="s">
        <v>204</v>
      </c>
      <c r="G134" s="71"/>
      <c r="H134" s="84" t="s">
        <v>488</v>
      </c>
      <c r="I134" s="72">
        <v>1</v>
      </c>
      <c r="J134" s="72">
        <v>2300</v>
      </c>
      <c r="K134" s="73">
        <f t="shared" ref="K134:K197" si="11">I134*J134</f>
        <v>2300</v>
      </c>
      <c r="L134" s="73">
        <f t="shared" si="9"/>
        <v>2300</v>
      </c>
      <c r="M134" s="73">
        <f t="shared" ref="M134:M197" si="12">K134-L134</f>
        <v>0</v>
      </c>
      <c r="N134" s="29"/>
      <c r="AC134" t="str">
        <f t="shared" si="8"/>
        <v>Jul</v>
      </c>
    </row>
    <row r="135" spans="2:29" x14ac:dyDescent="0.3">
      <c r="B135" s="148">
        <v>45856</v>
      </c>
      <c r="C135" s="79">
        <f t="shared" si="10"/>
        <v>7</v>
      </c>
      <c r="D135" s="70" t="s">
        <v>102</v>
      </c>
      <c r="E135" s="71" t="s">
        <v>209</v>
      </c>
      <c r="F135" s="84" t="s">
        <v>204</v>
      </c>
      <c r="G135" s="71"/>
      <c r="H135" s="84" t="s">
        <v>482</v>
      </c>
      <c r="I135" s="72">
        <v>1</v>
      </c>
      <c r="J135" s="72">
        <v>850</v>
      </c>
      <c r="K135" s="73">
        <f t="shared" si="11"/>
        <v>850</v>
      </c>
      <c r="L135" s="73">
        <f t="shared" si="9"/>
        <v>850</v>
      </c>
      <c r="M135" s="73">
        <f t="shared" si="12"/>
        <v>0</v>
      </c>
      <c r="N135" s="29"/>
      <c r="AC135" t="str">
        <f t="shared" ref="AC135:AC198" si="13">IFERROR(INDEX(AA:AA,MATCH(C135,Z:Z,0)),"")</f>
        <v>Jul</v>
      </c>
    </row>
    <row r="136" spans="2:29" x14ac:dyDescent="0.3">
      <c r="B136" s="148">
        <v>45856</v>
      </c>
      <c r="C136" s="79">
        <f t="shared" si="10"/>
        <v>7</v>
      </c>
      <c r="D136" s="70" t="s">
        <v>25</v>
      </c>
      <c r="E136" s="71" t="s">
        <v>209</v>
      </c>
      <c r="F136" s="84" t="s">
        <v>204</v>
      </c>
      <c r="G136" s="71"/>
      <c r="H136" s="84" t="s">
        <v>482</v>
      </c>
      <c r="I136" s="72">
        <v>1</v>
      </c>
      <c r="J136" s="72">
        <v>325</v>
      </c>
      <c r="K136" s="73">
        <f t="shared" si="11"/>
        <v>325</v>
      </c>
      <c r="L136" s="73">
        <f t="shared" si="9"/>
        <v>325</v>
      </c>
      <c r="M136" s="73">
        <f t="shared" si="12"/>
        <v>0</v>
      </c>
      <c r="N136" s="29"/>
      <c r="AC136" t="str">
        <f t="shared" si="13"/>
        <v>Jul</v>
      </c>
    </row>
    <row r="137" spans="2:29" x14ac:dyDescent="0.3">
      <c r="B137" s="148">
        <v>45856</v>
      </c>
      <c r="C137" s="79">
        <f t="shared" si="10"/>
        <v>7</v>
      </c>
      <c r="D137" s="70" t="s">
        <v>183</v>
      </c>
      <c r="E137" s="71" t="s">
        <v>209</v>
      </c>
      <c r="F137" s="84" t="s">
        <v>204</v>
      </c>
      <c r="G137" s="71"/>
      <c r="H137" s="84" t="s">
        <v>483</v>
      </c>
      <c r="I137" s="72">
        <v>1</v>
      </c>
      <c r="J137" s="72">
        <v>320</v>
      </c>
      <c r="K137" s="73">
        <f t="shared" si="11"/>
        <v>320</v>
      </c>
      <c r="L137" s="73">
        <f t="shared" ref="L137:L200" si="14">K137</f>
        <v>320</v>
      </c>
      <c r="M137" s="73">
        <f t="shared" si="12"/>
        <v>0</v>
      </c>
      <c r="N137" s="29"/>
      <c r="AC137" t="str">
        <f t="shared" si="13"/>
        <v>Jul</v>
      </c>
    </row>
    <row r="138" spans="2:29" x14ac:dyDescent="0.3">
      <c r="B138" s="148">
        <v>45856</v>
      </c>
      <c r="C138" s="79">
        <f t="shared" si="10"/>
        <v>7</v>
      </c>
      <c r="D138" s="70" t="s">
        <v>98</v>
      </c>
      <c r="E138" s="71" t="s">
        <v>209</v>
      </c>
      <c r="F138" s="84" t="s">
        <v>204</v>
      </c>
      <c r="G138" s="71"/>
      <c r="H138" s="83" t="s">
        <v>484</v>
      </c>
      <c r="I138" s="72">
        <v>1</v>
      </c>
      <c r="J138" s="72">
        <v>30</v>
      </c>
      <c r="K138" s="73">
        <f t="shared" si="11"/>
        <v>30</v>
      </c>
      <c r="L138" s="73">
        <f t="shared" si="14"/>
        <v>30</v>
      </c>
      <c r="M138" s="73">
        <f t="shared" si="12"/>
        <v>0</v>
      </c>
      <c r="N138" s="29"/>
      <c r="AC138" t="str">
        <f t="shared" si="13"/>
        <v>Jul</v>
      </c>
    </row>
    <row r="139" spans="2:29" x14ac:dyDescent="0.3">
      <c r="B139" s="148">
        <v>45856</v>
      </c>
      <c r="C139" s="79">
        <f t="shared" si="10"/>
        <v>7</v>
      </c>
      <c r="D139" s="70" t="s">
        <v>59</v>
      </c>
      <c r="E139" s="71" t="s">
        <v>209</v>
      </c>
      <c r="F139" s="84" t="s">
        <v>204</v>
      </c>
      <c r="G139" s="71"/>
      <c r="H139" s="84" t="s">
        <v>482</v>
      </c>
      <c r="I139" s="72">
        <v>1</v>
      </c>
      <c r="J139" s="72">
        <v>150</v>
      </c>
      <c r="K139" s="73">
        <f t="shared" si="11"/>
        <v>150</v>
      </c>
      <c r="L139" s="73">
        <f t="shared" si="14"/>
        <v>150</v>
      </c>
      <c r="M139" s="73">
        <f t="shared" si="12"/>
        <v>0</v>
      </c>
      <c r="N139" s="29"/>
      <c r="AC139" t="str">
        <f t="shared" si="13"/>
        <v>Jul</v>
      </c>
    </row>
    <row r="140" spans="2:29" x14ac:dyDescent="0.3">
      <c r="B140" s="148">
        <v>45856</v>
      </c>
      <c r="C140" s="79">
        <f t="shared" si="10"/>
        <v>7</v>
      </c>
      <c r="D140" s="70" t="s">
        <v>103</v>
      </c>
      <c r="E140" s="71" t="s">
        <v>209</v>
      </c>
      <c r="F140" s="84" t="s">
        <v>204</v>
      </c>
      <c r="G140" s="71"/>
      <c r="H140" s="83" t="s">
        <v>484</v>
      </c>
      <c r="I140" s="72">
        <v>1</v>
      </c>
      <c r="J140" s="72">
        <v>150</v>
      </c>
      <c r="K140" s="73">
        <f t="shared" si="11"/>
        <v>150</v>
      </c>
      <c r="L140" s="73">
        <f t="shared" si="14"/>
        <v>150</v>
      </c>
      <c r="M140" s="73">
        <f t="shared" si="12"/>
        <v>0</v>
      </c>
      <c r="N140" s="29"/>
      <c r="AC140" t="str">
        <f t="shared" si="13"/>
        <v>Jul</v>
      </c>
    </row>
    <row r="141" spans="2:29" x14ac:dyDescent="0.3">
      <c r="B141" s="148">
        <v>45856</v>
      </c>
      <c r="C141" s="79">
        <f t="shared" si="10"/>
        <v>7</v>
      </c>
      <c r="D141" s="70" t="s">
        <v>104</v>
      </c>
      <c r="E141" s="71" t="s">
        <v>209</v>
      </c>
      <c r="F141" s="84" t="s">
        <v>204</v>
      </c>
      <c r="G141" s="71"/>
      <c r="H141" s="84" t="s">
        <v>477</v>
      </c>
      <c r="I141" s="72">
        <v>1</v>
      </c>
      <c r="J141" s="72">
        <v>150</v>
      </c>
      <c r="K141" s="73">
        <f t="shared" si="11"/>
        <v>150</v>
      </c>
      <c r="L141" s="73">
        <f t="shared" si="14"/>
        <v>150</v>
      </c>
      <c r="M141" s="73">
        <f t="shared" si="12"/>
        <v>0</v>
      </c>
      <c r="N141" s="29"/>
      <c r="AC141" t="str">
        <f t="shared" si="13"/>
        <v>Jul</v>
      </c>
    </row>
    <row r="142" spans="2:29" x14ac:dyDescent="0.3">
      <c r="B142" s="148">
        <v>45856</v>
      </c>
      <c r="C142" s="79">
        <f t="shared" si="10"/>
        <v>7</v>
      </c>
      <c r="D142" s="70" t="s">
        <v>59</v>
      </c>
      <c r="E142" s="71" t="s">
        <v>209</v>
      </c>
      <c r="F142" s="84" t="s">
        <v>204</v>
      </c>
      <c r="G142" s="71"/>
      <c r="H142" s="84" t="s">
        <v>477</v>
      </c>
      <c r="I142" s="72">
        <v>1</v>
      </c>
      <c r="J142" s="72">
        <v>150</v>
      </c>
      <c r="K142" s="73">
        <f t="shared" si="11"/>
        <v>150</v>
      </c>
      <c r="L142" s="73">
        <f t="shared" si="14"/>
        <v>150</v>
      </c>
      <c r="M142" s="73">
        <f t="shared" si="12"/>
        <v>0</v>
      </c>
      <c r="N142" s="29"/>
      <c r="AC142" t="str">
        <f t="shared" si="13"/>
        <v>Jul</v>
      </c>
    </row>
    <row r="143" spans="2:29" x14ac:dyDescent="0.3">
      <c r="B143" s="148">
        <v>45856</v>
      </c>
      <c r="C143" s="79">
        <f t="shared" si="10"/>
        <v>7</v>
      </c>
      <c r="D143" s="70" t="s">
        <v>87</v>
      </c>
      <c r="E143" s="71" t="s">
        <v>209</v>
      </c>
      <c r="F143" s="84" t="s">
        <v>204</v>
      </c>
      <c r="G143" s="71"/>
      <c r="H143" s="83" t="s">
        <v>484</v>
      </c>
      <c r="I143" s="72">
        <v>1</v>
      </c>
      <c r="J143" s="72">
        <v>270</v>
      </c>
      <c r="K143" s="73">
        <f t="shared" si="11"/>
        <v>270</v>
      </c>
      <c r="L143" s="73">
        <f t="shared" si="14"/>
        <v>270</v>
      </c>
      <c r="M143" s="73">
        <f t="shared" si="12"/>
        <v>0</v>
      </c>
      <c r="N143" s="29"/>
      <c r="AC143" t="str">
        <f t="shared" si="13"/>
        <v>Jul</v>
      </c>
    </row>
    <row r="144" spans="2:29" x14ac:dyDescent="0.3">
      <c r="B144" s="148">
        <v>45856</v>
      </c>
      <c r="C144" s="79">
        <f t="shared" si="10"/>
        <v>7</v>
      </c>
      <c r="D144" s="70" t="s">
        <v>50</v>
      </c>
      <c r="E144" s="71" t="s">
        <v>209</v>
      </c>
      <c r="F144" s="84" t="s">
        <v>0</v>
      </c>
      <c r="G144" s="71"/>
      <c r="H144" s="84" t="s">
        <v>480</v>
      </c>
      <c r="I144" s="72">
        <v>4</v>
      </c>
      <c r="J144" s="72">
        <v>1850</v>
      </c>
      <c r="K144" s="73">
        <f t="shared" si="11"/>
        <v>7400</v>
      </c>
      <c r="L144" s="73">
        <f t="shared" si="14"/>
        <v>7400</v>
      </c>
      <c r="M144" s="73">
        <f t="shared" si="12"/>
        <v>0</v>
      </c>
      <c r="N144" s="29"/>
      <c r="AC144" t="str">
        <f t="shared" si="13"/>
        <v>Jul</v>
      </c>
    </row>
    <row r="145" spans="2:29" x14ac:dyDescent="0.3">
      <c r="B145" s="148">
        <v>45856</v>
      </c>
      <c r="C145" s="79">
        <f t="shared" si="10"/>
        <v>7</v>
      </c>
      <c r="D145" s="70" t="s">
        <v>76</v>
      </c>
      <c r="E145" s="71" t="s">
        <v>209</v>
      </c>
      <c r="F145" s="84" t="s">
        <v>1</v>
      </c>
      <c r="G145" s="71"/>
      <c r="H145" s="84" t="s">
        <v>483</v>
      </c>
      <c r="I145" s="72">
        <v>1</v>
      </c>
      <c r="J145" s="72">
        <v>1600</v>
      </c>
      <c r="K145" s="73">
        <f t="shared" si="11"/>
        <v>1600</v>
      </c>
      <c r="L145" s="73">
        <f t="shared" si="14"/>
        <v>1600</v>
      </c>
      <c r="M145" s="73">
        <f t="shared" si="12"/>
        <v>0</v>
      </c>
      <c r="N145" s="29"/>
      <c r="AC145" t="str">
        <f t="shared" si="13"/>
        <v>Jul</v>
      </c>
    </row>
    <row r="146" spans="2:29" x14ac:dyDescent="0.3">
      <c r="B146" s="148">
        <v>45856</v>
      </c>
      <c r="C146" s="79">
        <f t="shared" si="10"/>
        <v>7</v>
      </c>
      <c r="D146" s="70" t="s">
        <v>76</v>
      </c>
      <c r="E146" s="71" t="s">
        <v>209</v>
      </c>
      <c r="F146" s="84" t="s">
        <v>1</v>
      </c>
      <c r="G146" s="71"/>
      <c r="H146" s="84" t="s">
        <v>483</v>
      </c>
      <c r="I146" s="72">
        <v>1</v>
      </c>
      <c r="J146" s="72">
        <v>1750</v>
      </c>
      <c r="K146" s="73">
        <f t="shared" si="11"/>
        <v>1750</v>
      </c>
      <c r="L146" s="73">
        <f t="shared" si="14"/>
        <v>1750</v>
      </c>
      <c r="M146" s="73">
        <f t="shared" si="12"/>
        <v>0</v>
      </c>
      <c r="N146" s="29"/>
      <c r="AC146" t="str">
        <f t="shared" si="13"/>
        <v>Jul</v>
      </c>
    </row>
    <row r="147" spans="2:29" x14ac:dyDescent="0.3">
      <c r="B147" s="148">
        <v>45857</v>
      </c>
      <c r="C147" s="79">
        <f t="shared" si="10"/>
        <v>7</v>
      </c>
      <c r="D147" s="70" t="s">
        <v>109</v>
      </c>
      <c r="E147" s="71" t="s">
        <v>209</v>
      </c>
      <c r="F147" s="84" t="s">
        <v>204</v>
      </c>
      <c r="G147" s="71"/>
      <c r="H147" s="83" t="s">
        <v>484</v>
      </c>
      <c r="I147" s="72">
        <v>1</v>
      </c>
      <c r="J147" s="72">
        <v>830</v>
      </c>
      <c r="K147" s="73">
        <f t="shared" si="11"/>
        <v>830</v>
      </c>
      <c r="L147" s="73">
        <f t="shared" si="14"/>
        <v>830</v>
      </c>
      <c r="M147" s="73">
        <f t="shared" si="12"/>
        <v>0</v>
      </c>
      <c r="N147" s="29"/>
      <c r="AC147" t="str">
        <f t="shared" si="13"/>
        <v>Jul</v>
      </c>
    </row>
    <row r="148" spans="2:29" x14ac:dyDescent="0.3">
      <c r="B148" s="148">
        <v>45857</v>
      </c>
      <c r="C148" s="79">
        <f t="shared" si="10"/>
        <v>7</v>
      </c>
      <c r="D148" s="70" t="s">
        <v>110</v>
      </c>
      <c r="E148" s="71" t="s">
        <v>209</v>
      </c>
      <c r="F148" s="84" t="s">
        <v>204</v>
      </c>
      <c r="G148" s="71"/>
      <c r="H148" s="83" t="s">
        <v>484</v>
      </c>
      <c r="I148" s="72">
        <v>1</v>
      </c>
      <c r="J148" s="72">
        <v>30</v>
      </c>
      <c r="K148" s="73">
        <f t="shared" si="11"/>
        <v>30</v>
      </c>
      <c r="L148" s="73">
        <f t="shared" si="14"/>
        <v>30</v>
      </c>
      <c r="M148" s="73">
        <f t="shared" si="12"/>
        <v>0</v>
      </c>
      <c r="N148" s="29"/>
      <c r="AC148" t="str">
        <f t="shared" si="13"/>
        <v>Jul</v>
      </c>
    </row>
    <row r="149" spans="2:29" x14ac:dyDescent="0.3">
      <c r="B149" s="148">
        <v>45857</v>
      </c>
      <c r="C149" s="79">
        <f t="shared" si="10"/>
        <v>7</v>
      </c>
      <c r="D149" s="70" t="s">
        <v>109</v>
      </c>
      <c r="E149" s="71" t="s">
        <v>209</v>
      </c>
      <c r="F149" s="84" t="s">
        <v>204</v>
      </c>
      <c r="G149" s="71"/>
      <c r="H149" s="83" t="s">
        <v>484</v>
      </c>
      <c r="I149" s="72">
        <v>1</v>
      </c>
      <c r="J149" s="72">
        <v>850</v>
      </c>
      <c r="K149" s="73">
        <f t="shared" si="11"/>
        <v>850</v>
      </c>
      <c r="L149" s="73">
        <f t="shared" si="14"/>
        <v>850</v>
      </c>
      <c r="M149" s="73">
        <f t="shared" si="12"/>
        <v>0</v>
      </c>
      <c r="N149" s="29"/>
      <c r="AC149" t="str">
        <f t="shared" si="13"/>
        <v>Jul</v>
      </c>
    </row>
    <row r="150" spans="2:29" x14ac:dyDescent="0.3">
      <c r="B150" s="148">
        <v>45857</v>
      </c>
      <c r="C150" s="79">
        <f t="shared" si="10"/>
        <v>7</v>
      </c>
      <c r="D150" s="70" t="s">
        <v>117</v>
      </c>
      <c r="E150" s="71" t="s">
        <v>209</v>
      </c>
      <c r="F150" s="84" t="s">
        <v>204</v>
      </c>
      <c r="G150" s="71"/>
      <c r="H150" s="83" t="s">
        <v>484</v>
      </c>
      <c r="I150" s="72">
        <v>1</v>
      </c>
      <c r="J150" s="72">
        <v>2000</v>
      </c>
      <c r="K150" s="73">
        <f t="shared" si="11"/>
        <v>2000</v>
      </c>
      <c r="L150" s="73">
        <f t="shared" si="14"/>
        <v>2000</v>
      </c>
      <c r="M150" s="73">
        <f t="shared" si="12"/>
        <v>0</v>
      </c>
      <c r="N150" s="29"/>
      <c r="AC150" t="str">
        <f t="shared" si="13"/>
        <v>Jul</v>
      </c>
    </row>
    <row r="151" spans="2:29" x14ac:dyDescent="0.3">
      <c r="B151" s="148">
        <v>45857</v>
      </c>
      <c r="C151" s="79">
        <f t="shared" si="10"/>
        <v>7</v>
      </c>
      <c r="D151" s="70" t="s">
        <v>111</v>
      </c>
      <c r="E151" s="71" t="s">
        <v>209</v>
      </c>
      <c r="F151" s="84" t="s">
        <v>204</v>
      </c>
      <c r="G151" s="71"/>
      <c r="H151" s="84" t="s">
        <v>482</v>
      </c>
      <c r="I151" s="72">
        <v>1</v>
      </c>
      <c r="J151" s="72">
        <v>300</v>
      </c>
      <c r="K151" s="73">
        <f t="shared" si="11"/>
        <v>300</v>
      </c>
      <c r="L151" s="73">
        <f t="shared" si="14"/>
        <v>300</v>
      </c>
      <c r="M151" s="73">
        <f t="shared" si="12"/>
        <v>0</v>
      </c>
      <c r="N151" s="29"/>
      <c r="AC151" t="str">
        <f t="shared" si="13"/>
        <v>Jul</v>
      </c>
    </row>
    <row r="152" spans="2:29" x14ac:dyDescent="0.3">
      <c r="B152" s="148">
        <v>45857</v>
      </c>
      <c r="C152" s="79">
        <f t="shared" si="10"/>
        <v>7</v>
      </c>
      <c r="D152" s="70" t="s">
        <v>112</v>
      </c>
      <c r="E152" s="71" t="s">
        <v>209</v>
      </c>
      <c r="F152" s="84" t="s">
        <v>204</v>
      </c>
      <c r="G152" s="71"/>
      <c r="H152" s="84" t="s">
        <v>482</v>
      </c>
      <c r="I152" s="72">
        <v>1</v>
      </c>
      <c r="J152" s="72">
        <v>1700</v>
      </c>
      <c r="K152" s="73">
        <f t="shared" si="11"/>
        <v>1700</v>
      </c>
      <c r="L152" s="73">
        <f t="shared" si="14"/>
        <v>1700</v>
      </c>
      <c r="M152" s="73">
        <f t="shared" si="12"/>
        <v>0</v>
      </c>
      <c r="N152" s="29"/>
      <c r="AC152" t="str">
        <f t="shared" si="13"/>
        <v>Jul</v>
      </c>
    </row>
    <row r="153" spans="2:29" x14ac:dyDescent="0.3">
      <c r="B153" s="148">
        <v>45857</v>
      </c>
      <c r="C153" s="79">
        <f t="shared" si="10"/>
        <v>7</v>
      </c>
      <c r="D153" s="70" t="s">
        <v>159</v>
      </c>
      <c r="E153" s="71" t="s">
        <v>209</v>
      </c>
      <c r="F153" s="84" t="s">
        <v>204</v>
      </c>
      <c r="G153" s="71"/>
      <c r="H153" s="84" t="s">
        <v>482</v>
      </c>
      <c r="I153" s="72">
        <v>1</v>
      </c>
      <c r="J153" s="72">
        <v>450</v>
      </c>
      <c r="K153" s="73">
        <f t="shared" si="11"/>
        <v>450</v>
      </c>
      <c r="L153" s="73">
        <f t="shared" si="14"/>
        <v>450</v>
      </c>
      <c r="M153" s="73">
        <f t="shared" si="12"/>
        <v>0</v>
      </c>
      <c r="N153" s="29"/>
      <c r="AC153" t="str">
        <f t="shared" si="13"/>
        <v>Jul</v>
      </c>
    </row>
    <row r="154" spans="2:29" x14ac:dyDescent="0.3">
      <c r="B154" s="148">
        <v>45857</v>
      </c>
      <c r="C154" s="79">
        <f t="shared" si="10"/>
        <v>7</v>
      </c>
      <c r="D154" s="70" t="s">
        <v>100</v>
      </c>
      <c r="E154" s="71" t="s">
        <v>209</v>
      </c>
      <c r="F154" s="84" t="s">
        <v>204</v>
      </c>
      <c r="G154" s="71"/>
      <c r="H154" s="84" t="s">
        <v>482</v>
      </c>
      <c r="I154" s="72">
        <v>1</v>
      </c>
      <c r="J154" s="72">
        <v>700</v>
      </c>
      <c r="K154" s="73">
        <f t="shared" si="11"/>
        <v>700</v>
      </c>
      <c r="L154" s="73">
        <f t="shared" si="14"/>
        <v>700</v>
      </c>
      <c r="M154" s="73">
        <f t="shared" si="12"/>
        <v>0</v>
      </c>
      <c r="N154" s="29"/>
      <c r="AC154" t="str">
        <f t="shared" si="13"/>
        <v>Jul</v>
      </c>
    </row>
    <row r="155" spans="2:29" x14ac:dyDescent="0.3">
      <c r="B155" s="148">
        <v>45857</v>
      </c>
      <c r="C155" s="79">
        <f t="shared" si="10"/>
        <v>7</v>
      </c>
      <c r="D155" s="70" t="s">
        <v>24</v>
      </c>
      <c r="E155" s="71" t="s">
        <v>209</v>
      </c>
      <c r="F155" s="84" t="s">
        <v>204</v>
      </c>
      <c r="G155" s="71"/>
      <c r="H155" s="84" t="s">
        <v>477</v>
      </c>
      <c r="I155" s="72">
        <v>1</v>
      </c>
      <c r="J155" s="72">
        <v>150</v>
      </c>
      <c r="K155" s="73">
        <f t="shared" si="11"/>
        <v>150</v>
      </c>
      <c r="L155" s="73">
        <f t="shared" si="14"/>
        <v>150</v>
      </c>
      <c r="M155" s="73">
        <f t="shared" si="12"/>
        <v>0</v>
      </c>
      <c r="N155" s="29"/>
      <c r="AC155" t="str">
        <f t="shared" si="13"/>
        <v>Jul</v>
      </c>
    </row>
    <row r="156" spans="2:29" x14ac:dyDescent="0.3">
      <c r="B156" s="148">
        <v>45857</v>
      </c>
      <c r="C156" s="79">
        <f t="shared" si="10"/>
        <v>7</v>
      </c>
      <c r="D156" s="70" t="s">
        <v>116</v>
      </c>
      <c r="E156" s="71" t="s">
        <v>209</v>
      </c>
      <c r="F156" s="84" t="s">
        <v>204</v>
      </c>
      <c r="G156" s="71"/>
      <c r="H156" s="84" t="s">
        <v>482</v>
      </c>
      <c r="I156" s="72">
        <v>2</v>
      </c>
      <c r="J156" s="72">
        <v>2500</v>
      </c>
      <c r="K156" s="73">
        <f t="shared" si="11"/>
        <v>5000</v>
      </c>
      <c r="L156" s="73">
        <f t="shared" si="14"/>
        <v>5000</v>
      </c>
      <c r="M156" s="73">
        <f t="shared" si="12"/>
        <v>0</v>
      </c>
      <c r="N156" s="29"/>
      <c r="AC156" t="str">
        <f t="shared" si="13"/>
        <v>Jul</v>
      </c>
    </row>
    <row r="157" spans="2:29" x14ac:dyDescent="0.3">
      <c r="B157" s="148">
        <v>45857</v>
      </c>
      <c r="C157" s="79">
        <f t="shared" si="10"/>
        <v>7</v>
      </c>
      <c r="D157" s="70" t="s">
        <v>131</v>
      </c>
      <c r="E157" s="71" t="s">
        <v>209</v>
      </c>
      <c r="F157" s="84" t="s">
        <v>204</v>
      </c>
      <c r="G157" s="71"/>
      <c r="H157" s="84" t="s">
        <v>482</v>
      </c>
      <c r="I157" s="72">
        <v>1</v>
      </c>
      <c r="J157" s="72">
        <v>2500</v>
      </c>
      <c r="K157" s="73">
        <f t="shared" si="11"/>
        <v>2500</v>
      </c>
      <c r="L157" s="73">
        <f t="shared" si="14"/>
        <v>2500</v>
      </c>
      <c r="M157" s="73">
        <f t="shared" si="12"/>
        <v>0</v>
      </c>
      <c r="N157" s="29"/>
      <c r="AC157" t="str">
        <f t="shared" si="13"/>
        <v>Jul</v>
      </c>
    </row>
    <row r="158" spans="2:29" x14ac:dyDescent="0.3">
      <c r="B158" s="148">
        <v>45857</v>
      </c>
      <c r="C158" s="79">
        <f t="shared" si="10"/>
        <v>7</v>
      </c>
      <c r="D158" s="70" t="s">
        <v>132</v>
      </c>
      <c r="E158" s="71" t="s">
        <v>209</v>
      </c>
      <c r="F158" s="84" t="s">
        <v>204</v>
      </c>
      <c r="G158" s="71"/>
      <c r="H158" s="84" t="s">
        <v>482</v>
      </c>
      <c r="I158" s="72">
        <v>1</v>
      </c>
      <c r="J158" s="72">
        <v>2690</v>
      </c>
      <c r="K158" s="73">
        <f t="shared" si="11"/>
        <v>2690</v>
      </c>
      <c r="L158" s="73">
        <f t="shared" si="14"/>
        <v>2690</v>
      </c>
      <c r="M158" s="73">
        <f t="shared" si="12"/>
        <v>0</v>
      </c>
      <c r="N158" s="29"/>
      <c r="AC158" t="str">
        <f t="shared" si="13"/>
        <v>Jul</v>
      </c>
    </row>
    <row r="159" spans="2:29" x14ac:dyDescent="0.3">
      <c r="B159" s="148">
        <v>45857</v>
      </c>
      <c r="C159" s="79">
        <f t="shared" si="10"/>
        <v>7</v>
      </c>
      <c r="D159" s="70" t="s">
        <v>117</v>
      </c>
      <c r="E159" s="71" t="s">
        <v>209</v>
      </c>
      <c r="F159" s="84" t="s">
        <v>204</v>
      </c>
      <c r="G159" s="71"/>
      <c r="H159" s="84" t="s">
        <v>479</v>
      </c>
      <c r="I159" s="72">
        <v>1</v>
      </c>
      <c r="J159" s="72">
        <v>4690</v>
      </c>
      <c r="K159" s="73">
        <f t="shared" si="11"/>
        <v>4690</v>
      </c>
      <c r="L159" s="73">
        <f t="shared" si="14"/>
        <v>4690</v>
      </c>
      <c r="M159" s="73">
        <f t="shared" si="12"/>
        <v>0</v>
      </c>
      <c r="N159" s="29"/>
      <c r="AC159" t="str">
        <f t="shared" si="13"/>
        <v>Jul</v>
      </c>
    </row>
    <row r="160" spans="2:29" x14ac:dyDescent="0.3">
      <c r="B160" s="148">
        <v>45857</v>
      </c>
      <c r="C160" s="79">
        <f t="shared" si="10"/>
        <v>7</v>
      </c>
      <c r="D160" s="70" t="s">
        <v>94</v>
      </c>
      <c r="E160" s="71" t="s">
        <v>209</v>
      </c>
      <c r="F160" s="84" t="s">
        <v>204</v>
      </c>
      <c r="G160" s="71"/>
      <c r="H160" s="84" t="s">
        <v>479</v>
      </c>
      <c r="I160" s="72">
        <v>5</v>
      </c>
      <c r="J160" s="72">
        <v>175</v>
      </c>
      <c r="K160" s="73">
        <f t="shared" si="11"/>
        <v>875</v>
      </c>
      <c r="L160" s="73">
        <f t="shared" si="14"/>
        <v>875</v>
      </c>
      <c r="M160" s="73">
        <f t="shared" si="12"/>
        <v>0</v>
      </c>
      <c r="N160" s="29"/>
      <c r="AC160" t="str">
        <f t="shared" si="13"/>
        <v>Jul</v>
      </c>
    </row>
    <row r="161" spans="2:29" x14ac:dyDescent="0.3">
      <c r="B161" s="148">
        <v>45857</v>
      </c>
      <c r="C161" s="79">
        <f t="shared" si="10"/>
        <v>7</v>
      </c>
      <c r="D161" s="70" t="s">
        <v>87</v>
      </c>
      <c r="E161" s="71" t="s">
        <v>209</v>
      </c>
      <c r="F161" s="84" t="s">
        <v>204</v>
      </c>
      <c r="G161" s="71"/>
      <c r="H161" s="84" t="s">
        <v>481</v>
      </c>
      <c r="I161" s="72">
        <v>1</v>
      </c>
      <c r="J161" s="72">
        <v>250</v>
      </c>
      <c r="K161" s="73">
        <f t="shared" si="11"/>
        <v>250</v>
      </c>
      <c r="L161" s="73">
        <f t="shared" si="14"/>
        <v>250</v>
      </c>
      <c r="M161" s="73">
        <f t="shared" si="12"/>
        <v>0</v>
      </c>
      <c r="N161" s="29"/>
      <c r="AC161" t="str">
        <f t="shared" si="13"/>
        <v>Jul</v>
      </c>
    </row>
    <row r="162" spans="2:29" x14ac:dyDescent="0.3">
      <c r="B162" s="148">
        <v>45857</v>
      </c>
      <c r="C162" s="79">
        <f t="shared" si="10"/>
        <v>7</v>
      </c>
      <c r="D162" s="70" t="s">
        <v>79</v>
      </c>
      <c r="E162" s="71" t="s">
        <v>209</v>
      </c>
      <c r="F162" s="84" t="s">
        <v>204</v>
      </c>
      <c r="G162" s="71"/>
      <c r="H162" s="84" t="s">
        <v>474</v>
      </c>
      <c r="I162" s="72">
        <v>1</v>
      </c>
      <c r="J162" s="72">
        <v>620</v>
      </c>
      <c r="K162" s="73">
        <f t="shared" si="11"/>
        <v>620</v>
      </c>
      <c r="L162" s="73">
        <f t="shared" si="14"/>
        <v>620</v>
      </c>
      <c r="M162" s="73">
        <f t="shared" si="12"/>
        <v>0</v>
      </c>
      <c r="N162" s="29"/>
      <c r="AC162" t="str">
        <f t="shared" si="13"/>
        <v>Jul</v>
      </c>
    </row>
    <row r="163" spans="2:29" x14ac:dyDescent="0.3">
      <c r="B163" s="148">
        <v>45857</v>
      </c>
      <c r="C163" s="79">
        <f t="shared" si="10"/>
        <v>7</v>
      </c>
      <c r="D163" s="70" t="s">
        <v>118</v>
      </c>
      <c r="E163" s="71" t="s">
        <v>209</v>
      </c>
      <c r="F163" s="84" t="s">
        <v>204</v>
      </c>
      <c r="G163" s="71"/>
      <c r="H163" s="84" t="s">
        <v>474</v>
      </c>
      <c r="I163" s="72">
        <v>1</v>
      </c>
      <c r="J163" s="72">
        <v>250</v>
      </c>
      <c r="K163" s="73">
        <f t="shared" si="11"/>
        <v>250</v>
      </c>
      <c r="L163" s="73">
        <f t="shared" si="14"/>
        <v>250</v>
      </c>
      <c r="M163" s="73">
        <f t="shared" si="12"/>
        <v>0</v>
      </c>
      <c r="N163" s="29"/>
      <c r="AC163" t="str">
        <f t="shared" si="13"/>
        <v>Jul</v>
      </c>
    </row>
    <row r="164" spans="2:29" x14ac:dyDescent="0.3">
      <c r="B164" s="148">
        <v>45857</v>
      </c>
      <c r="C164" s="79">
        <f t="shared" si="10"/>
        <v>7</v>
      </c>
      <c r="D164" s="70" t="s">
        <v>120</v>
      </c>
      <c r="E164" s="71" t="s">
        <v>209</v>
      </c>
      <c r="F164" s="84" t="s">
        <v>1</v>
      </c>
      <c r="G164" s="71"/>
      <c r="H164" s="84" t="s">
        <v>478</v>
      </c>
      <c r="I164" s="72">
        <v>1</v>
      </c>
      <c r="J164" s="72">
        <v>2500</v>
      </c>
      <c r="K164" s="73">
        <f t="shared" si="11"/>
        <v>2500</v>
      </c>
      <c r="L164" s="73">
        <f t="shared" si="14"/>
        <v>2500</v>
      </c>
      <c r="M164" s="73">
        <f t="shared" si="12"/>
        <v>0</v>
      </c>
      <c r="N164" s="29"/>
      <c r="AC164" t="str">
        <f t="shared" si="13"/>
        <v>Jul</v>
      </c>
    </row>
    <row r="165" spans="2:29" x14ac:dyDescent="0.3">
      <c r="B165" s="148">
        <v>45858</v>
      </c>
      <c r="C165" s="79">
        <f t="shared" si="10"/>
        <v>7</v>
      </c>
      <c r="D165" s="70" t="s">
        <v>76</v>
      </c>
      <c r="E165" s="71" t="s">
        <v>209</v>
      </c>
      <c r="F165" s="84" t="s">
        <v>1</v>
      </c>
      <c r="G165" s="71"/>
      <c r="H165" s="83" t="s">
        <v>484</v>
      </c>
      <c r="I165" s="72">
        <v>1</v>
      </c>
      <c r="J165" s="72">
        <v>1650</v>
      </c>
      <c r="K165" s="73">
        <f t="shared" si="11"/>
        <v>1650</v>
      </c>
      <c r="L165" s="73">
        <f t="shared" si="14"/>
        <v>1650</v>
      </c>
      <c r="M165" s="73">
        <f t="shared" si="12"/>
        <v>0</v>
      </c>
      <c r="N165" s="29"/>
      <c r="AC165" t="str">
        <f t="shared" si="13"/>
        <v>Jul</v>
      </c>
    </row>
    <row r="166" spans="2:29" x14ac:dyDescent="0.3">
      <c r="B166" s="148">
        <v>45858</v>
      </c>
      <c r="C166" s="79">
        <f t="shared" si="10"/>
        <v>7</v>
      </c>
      <c r="D166" s="70" t="s">
        <v>103</v>
      </c>
      <c r="E166" s="71" t="s">
        <v>209</v>
      </c>
      <c r="F166" s="84" t="s">
        <v>204</v>
      </c>
      <c r="G166" s="71"/>
      <c r="H166" s="84" t="s">
        <v>483</v>
      </c>
      <c r="I166" s="72">
        <v>1</v>
      </c>
      <c r="J166" s="72">
        <v>150</v>
      </c>
      <c r="K166" s="73">
        <f t="shared" si="11"/>
        <v>150</v>
      </c>
      <c r="L166" s="73">
        <f t="shared" si="14"/>
        <v>150</v>
      </c>
      <c r="M166" s="73">
        <f t="shared" si="12"/>
        <v>0</v>
      </c>
      <c r="N166" s="29"/>
      <c r="AC166" t="str">
        <f t="shared" si="13"/>
        <v>Jul</v>
      </c>
    </row>
    <row r="167" spans="2:29" x14ac:dyDescent="0.3">
      <c r="B167" s="148">
        <v>45858</v>
      </c>
      <c r="C167" s="79">
        <f t="shared" si="10"/>
        <v>7</v>
      </c>
      <c r="D167" s="70" t="s">
        <v>43</v>
      </c>
      <c r="E167" s="71" t="s">
        <v>209</v>
      </c>
      <c r="F167" s="84" t="s">
        <v>204</v>
      </c>
      <c r="G167" s="71"/>
      <c r="H167" s="83" t="s">
        <v>484</v>
      </c>
      <c r="I167" s="72">
        <v>1</v>
      </c>
      <c r="J167" s="72">
        <v>220</v>
      </c>
      <c r="K167" s="73">
        <f t="shared" si="11"/>
        <v>220</v>
      </c>
      <c r="L167" s="73">
        <f t="shared" si="14"/>
        <v>220</v>
      </c>
      <c r="M167" s="73">
        <f t="shared" si="12"/>
        <v>0</v>
      </c>
      <c r="N167" s="29"/>
      <c r="AC167" t="str">
        <f t="shared" si="13"/>
        <v>Jul</v>
      </c>
    </row>
    <row r="168" spans="2:29" x14ac:dyDescent="0.3">
      <c r="B168" s="148">
        <v>45858</v>
      </c>
      <c r="C168" s="79">
        <f t="shared" si="10"/>
        <v>7</v>
      </c>
      <c r="D168" s="70" t="s">
        <v>25</v>
      </c>
      <c r="E168" s="71" t="s">
        <v>209</v>
      </c>
      <c r="F168" s="84" t="s">
        <v>204</v>
      </c>
      <c r="G168" s="71"/>
      <c r="H168" s="84" t="s">
        <v>487</v>
      </c>
      <c r="I168" s="72">
        <v>1</v>
      </c>
      <c r="J168" s="72">
        <v>350</v>
      </c>
      <c r="K168" s="73">
        <f t="shared" si="11"/>
        <v>350</v>
      </c>
      <c r="L168" s="73">
        <f t="shared" si="14"/>
        <v>350</v>
      </c>
      <c r="M168" s="73">
        <f t="shared" si="12"/>
        <v>0</v>
      </c>
      <c r="N168" s="29"/>
      <c r="AC168" t="str">
        <f t="shared" si="13"/>
        <v>Jul</v>
      </c>
    </row>
    <row r="169" spans="2:29" x14ac:dyDescent="0.3">
      <c r="B169" s="148">
        <v>45858</v>
      </c>
      <c r="C169" s="79">
        <f t="shared" si="10"/>
        <v>7</v>
      </c>
      <c r="D169" s="70" t="s">
        <v>63</v>
      </c>
      <c r="E169" s="71" t="s">
        <v>209</v>
      </c>
      <c r="F169" s="84" t="s">
        <v>204</v>
      </c>
      <c r="G169" s="71"/>
      <c r="H169" s="84" t="s">
        <v>486</v>
      </c>
      <c r="I169" s="72">
        <v>4</v>
      </c>
      <c r="J169" s="72">
        <v>60</v>
      </c>
      <c r="K169" s="73">
        <f t="shared" si="11"/>
        <v>240</v>
      </c>
      <c r="L169" s="73">
        <f t="shared" si="14"/>
        <v>240</v>
      </c>
      <c r="M169" s="73">
        <f t="shared" si="12"/>
        <v>0</v>
      </c>
      <c r="N169" s="29"/>
      <c r="AC169" t="str">
        <f t="shared" si="13"/>
        <v>Jul</v>
      </c>
    </row>
    <row r="170" spans="2:29" x14ac:dyDescent="0.3">
      <c r="B170" s="148">
        <v>45858</v>
      </c>
      <c r="C170" s="79">
        <f t="shared" si="10"/>
        <v>7</v>
      </c>
      <c r="D170" s="70" t="s">
        <v>68</v>
      </c>
      <c r="E170" s="71" t="s">
        <v>209</v>
      </c>
      <c r="F170" s="84" t="s">
        <v>204</v>
      </c>
      <c r="G170" s="71"/>
      <c r="H170" s="83" t="s">
        <v>484</v>
      </c>
      <c r="I170" s="72">
        <v>1</v>
      </c>
      <c r="J170" s="72">
        <v>100</v>
      </c>
      <c r="K170" s="73">
        <f t="shared" si="11"/>
        <v>100</v>
      </c>
      <c r="L170" s="73">
        <f t="shared" si="14"/>
        <v>100</v>
      </c>
      <c r="M170" s="73">
        <f t="shared" si="12"/>
        <v>0</v>
      </c>
      <c r="N170" s="29"/>
      <c r="AC170" t="str">
        <f t="shared" si="13"/>
        <v>Jul</v>
      </c>
    </row>
    <row r="171" spans="2:29" x14ac:dyDescent="0.3">
      <c r="B171" s="148">
        <v>45858</v>
      </c>
      <c r="C171" s="79">
        <f t="shared" si="10"/>
        <v>7</v>
      </c>
      <c r="D171" s="70" t="s">
        <v>103</v>
      </c>
      <c r="E171" s="71" t="s">
        <v>209</v>
      </c>
      <c r="F171" s="84" t="s">
        <v>204</v>
      </c>
      <c r="G171" s="71"/>
      <c r="H171" s="84" t="s">
        <v>488</v>
      </c>
      <c r="I171" s="72">
        <v>1</v>
      </c>
      <c r="J171" s="72">
        <v>150</v>
      </c>
      <c r="K171" s="73">
        <f t="shared" si="11"/>
        <v>150</v>
      </c>
      <c r="L171" s="73">
        <f t="shared" si="14"/>
        <v>150</v>
      </c>
      <c r="M171" s="73">
        <f t="shared" si="12"/>
        <v>0</v>
      </c>
      <c r="N171" s="29"/>
      <c r="AC171" t="str">
        <f t="shared" si="13"/>
        <v>Jul</v>
      </c>
    </row>
    <row r="172" spans="2:29" x14ac:dyDescent="0.3">
      <c r="B172" s="148">
        <v>45858</v>
      </c>
      <c r="C172" s="79">
        <f t="shared" si="10"/>
        <v>7</v>
      </c>
      <c r="D172" s="70" t="s">
        <v>122</v>
      </c>
      <c r="E172" s="71" t="s">
        <v>209</v>
      </c>
      <c r="F172" s="84" t="s">
        <v>204</v>
      </c>
      <c r="G172" s="71"/>
      <c r="H172" s="84" t="s">
        <v>487</v>
      </c>
      <c r="I172" s="72">
        <v>1</v>
      </c>
      <c r="J172" s="72">
        <v>220</v>
      </c>
      <c r="K172" s="73">
        <f t="shared" si="11"/>
        <v>220</v>
      </c>
      <c r="L172" s="73">
        <f t="shared" si="14"/>
        <v>220</v>
      </c>
      <c r="M172" s="73">
        <f t="shared" si="12"/>
        <v>0</v>
      </c>
      <c r="N172" s="29"/>
      <c r="AC172" t="str">
        <f t="shared" si="13"/>
        <v>Jul</v>
      </c>
    </row>
    <row r="173" spans="2:29" x14ac:dyDescent="0.3">
      <c r="B173" s="148">
        <v>45858</v>
      </c>
      <c r="C173" s="79">
        <f t="shared" si="10"/>
        <v>7</v>
      </c>
      <c r="D173" s="70" t="s">
        <v>11</v>
      </c>
      <c r="E173" s="71" t="s">
        <v>209</v>
      </c>
      <c r="F173" s="84" t="s">
        <v>204</v>
      </c>
      <c r="G173" s="71"/>
      <c r="H173" s="84" t="s">
        <v>487</v>
      </c>
      <c r="I173" s="72">
        <v>1</v>
      </c>
      <c r="J173" s="72">
        <v>300</v>
      </c>
      <c r="K173" s="73">
        <f t="shared" si="11"/>
        <v>300</v>
      </c>
      <c r="L173" s="73">
        <f t="shared" si="14"/>
        <v>300</v>
      </c>
      <c r="M173" s="73">
        <f t="shared" si="12"/>
        <v>0</v>
      </c>
      <c r="N173" s="29"/>
      <c r="AC173" t="str">
        <f t="shared" si="13"/>
        <v>Jul</v>
      </c>
    </row>
    <row r="174" spans="2:29" x14ac:dyDescent="0.3">
      <c r="B174" s="148">
        <v>45858</v>
      </c>
      <c r="C174" s="79">
        <f t="shared" si="10"/>
        <v>7</v>
      </c>
      <c r="D174" s="70" t="s">
        <v>63</v>
      </c>
      <c r="E174" s="71" t="s">
        <v>209</v>
      </c>
      <c r="F174" s="84" t="s">
        <v>204</v>
      </c>
      <c r="G174" s="71"/>
      <c r="H174" s="83" t="s">
        <v>484</v>
      </c>
      <c r="I174" s="72">
        <v>1</v>
      </c>
      <c r="J174" s="72">
        <v>60</v>
      </c>
      <c r="K174" s="73">
        <f t="shared" si="11"/>
        <v>60</v>
      </c>
      <c r="L174" s="73">
        <f t="shared" si="14"/>
        <v>60</v>
      </c>
      <c r="M174" s="73">
        <f t="shared" si="12"/>
        <v>0</v>
      </c>
      <c r="N174" s="29"/>
      <c r="AC174" t="str">
        <f t="shared" si="13"/>
        <v>Jul</v>
      </c>
    </row>
    <row r="175" spans="2:29" x14ac:dyDescent="0.3">
      <c r="B175" s="148">
        <v>45858</v>
      </c>
      <c r="C175" s="79">
        <f t="shared" si="10"/>
        <v>7</v>
      </c>
      <c r="D175" s="70" t="s">
        <v>75</v>
      </c>
      <c r="E175" s="71" t="s">
        <v>209</v>
      </c>
      <c r="F175" s="84" t="s">
        <v>204</v>
      </c>
      <c r="G175" s="71"/>
      <c r="H175" s="83" t="s">
        <v>484</v>
      </c>
      <c r="I175" s="72">
        <v>1</v>
      </c>
      <c r="J175" s="72">
        <v>30</v>
      </c>
      <c r="K175" s="73">
        <f t="shared" si="11"/>
        <v>30</v>
      </c>
      <c r="L175" s="73">
        <f t="shared" si="14"/>
        <v>30</v>
      </c>
      <c r="M175" s="73">
        <f t="shared" si="12"/>
        <v>0</v>
      </c>
      <c r="N175" s="29"/>
      <c r="AC175" t="str">
        <f t="shared" si="13"/>
        <v>Jul</v>
      </c>
    </row>
    <row r="176" spans="2:29" x14ac:dyDescent="0.3">
      <c r="B176" s="148">
        <v>45858</v>
      </c>
      <c r="C176" s="79">
        <f t="shared" si="10"/>
        <v>7</v>
      </c>
      <c r="D176" s="70" t="s">
        <v>123</v>
      </c>
      <c r="E176" s="71" t="s">
        <v>209</v>
      </c>
      <c r="F176" s="84" t="s">
        <v>204</v>
      </c>
      <c r="G176" s="71"/>
      <c r="H176" s="83" t="s">
        <v>484</v>
      </c>
      <c r="I176" s="72">
        <v>1</v>
      </c>
      <c r="J176" s="72">
        <v>70</v>
      </c>
      <c r="K176" s="73">
        <f t="shared" si="11"/>
        <v>70</v>
      </c>
      <c r="L176" s="73">
        <f t="shared" si="14"/>
        <v>70</v>
      </c>
      <c r="M176" s="73">
        <f t="shared" si="12"/>
        <v>0</v>
      </c>
      <c r="N176" s="29"/>
      <c r="AC176" t="str">
        <f t="shared" si="13"/>
        <v>Jul</v>
      </c>
    </row>
    <row r="177" spans="2:29" x14ac:dyDescent="0.3">
      <c r="B177" s="148">
        <v>45858</v>
      </c>
      <c r="C177" s="79">
        <f t="shared" si="10"/>
        <v>7</v>
      </c>
      <c r="D177" s="70" t="s">
        <v>124</v>
      </c>
      <c r="E177" s="71" t="s">
        <v>209</v>
      </c>
      <c r="F177" s="84" t="s">
        <v>204</v>
      </c>
      <c r="G177" s="71"/>
      <c r="H177" s="84" t="s">
        <v>477</v>
      </c>
      <c r="I177" s="72">
        <v>1</v>
      </c>
      <c r="J177" s="72">
        <v>800</v>
      </c>
      <c r="K177" s="73">
        <f t="shared" si="11"/>
        <v>800</v>
      </c>
      <c r="L177" s="73">
        <f t="shared" si="14"/>
        <v>800</v>
      </c>
      <c r="M177" s="73">
        <f t="shared" si="12"/>
        <v>0</v>
      </c>
      <c r="N177" s="29"/>
      <c r="AC177" t="str">
        <f t="shared" si="13"/>
        <v>Jul</v>
      </c>
    </row>
    <row r="178" spans="2:29" x14ac:dyDescent="0.3">
      <c r="B178" s="148">
        <v>45858</v>
      </c>
      <c r="C178" s="79">
        <f t="shared" si="10"/>
        <v>7</v>
      </c>
      <c r="D178" s="70" t="s">
        <v>125</v>
      </c>
      <c r="E178" s="71" t="s">
        <v>209</v>
      </c>
      <c r="F178" s="84" t="s">
        <v>204</v>
      </c>
      <c r="G178" s="71"/>
      <c r="H178" s="84" t="s">
        <v>477</v>
      </c>
      <c r="I178" s="72">
        <v>1</v>
      </c>
      <c r="J178" s="72">
        <v>100</v>
      </c>
      <c r="K178" s="73">
        <f t="shared" si="11"/>
        <v>100</v>
      </c>
      <c r="L178" s="73">
        <f t="shared" si="14"/>
        <v>100</v>
      </c>
      <c r="M178" s="73">
        <f t="shared" si="12"/>
        <v>0</v>
      </c>
      <c r="N178" s="29"/>
      <c r="AC178" t="str">
        <f t="shared" si="13"/>
        <v>Jul</v>
      </c>
    </row>
    <row r="179" spans="2:29" x14ac:dyDescent="0.3">
      <c r="B179" s="148">
        <v>45858</v>
      </c>
      <c r="C179" s="79">
        <f t="shared" si="10"/>
        <v>7</v>
      </c>
      <c r="D179" s="70" t="s">
        <v>127</v>
      </c>
      <c r="E179" s="71" t="s">
        <v>209</v>
      </c>
      <c r="F179" s="84" t="s">
        <v>204</v>
      </c>
      <c r="G179" s="71"/>
      <c r="H179" s="83" t="s">
        <v>484</v>
      </c>
      <c r="I179" s="72">
        <v>1</v>
      </c>
      <c r="J179" s="72">
        <v>100</v>
      </c>
      <c r="K179" s="73">
        <f t="shared" si="11"/>
        <v>100</v>
      </c>
      <c r="L179" s="73">
        <f t="shared" si="14"/>
        <v>100</v>
      </c>
      <c r="M179" s="73">
        <f t="shared" si="12"/>
        <v>0</v>
      </c>
      <c r="N179" s="29"/>
      <c r="AC179" t="str">
        <f t="shared" si="13"/>
        <v>Jul</v>
      </c>
    </row>
    <row r="180" spans="2:29" x14ac:dyDescent="0.3">
      <c r="B180" s="148">
        <v>45858</v>
      </c>
      <c r="C180" s="79">
        <f t="shared" si="10"/>
        <v>7</v>
      </c>
      <c r="D180" s="70" t="s">
        <v>121</v>
      </c>
      <c r="E180" s="71" t="s">
        <v>209</v>
      </c>
      <c r="F180" s="84" t="s">
        <v>204</v>
      </c>
      <c r="G180" s="71"/>
      <c r="H180" s="83" t="s">
        <v>484</v>
      </c>
      <c r="I180" s="72">
        <v>1</v>
      </c>
      <c r="J180" s="72">
        <v>50</v>
      </c>
      <c r="K180" s="73">
        <f t="shared" si="11"/>
        <v>50</v>
      </c>
      <c r="L180" s="73">
        <f t="shared" si="14"/>
        <v>50</v>
      </c>
      <c r="M180" s="73">
        <f t="shared" si="12"/>
        <v>0</v>
      </c>
      <c r="N180" s="29"/>
      <c r="AC180" t="str">
        <f t="shared" si="13"/>
        <v>Jul</v>
      </c>
    </row>
    <row r="181" spans="2:29" x14ac:dyDescent="0.3">
      <c r="B181" s="148">
        <v>45858</v>
      </c>
      <c r="C181" s="79">
        <f t="shared" si="10"/>
        <v>7</v>
      </c>
      <c r="D181" s="70" t="s">
        <v>126</v>
      </c>
      <c r="E181" s="71" t="s">
        <v>209</v>
      </c>
      <c r="F181" s="84" t="s">
        <v>204</v>
      </c>
      <c r="G181" s="71"/>
      <c r="H181" s="83" t="s">
        <v>484</v>
      </c>
      <c r="I181" s="72">
        <v>1</v>
      </c>
      <c r="J181" s="72">
        <v>320</v>
      </c>
      <c r="K181" s="73">
        <f t="shared" si="11"/>
        <v>320</v>
      </c>
      <c r="L181" s="73">
        <f t="shared" si="14"/>
        <v>320</v>
      </c>
      <c r="M181" s="73">
        <f t="shared" si="12"/>
        <v>0</v>
      </c>
      <c r="N181" s="29"/>
      <c r="AC181" t="str">
        <f t="shared" si="13"/>
        <v>Jul</v>
      </c>
    </row>
    <row r="182" spans="2:29" x14ac:dyDescent="0.3">
      <c r="B182" s="148">
        <v>45858</v>
      </c>
      <c r="C182" s="79">
        <f t="shared" si="10"/>
        <v>7</v>
      </c>
      <c r="D182" s="70" t="s">
        <v>75</v>
      </c>
      <c r="E182" s="71" t="s">
        <v>209</v>
      </c>
      <c r="F182" s="84" t="s">
        <v>204</v>
      </c>
      <c r="G182" s="71"/>
      <c r="H182" s="83" t="s">
        <v>484</v>
      </c>
      <c r="I182" s="72">
        <v>1</v>
      </c>
      <c r="J182" s="72">
        <v>30</v>
      </c>
      <c r="K182" s="73">
        <f t="shared" si="11"/>
        <v>30</v>
      </c>
      <c r="L182" s="73">
        <f t="shared" si="14"/>
        <v>30</v>
      </c>
      <c r="M182" s="73">
        <f t="shared" si="12"/>
        <v>0</v>
      </c>
      <c r="N182" s="29"/>
      <c r="AC182" t="str">
        <f t="shared" si="13"/>
        <v>Jul</v>
      </c>
    </row>
    <row r="183" spans="2:29" x14ac:dyDescent="0.3">
      <c r="B183" s="148">
        <v>45859</v>
      </c>
      <c r="C183" s="79">
        <f t="shared" si="10"/>
        <v>7</v>
      </c>
      <c r="D183" s="70" t="s">
        <v>110</v>
      </c>
      <c r="E183" s="71" t="s">
        <v>209</v>
      </c>
      <c r="F183" s="84" t="s">
        <v>204</v>
      </c>
      <c r="G183" s="71"/>
      <c r="H183" s="83" t="s">
        <v>484</v>
      </c>
      <c r="I183" s="72">
        <v>2</v>
      </c>
      <c r="J183" s="72">
        <v>25</v>
      </c>
      <c r="K183" s="73">
        <f t="shared" si="11"/>
        <v>50</v>
      </c>
      <c r="L183" s="73">
        <f t="shared" si="14"/>
        <v>50</v>
      </c>
      <c r="M183" s="73">
        <f t="shared" si="12"/>
        <v>0</v>
      </c>
      <c r="N183" s="29"/>
      <c r="AC183" t="str">
        <f t="shared" si="13"/>
        <v>Jul</v>
      </c>
    </row>
    <row r="184" spans="2:29" x14ac:dyDescent="0.3">
      <c r="B184" s="148">
        <v>45859</v>
      </c>
      <c r="C184" s="79">
        <f t="shared" si="10"/>
        <v>7</v>
      </c>
      <c r="D184" s="70" t="s">
        <v>140</v>
      </c>
      <c r="E184" s="71" t="s">
        <v>209</v>
      </c>
      <c r="F184" s="84" t="s">
        <v>204</v>
      </c>
      <c r="G184" s="71"/>
      <c r="H184" s="83" t="s">
        <v>484</v>
      </c>
      <c r="I184" s="72">
        <v>1</v>
      </c>
      <c r="J184" s="72">
        <v>125</v>
      </c>
      <c r="K184" s="73">
        <f t="shared" si="11"/>
        <v>125</v>
      </c>
      <c r="L184" s="73">
        <f t="shared" si="14"/>
        <v>125</v>
      </c>
      <c r="M184" s="73">
        <f t="shared" si="12"/>
        <v>0</v>
      </c>
      <c r="N184" s="29"/>
      <c r="AC184" t="str">
        <f t="shared" si="13"/>
        <v>Jul</v>
      </c>
    </row>
    <row r="185" spans="2:29" x14ac:dyDescent="0.3">
      <c r="B185" s="148">
        <v>45859</v>
      </c>
      <c r="C185" s="79">
        <f t="shared" si="10"/>
        <v>7</v>
      </c>
      <c r="D185" s="70" t="s">
        <v>129</v>
      </c>
      <c r="E185" s="71" t="s">
        <v>209</v>
      </c>
      <c r="F185" s="84" t="s">
        <v>204</v>
      </c>
      <c r="G185" s="71"/>
      <c r="H185" s="83" t="s">
        <v>484</v>
      </c>
      <c r="I185" s="72">
        <v>1</v>
      </c>
      <c r="J185" s="72">
        <v>300</v>
      </c>
      <c r="K185" s="73">
        <f t="shared" si="11"/>
        <v>300</v>
      </c>
      <c r="L185" s="73">
        <f t="shared" si="14"/>
        <v>300</v>
      </c>
      <c r="M185" s="73">
        <f t="shared" si="12"/>
        <v>0</v>
      </c>
      <c r="N185" s="29"/>
      <c r="AC185" t="str">
        <f t="shared" si="13"/>
        <v>Jul</v>
      </c>
    </row>
    <row r="186" spans="2:29" x14ac:dyDescent="0.3">
      <c r="B186" s="148">
        <v>45859</v>
      </c>
      <c r="C186" s="79">
        <f t="shared" si="10"/>
        <v>7</v>
      </c>
      <c r="D186" s="70" t="s">
        <v>45</v>
      </c>
      <c r="E186" s="71" t="s">
        <v>209</v>
      </c>
      <c r="F186" s="84" t="s">
        <v>204</v>
      </c>
      <c r="G186" s="71"/>
      <c r="H186" s="83" t="s">
        <v>484</v>
      </c>
      <c r="I186" s="72">
        <v>1</v>
      </c>
      <c r="J186" s="72">
        <v>700</v>
      </c>
      <c r="K186" s="73">
        <f t="shared" si="11"/>
        <v>700</v>
      </c>
      <c r="L186" s="73">
        <f t="shared" si="14"/>
        <v>700</v>
      </c>
      <c r="M186" s="73">
        <f t="shared" si="12"/>
        <v>0</v>
      </c>
      <c r="N186" s="29"/>
      <c r="AC186" t="str">
        <f t="shared" si="13"/>
        <v>Jul</v>
      </c>
    </row>
    <row r="187" spans="2:29" x14ac:dyDescent="0.3">
      <c r="B187" s="148">
        <v>45859</v>
      </c>
      <c r="C187" s="79">
        <f t="shared" si="10"/>
        <v>7</v>
      </c>
      <c r="D187" s="70" t="s">
        <v>130</v>
      </c>
      <c r="E187" s="71" t="s">
        <v>209</v>
      </c>
      <c r="F187" s="84" t="s">
        <v>204</v>
      </c>
      <c r="G187" s="71"/>
      <c r="H187" s="83" t="s">
        <v>484</v>
      </c>
      <c r="I187" s="72">
        <v>1</v>
      </c>
      <c r="J187" s="72">
        <v>80</v>
      </c>
      <c r="K187" s="73">
        <f t="shared" si="11"/>
        <v>80</v>
      </c>
      <c r="L187" s="73">
        <f t="shared" si="14"/>
        <v>80</v>
      </c>
      <c r="M187" s="73">
        <f t="shared" si="12"/>
        <v>0</v>
      </c>
      <c r="N187" s="29"/>
      <c r="AC187" t="str">
        <f t="shared" si="13"/>
        <v>Jul</v>
      </c>
    </row>
    <row r="188" spans="2:29" x14ac:dyDescent="0.3">
      <c r="B188" s="148">
        <v>45859</v>
      </c>
      <c r="C188" s="79">
        <f t="shared" si="10"/>
        <v>7</v>
      </c>
      <c r="D188" s="70" t="s">
        <v>25</v>
      </c>
      <c r="E188" s="71" t="s">
        <v>209</v>
      </c>
      <c r="F188" s="84" t="s">
        <v>204</v>
      </c>
      <c r="G188" s="71"/>
      <c r="H188" s="83" t="s">
        <v>484</v>
      </c>
      <c r="I188" s="72">
        <v>1</v>
      </c>
      <c r="J188" s="72">
        <v>325</v>
      </c>
      <c r="K188" s="73">
        <f t="shared" si="11"/>
        <v>325</v>
      </c>
      <c r="L188" s="73">
        <f t="shared" si="14"/>
        <v>325</v>
      </c>
      <c r="M188" s="73">
        <f t="shared" si="12"/>
        <v>0</v>
      </c>
      <c r="N188" s="29"/>
      <c r="AC188" t="str">
        <f t="shared" si="13"/>
        <v>Jul</v>
      </c>
    </row>
    <row r="189" spans="2:29" x14ac:dyDescent="0.3">
      <c r="B189" s="148">
        <v>45859</v>
      </c>
      <c r="C189" s="79">
        <f t="shared" si="10"/>
        <v>7</v>
      </c>
      <c r="D189" s="70" t="s">
        <v>59</v>
      </c>
      <c r="E189" s="71" t="s">
        <v>209</v>
      </c>
      <c r="F189" s="84" t="s">
        <v>204</v>
      </c>
      <c r="G189" s="71"/>
      <c r="H189" s="83" t="s">
        <v>484</v>
      </c>
      <c r="I189" s="72">
        <v>1</v>
      </c>
      <c r="J189" s="72">
        <v>150</v>
      </c>
      <c r="K189" s="73">
        <f t="shared" si="11"/>
        <v>150</v>
      </c>
      <c r="L189" s="73">
        <f t="shared" si="14"/>
        <v>150</v>
      </c>
      <c r="M189" s="73">
        <f t="shared" si="12"/>
        <v>0</v>
      </c>
      <c r="N189" s="29"/>
      <c r="AC189" t="str">
        <f t="shared" si="13"/>
        <v>Jul</v>
      </c>
    </row>
    <row r="190" spans="2:29" x14ac:dyDescent="0.3">
      <c r="B190" s="148">
        <v>45859</v>
      </c>
      <c r="C190" s="79">
        <f t="shared" si="10"/>
        <v>7</v>
      </c>
      <c r="D190" s="70" t="s">
        <v>140</v>
      </c>
      <c r="E190" s="71" t="s">
        <v>209</v>
      </c>
      <c r="F190" s="84" t="s">
        <v>204</v>
      </c>
      <c r="G190" s="71"/>
      <c r="H190" s="83" t="s">
        <v>484</v>
      </c>
      <c r="I190" s="72">
        <v>1</v>
      </c>
      <c r="J190" s="72">
        <v>120</v>
      </c>
      <c r="K190" s="73">
        <f t="shared" si="11"/>
        <v>120</v>
      </c>
      <c r="L190" s="73">
        <f t="shared" si="14"/>
        <v>120</v>
      </c>
      <c r="M190" s="73">
        <f t="shared" si="12"/>
        <v>0</v>
      </c>
      <c r="N190" s="29"/>
      <c r="AC190" t="str">
        <f t="shared" si="13"/>
        <v>Jul</v>
      </c>
    </row>
    <row r="191" spans="2:29" x14ac:dyDescent="0.3">
      <c r="B191" s="148">
        <v>45859</v>
      </c>
      <c r="C191" s="79">
        <f t="shared" si="10"/>
        <v>7</v>
      </c>
      <c r="D191" s="70" t="s">
        <v>95</v>
      </c>
      <c r="E191" s="71" t="s">
        <v>209</v>
      </c>
      <c r="F191" s="84" t="s">
        <v>204</v>
      </c>
      <c r="G191" s="71"/>
      <c r="H191" s="84" t="s">
        <v>477</v>
      </c>
      <c r="I191" s="72">
        <v>1</v>
      </c>
      <c r="J191" s="72">
        <v>275</v>
      </c>
      <c r="K191" s="73">
        <f t="shared" si="11"/>
        <v>275</v>
      </c>
      <c r="L191" s="73">
        <f t="shared" si="14"/>
        <v>275</v>
      </c>
      <c r="M191" s="73">
        <f t="shared" si="12"/>
        <v>0</v>
      </c>
      <c r="N191" s="29"/>
      <c r="AC191" t="str">
        <f t="shared" si="13"/>
        <v>Jul</v>
      </c>
    </row>
    <row r="192" spans="2:29" x14ac:dyDescent="0.3">
      <c r="B192" s="148">
        <v>45859</v>
      </c>
      <c r="C192" s="79">
        <f t="shared" si="10"/>
        <v>7</v>
      </c>
      <c r="D192" s="70" t="s">
        <v>133</v>
      </c>
      <c r="E192" s="71" t="s">
        <v>209</v>
      </c>
      <c r="F192" s="84" t="s">
        <v>204</v>
      </c>
      <c r="G192" s="71"/>
      <c r="H192" s="84" t="s">
        <v>477</v>
      </c>
      <c r="I192" s="72">
        <v>1</v>
      </c>
      <c r="J192" s="72">
        <v>800</v>
      </c>
      <c r="K192" s="73">
        <f t="shared" si="11"/>
        <v>800</v>
      </c>
      <c r="L192" s="73">
        <f t="shared" si="14"/>
        <v>800</v>
      </c>
      <c r="M192" s="73">
        <f t="shared" si="12"/>
        <v>0</v>
      </c>
      <c r="N192" s="29"/>
      <c r="AC192" t="str">
        <f t="shared" si="13"/>
        <v>Jul</v>
      </c>
    </row>
    <row r="193" spans="2:29" x14ac:dyDescent="0.3">
      <c r="B193" s="148">
        <v>45859</v>
      </c>
      <c r="C193" s="79">
        <f t="shared" si="10"/>
        <v>7</v>
      </c>
      <c r="D193" s="70" t="s">
        <v>97</v>
      </c>
      <c r="E193" s="71" t="s">
        <v>209</v>
      </c>
      <c r="F193" s="84" t="s">
        <v>204</v>
      </c>
      <c r="G193" s="71"/>
      <c r="H193" s="84" t="s">
        <v>477</v>
      </c>
      <c r="I193" s="72">
        <v>1</v>
      </c>
      <c r="J193" s="72">
        <v>150</v>
      </c>
      <c r="K193" s="73">
        <f t="shared" si="11"/>
        <v>150</v>
      </c>
      <c r="L193" s="73">
        <f t="shared" si="14"/>
        <v>150</v>
      </c>
      <c r="M193" s="73">
        <f t="shared" si="12"/>
        <v>0</v>
      </c>
      <c r="N193" s="29"/>
      <c r="AC193" t="str">
        <f t="shared" si="13"/>
        <v>Jul</v>
      </c>
    </row>
    <row r="194" spans="2:29" x14ac:dyDescent="0.3">
      <c r="B194" s="148">
        <v>45860</v>
      </c>
      <c r="C194" s="79">
        <f t="shared" si="10"/>
        <v>7</v>
      </c>
      <c r="D194" s="70" t="s">
        <v>134</v>
      </c>
      <c r="E194" s="71" t="s">
        <v>209</v>
      </c>
      <c r="F194" s="84" t="s">
        <v>204</v>
      </c>
      <c r="G194" s="71"/>
      <c r="H194" s="84" t="s">
        <v>483</v>
      </c>
      <c r="I194" s="72">
        <v>1</v>
      </c>
      <c r="J194" s="72">
        <v>80</v>
      </c>
      <c r="K194" s="73">
        <f t="shared" si="11"/>
        <v>80</v>
      </c>
      <c r="L194" s="73">
        <f t="shared" si="14"/>
        <v>80</v>
      </c>
      <c r="M194" s="73">
        <f t="shared" si="12"/>
        <v>0</v>
      </c>
      <c r="N194" s="29"/>
      <c r="AC194" t="str">
        <f t="shared" si="13"/>
        <v>Jul</v>
      </c>
    </row>
    <row r="195" spans="2:29" x14ac:dyDescent="0.3">
      <c r="B195" s="148">
        <v>45860</v>
      </c>
      <c r="C195" s="79">
        <f t="shared" si="10"/>
        <v>7</v>
      </c>
      <c r="D195" s="70" t="s">
        <v>47</v>
      </c>
      <c r="E195" s="71" t="s">
        <v>209</v>
      </c>
      <c r="F195" s="84" t="s">
        <v>204</v>
      </c>
      <c r="G195" s="71"/>
      <c r="H195" s="84" t="s">
        <v>488</v>
      </c>
      <c r="I195" s="72">
        <v>4</v>
      </c>
      <c r="J195" s="72">
        <v>67.5</v>
      </c>
      <c r="K195" s="73">
        <f t="shared" si="11"/>
        <v>270</v>
      </c>
      <c r="L195" s="73">
        <f t="shared" si="14"/>
        <v>270</v>
      </c>
      <c r="M195" s="73">
        <f t="shared" si="12"/>
        <v>0</v>
      </c>
      <c r="N195" s="29"/>
      <c r="AC195" t="str">
        <f t="shared" si="13"/>
        <v>Jul</v>
      </c>
    </row>
    <row r="196" spans="2:29" x14ac:dyDescent="0.3">
      <c r="B196" s="148">
        <v>45860</v>
      </c>
      <c r="C196" s="79">
        <f t="shared" si="10"/>
        <v>7</v>
      </c>
      <c r="D196" s="70" t="s">
        <v>48</v>
      </c>
      <c r="E196" s="71" t="s">
        <v>209</v>
      </c>
      <c r="F196" s="84" t="s">
        <v>204</v>
      </c>
      <c r="G196" s="71"/>
      <c r="H196" s="84" t="s">
        <v>488</v>
      </c>
      <c r="I196" s="72">
        <v>4</v>
      </c>
      <c r="J196" s="72">
        <v>37.5</v>
      </c>
      <c r="K196" s="73">
        <f t="shared" si="11"/>
        <v>150</v>
      </c>
      <c r="L196" s="73">
        <f t="shared" si="14"/>
        <v>150</v>
      </c>
      <c r="M196" s="73">
        <f t="shared" si="12"/>
        <v>0</v>
      </c>
      <c r="N196" s="29"/>
      <c r="AC196" t="str">
        <f t="shared" si="13"/>
        <v>Jul</v>
      </c>
    </row>
    <row r="197" spans="2:29" x14ac:dyDescent="0.3">
      <c r="B197" s="148">
        <v>45860</v>
      </c>
      <c r="C197" s="79">
        <f t="shared" si="10"/>
        <v>7</v>
      </c>
      <c r="D197" s="70" t="s">
        <v>75</v>
      </c>
      <c r="E197" s="71" t="s">
        <v>209</v>
      </c>
      <c r="F197" s="84" t="s">
        <v>204</v>
      </c>
      <c r="G197" s="71"/>
      <c r="H197" s="83" t="s">
        <v>484</v>
      </c>
      <c r="I197" s="72">
        <v>1</v>
      </c>
      <c r="J197" s="72">
        <v>30</v>
      </c>
      <c r="K197" s="73">
        <f t="shared" si="11"/>
        <v>30</v>
      </c>
      <c r="L197" s="73">
        <f t="shared" si="14"/>
        <v>30</v>
      </c>
      <c r="M197" s="73">
        <f t="shared" si="12"/>
        <v>0</v>
      </c>
      <c r="N197" s="29"/>
      <c r="AC197" t="str">
        <f t="shared" si="13"/>
        <v>Jul</v>
      </c>
    </row>
    <row r="198" spans="2:29" x14ac:dyDescent="0.3">
      <c r="B198" s="148">
        <v>45860</v>
      </c>
      <c r="C198" s="79">
        <f t="shared" ref="C198:C261" si="15">MONTH(B198)</f>
        <v>7</v>
      </c>
      <c r="D198" s="70" t="s">
        <v>47</v>
      </c>
      <c r="E198" s="71" t="s">
        <v>209</v>
      </c>
      <c r="F198" s="84" t="s">
        <v>204</v>
      </c>
      <c r="G198" s="71"/>
      <c r="H198" s="84" t="s">
        <v>477</v>
      </c>
      <c r="I198" s="72">
        <v>4</v>
      </c>
      <c r="J198" s="72">
        <v>67.5</v>
      </c>
      <c r="K198" s="73">
        <f t="shared" ref="K198:K261" si="16">I198*J198</f>
        <v>270</v>
      </c>
      <c r="L198" s="73">
        <f t="shared" si="14"/>
        <v>270</v>
      </c>
      <c r="M198" s="73">
        <f t="shared" ref="M198:M261" si="17">K198-L198</f>
        <v>0</v>
      </c>
      <c r="N198" s="29"/>
      <c r="AC198" t="str">
        <f t="shared" si="13"/>
        <v>Jul</v>
      </c>
    </row>
    <row r="199" spans="2:29" x14ac:dyDescent="0.3">
      <c r="B199" s="148">
        <v>45860</v>
      </c>
      <c r="C199" s="79">
        <f t="shared" si="15"/>
        <v>7</v>
      </c>
      <c r="D199" s="70" t="s">
        <v>71</v>
      </c>
      <c r="E199" s="71" t="s">
        <v>209</v>
      </c>
      <c r="F199" s="84" t="s">
        <v>204</v>
      </c>
      <c r="G199" s="71"/>
      <c r="H199" s="84" t="s">
        <v>477</v>
      </c>
      <c r="I199" s="72">
        <v>1</v>
      </c>
      <c r="J199" s="72">
        <v>150</v>
      </c>
      <c r="K199" s="73">
        <f t="shared" si="16"/>
        <v>150</v>
      </c>
      <c r="L199" s="73">
        <f t="shared" si="14"/>
        <v>150</v>
      </c>
      <c r="M199" s="73">
        <f t="shared" si="17"/>
        <v>0</v>
      </c>
      <c r="N199" s="29"/>
      <c r="AC199" t="str">
        <f t="shared" ref="AC199:AC262" si="18">IFERROR(INDEX(AA:AA,MATCH(C199,Z:Z,0)),"")</f>
        <v>Jul</v>
      </c>
    </row>
    <row r="200" spans="2:29" x14ac:dyDescent="0.3">
      <c r="B200" s="148">
        <v>45860</v>
      </c>
      <c r="C200" s="79">
        <f t="shared" si="15"/>
        <v>7</v>
      </c>
      <c r="D200" s="70" t="s">
        <v>98</v>
      </c>
      <c r="E200" s="71" t="s">
        <v>209</v>
      </c>
      <c r="F200" s="84" t="s">
        <v>204</v>
      </c>
      <c r="G200" s="71"/>
      <c r="H200" s="84" t="s">
        <v>477</v>
      </c>
      <c r="I200" s="72">
        <v>1</v>
      </c>
      <c r="J200" s="72">
        <v>30</v>
      </c>
      <c r="K200" s="73">
        <f t="shared" si="16"/>
        <v>30</v>
      </c>
      <c r="L200" s="73">
        <f t="shared" si="14"/>
        <v>30</v>
      </c>
      <c r="M200" s="73">
        <f t="shared" si="17"/>
        <v>0</v>
      </c>
      <c r="N200" s="29"/>
      <c r="AC200" t="str">
        <f t="shared" si="18"/>
        <v>Jul</v>
      </c>
    </row>
    <row r="201" spans="2:29" x14ac:dyDescent="0.3">
      <c r="B201" s="148">
        <v>45860</v>
      </c>
      <c r="C201" s="79">
        <f t="shared" si="15"/>
        <v>7</v>
      </c>
      <c r="D201" s="70" t="s">
        <v>77</v>
      </c>
      <c r="E201" s="71" t="s">
        <v>209</v>
      </c>
      <c r="F201" s="84" t="s">
        <v>204</v>
      </c>
      <c r="G201" s="71"/>
      <c r="H201" s="84" t="s">
        <v>477</v>
      </c>
      <c r="I201" s="72">
        <v>1</v>
      </c>
      <c r="J201" s="72">
        <v>70</v>
      </c>
      <c r="K201" s="73">
        <f t="shared" si="16"/>
        <v>70</v>
      </c>
      <c r="L201" s="73">
        <f t="shared" ref="L201:L264" si="19">K201</f>
        <v>70</v>
      </c>
      <c r="M201" s="73">
        <f t="shared" si="17"/>
        <v>0</v>
      </c>
      <c r="N201" s="29"/>
      <c r="AC201" t="str">
        <f t="shared" si="18"/>
        <v>Jul</v>
      </c>
    </row>
    <row r="202" spans="2:29" x14ac:dyDescent="0.3">
      <c r="B202" s="148">
        <v>45860</v>
      </c>
      <c r="C202" s="79">
        <f t="shared" si="15"/>
        <v>7</v>
      </c>
      <c r="D202" s="70" t="s">
        <v>135</v>
      </c>
      <c r="E202" s="71" t="s">
        <v>209</v>
      </c>
      <c r="F202" s="84" t="s">
        <v>204</v>
      </c>
      <c r="G202" s="71"/>
      <c r="H202" s="84" t="s">
        <v>487</v>
      </c>
      <c r="I202" s="72">
        <v>2</v>
      </c>
      <c r="J202" s="72">
        <v>75</v>
      </c>
      <c r="K202" s="73">
        <f t="shared" si="16"/>
        <v>150</v>
      </c>
      <c r="L202" s="73">
        <f t="shared" si="19"/>
        <v>150</v>
      </c>
      <c r="M202" s="73">
        <f t="shared" si="17"/>
        <v>0</v>
      </c>
      <c r="N202" s="29"/>
      <c r="AC202" t="str">
        <f t="shared" si="18"/>
        <v>Jul</v>
      </c>
    </row>
    <row r="203" spans="2:29" x14ac:dyDescent="0.3">
      <c r="B203" s="148">
        <v>45860</v>
      </c>
      <c r="C203" s="79">
        <f t="shared" si="15"/>
        <v>7</v>
      </c>
      <c r="D203" s="70" t="s">
        <v>75</v>
      </c>
      <c r="E203" s="71" t="s">
        <v>209</v>
      </c>
      <c r="F203" s="84" t="s">
        <v>204</v>
      </c>
      <c r="G203" s="71"/>
      <c r="H203" s="83" t="s">
        <v>484</v>
      </c>
      <c r="I203" s="72">
        <v>1</v>
      </c>
      <c r="J203" s="72">
        <v>30</v>
      </c>
      <c r="K203" s="73">
        <f t="shared" si="16"/>
        <v>30</v>
      </c>
      <c r="L203" s="73">
        <f t="shared" si="19"/>
        <v>30</v>
      </c>
      <c r="M203" s="73">
        <f t="shared" si="17"/>
        <v>0</v>
      </c>
      <c r="N203" s="29"/>
      <c r="AC203" t="str">
        <f t="shared" si="18"/>
        <v>Jul</v>
      </c>
    </row>
    <row r="204" spans="2:29" x14ac:dyDescent="0.3">
      <c r="B204" s="148">
        <v>45860</v>
      </c>
      <c r="C204" s="79">
        <f t="shared" si="15"/>
        <v>7</v>
      </c>
      <c r="D204" s="70" t="s">
        <v>137</v>
      </c>
      <c r="E204" s="71" t="s">
        <v>209</v>
      </c>
      <c r="F204" s="84" t="s">
        <v>204</v>
      </c>
      <c r="G204" s="71"/>
      <c r="H204" s="83" t="s">
        <v>484</v>
      </c>
      <c r="I204" s="72">
        <v>1</v>
      </c>
      <c r="J204" s="72">
        <v>250</v>
      </c>
      <c r="K204" s="73">
        <f t="shared" si="16"/>
        <v>250</v>
      </c>
      <c r="L204" s="73">
        <f t="shared" si="19"/>
        <v>250</v>
      </c>
      <c r="M204" s="73">
        <f t="shared" si="17"/>
        <v>0</v>
      </c>
      <c r="N204" s="29"/>
      <c r="AC204" t="str">
        <f t="shared" si="18"/>
        <v>Jul</v>
      </c>
    </row>
    <row r="205" spans="2:29" x14ac:dyDescent="0.3">
      <c r="B205" s="148">
        <v>45860</v>
      </c>
      <c r="C205" s="79">
        <f t="shared" si="15"/>
        <v>7</v>
      </c>
      <c r="D205" s="70" t="s">
        <v>129</v>
      </c>
      <c r="E205" s="71" t="s">
        <v>209</v>
      </c>
      <c r="F205" s="84" t="s">
        <v>204</v>
      </c>
      <c r="G205" s="71"/>
      <c r="H205" s="83" t="s">
        <v>484</v>
      </c>
      <c r="I205" s="72">
        <v>1</v>
      </c>
      <c r="J205" s="72">
        <v>250</v>
      </c>
      <c r="K205" s="73">
        <f t="shared" si="16"/>
        <v>250</v>
      </c>
      <c r="L205" s="73">
        <f t="shared" si="19"/>
        <v>250</v>
      </c>
      <c r="M205" s="73">
        <f t="shared" si="17"/>
        <v>0</v>
      </c>
      <c r="N205" s="29"/>
      <c r="AC205" t="str">
        <f t="shared" si="18"/>
        <v>Jul</v>
      </c>
    </row>
    <row r="206" spans="2:29" x14ac:dyDescent="0.3">
      <c r="B206" s="148">
        <v>45860</v>
      </c>
      <c r="C206" s="79">
        <f t="shared" si="15"/>
        <v>7</v>
      </c>
      <c r="D206" s="70" t="s">
        <v>138</v>
      </c>
      <c r="E206" s="71" t="s">
        <v>209</v>
      </c>
      <c r="F206" s="84" t="s">
        <v>204</v>
      </c>
      <c r="G206" s="71"/>
      <c r="H206" s="83" t="s">
        <v>484</v>
      </c>
      <c r="I206" s="72">
        <v>1</v>
      </c>
      <c r="J206" s="72">
        <v>450</v>
      </c>
      <c r="K206" s="73">
        <f t="shared" si="16"/>
        <v>450</v>
      </c>
      <c r="L206" s="73">
        <f t="shared" si="19"/>
        <v>450</v>
      </c>
      <c r="M206" s="73">
        <f t="shared" si="17"/>
        <v>0</v>
      </c>
      <c r="N206" s="29"/>
      <c r="AC206" t="str">
        <f t="shared" si="18"/>
        <v>Jul</v>
      </c>
    </row>
    <row r="207" spans="2:29" x14ac:dyDescent="0.3">
      <c r="B207" s="148">
        <v>45860</v>
      </c>
      <c r="C207" s="79">
        <f t="shared" si="15"/>
        <v>7</v>
      </c>
      <c r="D207" s="70" t="s">
        <v>56</v>
      </c>
      <c r="E207" s="71" t="s">
        <v>209</v>
      </c>
      <c r="F207" s="84" t="s">
        <v>0</v>
      </c>
      <c r="G207" s="71"/>
      <c r="H207" s="84" t="s">
        <v>485</v>
      </c>
      <c r="I207" s="72">
        <v>1</v>
      </c>
      <c r="J207" s="72">
        <v>3900</v>
      </c>
      <c r="K207" s="73">
        <f t="shared" si="16"/>
        <v>3900</v>
      </c>
      <c r="L207" s="73">
        <f t="shared" si="19"/>
        <v>3900</v>
      </c>
      <c r="M207" s="73">
        <f t="shared" si="17"/>
        <v>0</v>
      </c>
      <c r="N207" s="29"/>
      <c r="AC207" t="str">
        <f t="shared" si="18"/>
        <v>Jul</v>
      </c>
    </row>
    <row r="208" spans="2:29" x14ac:dyDescent="0.3">
      <c r="B208" s="148">
        <v>45860</v>
      </c>
      <c r="C208" s="79">
        <f t="shared" si="15"/>
        <v>7</v>
      </c>
      <c r="D208" s="70" t="s">
        <v>139</v>
      </c>
      <c r="E208" s="71" t="s">
        <v>209</v>
      </c>
      <c r="F208" s="84" t="s">
        <v>1</v>
      </c>
      <c r="G208" s="71"/>
      <c r="H208" s="83" t="s">
        <v>484</v>
      </c>
      <c r="I208" s="72">
        <v>1</v>
      </c>
      <c r="J208" s="72">
        <v>1250</v>
      </c>
      <c r="K208" s="73">
        <f t="shared" si="16"/>
        <v>1250</v>
      </c>
      <c r="L208" s="73">
        <f t="shared" si="19"/>
        <v>1250</v>
      </c>
      <c r="M208" s="73">
        <f t="shared" si="17"/>
        <v>0</v>
      </c>
      <c r="N208" s="29"/>
      <c r="AC208" t="str">
        <f t="shared" si="18"/>
        <v>Jul</v>
      </c>
    </row>
    <row r="209" spans="2:29" x14ac:dyDescent="0.3">
      <c r="B209" s="148">
        <v>45860</v>
      </c>
      <c r="C209" s="79">
        <f t="shared" si="15"/>
        <v>7</v>
      </c>
      <c r="D209" s="70" t="s">
        <v>93</v>
      </c>
      <c r="E209" s="71" t="s">
        <v>209</v>
      </c>
      <c r="F209" s="84" t="s">
        <v>204</v>
      </c>
      <c r="G209" s="71"/>
      <c r="H209" s="84" t="s">
        <v>487</v>
      </c>
      <c r="I209" s="72">
        <v>2</v>
      </c>
      <c r="J209" s="72">
        <v>3600</v>
      </c>
      <c r="K209" s="73">
        <f t="shared" si="16"/>
        <v>7200</v>
      </c>
      <c r="L209" s="73">
        <f t="shared" si="19"/>
        <v>7200</v>
      </c>
      <c r="M209" s="73">
        <f t="shared" si="17"/>
        <v>0</v>
      </c>
      <c r="N209" s="29"/>
      <c r="AC209" t="str">
        <f t="shared" si="18"/>
        <v>Jul</v>
      </c>
    </row>
    <row r="210" spans="2:29" x14ac:dyDescent="0.3">
      <c r="B210" s="148">
        <v>45861</v>
      </c>
      <c r="C210" s="79">
        <f t="shared" si="15"/>
        <v>7</v>
      </c>
      <c r="D210" s="70" t="s">
        <v>56</v>
      </c>
      <c r="E210" s="71" t="s">
        <v>209</v>
      </c>
      <c r="F210" s="84" t="s">
        <v>0</v>
      </c>
      <c r="G210" s="71"/>
      <c r="H210" s="84" t="s">
        <v>489</v>
      </c>
      <c r="I210" s="72">
        <v>2</v>
      </c>
      <c r="J210" s="72">
        <v>3700</v>
      </c>
      <c r="K210" s="73">
        <f t="shared" si="16"/>
        <v>7400</v>
      </c>
      <c r="L210" s="73">
        <f t="shared" si="19"/>
        <v>7400</v>
      </c>
      <c r="M210" s="73">
        <f t="shared" si="17"/>
        <v>0</v>
      </c>
      <c r="N210" s="29"/>
      <c r="AC210" t="str">
        <f t="shared" si="18"/>
        <v>Jul</v>
      </c>
    </row>
    <row r="211" spans="2:29" x14ac:dyDescent="0.3">
      <c r="B211" s="148">
        <v>45861</v>
      </c>
      <c r="C211" s="79">
        <f t="shared" si="15"/>
        <v>7</v>
      </c>
      <c r="D211" s="70" t="s">
        <v>145</v>
      </c>
      <c r="E211" s="71" t="s">
        <v>209</v>
      </c>
      <c r="F211" s="84" t="s">
        <v>204</v>
      </c>
      <c r="G211" s="71"/>
      <c r="H211" s="83" t="s">
        <v>484</v>
      </c>
      <c r="I211" s="72">
        <v>1</v>
      </c>
      <c r="J211" s="72">
        <v>120</v>
      </c>
      <c r="K211" s="73">
        <f t="shared" si="16"/>
        <v>120</v>
      </c>
      <c r="L211" s="73">
        <f t="shared" si="19"/>
        <v>120</v>
      </c>
      <c r="M211" s="73">
        <f t="shared" si="17"/>
        <v>0</v>
      </c>
      <c r="N211" s="29"/>
      <c r="AC211" t="str">
        <f t="shared" si="18"/>
        <v>Jul</v>
      </c>
    </row>
    <row r="212" spans="2:29" x14ac:dyDescent="0.3">
      <c r="B212" s="148">
        <v>45861</v>
      </c>
      <c r="C212" s="79">
        <f t="shared" si="15"/>
        <v>7</v>
      </c>
      <c r="D212" s="70" t="s">
        <v>43</v>
      </c>
      <c r="E212" s="71" t="s">
        <v>209</v>
      </c>
      <c r="F212" s="84" t="s">
        <v>204</v>
      </c>
      <c r="G212" s="71"/>
      <c r="H212" s="83" t="s">
        <v>484</v>
      </c>
      <c r="I212" s="72">
        <v>1</v>
      </c>
      <c r="J212" s="72">
        <v>230</v>
      </c>
      <c r="K212" s="73">
        <f t="shared" si="16"/>
        <v>230</v>
      </c>
      <c r="L212" s="73">
        <f t="shared" si="19"/>
        <v>230</v>
      </c>
      <c r="M212" s="73">
        <f t="shared" si="17"/>
        <v>0</v>
      </c>
      <c r="N212" s="29"/>
      <c r="AC212" t="str">
        <f t="shared" si="18"/>
        <v>Jul</v>
      </c>
    </row>
    <row r="213" spans="2:29" x14ac:dyDescent="0.3">
      <c r="B213" s="148">
        <v>45861</v>
      </c>
      <c r="C213" s="79">
        <f t="shared" si="15"/>
        <v>7</v>
      </c>
      <c r="D213" s="70" t="s">
        <v>59</v>
      </c>
      <c r="E213" s="71" t="s">
        <v>209</v>
      </c>
      <c r="F213" s="84" t="s">
        <v>204</v>
      </c>
      <c r="G213" s="71"/>
      <c r="H213" s="83" t="s">
        <v>484</v>
      </c>
      <c r="I213" s="72">
        <v>1</v>
      </c>
      <c r="J213" s="72">
        <v>150</v>
      </c>
      <c r="K213" s="73">
        <f t="shared" si="16"/>
        <v>150</v>
      </c>
      <c r="L213" s="73">
        <f t="shared" si="19"/>
        <v>150</v>
      </c>
      <c r="M213" s="73">
        <f t="shared" si="17"/>
        <v>0</v>
      </c>
      <c r="N213" s="29"/>
      <c r="AC213" t="str">
        <f t="shared" si="18"/>
        <v>Jul</v>
      </c>
    </row>
    <row r="214" spans="2:29" x14ac:dyDescent="0.3">
      <c r="B214" s="148">
        <v>45861</v>
      </c>
      <c r="C214" s="79">
        <f t="shared" si="15"/>
        <v>7</v>
      </c>
      <c r="D214" s="70" t="s">
        <v>25</v>
      </c>
      <c r="E214" s="71" t="s">
        <v>209</v>
      </c>
      <c r="F214" s="84" t="s">
        <v>204</v>
      </c>
      <c r="G214" s="71"/>
      <c r="H214" s="83" t="s">
        <v>484</v>
      </c>
      <c r="I214" s="72">
        <v>1</v>
      </c>
      <c r="J214" s="72">
        <v>350</v>
      </c>
      <c r="K214" s="73">
        <f t="shared" si="16"/>
        <v>350</v>
      </c>
      <c r="L214" s="73">
        <f t="shared" si="19"/>
        <v>350</v>
      </c>
      <c r="M214" s="73">
        <f t="shared" si="17"/>
        <v>0</v>
      </c>
      <c r="N214" s="29"/>
      <c r="AC214" t="str">
        <f t="shared" si="18"/>
        <v>Jul</v>
      </c>
    </row>
    <row r="215" spans="2:29" x14ac:dyDescent="0.3">
      <c r="B215" s="148">
        <v>45861</v>
      </c>
      <c r="C215" s="79">
        <f t="shared" si="15"/>
        <v>7</v>
      </c>
      <c r="D215" s="70" t="s">
        <v>146</v>
      </c>
      <c r="E215" s="71" t="s">
        <v>209</v>
      </c>
      <c r="F215" s="84" t="s">
        <v>204</v>
      </c>
      <c r="G215" s="71"/>
      <c r="H215" s="83" t="s">
        <v>484</v>
      </c>
      <c r="I215" s="72">
        <v>1</v>
      </c>
      <c r="J215" s="72">
        <v>250</v>
      </c>
      <c r="K215" s="73">
        <f t="shared" si="16"/>
        <v>250</v>
      </c>
      <c r="L215" s="73">
        <f t="shared" si="19"/>
        <v>250</v>
      </c>
      <c r="M215" s="73">
        <f t="shared" si="17"/>
        <v>0</v>
      </c>
      <c r="N215" s="29"/>
      <c r="AC215" t="str">
        <f t="shared" si="18"/>
        <v>Jul</v>
      </c>
    </row>
    <row r="216" spans="2:29" x14ac:dyDescent="0.3">
      <c r="B216" s="148">
        <v>45861</v>
      </c>
      <c r="C216" s="79">
        <f t="shared" si="15"/>
        <v>7</v>
      </c>
      <c r="D216" s="70" t="s">
        <v>25</v>
      </c>
      <c r="E216" s="71" t="s">
        <v>209</v>
      </c>
      <c r="F216" s="84" t="s">
        <v>204</v>
      </c>
      <c r="G216" s="71"/>
      <c r="H216" s="83" t="s">
        <v>484</v>
      </c>
      <c r="I216" s="72">
        <v>1</v>
      </c>
      <c r="J216" s="72">
        <v>350</v>
      </c>
      <c r="K216" s="73">
        <f t="shared" si="16"/>
        <v>350</v>
      </c>
      <c r="L216" s="73">
        <f t="shared" si="19"/>
        <v>350</v>
      </c>
      <c r="M216" s="73">
        <f t="shared" si="17"/>
        <v>0</v>
      </c>
      <c r="N216" s="29"/>
      <c r="AC216" t="str">
        <f t="shared" si="18"/>
        <v>Jul</v>
      </c>
    </row>
    <row r="217" spans="2:29" x14ac:dyDescent="0.3">
      <c r="B217" s="148">
        <v>45861</v>
      </c>
      <c r="C217" s="79">
        <f t="shared" si="15"/>
        <v>7</v>
      </c>
      <c r="D217" s="70" t="s">
        <v>183</v>
      </c>
      <c r="E217" s="71" t="s">
        <v>209</v>
      </c>
      <c r="F217" s="84" t="s">
        <v>204</v>
      </c>
      <c r="G217" s="71"/>
      <c r="H217" s="83" t="s">
        <v>484</v>
      </c>
      <c r="I217" s="72">
        <v>1</v>
      </c>
      <c r="J217" s="72">
        <v>320</v>
      </c>
      <c r="K217" s="73">
        <f t="shared" si="16"/>
        <v>320</v>
      </c>
      <c r="L217" s="73">
        <f t="shared" si="19"/>
        <v>320</v>
      </c>
      <c r="M217" s="73">
        <f t="shared" si="17"/>
        <v>0</v>
      </c>
      <c r="N217" s="29"/>
      <c r="AC217" t="str">
        <f t="shared" si="18"/>
        <v>Jul</v>
      </c>
    </row>
    <row r="218" spans="2:29" x14ac:dyDescent="0.3">
      <c r="B218" s="148">
        <v>45861</v>
      </c>
      <c r="C218" s="79">
        <f t="shared" si="15"/>
        <v>7</v>
      </c>
      <c r="D218" s="70" t="s">
        <v>94</v>
      </c>
      <c r="E218" s="71" t="s">
        <v>209</v>
      </c>
      <c r="F218" s="84" t="s">
        <v>204</v>
      </c>
      <c r="G218" s="71"/>
      <c r="H218" s="83" t="s">
        <v>484</v>
      </c>
      <c r="I218" s="72">
        <v>1</v>
      </c>
      <c r="J218" s="72">
        <v>250</v>
      </c>
      <c r="K218" s="73">
        <f t="shared" si="16"/>
        <v>250</v>
      </c>
      <c r="L218" s="73">
        <f t="shared" si="19"/>
        <v>250</v>
      </c>
      <c r="M218" s="73">
        <f t="shared" si="17"/>
        <v>0</v>
      </c>
      <c r="N218" s="29"/>
      <c r="AC218" t="str">
        <f t="shared" si="18"/>
        <v>Jul</v>
      </c>
    </row>
    <row r="219" spans="2:29" x14ac:dyDescent="0.3">
      <c r="B219" s="148">
        <v>45861</v>
      </c>
      <c r="C219" s="79">
        <f t="shared" si="15"/>
        <v>7</v>
      </c>
      <c r="D219" s="70" t="s">
        <v>25</v>
      </c>
      <c r="E219" s="71" t="s">
        <v>209</v>
      </c>
      <c r="F219" s="84" t="s">
        <v>204</v>
      </c>
      <c r="G219" s="71"/>
      <c r="H219" s="83" t="s">
        <v>484</v>
      </c>
      <c r="I219" s="72">
        <v>1</v>
      </c>
      <c r="J219" s="72">
        <v>325</v>
      </c>
      <c r="K219" s="73">
        <f t="shared" si="16"/>
        <v>325</v>
      </c>
      <c r="L219" s="73">
        <f t="shared" si="19"/>
        <v>325</v>
      </c>
      <c r="M219" s="73">
        <f t="shared" si="17"/>
        <v>0</v>
      </c>
      <c r="N219" s="29"/>
      <c r="AC219" t="str">
        <f t="shared" si="18"/>
        <v>Jul</v>
      </c>
    </row>
    <row r="220" spans="2:29" x14ac:dyDescent="0.3">
      <c r="B220" s="148">
        <v>45861</v>
      </c>
      <c r="C220" s="79">
        <f t="shared" si="15"/>
        <v>7</v>
      </c>
      <c r="D220" s="70" t="s">
        <v>76</v>
      </c>
      <c r="E220" s="71" t="s">
        <v>209</v>
      </c>
      <c r="F220" s="84" t="s">
        <v>1</v>
      </c>
      <c r="G220" s="71"/>
      <c r="H220" s="84" t="s">
        <v>483</v>
      </c>
      <c r="I220" s="72">
        <v>1</v>
      </c>
      <c r="J220" s="72">
        <v>1600</v>
      </c>
      <c r="K220" s="73">
        <f t="shared" si="16"/>
        <v>1600</v>
      </c>
      <c r="L220" s="73">
        <f t="shared" si="19"/>
        <v>1600</v>
      </c>
      <c r="M220" s="73">
        <f t="shared" si="17"/>
        <v>0</v>
      </c>
      <c r="N220" s="29"/>
      <c r="AC220" t="str">
        <f t="shared" si="18"/>
        <v>Jul</v>
      </c>
    </row>
    <row r="221" spans="2:29" x14ac:dyDescent="0.3">
      <c r="B221" s="148">
        <v>45861</v>
      </c>
      <c r="C221" s="79">
        <f t="shared" si="15"/>
        <v>7</v>
      </c>
      <c r="D221" s="70" t="s">
        <v>148</v>
      </c>
      <c r="E221" s="71" t="s">
        <v>209</v>
      </c>
      <c r="F221" s="84" t="s">
        <v>204</v>
      </c>
      <c r="G221" s="71"/>
      <c r="H221" s="84" t="s">
        <v>487</v>
      </c>
      <c r="I221" s="72">
        <v>1</v>
      </c>
      <c r="J221" s="72">
        <v>300</v>
      </c>
      <c r="K221" s="73">
        <f t="shared" si="16"/>
        <v>300</v>
      </c>
      <c r="L221" s="73">
        <f t="shared" si="19"/>
        <v>300</v>
      </c>
      <c r="M221" s="73">
        <f t="shared" si="17"/>
        <v>0</v>
      </c>
      <c r="N221" s="29"/>
      <c r="AC221" t="str">
        <f t="shared" si="18"/>
        <v>Jul</v>
      </c>
    </row>
    <row r="222" spans="2:29" x14ac:dyDescent="0.3">
      <c r="B222" s="148">
        <v>45862</v>
      </c>
      <c r="C222" s="79">
        <f t="shared" si="15"/>
        <v>7</v>
      </c>
      <c r="D222" s="70" t="s">
        <v>97</v>
      </c>
      <c r="E222" s="71" t="s">
        <v>209</v>
      </c>
      <c r="F222" s="84" t="s">
        <v>204</v>
      </c>
      <c r="G222" s="71"/>
      <c r="H222" s="84" t="s">
        <v>479</v>
      </c>
      <c r="I222" s="72">
        <v>1</v>
      </c>
      <c r="J222" s="72">
        <v>150</v>
      </c>
      <c r="K222" s="73">
        <f t="shared" si="16"/>
        <v>150</v>
      </c>
      <c r="L222" s="73">
        <f t="shared" si="19"/>
        <v>150</v>
      </c>
      <c r="M222" s="73">
        <f t="shared" si="17"/>
        <v>0</v>
      </c>
      <c r="N222" s="29"/>
      <c r="AC222" t="str">
        <f t="shared" si="18"/>
        <v>Jul</v>
      </c>
    </row>
    <row r="223" spans="2:29" x14ac:dyDescent="0.3">
      <c r="B223" s="148">
        <v>45862</v>
      </c>
      <c r="C223" s="79">
        <f t="shared" si="15"/>
        <v>7</v>
      </c>
      <c r="D223" s="70" t="s">
        <v>91</v>
      </c>
      <c r="E223" s="71" t="s">
        <v>209</v>
      </c>
      <c r="F223" s="84" t="s">
        <v>204</v>
      </c>
      <c r="G223" s="71"/>
      <c r="H223" s="84" t="s">
        <v>481</v>
      </c>
      <c r="I223" s="72">
        <v>1</v>
      </c>
      <c r="J223" s="72">
        <v>800</v>
      </c>
      <c r="K223" s="73">
        <f t="shared" si="16"/>
        <v>800</v>
      </c>
      <c r="L223" s="73">
        <f t="shared" si="19"/>
        <v>800</v>
      </c>
      <c r="M223" s="73">
        <f t="shared" si="17"/>
        <v>0</v>
      </c>
      <c r="N223" s="29"/>
      <c r="AC223" t="str">
        <f t="shared" si="18"/>
        <v>Jul</v>
      </c>
    </row>
    <row r="224" spans="2:29" x14ac:dyDescent="0.3">
      <c r="B224" s="148">
        <v>45862</v>
      </c>
      <c r="C224" s="79">
        <f t="shared" si="15"/>
        <v>7</v>
      </c>
      <c r="D224" s="70" t="s">
        <v>47</v>
      </c>
      <c r="E224" s="71" t="s">
        <v>209</v>
      </c>
      <c r="F224" s="84" t="s">
        <v>204</v>
      </c>
      <c r="G224" s="71"/>
      <c r="H224" s="84" t="s">
        <v>481</v>
      </c>
      <c r="I224" s="72">
        <v>4</v>
      </c>
      <c r="J224" s="72">
        <v>67.5</v>
      </c>
      <c r="K224" s="73">
        <f t="shared" si="16"/>
        <v>270</v>
      </c>
      <c r="L224" s="73">
        <f t="shared" si="19"/>
        <v>270</v>
      </c>
      <c r="M224" s="73">
        <f t="shared" si="17"/>
        <v>0</v>
      </c>
      <c r="N224" s="29"/>
      <c r="AC224" t="str">
        <f t="shared" si="18"/>
        <v>Jul</v>
      </c>
    </row>
    <row r="225" spans="2:29" x14ac:dyDescent="0.3">
      <c r="B225" s="148">
        <v>45862</v>
      </c>
      <c r="C225" s="79">
        <f t="shared" si="15"/>
        <v>7</v>
      </c>
      <c r="D225" s="70" t="s">
        <v>137</v>
      </c>
      <c r="E225" s="71" t="s">
        <v>209</v>
      </c>
      <c r="F225" s="84" t="s">
        <v>204</v>
      </c>
      <c r="G225" s="71"/>
      <c r="H225" s="84" t="s">
        <v>481</v>
      </c>
      <c r="I225" s="72">
        <v>1</v>
      </c>
      <c r="J225" s="72">
        <v>240</v>
      </c>
      <c r="K225" s="73">
        <f t="shared" si="16"/>
        <v>240</v>
      </c>
      <c r="L225" s="73">
        <f t="shared" si="19"/>
        <v>240</v>
      </c>
      <c r="M225" s="73">
        <f t="shared" si="17"/>
        <v>0</v>
      </c>
      <c r="N225" s="29"/>
      <c r="AC225" t="str">
        <f t="shared" si="18"/>
        <v>Jul</v>
      </c>
    </row>
    <row r="226" spans="2:29" x14ac:dyDescent="0.3">
      <c r="B226" s="148">
        <v>45862</v>
      </c>
      <c r="C226" s="79">
        <f t="shared" si="15"/>
        <v>7</v>
      </c>
      <c r="D226" s="70" t="s">
        <v>151</v>
      </c>
      <c r="E226" s="71" t="s">
        <v>209</v>
      </c>
      <c r="F226" s="84" t="s">
        <v>204</v>
      </c>
      <c r="G226" s="71"/>
      <c r="H226" s="84" t="s">
        <v>483</v>
      </c>
      <c r="I226" s="72">
        <v>1</v>
      </c>
      <c r="J226" s="72">
        <v>350</v>
      </c>
      <c r="K226" s="73">
        <f t="shared" si="16"/>
        <v>350</v>
      </c>
      <c r="L226" s="73">
        <f t="shared" si="19"/>
        <v>350</v>
      </c>
      <c r="M226" s="73">
        <f t="shared" si="17"/>
        <v>0</v>
      </c>
      <c r="N226" s="29"/>
      <c r="AC226" t="str">
        <f t="shared" si="18"/>
        <v>Jul</v>
      </c>
    </row>
    <row r="227" spans="2:29" x14ac:dyDescent="0.3">
      <c r="B227" s="148">
        <v>45862</v>
      </c>
      <c r="C227" s="79">
        <f t="shared" si="15"/>
        <v>7</v>
      </c>
      <c r="D227" s="70" t="s">
        <v>183</v>
      </c>
      <c r="E227" s="71" t="s">
        <v>209</v>
      </c>
      <c r="F227" s="84" t="s">
        <v>204</v>
      </c>
      <c r="G227" s="71"/>
      <c r="H227" s="84" t="s">
        <v>485</v>
      </c>
      <c r="I227" s="72">
        <v>1</v>
      </c>
      <c r="J227" s="72">
        <v>350</v>
      </c>
      <c r="K227" s="73">
        <f t="shared" si="16"/>
        <v>350</v>
      </c>
      <c r="L227" s="73">
        <f t="shared" si="19"/>
        <v>350</v>
      </c>
      <c r="M227" s="73">
        <f t="shared" si="17"/>
        <v>0</v>
      </c>
      <c r="N227" s="29"/>
      <c r="AC227" t="str">
        <f t="shared" si="18"/>
        <v>Jul</v>
      </c>
    </row>
    <row r="228" spans="2:29" x14ac:dyDescent="0.3">
      <c r="B228" s="148">
        <v>45862</v>
      </c>
      <c r="C228" s="79">
        <f t="shared" si="15"/>
        <v>7</v>
      </c>
      <c r="D228" s="70" t="s">
        <v>11</v>
      </c>
      <c r="E228" s="71" t="s">
        <v>209</v>
      </c>
      <c r="F228" s="84" t="s">
        <v>204</v>
      </c>
      <c r="G228" s="71"/>
      <c r="H228" s="83" t="s">
        <v>484</v>
      </c>
      <c r="I228" s="72">
        <v>1</v>
      </c>
      <c r="J228" s="72">
        <v>300</v>
      </c>
      <c r="K228" s="73">
        <f t="shared" si="16"/>
        <v>300</v>
      </c>
      <c r="L228" s="73">
        <f t="shared" si="19"/>
        <v>300</v>
      </c>
      <c r="M228" s="73">
        <f t="shared" si="17"/>
        <v>0</v>
      </c>
      <c r="N228" s="29"/>
      <c r="AC228" t="str">
        <f t="shared" si="18"/>
        <v>Jul</v>
      </c>
    </row>
    <row r="229" spans="2:29" x14ac:dyDescent="0.3">
      <c r="B229" s="148">
        <v>45862</v>
      </c>
      <c r="C229" s="79">
        <f t="shared" si="15"/>
        <v>7</v>
      </c>
      <c r="D229" s="70" t="s">
        <v>58</v>
      </c>
      <c r="E229" s="71" t="s">
        <v>209</v>
      </c>
      <c r="F229" s="84" t="s">
        <v>204</v>
      </c>
      <c r="G229" s="71"/>
      <c r="H229" s="84" t="s">
        <v>483</v>
      </c>
      <c r="I229" s="72">
        <v>2</v>
      </c>
      <c r="J229" s="72">
        <v>4500</v>
      </c>
      <c r="K229" s="73">
        <f t="shared" si="16"/>
        <v>9000</v>
      </c>
      <c r="L229" s="73">
        <f t="shared" si="19"/>
        <v>9000</v>
      </c>
      <c r="M229" s="73">
        <f t="shared" si="17"/>
        <v>0</v>
      </c>
      <c r="N229" s="29"/>
      <c r="AC229" t="str">
        <f t="shared" si="18"/>
        <v>Jul</v>
      </c>
    </row>
    <row r="230" spans="2:29" x14ac:dyDescent="0.3">
      <c r="B230" s="148">
        <v>45862</v>
      </c>
      <c r="C230" s="79">
        <f t="shared" si="15"/>
        <v>7</v>
      </c>
      <c r="D230" s="70" t="s">
        <v>94</v>
      </c>
      <c r="E230" s="71" t="s">
        <v>209</v>
      </c>
      <c r="F230" s="84" t="s">
        <v>204</v>
      </c>
      <c r="G230" s="71"/>
      <c r="H230" s="83" t="s">
        <v>484</v>
      </c>
      <c r="I230" s="72">
        <v>1</v>
      </c>
      <c r="J230" s="72">
        <v>250</v>
      </c>
      <c r="K230" s="73">
        <f t="shared" si="16"/>
        <v>250</v>
      </c>
      <c r="L230" s="73">
        <f t="shared" si="19"/>
        <v>250</v>
      </c>
      <c r="M230" s="73">
        <f t="shared" si="17"/>
        <v>0</v>
      </c>
      <c r="N230" s="29"/>
      <c r="AC230" t="str">
        <f t="shared" si="18"/>
        <v>Jul</v>
      </c>
    </row>
    <row r="231" spans="2:29" x14ac:dyDescent="0.3">
      <c r="B231" s="148">
        <v>45862</v>
      </c>
      <c r="C231" s="79">
        <f t="shared" si="15"/>
        <v>7</v>
      </c>
      <c r="D231" s="70" t="s">
        <v>122</v>
      </c>
      <c r="E231" s="71" t="s">
        <v>209</v>
      </c>
      <c r="F231" s="84" t="s">
        <v>204</v>
      </c>
      <c r="G231" s="71"/>
      <c r="H231" s="83" t="s">
        <v>484</v>
      </c>
      <c r="I231" s="72">
        <v>1</v>
      </c>
      <c r="J231" s="72">
        <v>150</v>
      </c>
      <c r="K231" s="73">
        <f t="shared" si="16"/>
        <v>150</v>
      </c>
      <c r="L231" s="73">
        <f t="shared" si="19"/>
        <v>150</v>
      </c>
      <c r="M231" s="73">
        <f t="shared" si="17"/>
        <v>0</v>
      </c>
      <c r="N231" s="29"/>
      <c r="AC231" t="str">
        <f t="shared" si="18"/>
        <v>Jul</v>
      </c>
    </row>
    <row r="232" spans="2:29" x14ac:dyDescent="0.3">
      <c r="B232" s="148">
        <v>45862</v>
      </c>
      <c r="C232" s="79">
        <f t="shared" si="15"/>
        <v>7</v>
      </c>
      <c r="D232" s="70" t="s">
        <v>77</v>
      </c>
      <c r="E232" s="71" t="s">
        <v>209</v>
      </c>
      <c r="F232" s="84" t="s">
        <v>204</v>
      </c>
      <c r="G232" s="71"/>
      <c r="H232" s="83" t="s">
        <v>484</v>
      </c>
      <c r="I232" s="72">
        <v>1</v>
      </c>
      <c r="J232" s="72">
        <v>70</v>
      </c>
      <c r="K232" s="73">
        <f t="shared" si="16"/>
        <v>70</v>
      </c>
      <c r="L232" s="73">
        <f t="shared" si="19"/>
        <v>70</v>
      </c>
      <c r="M232" s="73">
        <f t="shared" si="17"/>
        <v>0</v>
      </c>
      <c r="N232" s="29"/>
      <c r="AC232" t="str">
        <f t="shared" si="18"/>
        <v>Jul</v>
      </c>
    </row>
    <row r="233" spans="2:29" x14ac:dyDescent="0.3">
      <c r="B233" s="148">
        <v>45862</v>
      </c>
      <c r="C233" s="79">
        <f t="shared" si="15"/>
        <v>7</v>
      </c>
      <c r="D233" s="70" t="s">
        <v>152</v>
      </c>
      <c r="E233" s="71" t="s">
        <v>209</v>
      </c>
      <c r="F233" s="84" t="s">
        <v>204</v>
      </c>
      <c r="G233" s="71"/>
      <c r="H233" s="84" t="s">
        <v>478</v>
      </c>
      <c r="I233" s="72">
        <v>1</v>
      </c>
      <c r="J233" s="72">
        <v>250</v>
      </c>
      <c r="K233" s="73">
        <f t="shared" si="16"/>
        <v>250</v>
      </c>
      <c r="L233" s="73">
        <f t="shared" si="19"/>
        <v>250</v>
      </c>
      <c r="M233" s="73">
        <f t="shared" si="17"/>
        <v>0</v>
      </c>
      <c r="N233" s="29"/>
      <c r="AC233" t="str">
        <f t="shared" si="18"/>
        <v>Jul</v>
      </c>
    </row>
    <row r="234" spans="2:29" x14ac:dyDescent="0.3">
      <c r="B234" s="148">
        <v>45862</v>
      </c>
      <c r="C234" s="79">
        <f t="shared" si="15"/>
        <v>7</v>
      </c>
      <c r="D234" s="70" t="s">
        <v>87</v>
      </c>
      <c r="E234" s="71" t="s">
        <v>209</v>
      </c>
      <c r="F234" s="84" t="s">
        <v>204</v>
      </c>
      <c r="G234" s="71"/>
      <c r="H234" s="84" t="s">
        <v>487</v>
      </c>
      <c r="I234" s="72">
        <v>1</v>
      </c>
      <c r="J234" s="72">
        <v>270</v>
      </c>
      <c r="K234" s="73">
        <f t="shared" si="16"/>
        <v>270</v>
      </c>
      <c r="L234" s="73">
        <f t="shared" si="19"/>
        <v>270</v>
      </c>
      <c r="M234" s="73">
        <f t="shared" si="17"/>
        <v>0</v>
      </c>
      <c r="N234" s="29"/>
      <c r="AC234" t="str">
        <f t="shared" si="18"/>
        <v>Jul</v>
      </c>
    </row>
    <row r="235" spans="2:29" x14ac:dyDescent="0.3">
      <c r="B235" s="148">
        <v>45862</v>
      </c>
      <c r="C235" s="79">
        <f t="shared" si="15"/>
        <v>7</v>
      </c>
      <c r="D235" s="70" t="s">
        <v>47</v>
      </c>
      <c r="E235" s="71" t="s">
        <v>209</v>
      </c>
      <c r="F235" s="84" t="s">
        <v>204</v>
      </c>
      <c r="G235" s="71"/>
      <c r="H235" s="84" t="s">
        <v>487</v>
      </c>
      <c r="I235" s="72">
        <v>4</v>
      </c>
      <c r="J235" s="72">
        <v>67.5</v>
      </c>
      <c r="K235" s="73">
        <f t="shared" si="16"/>
        <v>270</v>
      </c>
      <c r="L235" s="73">
        <f t="shared" si="19"/>
        <v>270</v>
      </c>
      <c r="M235" s="73">
        <f t="shared" si="17"/>
        <v>0</v>
      </c>
      <c r="N235" s="29"/>
      <c r="AC235" t="str">
        <f t="shared" si="18"/>
        <v>Jul</v>
      </c>
    </row>
    <row r="236" spans="2:29" x14ac:dyDescent="0.3">
      <c r="B236" s="148">
        <v>45862</v>
      </c>
      <c r="C236" s="79">
        <f t="shared" si="15"/>
        <v>7</v>
      </c>
      <c r="D236" s="70" t="s">
        <v>24</v>
      </c>
      <c r="E236" s="71" t="s">
        <v>209</v>
      </c>
      <c r="F236" s="84" t="s">
        <v>204</v>
      </c>
      <c r="G236" s="71"/>
      <c r="H236" s="84" t="s">
        <v>487</v>
      </c>
      <c r="I236" s="72">
        <v>1</v>
      </c>
      <c r="J236" s="72">
        <v>100</v>
      </c>
      <c r="K236" s="73">
        <f t="shared" si="16"/>
        <v>100</v>
      </c>
      <c r="L236" s="73">
        <f t="shared" si="19"/>
        <v>100</v>
      </c>
      <c r="M236" s="73">
        <f t="shared" si="17"/>
        <v>0</v>
      </c>
      <c r="N236" s="29"/>
      <c r="AC236" t="str">
        <f t="shared" si="18"/>
        <v>Jul</v>
      </c>
    </row>
    <row r="237" spans="2:29" x14ac:dyDescent="0.3">
      <c r="B237" s="148">
        <v>45862</v>
      </c>
      <c r="C237" s="79">
        <f t="shared" si="15"/>
        <v>7</v>
      </c>
      <c r="D237" s="70" t="s">
        <v>43</v>
      </c>
      <c r="E237" s="71" t="s">
        <v>209</v>
      </c>
      <c r="F237" s="84" t="s">
        <v>204</v>
      </c>
      <c r="G237" s="71"/>
      <c r="H237" s="84" t="s">
        <v>487</v>
      </c>
      <c r="I237" s="72">
        <v>1</v>
      </c>
      <c r="J237" s="72">
        <v>200</v>
      </c>
      <c r="K237" s="73">
        <f t="shared" si="16"/>
        <v>200</v>
      </c>
      <c r="L237" s="73">
        <f t="shared" si="19"/>
        <v>200</v>
      </c>
      <c r="M237" s="73">
        <f t="shared" si="17"/>
        <v>0</v>
      </c>
      <c r="N237" s="29"/>
      <c r="AC237" t="str">
        <f t="shared" si="18"/>
        <v>Jul</v>
      </c>
    </row>
    <row r="238" spans="2:29" x14ac:dyDescent="0.3">
      <c r="B238" s="148">
        <v>45862</v>
      </c>
      <c r="C238" s="79">
        <f t="shared" si="15"/>
        <v>7</v>
      </c>
      <c r="D238" s="70" t="s">
        <v>102</v>
      </c>
      <c r="E238" s="71" t="s">
        <v>209</v>
      </c>
      <c r="F238" s="84" t="s">
        <v>204</v>
      </c>
      <c r="G238" s="71"/>
      <c r="H238" s="84" t="s">
        <v>483</v>
      </c>
      <c r="I238" s="72">
        <v>1</v>
      </c>
      <c r="J238" s="72">
        <v>850</v>
      </c>
      <c r="K238" s="73">
        <f t="shared" si="16"/>
        <v>850</v>
      </c>
      <c r="L238" s="73">
        <f t="shared" si="19"/>
        <v>850</v>
      </c>
      <c r="M238" s="73">
        <f t="shared" si="17"/>
        <v>0</v>
      </c>
      <c r="N238" s="29"/>
      <c r="AC238" t="str">
        <f t="shared" si="18"/>
        <v>Jul</v>
      </c>
    </row>
    <row r="239" spans="2:29" x14ac:dyDescent="0.3">
      <c r="B239" s="148">
        <v>45862</v>
      </c>
      <c r="C239" s="79">
        <f t="shared" si="15"/>
        <v>7</v>
      </c>
      <c r="D239" s="70" t="s">
        <v>153</v>
      </c>
      <c r="E239" s="71" t="s">
        <v>209</v>
      </c>
      <c r="F239" s="84" t="s">
        <v>204</v>
      </c>
      <c r="G239" s="71"/>
      <c r="H239" s="84" t="s">
        <v>481</v>
      </c>
      <c r="I239" s="72">
        <v>1</v>
      </c>
      <c r="J239" s="72">
        <v>70</v>
      </c>
      <c r="K239" s="73">
        <f t="shared" si="16"/>
        <v>70</v>
      </c>
      <c r="L239" s="73">
        <f t="shared" si="19"/>
        <v>70</v>
      </c>
      <c r="M239" s="73">
        <f t="shared" si="17"/>
        <v>0</v>
      </c>
      <c r="N239" s="29"/>
      <c r="AC239" t="str">
        <f t="shared" si="18"/>
        <v>Jul</v>
      </c>
    </row>
    <row r="240" spans="2:29" x14ac:dyDescent="0.3">
      <c r="B240" s="148">
        <v>45862</v>
      </c>
      <c r="C240" s="79">
        <f t="shared" si="15"/>
        <v>7</v>
      </c>
      <c r="D240" s="70" t="s">
        <v>68</v>
      </c>
      <c r="E240" s="71" t="s">
        <v>209</v>
      </c>
      <c r="F240" s="84" t="s">
        <v>204</v>
      </c>
      <c r="G240" s="71"/>
      <c r="H240" s="84" t="s">
        <v>484</v>
      </c>
      <c r="I240" s="72">
        <v>1</v>
      </c>
      <c r="J240" s="72">
        <v>90</v>
      </c>
      <c r="K240" s="73">
        <f t="shared" si="16"/>
        <v>90</v>
      </c>
      <c r="L240" s="73">
        <f t="shared" si="19"/>
        <v>90</v>
      </c>
      <c r="M240" s="73">
        <f t="shared" si="17"/>
        <v>0</v>
      </c>
      <c r="N240" s="29"/>
      <c r="AC240" t="str">
        <f t="shared" si="18"/>
        <v>Jul</v>
      </c>
    </row>
    <row r="241" spans="2:29" x14ac:dyDescent="0.3">
      <c r="B241" s="148">
        <v>45862</v>
      </c>
      <c r="C241" s="79">
        <f t="shared" si="15"/>
        <v>7</v>
      </c>
      <c r="D241" s="70" t="s">
        <v>154</v>
      </c>
      <c r="E241" s="71" t="s">
        <v>209</v>
      </c>
      <c r="F241" s="84" t="s">
        <v>204</v>
      </c>
      <c r="G241" s="71"/>
      <c r="H241" s="84" t="s">
        <v>484</v>
      </c>
      <c r="I241" s="72">
        <v>1</v>
      </c>
      <c r="J241" s="72">
        <v>70</v>
      </c>
      <c r="K241" s="73">
        <f t="shared" si="16"/>
        <v>70</v>
      </c>
      <c r="L241" s="73">
        <f t="shared" si="19"/>
        <v>70</v>
      </c>
      <c r="M241" s="73">
        <f t="shared" si="17"/>
        <v>0</v>
      </c>
      <c r="N241" s="29"/>
      <c r="AC241" t="str">
        <f t="shared" si="18"/>
        <v>Jul</v>
      </c>
    </row>
    <row r="242" spans="2:29" x14ac:dyDescent="0.3">
      <c r="B242" s="148">
        <v>45862</v>
      </c>
      <c r="C242" s="79">
        <f t="shared" si="15"/>
        <v>7</v>
      </c>
      <c r="D242" s="70" t="s">
        <v>153</v>
      </c>
      <c r="E242" s="71" t="s">
        <v>209</v>
      </c>
      <c r="F242" s="84" t="s">
        <v>204</v>
      </c>
      <c r="G242" s="71"/>
      <c r="H242" s="84" t="s">
        <v>484</v>
      </c>
      <c r="I242" s="72">
        <v>1</v>
      </c>
      <c r="J242" s="72">
        <v>70</v>
      </c>
      <c r="K242" s="73">
        <f t="shared" si="16"/>
        <v>70</v>
      </c>
      <c r="L242" s="73">
        <f t="shared" si="19"/>
        <v>70</v>
      </c>
      <c r="M242" s="73">
        <f t="shared" si="17"/>
        <v>0</v>
      </c>
      <c r="N242" s="29"/>
      <c r="AC242" t="str">
        <f t="shared" si="18"/>
        <v>Jul</v>
      </c>
    </row>
    <row r="243" spans="2:29" x14ac:dyDescent="0.3">
      <c r="B243" s="148">
        <v>45862</v>
      </c>
      <c r="C243" s="79">
        <f t="shared" si="15"/>
        <v>7</v>
      </c>
      <c r="D243" s="70" t="s">
        <v>151</v>
      </c>
      <c r="E243" s="71" t="s">
        <v>209</v>
      </c>
      <c r="F243" s="84" t="s">
        <v>204</v>
      </c>
      <c r="G243" s="71"/>
      <c r="H243" s="84" t="s">
        <v>484</v>
      </c>
      <c r="I243" s="72">
        <v>1</v>
      </c>
      <c r="J243" s="72">
        <v>220</v>
      </c>
      <c r="K243" s="73">
        <f t="shared" si="16"/>
        <v>220</v>
      </c>
      <c r="L243" s="73">
        <f t="shared" si="19"/>
        <v>220</v>
      </c>
      <c r="M243" s="73">
        <f t="shared" si="17"/>
        <v>0</v>
      </c>
      <c r="N243" s="29"/>
      <c r="AC243" t="str">
        <f t="shared" si="18"/>
        <v>Jul</v>
      </c>
    </row>
    <row r="244" spans="2:29" x14ac:dyDescent="0.3">
      <c r="B244" s="148">
        <v>45862</v>
      </c>
      <c r="C244" s="79">
        <f t="shared" si="15"/>
        <v>7</v>
      </c>
      <c r="D244" s="70" t="s">
        <v>125</v>
      </c>
      <c r="E244" s="71" t="s">
        <v>209</v>
      </c>
      <c r="F244" s="84" t="s">
        <v>204</v>
      </c>
      <c r="G244" s="71"/>
      <c r="H244" s="84" t="s">
        <v>477</v>
      </c>
      <c r="I244" s="72">
        <v>1</v>
      </c>
      <c r="J244" s="72">
        <v>150</v>
      </c>
      <c r="K244" s="73">
        <f t="shared" si="16"/>
        <v>150</v>
      </c>
      <c r="L244" s="73">
        <f t="shared" si="19"/>
        <v>150</v>
      </c>
      <c r="M244" s="73">
        <f t="shared" si="17"/>
        <v>0</v>
      </c>
      <c r="N244" s="29"/>
      <c r="AC244" t="str">
        <f t="shared" si="18"/>
        <v>Jul</v>
      </c>
    </row>
    <row r="245" spans="2:29" x14ac:dyDescent="0.3">
      <c r="B245" s="148">
        <v>45862</v>
      </c>
      <c r="C245" s="79">
        <f t="shared" si="15"/>
        <v>7</v>
      </c>
      <c r="D245" s="70" t="s">
        <v>155</v>
      </c>
      <c r="E245" s="71" t="s">
        <v>209</v>
      </c>
      <c r="F245" s="84" t="s">
        <v>204</v>
      </c>
      <c r="G245" s="71"/>
      <c r="H245" s="84" t="s">
        <v>481</v>
      </c>
      <c r="I245" s="72">
        <v>2</v>
      </c>
      <c r="J245" s="72">
        <v>175</v>
      </c>
      <c r="K245" s="73">
        <f t="shared" si="16"/>
        <v>350</v>
      </c>
      <c r="L245" s="73">
        <f t="shared" si="19"/>
        <v>350</v>
      </c>
      <c r="M245" s="73">
        <f t="shared" si="17"/>
        <v>0</v>
      </c>
      <c r="N245" s="29"/>
      <c r="AC245" t="str">
        <f t="shared" si="18"/>
        <v>Jul</v>
      </c>
    </row>
    <row r="246" spans="2:29" x14ac:dyDescent="0.3">
      <c r="B246" s="148">
        <v>45862</v>
      </c>
      <c r="C246" s="79">
        <f t="shared" si="15"/>
        <v>7</v>
      </c>
      <c r="D246" s="70" t="s">
        <v>158</v>
      </c>
      <c r="E246" s="71" t="s">
        <v>209</v>
      </c>
      <c r="F246" s="84" t="s">
        <v>204</v>
      </c>
      <c r="G246" s="71"/>
      <c r="H246" s="84" t="s">
        <v>481</v>
      </c>
      <c r="I246" s="72">
        <v>2</v>
      </c>
      <c r="J246" s="72">
        <v>200</v>
      </c>
      <c r="K246" s="73">
        <f t="shared" si="16"/>
        <v>400</v>
      </c>
      <c r="L246" s="73">
        <f t="shared" si="19"/>
        <v>400</v>
      </c>
      <c r="M246" s="73">
        <f t="shared" si="17"/>
        <v>0</v>
      </c>
      <c r="N246" s="29"/>
      <c r="AC246" t="str">
        <f t="shared" si="18"/>
        <v>Jul</v>
      </c>
    </row>
    <row r="247" spans="2:29" x14ac:dyDescent="0.3">
      <c r="B247" s="148">
        <v>45862</v>
      </c>
      <c r="C247" s="79">
        <f t="shared" si="15"/>
        <v>7</v>
      </c>
      <c r="D247" s="70" t="s">
        <v>156</v>
      </c>
      <c r="E247" s="71" t="s">
        <v>209</v>
      </c>
      <c r="F247" s="84" t="s">
        <v>204</v>
      </c>
      <c r="G247" s="71"/>
      <c r="H247" s="84" t="s">
        <v>481</v>
      </c>
      <c r="I247" s="72">
        <v>2</v>
      </c>
      <c r="J247" s="72">
        <v>350</v>
      </c>
      <c r="K247" s="73">
        <f t="shared" si="16"/>
        <v>700</v>
      </c>
      <c r="L247" s="73">
        <f t="shared" si="19"/>
        <v>700</v>
      </c>
      <c r="M247" s="73">
        <f t="shared" si="17"/>
        <v>0</v>
      </c>
      <c r="N247" s="29"/>
      <c r="AC247" t="str">
        <f t="shared" si="18"/>
        <v>Jul</v>
      </c>
    </row>
    <row r="248" spans="2:29" x14ac:dyDescent="0.3">
      <c r="B248" s="148">
        <v>45862</v>
      </c>
      <c r="C248" s="79">
        <f t="shared" si="15"/>
        <v>7</v>
      </c>
      <c r="D248" s="70" t="s">
        <v>157</v>
      </c>
      <c r="E248" s="71" t="s">
        <v>209</v>
      </c>
      <c r="F248" s="84" t="s">
        <v>204</v>
      </c>
      <c r="G248" s="71"/>
      <c r="H248" s="84" t="s">
        <v>481</v>
      </c>
      <c r="I248" s="72">
        <v>2</v>
      </c>
      <c r="J248" s="72">
        <v>50</v>
      </c>
      <c r="K248" s="73">
        <f t="shared" si="16"/>
        <v>100</v>
      </c>
      <c r="L248" s="73">
        <f t="shared" si="19"/>
        <v>100</v>
      </c>
      <c r="M248" s="73">
        <f t="shared" si="17"/>
        <v>0</v>
      </c>
      <c r="N248" s="29"/>
      <c r="AC248" t="str">
        <f t="shared" si="18"/>
        <v>Jul</v>
      </c>
    </row>
    <row r="249" spans="2:29" x14ac:dyDescent="0.3">
      <c r="B249" s="148">
        <v>45862</v>
      </c>
      <c r="C249" s="79">
        <f t="shared" si="15"/>
        <v>7</v>
      </c>
      <c r="D249" s="70" t="s">
        <v>25</v>
      </c>
      <c r="E249" s="71" t="s">
        <v>209</v>
      </c>
      <c r="F249" s="84" t="s">
        <v>204</v>
      </c>
      <c r="G249" s="71"/>
      <c r="H249" s="84" t="s">
        <v>484</v>
      </c>
      <c r="I249" s="72">
        <v>1</v>
      </c>
      <c r="J249" s="72">
        <v>350</v>
      </c>
      <c r="K249" s="73">
        <f t="shared" si="16"/>
        <v>350</v>
      </c>
      <c r="L249" s="73">
        <f t="shared" si="19"/>
        <v>350</v>
      </c>
      <c r="M249" s="73">
        <f t="shared" si="17"/>
        <v>0</v>
      </c>
      <c r="N249" s="29"/>
      <c r="AC249" t="str">
        <f t="shared" si="18"/>
        <v>Jul</v>
      </c>
    </row>
    <row r="250" spans="2:29" x14ac:dyDescent="0.3">
      <c r="B250" s="148">
        <v>45862</v>
      </c>
      <c r="C250" s="79">
        <f t="shared" si="15"/>
        <v>7</v>
      </c>
      <c r="D250" s="70" t="s">
        <v>7</v>
      </c>
      <c r="E250" s="71" t="s">
        <v>209</v>
      </c>
      <c r="F250" s="84" t="s">
        <v>0</v>
      </c>
      <c r="G250" s="71"/>
      <c r="H250" s="84" t="s">
        <v>484</v>
      </c>
      <c r="I250" s="72">
        <v>2</v>
      </c>
      <c r="J250" s="72">
        <v>1800</v>
      </c>
      <c r="K250" s="73">
        <f t="shared" si="16"/>
        <v>3600</v>
      </c>
      <c r="L250" s="73">
        <f t="shared" si="19"/>
        <v>3600</v>
      </c>
      <c r="M250" s="73">
        <f t="shared" si="17"/>
        <v>0</v>
      </c>
      <c r="N250" s="29"/>
      <c r="AC250" t="str">
        <f t="shared" si="18"/>
        <v>Jul</v>
      </c>
    </row>
    <row r="251" spans="2:29" x14ac:dyDescent="0.3">
      <c r="B251" s="148">
        <v>45862</v>
      </c>
      <c r="C251" s="79">
        <f t="shared" si="15"/>
        <v>7</v>
      </c>
      <c r="D251" s="70" t="s">
        <v>186</v>
      </c>
      <c r="E251" s="71" t="s">
        <v>209</v>
      </c>
      <c r="F251" s="84" t="s">
        <v>1</v>
      </c>
      <c r="G251" s="71"/>
      <c r="H251" s="84" t="s">
        <v>486</v>
      </c>
      <c r="I251" s="72">
        <v>1</v>
      </c>
      <c r="J251" s="72">
        <v>1750</v>
      </c>
      <c r="K251" s="73">
        <f t="shared" si="16"/>
        <v>1750</v>
      </c>
      <c r="L251" s="73">
        <f t="shared" si="19"/>
        <v>1750</v>
      </c>
      <c r="M251" s="73">
        <f t="shared" si="17"/>
        <v>0</v>
      </c>
      <c r="N251" s="29"/>
      <c r="AC251" t="str">
        <f t="shared" si="18"/>
        <v>Jul</v>
      </c>
    </row>
    <row r="252" spans="2:29" x14ac:dyDescent="0.3">
      <c r="B252" s="148">
        <v>45863</v>
      </c>
      <c r="C252" s="79">
        <f t="shared" si="15"/>
        <v>7</v>
      </c>
      <c r="D252" s="70" t="s">
        <v>162</v>
      </c>
      <c r="E252" s="71" t="s">
        <v>209</v>
      </c>
      <c r="F252" s="84" t="s">
        <v>1</v>
      </c>
      <c r="G252" s="71"/>
      <c r="H252" s="84" t="s">
        <v>485</v>
      </c>
      <c r="I252" s="72">
        <v>1</v>
      </c>
      <c r="J252" s="72">
        <v>2000</v>
      </c>
      <c r="K252" s="73">
        <f t="shared" si="16"/>
        <v>2000</v>
      </c>
      <c r="L252" s="73">
        <f t="shared" si="19"/>
        <v>2000</v>
      </c>
      <c r="M252" s="73">
        <f t="shared" si="17"/>
        <v>0</v>
      </c>
      <c r="N252" s="29"/>
      <c r="AC252" t="str">
        <f t="shared" si="18"/>
        <v>Jul</v>
      </c>
    </row>
    <row r="253" spans="2:29" x14ac:dyDescent="0.3">
      <c r="B253" s="148">
        <v>45863</v>
      </c>
      <c r="C253" s="79">
        <f t="shared" si="15"/>
        <v>7</v>
      </c>
      <c r="D253" s="70" t="s">
        <v>76</v>
      </c>
      <c r="E253" s="71" t="s">
        <v>209</v>
      </c>
      <c r="F253" s="84" t="s">
        <v>1</v>
      </c>
      <c r="G253" s="71"/>
      <c r="H253" s="84" t="s">
        <v>482</v>
      </c>
      <c r="I253" s="72">
        <v>1</v>
      </c>
      <c r="J253" s="72">
        <v>1700</v>
      </c>
      <c r="K253" s="73">
        <f t="shared" si="16"/>
        <v>1700</v>
      </c>
      <c r="L253" s="73">
        <f t="shared" si="19"/>
        <v>1700</v>
      </c>
      <c r="M253" s="73">
        <f t="shared" si="17"/>
        <v>0</v>
      </c>
      <c r="N253" s="29"/>
      <c r="AC253" t="str">
        <f t="shared" si="18"/>
        <v>Jul</v>
      </c>
    </row>
    <row r="254" spans="2:29" x14ac:dyDescent="0.3">
      <c r="B254" s="148">
        <v>45863</v>
      </c>
      <c r="C254" s="79">
        <f t="shared" si="15"/>
        <v>7</v>
      </c>
      <c r="D254" s="70" t="s">
        <v>25</v>
      </c>
      <c r="E254" s="71" t="s">
        <v>209</v>
      </c>
      <c r="F254" s="84" t="s">
        <v>204</v>
      </c>
      <c r="G254" s="71"/>
      <c r="H254" s="84" t="s">
        <v>475</v>
      </c>
      <c r="I254" s="72">
        <v>1</v>
      </c>
      <c r="J254" s="72">
        <v>350</v>
      </c>
      <c r="K254" s="73">
        <f t="shared" si="16"/>
        <v>350</v>
      </c>
      <c r="L254" s="73">
        <f t="shared" si="19"/>
        <v>350</v>
      </c>
      <c r="M254" s="73">
        <f t="shared" si="17"/>
        <v>0</v>
      </c>
      <c r="N254" s="29"/>
      <c r="AC254" t="str">
        <f t="shared" si="18"/>
        <v>Jul</v>
      </c>
    </row>
    <row r="255" spans="2:29" x14ac:dyDescent="0.3">
      <c r="B255" s="148">
        <v>45863</v>
      </c>
      <c r="C255" s="79">
        <f t="shared" si="15"/>
        <v>7</v>
      </c>
      <c r="D255" s="70" t="s">
        <v>25</v>
      </c>
      <c r="E255" s="71" t="s">
        <v>209</v>
      </c>
      <c r="F255" s="84" t="s">
        <v>204</v>
      </c>
      <c r="G255" s="71"/>
      <c r="H255" s="84" t="s">
        <v>484</v>
      </c>
      <c r="I255" s="72">
        <v>1</v>
      </c>
      <c r="J255" s="72">
        <v>350</v>
      </c>
      <c r="K255" s="73">
        <f t="shared" si="16"/>
        <v>350</v>
      </c>
      <c r="L255" s="73">
        <f t="shared" si="19"/>
        <v>350</v>
      </c>
      <c r="M255" s="73">
        <f t="shared" si="17"/>
        <v>0</v>
      </c>
      <c r="N255" s="29"/>
      <c r="AC255" t="str">
        <f t="shared" si="18"/>
        <v>Jul</v>
      </c>
    </row>
    <row r="256" spans="2:29" x14ac:dyDescent="0.3">
      <c r="B256" s="148">
        <v>45864</v>
      </c>
      <c r="C256" s="79">
        <f t="shared" si="15"/>
        <v>7</v>
      </c>
      <c r="D256" s="70" t="s">
        <v>49</v>
      </c>
      <c r="E256" s="71" t="s">
        <v>209</v>
      </c>
      <c r="F256" s="84" t="s">
        <v>1</v>
      </c>
      <c r="G256" s="71"/>
      <c r="H256" s="84" t="s">
        <v>477</v>
      </c>
      <c r="I256" s="72">
        <v>1</v>
      </c>
      <c r="J256" s="72">
        <v>2550</v>
      </c>
      <c r="K256" s="73">
        <f t="shared" si="16"/>
        <v>2550</v>
      </c>
      <c r="L256" s="73">
        <f t="shared" si="19"/>
        <v>2550</v>
      </c>
      <c r="M256" s="73">
        <f t="shared" si="17"/>
        <v>0</v>
      </c>
      <c r="N256" s="29"/>
      <c r="AC256" t="str">
        <f t="shared" si="18"/>
        <v>Jul</v>
      </c>
    </row>
    <row r="257" spans="2:29" x14ac:dyDescent="0.3">
      <c r="B257" s="148">
        <v>45864</v>
      </c>
      <c r="C257" s="79">
        <f t="shared" si="15"/>
        <v>7</v>
      </c>
      <c r="D257" s="70" t="s">
        <v>76</v>
      </c>
      <c r="E257" s="71" t="s">
        <v>209</v>
      </c>
      <c r="F257" s="84" t="s">
        <v>1</v>
      </c>
      <c r="G257" s="71"/>
      <c r="H257" s="84" t="s">
        <v>486</v>
      </c>
      <c r="I257" s="72">
        <v>1</v>
      </c>
      <c r="J257" s="72">
        <v>1700</v>
      </c>
      <c r="K257" s="73">
        <f t="shared" si="16"/>
        <v>1700</v>
      </c>
      <c r="L257" s="73">
        <f t="shared" si="19"/>
        <v>1700</v>
      </c>
      <c r="M257" s="73">
        <f t="shared" si="17"/>
        <v>0</v>
      </c>
      <c r="N257" s="29"/>
      <c r="AC257" t="str">
        <f t="shared" si="18"/>
        <v>Jul</v>
      </c>
    </row>
    <row r="258" spans="2:29" x14ac:dyDescent="0.3">
      <c r="B258" s="148">
        <v>45864</v>
      </c>
      <c r="C258" s="79">
        <f t="shared" si="15"/>
        <v>7</v>
      </c>
      <c r="D258" s="70" t="s">
        <v>75</v>
      </c>
      <c r="E258" s="71" t="s">
        <v>209</v>
      </c>
      <c r="F258" s="84" t="s">
        <v>204</v>
      </c>
      <c r="G258" s="71"/>
      <c r="H258" s="84" t="s">
        <v>484</v>
      </c>
      <c r="I258" s="72">
        <v>1</v>
      </c>
      <c r="J258" s="72">
        <v>30</v>
      </c>
      <c r="K258" s="73">
        <f t="shared" si="16"/>
        <v>30</v>
      </c>
      <c r="L258" s="73">
        <f t="shared" si="19"/>
        <v>30</v>
      </c>
      <c r="M258" s="73">
        <f t="shared" si="17"/>
        <v>0</v>
      </c>
      <c r="N258" s="29"/>
      <c r="AC258" t="str">
        <f t="shared" si="18"/>
        <v>Jul</v>
      </c>
    </row>
    <row r="259" spans="2:29" x14ac:dyDescent="0.3">
      <c r="B259" s="148">
        <v>45864</v>
      </c>
      <c r="C259" s="79">
        <f t="shared" si="15"/>
        <v>7</v>
      </c>
      <c r="D259" s="70" t="s">
        <v>25</v>
      </c>
      <c r="E259" s="71" t="s">
        <v>209</v>
      </c>
      <c r="F259" s="84" t="s">
        <v>204</v>
      </c>
      <c r="G259" s="71"/>
      <c r="H259" s="84" t="s">
        <v>481</v>
      </c>
      <c r="I259" s="72">
        <v>1</v>
      </c>
      <c r="J259" s="72">
        <v>325</v>
      </c>
      <c r="K259" s="73">
        <f t="shared" si="16"/>
        <v>325</v>
      </c>
      <c r="L259" s="73">
        <f t="shared" si="19"/>
        <v>325</v>
      </c>
      <c r="M259" s="73">
        <f t="shared" si="17"/>
        <v>0</v>
      </c>
      <c r="N259" s="29"/>
      <c r="AC259" t="str">
        <f t="shared" si="18"/>
        <v>Jul</v>
      </c>
    </row>
    <row r="260" spans="2:29" x14ac:dyDescent="0.3">
      <c r="B260" s="148">
        <v>45864</v>
      </c>
      <c r="C260" s="79">
        <f t="shared" si="15"/>
        <v>7</v>
      </c>
      <c r="D260" s="70" t="s">
        <v>48</v>
      </c>
      <c r="E260" s="71" t="s">
        <v>209</v>
      </c>
      <c r="F260" s="84" t="s">
        <v>204</v>
      </c>
      <c r="G260" s="71"/>
      <c r="H260" s="84" t="s">
        <v>483</v>
      </c>
      <c r="I260" s="72">
        <v>4</v>
      </c>
      <c r="J260" s="72">
        <v>37.5</v>
      </c>
      <c r="K260" s="73">
        <f t="shared" si="16"/>
        <v>150</v>
      </c>
      <c r="L260" s="73">
        <f t="shared" si="19"/>
        <v>150</v>
      </c>
      <c r="M260" s="73">
        <f t="shared" si="17"/>
        <v>0</v>
      </c>
      <c r="N260" s="29"/>
      <c r="AC260" t="str">
        <f t="shared" si="18"/>
        <v>Jul</v>
      </c>
    </row>
    <row r="261" spans="2:29" x14ac:dyDescent="0.3">
      <c r="B261" s="148">
        <v>45864</v>
      </c>
      <c r="C261" s="79">
        <f t="shared" si="15"/>
        <v>7</v>
      </c>
      <c r="D261" s="70" t="s">
        <v>24</v>
      </c>
      <c r="E261" s="71" t="s">
        <v>209</v>
      </c>
      <c r="F261" s="84" t="s">
        <v>204</v>
      </c>
      <c r="G261" s="71"/>
      <c r="H261" s="84" t="s">
        <v>484</v>
      </c>
      <c r="I261" s="72">
        <v>1</v>
      </c>
      <c r="J261" s="72">
        <v>100</v>
      </c>
      <c r="K261" s="73">
        <f t="shared" si="16"/>
        <v>100</v>
      </c>
      <c r="L261" s="73">
        <f t="shared" si="19"/>
        <v>100</v>
      </c>
      <c r="M261" s="73">
        <f t="shared" si="17"/>
        <v>0</v>
      </c>
      <c r="N261" s="29"/>
      <c r="AC261" t="str">
        <f t="shared" si="18"/>
        <v>Jul</v>
      </c>
    </row>
    <row r="262" spans="2:29" x14ac:dyDescent="0.3">
      <c r="B262" s="148">
        <v>45864</v>
      </c>
      <c r="C262" s="79">
        <f t="shared" ref="C262:C325" si="20">MONTH(B262)</f>
        <v>7</v>
      </c>
      <c r="D262" s="70" t="s">
        <v>94</v>
      </c>
      <c r="E262" s="71" t="s">
        <v>209</v>
      </c>
      <c r="F262" s="84" t="s">
        <v>204</v>
      </c>
      <c r="G262" s="71"/>
      <c r="H262" s="84" t="s">
        <v>477</v>
      </c>
      <c r="I262" s="72">
        <v>1</v>
      </c>
      <c r="J262" s="72">
        <v>300</v>
      </c>
      <c r="K262" s="73">
        <f t="shared" ref="K262:K325" si="21">I262*J262</f>
        <v>300</v>
      </c>
      <c r="L262" s="73">
        <f t="shared" si="19"/>
        <v>300</v>
      </c>
      <c r="M262" s="73">
        <f t="shared" ref="M262:M325" si="22">K262-L262</f>
        <v>0</v>
      </c>
      <c r="N262" s="29"/>
      <c r="AC262" t="str">
        <f t="shared" si="18"/>
        <v>Jul</v>
      </c>
    </row>
    <row r="263" spans="2:29" x14ac:dyDescent="0.3">
      <c r="B263" s="148">
        <v>45864</v>
      </c>
      <c r="C263" s="79">
        <f t="shared" si="20"/>
        <v>7</v>
      </c>
      <c r="D263" s="70" t="s">
        <v>127</v>
      </c>
      <c r="E263" s="71" t="s">
        <v>209</v>
      </c>
      <c r="F263" s="84" t="s">
        <v>204</v>
      </c>
      <c r="G263" s="71"/>
      <c r="H263" s="84" t="s">
        <v>477</v>
      </c>
      <c r="I263" s="72">
        <v>2</v>
      </c>
      <c r="J263" s="72">
        <v>50</v>
      </c>
      <c r="K263" s="73">
        <f t="shared" si="21"/>
        <v>100</v>
      </c>
      <c r="L263" s="73">
        <f t="shared" si="19"/>
        <v>100</v>
      </c>
      <c r="M263" s="73">
        <f t="shared" si="22"/>
        <v>0</v>
      </c>
      <c r="N263" s="29"/>
      <c r="AC263" t="str">
        <f t="shared" ref="AC263:AC326" si="23">IFERROR(INDEX(AA:AA,MATCH(C263,Z:Z,0)),"")</f>
        <v>Jul</v>
      </c>
    </row>
    <row r="264" spans="2:29" x14ac:dyDescent="0.3">
      <c r="B264" s="148">
        <v>45864</v>
      </c>
      <c r="C264" s="79">
        <f t="shared" si="20"/>
        <v>7</v>
      </c>
      <c r="D264" s="70" t="s">
        <v>168</v>
      </c>
      <c r="E264" s="71" t="s">
        <v>209</v>
      </c>
      <c r="F264" s="84" t="s">
        <v>204</v>
      </c>
      <c r="G264" s="71"/>
      <c r="H264" s="84" t="s">
        <v>484</v>
      </c>
      <c r="I264" s="72">
        <v>1</v>
      </c>
      <c r="J264" s="72">
        <v>100</v>
      </c>
      <c r="K264" s="73">
        <f t="shared" si="21"/>
        <v>100</v>
      </c>
      <c r="L264" s="73">
        <f t="shared" si="19"/>
        <v>100</v>
      </c>
      <c r="M264" s="73">
        <f t="shared" si="22"/>
        <v>0</v>
      </c>
      <c r="N264" s="29"/>
      <c r="AC264" t="str">
        <f t="shared" si="23"/>
        <v>Jul</v>
      </c>
    </row>
    <row r="265" spans="2:29" x14ac:dyDescent="0.3">
      <c r="B265" s="148">
        <v>45864</v>
      </c>
      <c r="C265" s="79">
        <f t="shared" si="20"/>
        <v>7</v>
      </c>
      <c r="D265" s="70" t="s">
        <v>102</v>
      </c>
      <c r="E265" s="71" t="s">
        <v>209</v>
      </c>
      <c r="F265" s="84" t="s">
        <v>204</v>
      </c>
      <c r="G265" s="71"/>
      <c r="H265" s="84" t="s">
        <v>484</v>
      </c>
      <c r="I265" s="72">
        <v>1</v>
      </c>
      <c r="J265" s="72">
        <v>850</v>
      </c>
      <c r="K265" s="73">
        <f t="shared" si="21"/>
        <v>850</v>
      </c>
      <c r="L265" s="73">
        <f t="shared" ref="L265:L328" si="24">K265</f>
        <v>850</v>
      </c>
      <c r="M265" s="73">
        <f t="shared" si="22"/>
        <v>0</v>
      </c>
      <c r="N265" s="29"/>
      <c r="AC265" t="str">
        <f t="shared" si="23"/>
        <v>Jul</v>
      </c>
    </row>
    <row r="266" spans="2:29" x14ac:dyDescent="0.3">
      <c r="B266" s="148">
        <v>45864</v>
      </c>
      <c r="C266" s="79">
        <f t="shared" si="20"/>
        <v>7</v>
      </c>
      <c r="D266" s="70" t="s">
        <v>169</v>
      </c>
      <c r="E266" s="71" t="s">
        <v>209</v>
      </c>
      <c r="F266" s="84" t="s">
        <v>204</v>
      </c>
      <c r="G266" s="71"/>
      <c r="H266" s="84" t="s">
        <v>481</v>
      </c>
      <c r="I266" s="72">
        <v>1</v>
      </c>
      <c r="J266" s="72">
        <v>100</v>
      </c>
      <c r="K266" s="73">
        <f t="shared" si="21"/>
        <v>100</v>
      </c>
      <c r="L266" s="73">
        <f t="shared" si="24"/>
        <v>100</v>
      </c>
      <c r="M266" s="73">
        <f t="shared" si="22"/>
        <v>0</v>
      </c>
      <c r="N266" s="29"/>
      <c r="AC266" t="str">
        <f t="shared" si="23"/>
        <v>Jul</v>
      </c>
    </row>
    <row r="267" spans="2:29" x14ac:dyDescent="0.3">
      <c r="B267" s="148">
        <v>45864</v>
      </c>
      <c r="C267" s="79">
        <f t="shared" si="20"/>
        <v>7</v>
      </c>
      <c r="D267" s="70" t="s">
        <v>47</v>
      </c>
      <c r="E267" s="71" t="s">
        <v>209</v>
      </c>
      <c r="F267" s="84" t="s">
        <v>204</v>
      </c>
      <c r="G267" s="71"/>
      <c r="H267" s="84" t="s">
        <v>484</v>
      </c>
      <c r="I267" s="72">
        <v>4</v>
      </c>
      <c r="J267" s="72">
        <v>70</v>
      </c>
      <c r="K267" s="73">
        <f t="shared" si="21"/>
        <v>280</v>
      </c>
      <c r="L267" s="73">
        <f t="shared" si="24"/>
        <v>280</v>
      </c>
      <c r="M267" s="73">
        <f t="shared" si="22"/>
        <v>0</v>
      </c>
      <c r="N267" s="29"/>
      <c r="AC267" t="str">
        <f t="shared" si="23"/>
        <v>Jul</v>
      </c>
    </row>
    <row r="268" spans="2:29" x14ac:dyDescent="0.3">
      <c r="B268" s="148">
        <v>45864</v>
      </c>
      <c r="C268" s="79">
        <f t="shared" si="20"/>
        <v>7</v>
      </c>
      <c r="D268" s="70" t="s">
        <v>103</v>
      </c>
      <c r="E268" s="71" t="s">
        <v>209</v>
      </c>
      <c r="F268" s="84" t="s">
        <v>204</v>
      </c>
      <c r="G268" s="71"/>
      <c r="H268" s="84" t="s">
        <v>484</v>
      </c>
      <c r="I268" s="72">
        <v>1</v>
      </c>
      <c r="J268" s="72">
        <v>150</v>
      </c>
      <c r="K268" s="73">
        <f t="shared" si="21"/>
        <v>150</v>
      </c>
      <c r="L268" s="73">
        <f t="shared" si="24"/>
        <v>150</v>
      </c>
      <c r="M268" s="73">
        <f t="shared" si="22"/>
        <v>0</v>
      </c>
      <c r="N268" s="29"/>
      <c r="AC268" t="str">
        <f t="shared" si="23"/>
        <v>Jul</v>
      </c>
    </row>
    <row r="269" spans="2:29" x14ac:dyDescent="0.3">
      <c r="B269" s="148">
        <v>45864</v>
      </c>
      <c r="C269" s="79">
        <f t="shared" si="20"/>
        <v>7</v>
      </c>
      <c r="D269" s="70" t="s">
        <v>183</v>
      </c>
      <c r="E269" s="71" t="s">
        <v>209</v>
      </c>
      <c r="F269" s="84" t="s">
        <v>204</v>
      </c>
      <c r="G269" s="71"/>
      <c r="H269" s="84" t="s">
        <v>481</v>
      </c>
      <c r="I269" s="72">
        <v>1</v>
      </c>
      <c r="J269" s="72">
        <v>1930</v>
      </c>
      <c r="K269" s="73">
        <f t="shared" si="21"/>
        <v>1930</v>
      </c>
      <c r="L269" s="73">
        <f t="shared" si="24"/>
        <v>1930</v>
      </c>
      <c r="M269" s="73">
        <f t="shared" si="22"/>
        <v>0</v>
      </c>
      <c r="N269" s="29"/>
      <c r="AC269" t="str">
        <f t="shared" si="23"/>
        <v>Jul</v>
      </c>
    </row>
    <row r="270" spans="2:29" x14ac:dyDescent="0.3">
      <c r="B270" s="148">
        <v>45865</v>
      </c>
      <c r="C270" s="79">
        <f t="shared" si="20"/>
        <v>7</v>
      </c>
      <c r="D270" s="70" t="s">
        <v>69</v>
      </c>
      <c r="E270" s="71" t="s">
        <v>209</v>
      </c>
      <c r="F270" s="84" t="s">
        <v>204</v>
      </c>
      <c r="G270" s="71"/>
      <c r="H270" s="84" t="s">
        <v>484</v>
      </c>
      <c r="I270" s="72">
        <v>1</v>
      </c>
      <c r="J270" s="72">
        <v>350</v>
      </c>
      <c r="K270" s="73">
        <f t="shared" si="21"/>
        <v>350</v>
      </c>
      <c r="L270" s="73">
        <f t="shared" si="24"/>
        <v>350</v>
      </c>
      <c r="M270" s="73">
        <f t="shared" si="22"/>
        <v>0</v>
      </c>
      <c r="N270" s="29"/>
      <c r="AC270" t="str">
        <f t="shared" si="23"/>
        <v>Jul</v>
      </c>
    </row>
    <row r="271" spans="2:29" x14ac:dyDescent="0.3">
      <c r="B271" s="148">
        <v>45865</v>
      </c>
      <c r="C271" s="79">
        <f t="shared" si="20"/>
        <v>7</v>
      </c>
      <c r="D271" s="70" t="s">
        <v>125</v>
      </c>
      <c r="E271" s="71" t="s">
        <v>209</v>
      </c>
      <c r="F271" s="84" t="s">
        <v>204</v>
      </c>
      <c r="G271" s="71"/>
      <c r="H271" s="84" t="s">
        <v>484</v>
      </c>
      <c r="I271" s="72">
        <v>1</v>
      </c>
      <c r="J271" s="72">
        <v>150</v>
      </c>
      <c r="K271" s="73">
        <f t="shared" si="21"/>
        <v>150</v>
      </c>
      <c r="L271" s="73">
        <f t="shared" si="24"/>
        <v>150</v>
      </c>
      <c r="M271" s="73">
        <f t="shared" si="22"/>
        <v>0</v>
      </c>
      <c r="N271" s="29"/>
      <c r="AC271" t="str">
        <f t="shared" si="23"/>
        <v>Jul</v>
      </c>
    </row>
    <row r="272" spans="2:29" x14ac:dyDescent="0.3">
      <c r="B272" s="148">
        <v>45865</v>
      </c>
      <c r="C272" s="79">
        <f t="shared" si="20"/>
        <v>7</v>
      </c>
      <c r="D272" s="70" t="s">
        <v>170</v>
      </c>
      <c r="E272" s="71" t="s">
        <v>209</v>
      </c>
      <c r="F272" s="84" t="s">
        <v>204</v>
      </c>
      <c r="G272" s="71"/>
      <c r="H272" s="84" t="s">
        <v>484</v>
      </c>
      <c r="I272" s="72">
        <v>1</v>
      </c>
      <c r="J272" s="72">
        <v>430</v>
      </c>
      <c r="K272" s="73">
        <f t="shared" si="21"/>
        <v>430</v>
      </c>
      <c r="L272" s="73">
        <f t="shared" si="24"/>
        <v>430</v>
      </c>
      <c r="M272" s="73">
        <f t="shared" si="22"/>
        <v>0</v>
      </c>
      <c r="N272" s="29"/>
      <c r="AC272" t="str">
        <f t="shared" si="23"/>
        <v>Jul</v>
      </c>
    </row>
    <row r="273" spans="2:29" x14ac:dyDescent="0.3">
      <c r="B273" s="148">
        <v>45865</v>
      </c>
      <c r="C273" s="79">
        <f t="shared" si="20"/>
        <v>7</v>
      </c>
      <c r="D273" s="70" t="s">
        <v>39</v>
      </c>
      <c r="E273" s="71" t="s">
        <v>209</v>
      </c>
      <c r="F273" s="84" t="s">
        <v>204</v>
      </c>
      <c r="G273" s="71"/>
      <c r="H273" s="84" t="s">
        <v>484</v>
      </c>
      <c r="I273" s="72">
        <v>1</v>
      </c>
      <c r="J273" s="72">
        <v>200</v>
      </c>
      <c r="K273" s="73">
        <f t="shared" si="21"/>
        <v>200</v>
      </c>
      <c r="L273" s="73">
        <f t="shared" si="24"/>
        <v>200</v>
      </c>
      <c r="M273" s="73">
        <f t="shared" si="22"/>
        <v>0</v>
      </c>
      <c r="N273" s="29"/>
      <c r="AC273" t="str">
        <f t="shared" si="23"/>
        <v>Jul</v>
      </c>
    </row>
    <row r="274" spans="2:29" x14ac:dyDescent="0.3">
      <c r="B274" s="148">
        <v>45866</v>
      </c>
      <c r="C274" s="79">
        <f t="shared" si="20"/>
        <v>7</v>
      </c>
      <c r="D274" s="70" t="s">
        <v>172</v>
      </c>
      <c r="E274" s="71" t="s">
        <v>209</v>
      </c>
      <c r="F274" s="84" t="s">
        <v>204</v>
      </c>
      <c r="G274" s="71"/>
      <c r="H274" s="84" t="s">
        <v>479</v>
      </c>
      <c r="I274" s="72">
        <v>1</v>
      </c>
      <c r="J274" s="72">
        <v>100</v>
      </c>
      <c r="K274" s="73">
        <f t="shared" si="21"/>
        <v>100</v>
      </c>
      <c r="L274" s="73">
        <f t="shared" si="24"/>
        <v>100</v>
      </c>
      <c r="M274" s="73">
        <f t="shared" si="22"/>
        <v>0</v>
      </c>
      <c r="N274" s="29"/>
      <c r="AC274" t="str">
        <f t="shared" si="23"/>
        <v>Jul</v>
      </c>
    </row>
    <row r="275" spans="2:29" x14ac:dyDescent="0.3">
      <c r="B275" s="148">
        <v>45866</v>
      </c>
      <c r="C275" s="79">
        <f t="shared" si="20"/>
        <v>7</v>
      </c>
      <c r="D275" s="70" t="s">
        <v>173</v>
      </c>
      <c r="E275" s="71" t="s">
        <v>209</v>
      </c>
      <c r="F275" s="84" t="s">
        <v>204</v>
      </c>
      <c r="G275" s="71"/>
      <c r="H275" s="84" t="s">
        <v>484</v>
      </c>
      <c r="I275" s="72">
        <v>1</v>
      </c>
      <c r="J275" s="72">
        <v>60</v>
      </c>
      <c r="K275" s="73">
        <f t="shared" si="21"/>
        <v>60</v>
      </c>
      <c r="L275" s="73">
        <f t="shared" si="24"/>
        <v>60</v>
      </c>
      <c r="M275" s="73">
        <f t="shared" si="22"/>
        <v>0</v>
      </c>
      <c r="N275" s="29"/>
      <c r="AC275" t="str">
        <f t="shared" si="23"/>
        <v>Jul</v>
      </c>
    </row>
    <row r="276" spans="2:29" x14ac:dyDescent="0.3">
      <c r="B276" s="148">
        <v>45866</v>
      </c>
      <c r="C276" s="79">
        <f t="shared" si="20"/>
        <v>7</v>
      </c>
      <c r="D276" s="70" t="s">
        <v>23</v>
      </c>
      <c r="E276" s="71" t="s">
        <v>209</v>
      </c>
      <c r="F276" s="84" t="s">
        <v>204</v>
      </c>
      <c r="G276" s="71"/>
      <c r="H276" s="84" t="s">
        <v>484</v>
      </c>
      <c r="I276" s="72">
        <v>1</v>
      </c>
      <c r="J276" s="72">
        <v>230</v>
      </c>
      <c r="K276" s="73">
        <f t="shared" si="21"/>
        <v>230</v>
      </c>
      <c r="L276" s="73">
        <f t="shared" si="24"/>
        <v>230</v>
      </c>
      <c r="M276" s="73">
        <f t="shared" si="22"/>
        <v>0</v>
      </c>
      <c r="N276" s="29"/>
      <c r="AC276" t="str">
        <f t="shared" si="23"/>
        <v>Jul</v>
      </c>
    </row>
    <row r="277" spans="2:29" x14ac:dyDescent="0.3">
      <c r="B277" s="148">
        <v>45866</v>
      </c>
      <c r="C277" s="79">
        <f t="shared" si="20"/>
        <v>7</v>
      </c>
      <c r="D277" s="70" t="s">
        <v>109</v>
      </c>
      <c r="E277" s="71" t="s">
        <v>209</v>
      </c>
      <c r="F277" s="84" t="s">
        <v>204</v>
      </c>
      <c r="G277" s="71"/>
      <c r="H277" s="84" t="s">
        <v>476</v>
      </c>
      <c r="I277" s="72">
        <v>1</v>
      </c>
      <c r="J277" s="72">
        <v>820</v>
      </c>
      <c r="K277" s="73">
        <f t="shared" si="21"/>
        <v>820</v>
      </c>
      <c r="L277" s="73">
        <f t="shared" si="24"/>
        <v>820</v>
      </c>
      <c r="M277" s="73">
        <f t="shared" si="22"/>
        <v>0</v>
      </c>
      <c r="N277" s="29"/>
      <c r="AC277" t="str">
        <f t="shared" si="23"/>
        <v>Jul</v>
      </c>
    </row>
    <row r="278" spans="2:29" x14ac:dyDescent="0.3">
      <c r="B278" s="148">
        <v>45866</v>
      </c>
      <c r="C278" s="79">
        <f t="shared" si="20"/>
        <v>7</v>
      </c>
      <c r="D278" s="70" t="s">
        <v>174</v>
      </c>
      <c r="E278" s="71" t="s">
        <v>209</v>
      </c>
      <c r="F278" s="84" t="s">
        <v>204</v>
      </c>
      <c r="G278" s="71"/>
      <c r="H278" s="84" t="s">
        <v>476</v>
      </c>
      <c r="I278" s="72">
        <v>1</v>
      </c>
      <c r="J278" s="72">
        <v>160</v>
      </c>
      <c r="K278" s="73">
        <f t="shared" si="21"/>
        <v>160</v>
      </c>
      <c r="L278" s="73">
        <f t="shared" si="24"/>
        <v>160</v>
      </c>
      <c r="M278" s="73">
        <f t="shared" si="22"/>
        <v>0</v>
      </c>
      <c r="N278" s="29"/>
      <c r="AC278" t="str">
        <f t="shared" si="23"/>
        <v>Jul</v>
      </c>
    </row>
    <row r="279" spans="2:29" x14ac:dyDescent="0.3">
      <c r="B279" s="148">
        <v>45866</v>
      </c>
      <c r="C279" s="79">
        <f t="shared" si="20"/>
        <v>7</v>
      </c>
      <c r="D279" s="70" t="s">
        <v>140</v>
      </c>
      <c r="E279" s="71" t="s">
        <v>209</v>
      </c>
      <c r="F279" s="84" t="s">
        <v>204</v>
      </c>
      <c r="G279" s="71"/>
      <c r="H279" s="84" t="s">
        <v>484</v>
      </c>
      <c r="I279" s="72">
        <v>1</v>
      </c>
      <c r="J279" s="72">
        <v>120</v>
      </c>
      <c r="K279" s="73">
        <f t="shared" si="21"/>
        <v>120</v>
      </c>
      <c r="L279" s="73">
        <f t="shared" si="24"/>
        <v>120</v>
      </c>
      <c r="M279" s="73">
        <f t="shared" si="22"/>
        <v>0</v>
      </c>
      <c r="N279" s="29"/>
      <c r="AC279" t="str">
        <f t="shared" si="23"/>
        <v>Jul</v>
      </c>
    </row>
    <row r="280" spans="2:29" x14ac:dyDescent="0.3">
      <c r="B280" s="148">
        <v>45866</v>
      </c>
      <c r="C280" s="79">
        <f t="shared" si="20"/>
        <v>7</v>
      </c>
      <c r="D280" s="70" t="s">
        <v>176</v>
      </c>
      <c r="E280" s="71" t="s">
        <v>209</v>
      </c>
      <c r="F280" s="84" t="s">
        <v>0</v>
      </c>
      <c r="G280" s="71"/>
      <c r="H280" s="84" t="s">
        <v>473</v>
      </c>
      <c r="I280" s="72">
        <v>2</v>
      </c>
      <c r="J280" s="72">
        <v>3200</v>
      </c>
      <c r="K280" s="73">
        <f t="shared" si="21"/>
        <v>6400</v>
      </c>
      <c r="L280" s="73">
        <f t="shared" si="24"/>
        <v>6400</v>
      </c>
      <c r="M280" s="73">
        <f t="shared" si="22"/>
        <v>0</v>
      </c>
      <c r="N280" s="29"/>
      <c r="AC280" t="str">
        <f t="shared" si="23"/>
        <v>Jul</v>
      </c>
    </row>
    <row r="281" spans="2:29" x14ac:dyDescent="0.3">
      <c r="B281" s="148">
        <v>45866</v>
      </c>
      <c r="C281" s="79">
        <f t="shared" si="20"/>
        <v>7</v>
      </c>
      <c r="D281" s="70" t="s">
        <v>178</v>
      </c>
      <c r="E281" s="71" t="s">
        <v>209</v>
      </c>
      <c r="F281" s="84" t="s">
        <v>0</v>
      </c>
      <c r="G281" s="71"/>
      <c r="H281" s="84" t="s">
        <v>484</v>
      </c>
      <c r="I281" s="72">
        <v>4</v>
      </c>
      <c r="J281" s="72">
        <v>5675</v>
      </c>
      <c r="K281" s="73">
        <f t="shared" si="21"/>
        <v>22700</v>
      </c>
      <c r="L281" s="73">
        <f t="shared" si="24"/>
        <v>22700</v>
      </c>
      <c r="M281" s="73">
        <f t="shared" si="22"/>
        <v>0</v>
      </c>
      <c r="N281" s="29"/>
      <c r="AC281" t="str">
        <f t="shared" si="23"/>
        <v>Jul</v>
      </c>
    </row>
    <row r="282" spans="2:29" x14ac:dyDescent="0.3">
      <c r="B282" s="148">
        <v>45866</v>
      </c>
      <c r="C282" s="79">
        <f t="shared" si="20"/>
        <v>7</v>
      </c>
      <c r="D282" s="70" t="s">
        <v>56</v>
      </c>
      <c r="E282" s="71" t="s">
        <v>209</v>
      </c>
      <c r="F282" s="84" t="s">
        <v>0</v>
      </c>
      <c r="G282" s="71"/>
      <c r="H282" s="84" t="s">
        <v>484</v>
      </c>
      <c r="I282" s="72">
        <v>2</v>
      </c>
      <c r="J282" s="72">
        <v>3800</v>
      </c>
      <c r="K282" s="73">
        <f t="shared" si="21"/>
        <v>7600</v>
      </c>
      <c r="L282" s="73">
        <f t="shared" si="24"/>
        <v>7600</v>
      </c>
      <c r="M282" s="73">
        <f t="shared" si="22"/>
        <v>0</v>
      </c>
      <c r="N282" s="29"/>
      <c r="AC282" t="str">
        <f t="shared" si="23"/>
        <v>Jul</v>
      </c>
    </row>
    <row r="283" spans="2:29" x14ac:dyDescent="0.3">
      <c r="B283" s="148">
        <v>45866</v>
      </c>
      <c r="C283" s="79">
        <f t="shared" si="20"/>
        <v>7</v>
      </c>
      <c r="D283" s="70" t="s">
        <v>179</v>
      </c>
      <c r="E283" s="71" t="s">
        <v>209</v>
      </c>
      <c r="F283" s="84" t="s">
        <v>1</v>
      </c>
      <c r="G283" s="71"/>
      <c r="H283" s="84" t="s">
        <v>478</v>
      </c>
      <c r="I283" s="72">
        <v>1</v>
      </c>
      <c r="J283" s="72">
        <v>1300</v>
      </c>
      <c r="K283" s="73">
        <f t="shared" si="21"/>
        <v>1300</v>
      </c>
      <c r="L283" s="73">
        <f t="shared" si="24"/>
        <v>1300</v>
      </c>
      <c r="M283" s="73">
        <f t="shared" si="22"/>
        <v>0</v>
      </c>
      <c r="N283" s="29"/>
      <c r="AC283" t="str">
        <f t="shared" si="23"/>
        <v>Jul</v>
      </c>
    </row>
    <row r="284" spans="2:29" x14ac:dyDescent="0.3">
      <c r="B284" s="148">
        <v>45866</v>
      </c>
      <c r="C284" s="79">
        <f t="shared" si="20"/>
        <v>7</v>
      </c>
      <c r="D284" s="70" t="s">
        <v>76</v>
      </c>
      <c r="E284" s="71" t="s">
        <v>209</v>
      </c>
      <c r="F284" s="84" t="s">
        <v>1</v>
      </c>
      <c r="G284" s="71"/>
      <c r="H284" s="84" t="s">
        <v>487</v>
      </c>
      <c r="I284" s="72">
        <v>1</v>
      </c>
      <c r="J284" s="72">
        <v>1700</v>
      </c>
      <c r="K284" s="73">
        <f t="shared" si="21"/>
        <v>1700</v>
      </c>
      <c r="L284" s="73">
        <f t="shared" si="24"/>
        <v>1700</v>
      </c>
      <c r="M284" s="73">
        <f t="shared" si="22"/>
        <v>0</v>
      </c>
      <c r="N284" s="29"/>
      <c r="AC284" t="str">
        <f t="shared" si="23"/>
        <v>Jul</v>
      </c>
    </row>
    <row r="285" spans="2:29" x14ac:dyDescent="0.3">
      <c r="B285" s="148">
        <v>45866</v>
      </c>
      <c r="C285" s="79">
        <f t="shared" si="20"/>
        <v>7</v>
      </c>
      <c r="D285" s="70" t="s">
        <v>48</v>
      </c>
      <c r="E285" s="71" t="s">
        <v>209</v>
      </c>
      <c r="F285" s="84" t="s">
        <v>204</v>
      </c>
      <c r="G285" s="71"/>
      <c r="H285" s="84" t="s">
        <v>484</v>
      </c>
      <c r="I285" s="72">
        <v>4</v>
      </c>
      <c r="J285" s="72">
        <v>37.5</v>
      </c>
      <c r="K285" s="73">
        <f t="shared" si="21"/>
        <v>150</v>
      </c>
      <c r="L285" s="73">
        <f t="shared" si="24"/>
        <v>150</v>
      </c>
      <c r="M285" s="73">
        <f t="shared" si="22"/>
        <v>0</v>
      </c>
      <c r="N285" s="29"/>
      <c r="AC285" t="str">
        <f t="shared" si="23"/>
        <v>Jul</v>
      </c>
    </row>
    <row r="286" spans="2:29" x14ac:dyDescent="0.3">
      <c r="B286" s="148">
        <v>45866</v>
      </c>
      <c r="C286" s="79">
        <f t="shared" si="20"/>
        <v>7</v>
      </c>
      <c r="D286" s="70" t="s">
        <v>109</v>
      </c>
      <c r="E286" s="71" t="s">
        <v>209</v>
      </c>
      <c r="F286" s="84" t="s">
        <v>204</v>
      </c>
      <c r="G286" s="71"/>
      <c r="H286" s="84" t="s">
        <v>484</v>
      </c>
      <c r="I286" s="72">
        <v>1</v>
      </c>
      <c r="J286" s="72">
        <v>800</v>
      </c>
      <c r="K286" s="73">
        <f t="shared" si="21"/>
        <v>800</v>
      </c>
      <c r="L286" s="73">
        <f t="shared" si="24"/>
        <v>800</v>
      </c>
      <c r="M286" s="73">
        <f t="shared" si="22"/>
        <v>0</v>
      </c>
      <c r="N286" s="29"/>
      <c r="AC286" t="str">
        <f t="shared" si="23"/>
        <v>Jul</v>
      </c>
    </row>
    <row r="287" spans="2:29" x14ac:dyDescent="0.3">
      <c r="B287" s="148">
        <v>45866</v>
      </c>
      <c r="C287" s="79">
        <f t="shared" si="20"/>
        <v>7</v>
      </c>
      <c r="D287" s="70" t="s">
        <v>47</v>
      </c>
      <c r="E287" s="71" t="s">
        <v>209</v>
      </c>
      <c r="F287" s="84" t="s">
        <v>204</v>
      </c>
      <c r="G287" s="71"/>
      <c r="H287" s="84" t="s">
        <v>484</v>
      </c>
      <c r="I287" s="72">
        <v>4</v>
      </c>
      <c r="J287" s="72">
        <v>67.5</v>
      </c>
      <c r="K287" s="73">
        <f t="shared" si="21"/>
        <v>270</v>
      </c>
      <c r="L287" s="73">
        <f t="shared" si="24"/>
        <v>270</v>
      </c>
      <c r="M287" s="73">
        <f t="shared" si="22"/>
        <v>0</v>
      </c>
      <c r="N287" s="29"/>
      <c r="AC287" t="str">
        <f t="shared" si="23"/>
        <v>Jul</v>
      </c>
    </row>
    <row r="288" spans="2:29" x14ac:dyDescent="0.3">
      <c r="B288" s="148">
        <v>45867</v>
      </c>
      <c r="C288" s="79">
        <f t="shared" si="20"/>
        <v>7</v>
      </c>
      <c r="D288" s="70" t="s">
        <v>68</v>
      </c>
      <c r="E288" s="71" t="s">
        <v>209</v>
      </c>
      <c r="F288" s="84" t="s">
        <v>204</v>
      </c>
      <c r="G288" s="71"/>
      <c r="H288" s="84" t="s">
        <v>484</v>
      </c>
      <c r="I288" s="72">
        <v>1</v>
      </c>
      <c r="J288" s="72">
        <v>100</v>
      </c>
      <c r="K288" s="73">
        <f t="shared" si="21"/>
        <v>100</v>
      </c>
      <c r="L288" s="73">
        <f t="shared" si="24"/>
        <v>100</v>
      </c>
      <c r="M288" s="73">
        <f t="shared" si="22"/>
        <v>0</v>
      </c>
      <c r="N288" s="29"/>
      <c r="AC288" t="str">
        <f t="shared" si="23"/>
        <v>Jul</v>
      </c>
    </row>
    <row r="289" spans="2:29" x14ac:dyDescent="0.3">
      <c r="B289" s="148">
        <v>45867</v>
      </c>
      <c r="C289" s="79">
        <f t="shared" si="20"/>
        <v>7</v>
      </c>
      <c r="D289" s="70" t="s">
        <v>102</v>
      </c>
      <c r="E289" s="71" t="s">
        <v>209</v>
      </c>
      <c r="F289" s="84" t="s">
        <v>204</v>
      </c>
      <c r="G289" s="71"/>
      <c r="H289" s="84" t="s">
        <v>487</v>
      </c>
      <c r="I289" s="72">
        <v>1</v>
      </c>
      <c r="J289" s="72">
        <v>900</v>
      </c>
      <c r="K289" s="73">
        <f t="shared" si="21"/>
        <v>900</v>
      </c>
      <c r="L289" s="73">
        <f t="shared" si="24"/>
        <v>900</v>
      </c>
      <c r="M289" s="73">
        <f t="shared" si="22"/>
        <v>0</v>
      </c>
      <c r="N289" s="29"/>
      <c r="AC289" t="str">
        <f t="shared" si="23"/>
        <v>Jul</v>
      </c>
    </row>
    <row r="290" spans="2:29" x14ac:dyDescent="0.3">
      <c r="B290" s="148">
        <v>45867</v>
      </c>
      <c r="C290" s="79">
        <f t="shared" si="20"/>
        <v>7</v>
      </c>
      <c r="D290" s="70" t="s">
        <v>95</v>
      </c>
      <c r="E290" s="71" t="s">
        <v>209</v>
      </c>
      <c r="F290" s="84" t="s">
        <v>204</v>
      </c>
      <c r="G290" s="71"/>
      <c r="H290" s="84" t="s">
        <v>487</v>
      </c>
      <c r="I290" s="72">
        <v>1</v>
      </c>
      <c r="J290" s="72">
        <v>300</v>
      </c>
      <c r="K290" s="73">
        <f t="shared" si="21"/>
        <v>300</v>
      </c>
      <c r="L290" s="73">
        <f t="shared" si="24"/>
        <v>300</v>
      </c>
      <c r="M290" s="73">
        <f t="shared" si="22"/>
        <v>0</v>
      </c>
      <c r="N290" s="29"/>
      <c r="AC290" t="str">
        <f t="shared" si="23"/>
        <v>Jul</v>
      </c>
    </row>
    <row r="291" spans="2:29" x14ac:dyDescent="0.3">
      <c r="B291" s="148">
        <v>45867</v>
      </c>
      <c r="C291" s="79">
        <f t="shared" si="20"/>
        <v>7</v>
      </c>
      <c r="D291" s="70" t="s">
        <v>94</v>
      </c>
      <c r="E291" s="71" t="s">
        <v>209</v>
      </c>
      <c r="F291" s="84" t="s">
        <v>204</v>
      </c>
      <c r="G291" s="71"/>
      <c r="H291" s="84" t="s">
        <v>487</v>
      </c>
      <c r="I291" s="72">
        <v>1</v>
      </c>
      <c r="J291" s="72">
        <v>250</v>
      </c>
      <c r="K291" s="73">
        <f t="shared" si="21"/>
        <v>250</v>
      </c>
      <c r="L291" s="73">
        <f t="shared" si="24"/>
        <v>250</v>
      </c>
      <c r="M291" s="73">
        <f t="shared" si="22"/>
        <v>0</v>
      </c>
      <c r="N291" s="29"/>
      <c r="AC291" t="str">
        <f t="shared" si="23"/>
        <v>Jul</v>
      </c>
    </row>
    <row r="292" spans="2:29" x14ac:dyDescent="0.3">
      <c r="B292" s="148">
        <v>45867</v>
      </c>
      <c r="C292" s="79">
        <f t="shared" si="20"/>
        <v>7</v>
      </c>
      <c r="D292" s="70" t="s">
        <v>180</v>
      </c>
      <c r="E292" s="71" t="s">
        <v>209</v>
      </c>
      <c r="F292" s="84" t="s">
        <v>204</v>
      </c>
      <c r="G292" s="71"/>
      <c r="H292" s="84" t="s">
        <v>478</v>
      </c>
      <c r="I292" s="72">
        <v>1</v>
      </c>
      <c r="J292" s="72">
        <v>1200</v>
      </c>
      <c r="K292" s="73">
        <f t="shared" si="21"/>
        <v>1200</v>
      </c>
      <c r="L292" s="73">
        <f t="shared" si="24"/>
        <v>1200</v>
      </c>
      <c r="M292" s="73">
        <f t="shared" si="22"/>
        <v>0</v>
      </c>
      <c r="N292" s="29"/>
      <c r="AC292" t="str">
        <f t="shared" si="23"/>
        <v>Jul</v>
      </c>
    </row>
    <row r="293" spans="2:29" x14ac:dyDescent="0.3">
      <c r="B293" s="148">
        <v>45867</v>
      </c>
      <c r="C293" s="79">
        <f t="shared" si="20"/>
        <v>7</v>
      </c>
      <c r="D293" s="70" t="s">
        <v>181</v>
      </c>
      <c r="E293" s="71" t="s">
        <v>209</v>
      </c>
      <c r="F293" s="84" t="s">
        <v>204</v>
      </c>
      <c r="G293" s="71"/>
      <c r="H293" s="84" t="s">
        <v>478</v>
      </c>
      <c r="I293" s="72">
        <v>1</v>
      </c>
      <c r="J293" s="72">
        <v>1200</v>
      </c>
      <c r="K293" s="73">
        <f t="shared" si="21"/>
        <v>1200</v>
      </c>
      <c r="L293" s="73">
        <f t="shared" si="24"/>
        <v>1200</v>
      </c>
      <c r="M293" s="73">
        <f t="shared" si="22"/>
        <v>0</v>
      </c>
      <c r="N293" s="29"/>
      <c r="AC293" t="str">
        <f t="shared" si="23"/>
        <v>Jul</v>
      </c>
    </row>
    <row r="294" spans="2:29" x14ac:dyDescent="0.3">
      <c r="B294" s="148">
        <v>45867</v>
      </c>
      <c r="C294" s="79">
        <f t="shared" si="20"/>
        <v>7</v>
      </c>
      <c r="D294" s="70" t="s">
        <v>151</v>
      </c>
      <c r="E294" s="71" t="s">
        <v>209</v>
      </c>
      <c r="F294" s="84" t="s">
        <v>204</v>
      </c>
      <c r="G294" s="71"/>
      <c r="H294" s="84" t="s">
        <v>478</v>
      </c>
      <c r="I294" s="72">
        <v>1</v>
      </c>
      <c r="J294" s="72">
        <v>200</v>
      </c>
      <c r="K294" s="73">
        <f t="shared" si="21"/>
        <v>200</v>
      </c>
      <c r="L294" s="73">
        <f t="shared" si="24"/>
        <v>200</v>
      </c>
      <c r="M294" s="73">
        <f t="shared" si="22"/>
        <v>0</v>
      </c>
      <c r="N294" s="29"/>
      <c r="AC294" t="str">
        <f t="shared" si="23"/>
        <v>Jul</v>
      </c>
    </row>
    <row r="295" spans="2:29" x14ac:dyDescent="0.3">
      <c r="B295" s="148">
        <v>45867</v>
      </c>
      <c r="C295" s="79">
        <f t="shared" si="20"/>
        <v>7</v>
      </c>
      <c r="D295" s="70" t="s">
        <v>75</v>
      </c>
      <c r="E295" s="71" t="s">
        <v>209</v>
      </c>
      <c r="F295" s="84" t="s">
        <v>204</v>
      </c>
      <c r="G295" s="71"/>
      <c r="H295" s="84" t="s">
        <v>484</v>
      </c>
      <c r="I295" s="72">
        <v>1</v>
      </c>
      <c r="J295" s="72">
        <v>30</v>
      </c>
      <c r="K295" s="73">
        <f t="shared" si="21"/>
        <v>30</v>
      </c>
      <c r="L295" s="73">
        <f t="shared" si="24"/>
        <v>30</v>
      </c>
      <c r="M295" s="73">
        <f t="shared" si="22"/>
        <v>0</v>
      </c>
      <c r="N295" s="29"/>
      <c r="AC295" t="str">
        <f t="shared" si="23"/>
        <v>Jul</v>
      </c>
    </row>
    <row r="296" spans="2:29" x14ac:dyDescent="0.3">
      <c r="B296" s="148">
        <v>45867</v>
      </c>
      <c r="C296" s="79">
        <f t="shared" si="20"/>
        <v>7</v>
      </c>
      <c r="D296" s="70" t="s">
        <v>183</v>
      </c>
      <c r="E296" s="71" t="s">
        <v>209</v>
      </c>
      <c r="F296" s="84" t="s">
        <v>204</v>
      </c>
      <c r="G296" s="71"/>
      <c r="H296" s="84" t="s">
        <v>478</v>
      </c>
      <c r="I296" s="72">
        <v>1</v>
      </c>
      <c r="J296" s="72">
        <v>320</v>
      </c>
      <c r="K296" s="73">
        <f t="shared" si="21"/>
        <v>320</v>
      </c>
      <c r="L296" s="73">
        <f t="shared" si="24"/>
        <v>320</v>
      </c>
      <c r="M296" s="73">
        <f t="shared" si="22"/>
        <v>0</v>
      </c>
      <c r="N296" s="29"/>
      <c r="AC296" t="str">
        <f t="shared" si="23"/>
        <v>Jul</v>
      </c>
    </row>
    <row r="297" spans="2:29" x14ac:dyDescent="0.3">
      <c r="B297" s="148">
        <v>45867</v>
      </c>
      <c r="C297" s="79">
        <f t="shared" si="20"/>
        <v>7</v>
      </c>
      <c r="D297" s="70" t="s">
        <v>104</v>
      </c>
      <c r="E297" s="71" t="s">
        <v>209</v>
      </c>
      <c r="F297" s="84" t="s">
        <v>204</v>
      </c>
      <c r="G297" s="71"/>
      <c r="H297" s="84" t="s">
        <v>478</v>
      </c>
      <c r="I297" s="72">
        <v>1</v>
      </c>
      <c r="J297" s="72">
        <v>150</v>
      </c>
      <c r="K297" s="73">
        <f t="shared" si="21"/>
        <v>150</v>
      </c>
      <c r="L297" s="73">
        <f t="shared" si="24"/>
        <v>150</v>
      </c>
      <c r="M297" s="73">
        <f t="shared" si="22"/>
        <v>0</v>
      </c>
      <c r="N297" s="29"/>
      <c r="AC297" t="str">
        <f t="shared" si="23"/>
        <v>Jul</v>
      </c>
    </row>
    <row r="298" spans="2:29" x14ac:dyDescent="0.3">
      <c r="B298" s="148">
        <v>45867</v>
      </c>
      <c r="C298" s="79">
        <f t="shared" si="20"/>
        <v>7</v>
      </c>
      <c r="D298" s="70" t="s">
        <v>133</v>
      </c>
      <c r="E298" s="71" t="s">
        <v>209</v>
      </c>
      <c r="F298" s="84" t="s">
        <v>204</v>
      </c>
      <c r="G298" s="71"/>
      <c r="H298" s="84" t="s">
        <v>478</v>
      </c>
      <c r="I298" s="72">
        <v>1</v>
      </c>
      <c r="J298" s="72">
        <v>800</v>
      </c>
      <c r="K298" s="73">
        <f t="shared" si="21"/>
        <v>800</v>
      </c>
      <c r="L298" s="73">
        <f t="shared" si="24"/>
        <v>800</v>
      </c>
      <c r="M298" s="73">
        <f t="shared" si="22"/>
        <v>0</v>
      </c>
      <c r="N298" s="29"/>
      <c r="AC298" t="str">
        <f t="shared" si="23"/>
        <v>Jul</v>
      </c>
    </row>
    <row r="299" spans="2:29" x14ac:dyDescent="0.3">
      <c r="B299" s="148">
        <v>45867</v>
      </c>
      <c r="C299" s="79">
        <f t="shared" si="20"/>
        <v>7</v>
      </c>
      <c r="D299" s="70" t="s">
        <v>48</v>
      </c>
      <c r="E299" s="71" t="s">
        <v>209</v>
      </c>
      <c r="F299" s="84" t="s">
        <v>204</v>
      </c>
      <c r="G299" s="71"/>
      <c r="H299" s="84" t="s">
        <v>478</v>
      </c>
      <c r="I299" s="72">
        <v>4</v>
      </c>
      <c r="J299" s="72">
        <v>32.5</v>
      </c>
      <c r="K299" s="73">
        <f t="shared" si="21"/>
        <v>130</v>
      </c>
      <c r="L299" s="73">
        <f t="shared" si="24"/>
        <v>130</v>
      </c>
      <c r="M299" s="73">
        <f t="shared" si="22"/>
        <v>0</v>
      </c>
      <c r="N299" s="29"/>
      <c r="AC299" t="str">
        <f t="shared" si="23"/>
        <v>Jul</v>
      </c>
    </row>
    <row r="300" spans="2:29" x14ac:dyDescent="0.3">
      <c r="B300" s="148">
        <v>45867</v>
      </c>
      <c r="C300" s="79">
        <f t="shared" si="20"/>
        <v>7</v>
      </c>
      <c r="D300" s="70" t="s">
        <v>94</v>
      </c>
      <c r="E300" s="71" t="s">
        <v>209</v>
      </c>
      <c r="F300" s="84" t="s">
        <v>204</v>
      </c>
      <c r="G300" s="71"/>
      <c r="H300" s="84" t="s">
        <v>478</v>
      </c>
      <c r="I300" s="72">
        <v>1</v>
      </c>
      <c r="J300" s="72">
        <v>250</v>
      </c>
      <c r="K300" s="73">
        <f t="shared" si="21"/>
        <v>250</v>
      </c>
      <c r="L300" s="73">
        <f t="shared" si="24"/>
        <v>250</v>
      </c>
      <c r="M300" s="73">
        <f t="shared" si="22"/>
        <v>0</v>
      </c>
      <c r="N300" s="29"/>
      <c r="AC300" t="str">
        <f t="shared" si="23"/>
        <v>Jul</v>
      </c>
    </row>
    <row r="301" spans="2:29" x14ac:dyDescent="0.3">
      <c r="B301" s="148">
        <v>45867</v>
      </c>
      <c r="C301" s="79">
        <f t="shared" si="20"/>
        <v>7</v>
      </c>
      <c r="D301" s="70" t="s">
        <v>23</v>
      </c>
      <c r="E301" s="71" t="s">
        <v>209</v>
      </c>
      <c r="F301" s="84" t="s">
        <v>204</v>
      </c>
      <c r="G301" s="71"/>
      <c r="H301" s="84" t="s">
        <v>478</v>
      </c>
      <c r="I301" s="72">
        <v>1</v>
      </c>
      <c r="J301" s="72">
        <v>230</v>
      </c>
      <c r="K301" s="73">
        <f t="shared" si="21"/>
        <v>230</v>
      </c>
      <c r="L301" s="73">
        <f t="shared" si="24"/>
        <v>230</v>
      </c>
      <c r="M301" s="73">
        <f t="shared" si="22"/>
        <v>0</v>
      </c>
      <c r="N301" s="29"/>
      <c r="AC301" t="str">
        <f t="shared" si="23"/>
        <v>Jul</v>
      </c>
    </row>
    <row r="302" spans="2:29" x14ac:dyDescent="0.3">
      <c r="B302" s="148">
        <v>45867</v>
      </c>
      <c r="C302" s="79">
        <f t="shared" si="20"/>
        <v>7</v>
      </c>
      <c r="D302" s="70" t="s">
        <v>182</v>
      </c>
      <c r="E302" s="71" t="s">
        <v>209</v>
      </c>
      <c r="F302" s="84" t="s">
        <v>204</v>
      </c>
      <c r="G302" s="71"/>
      <c r="H302" s="84" t="s">
        <v>478</v>
      </c>
      <c r="I302" s="72">
        <v>1</v>
      </c>
      <c r="J302" s="72">
        <v>100</v>
      </c>
      <c r="K302" s="73">
        <f t="shared" si="21"/>
        <v>100</v>
      </c>
      <c r="L302" s="73">
        <f t="shared" si="24"/>
        <v>100</v>
      </c>
      <c r="M302" s="73">
        <f t="shared" si="22"/>
        <v>0</v>
      </c>
      <c r="N302" s="29"/>
      <c r="AC302" t="str">
        <f t="shared" si="23"/>
        <v>Jul</v>
      </c>
    </row>
    <row r="303" spans="2:29" x14ac:dyDescent="0.3">
      <c r="B303" s="148">
        <v>45867</v>
      </c>
      <c r="C303" s="79">
        <f t="shared" si="20"/>
        <v>7</v>
      </c>
      <c r="D303" s="70" t="s">
        <v>47</v>
      </c>
      <c r="E303" s="71" t="s">
        <v>209</v>
      </c>
      <c r="F303" s="84" t="s">
        <v>204</v>
      </c>
      <c r="G303" s="71"/>
      <c r="H303" s="84" t="s">
        <v>478</v>
      </c>
      <c r="I303" s="72">
        <v>4</v>
      </c>
      <c r="J303" s="72">
        <v>67.5</v>
      </c>
      <c r="K303" s="73">
        <f t="shared" si="21"/>
        <v>270</v>
      </c>
      <c r="L303" s="73">
        <f t="shared" si="24"/>
        <v>270</v>
      </c>
      <c r="M303" s="73">
        <f t="shared" si="22"/>
        <v>0</v>
      </c>
      <c r="N303" s="29"/>
      <c r="AC303" t="str">
        <f t="shared" si="23"/>
        <v>Jul</v>
      </c>
    </row>
    <row r="304" spans="2:29" x14ac:dyDescent="0.3">
      <c r="B304" s="148">
        <v>45867</v>
      </c>
      <c r="C304" s="79">
        <f t="shared" si="20"/>
        <v>7</v>
      </c>
      <c r="D304" s="70" t="s">
        <v>39</v>
      </c>
      <c r="E304" s="71" t="s">
        <v>209</v>
      </c>
      <c r="F304" s="84" t="s">
        <v>204</v>
      </c>
      <c r="G304" s="71"/>
      <c r="H304" s="84" t="s">
        <v>483</v>
      </c>
      <c r="I304" s="72">
        <v>1</v>
      </c>
      <c r="J304" s="72">
        <v>440</v>
      </c>
      <c r="K304" s="73">
        <f t="shared" si="21"/>
        <v>440</v>
      </c>
      <c r="L304" s="73">
        <f t="shared" si="24"/>
        <v>440</v>
      </c>
      <c r="M304" s="73">
        <f t="shared" si="22"/>
        <v>0</v>
      </c>
      <c r="N304" s="29"/>
      <c r="AC304" t="str">
        <f t="shared" si="23"/>
        <v>Jul</v>
      </c>
    </row>
    <row r="305" spans="2:29" x14ac:dyDescent="0.3">
      <c r="B305" s="148">
        <v>45867</v>
      </c>
      <c r="C305" s="79">
        <f t="shared" si="20"/>
        <v>7</v>
      </c>
      <c r="D305" s="70" t="s">
        <v>25</v>
      </c>
      <c r="E305" s="71" t="s">
        <v>209</v>
      </c>
      <c r="F305" s="84" t="s">
        <v>204</v>
      </c>
      <c r="G305" s="71"/>
      <c r="H305" s="84" t="s">
        <v>483</v>
      </c>
      <c r="I305" s="72">
        <v>1</v>
      </c>
      <c r="J305" s="72">
        <v>350</v>
      </c>
      <c r="K305" s="73">
        <f t="shared" si="21"/>
        <v>350</v>
      </c>
      <c r="L305" s="73">
        <f t="shared" si="24"/>
        <v>350</v>
      </c>
      <c r="M305" s="73">
        <f t="shared" si="22"/>
        <v>0</v>
      </c>
      <c r="N305" s="29"/>
      <c r="AC305" t="str">
        <f t="shared" si="23"/>
        <v>Jul</v>
      </c>
    </row>
    <row r="306" spans="2:29" x14ac:dyDescent="0.3">
      <c r="B306" s="148">
        <v>45867</v>
      </c>
      <c r="C306" s="80">
        <f t="shared" si="20"/>
        <v>7</v>
      </c>
      <c r="D306" s="74" t="s">
        <v>99</v>
      </c>
      <c r="E306" s="71" t="s">
        <v>209</v>
      </c>
      <c r="F306" s="84" t="s">
        <v>204</v>
      </c>
      <c r="G306" s="84"/>
      <c r="H306" s="84" t="s">
        <v>483</v>
      </c>
      <c r="I306" s="69">
        <v>1</v>
      </c>
      <c r="J306" s="69">
        <v>800</v>
      </c>
      <c r="K306" s="75">
        <f t="shared" si="21"/>
        <v>800</v>
      </c>
      <c r="L306" s="73">
        <f t="shared" si="24"/>
        <v>800</v>
      </c>
      <c r="M306" s="73">
        <f t="shared" si="22"/>
        <v>0</v>
      </c>
      <c r="N306" s="29"/>
      <c r="AC306" t="str">
        <f t="shared" si="23"/>
        <v>Jul</v>
      </c>
    </row>
    <row r="307" spans="2:29" x14ac:dyDescent="0.3">
      <c r="B307" s="148">
        <v>45867</v>
      </c>
      <c r="C307" s="80">
        <f t="shared" si="20"/>
        <v>7</v>
      </c>
      <c r="D307" s="74" t="s">
        <v>23</v>
      </c>
      <c r="E307" s="71" t="s">
        <v>209</v>
      </c>
      <c r="F307" s="84" t="s">
        <v>204</v>
      </c>
      <c r="G307" s="84"/>
      <c r="H307" s="84" t="s">
        <v>483</v>
      </c>
      <c r="I307" s="69">
        <v>1</v>
      </c>
      <c r="J307" s="69">
        <v>230</v>
      </c>
      <c r="K307" s="75">
        <f t="shared" si="21"/>
        <v>230</v>
      </c>
      <c r="L307" s="73">
        <f t="shared" si="24"/>
        <v>230</v>
      </c>
      <c r="M307" s="73">
        <f t="shared" si="22"/>
        <v>0</v>
      </c>
      <c r="N307" s="29"/>
      <c r="AC307" t="str">
        <f t="shared" si="23"/>
        <v>Jul</v>
      </c>
    </row>
    <row r="308" spans="2:29" x14ac:dyDescent="0.3">
      <c r="B308" s="148">
        <v>45867</v>
      </c>
      <c r="C308" s="80">
        <f t="shared" si="20"/>
        <v>7</v>
      </c>
      <c r="D308" s="74" t="s">
        <v>97</v>
      </c>
      <c r="E308" s="71" t="s">
        <v>209</v>
      </c>
      <c r="F308" s="84" t="s">
        <v>204</v>
      </c>
      <c r="G308" s="84"/>
      <c r="H308" s="84" t="s">
        <v>483</v>
      </c>
      <c r="I308" s="69">
        <v>1</v>
      </c>
      <c r="J308" s="69">
        <v>150</v>
      </c>
      <c r="K308" s="75">
        <f t="shared" si="21"/>
        <v>150</v>
      </c>
      <c r="L308" s="73">
        <f t="shared" si="24"/>
        <v>150</v>
      </c>
      <c r="M308" s="73">
        <f t="shared" si="22"/>
        <v>0</v>
      </c>
      <c r="N308" s="29"/>
      <c r="AC308" t="str">
        <f t="shared" si="23"/>
        <v>Jul</v>
      </c>
    </row>
    <row r="309" spans="2:29" x14ac:dyDescent="0.3">
      <c r="B309" s="148">
        <v>45867</v>
      </c>
      <c r="C309" s="80">
        <f t="shared" si="20"/>
        <v>7</v>
      </c>
      <c r="D309" s="74" t="s">
        <v>49</v>
      </c>
      <c r="E309" s="71" t="s">
        <v>209</v>
      </c>
      <c r="F309" s="84" t="s">
        <v>1</v>
      </c>
      <c r="G309" s="84"/>
      <c r="H309" s="84" t="s">
        <v>472</v>
      </c>
      <c r="I309" s="69">
        <v>1</v>
      </c>
      <c r="J309" s="69">
        <v>2550</v>
      </c>
      <c r="K309" s="75">
        <f t="shared" si="21"/>
        <v>2550</v>
      </c>
      <c r="L309" s="73">
        <f t="shared" si="24"/>
        <v>2550</v>
      </c>
      <c r="M309" s="73">
        <f t="shared" si="22"/>
        <v>0</v>
      </c>
      <c r="N309" s="29"/>
      <c r="AC309" t="str">
        <f t="shared" si="23"/>
        <v>Jul</v>
      </c>
    </row>
    <row r="310" spans="2:29" x14ac:dyDescent="0.3">
      <c r="B310" s="148">
        <v>45867</v>
      </c>
      <c r="C310" s="80">
        <f t="shared" si="20"/>
        <v>7</v>
      </c>
      <c r="D310" s="74" t="s">
        <v>180</v>
      </c>
      <c r="E310" s="71" t="s">
        <v>209</v>
      </c>
      <c r="F310" s="84" t="s">
        <v>204</v>
      </c>
      <c r="G310" s="84"/>
      <c r="H310" s="84" t="s">
        <v>485</v>
      </c>
      <c r="I310" s="69">
        <v>1</v>
      </c>
      <c r="J310" s="69">
        <v>1200</v>
      </c>
      <c r="K310" s="75">
        <f t="shared" si="21"/>
        <v>1200</v>
      </c>
      <c r="L310" s="73">
        <f t="shared" si="24"/>
        <v>1200</v>
      </c>
      <c r="M310" s="73">
        <f t="shared" si="22"/>
        <v>0</v>
      </c>
      <c r="N310" s="29"/>
      <c r="AC310" t="str">
        <f t="shared" si="23"/>
        <v>Jul</v>
      </c>
    </row>
    <row r="311" spans="2:29" x14ac:dyDescent="0.3">
      <c r="B311" s="148">
        <v>45867</v>
      </c>
      <c r="C311" s="80">
        <f t="shared" si="20"/>
        <v>7</v>
      </c>
      <c r="D311" s="74" t="s">
        <v>181</v>
      </c>
      <c r="E311" s="71" t="s">
        <v>209</v>
      </c>
      <c r="F311" s="84" t="s">
        <v>204</v>
      </c>
      <c r="G311" s="84"/>
      <c r="H311" s="84" t="s">
        <v>485</v>
      </c>
      <c r="I311" s="69">
        <v>1</v>
      </c>
      <c r="J311" s="69">
        <v>1200</v>
      </c>
      <c r="K311" s="75">
        <f t="shared" si="21"/>
        <v>1200</v>
      </c>
      <c r="L311" s="73">
        <f t="shared" si="24"/>
        <v>1200</v>
      </c>
      <c r="M311" s="73">
        <f t="shared" si="22"/>
        <v>0</v>
      </c>
      <c r="N311" s="29"/>
      <c r="AC311" t="str">
        <f t="shared" si="23"/>
        <v>Jul</v>
      </c>
    </row>
    <row r="312" spans="2:29" x14ac:dyDescent="0.3">
      <c r="B312" s="148">
        <v>45867</v>
      </c>
      <c r="C312" s="80">
        <f t="shared" si="20"/>
        <v>7</v>
      </c>
      <c r="D312" s="74" t="s">
        <v>68</v>
      </c>
      <c r="E312" s="71" t="s">
        <v>209</v>
      </c>
      <c r="F312" s="84" t="s">
        <v>204</v>
      </c>
      <c r="G312" s="84"/>
      <c r="H312" s="84" t="s">
        <v>484</v>
      </c>
      <c r="I312" s="69">
        <v>1</v>
      </c>
      <c r="J312" s="69">
        <v>90</v>
      </c>
      <c r="K312" s="75">
        <f t="shared" si="21"/>
        <v>90</v>
      </c>
      <c r="L312" s="73">
        <f t="shared" si="24"/>
        <v>90</v>
      </c>
      <c r="M312" s="73">
        <f t="shared" si="22"/>
        <v>0</v>
      </c>
      <c r="N312" s="29"/>
      <c r="AC312" t="str">
        <f t="shared" si="23"/>
        <v>Jul</v>
      </c>
    </row>
    <row r="313" spans="2:29" x14ac:dyDescent="0.3">
      <c r="B313" s="148">
        <v>45868</v>
      </c>
      <c r="C313" s="80">
        <f t="shared" si="20"/>
        <v>7</v>
      </c>
      <c r="D313" s="74" t="s">
        <v>87</v>
      </c>
      <c r="E313" s="71" t="s">
        <v>209</v>
      </c>
      <c r="F313" s="84" t="s">
        <v>204</v>
      </c>
      <c r="G313" s="84"/>
      <c r="H313" s="84" t="s">
        <v>483</v>
      </c>
      <c r="I313" s="69">
        <v>1</v>
      </c>
      <c r="J313" s="69">
        <v>250</v>
      </c>
      <c r="K313" s="75">
        <f t="shared" si="21"/>
        <v>250</v>
      </c>
      <c r="L313" s="73">
        <f t="shared" si="24"/>
        <v>250</v>
      </c>
      <c r="M313" s="73">
        <f t="shared" si="22"/>
        <v>0</v>
      </c>
      <c r="N313" s="29"/>
      <c r="AC313" t="str">
        <f t="shared" si="23"/>
        <v>Jul</v>
      </c>
    </row>
    <row r="314" spans="2:29" x14ac:dyDescent="0.3">
      <c r="B314" s="148">
        <v>45868</v>
      </c>
      <c r="C314" s="80">
        <f t="shared" si="20"/>
        <v>7</v>
      </c>
      <c r="D314" s="74" t="s">
        <v>65</v>
      </c>
      <c r="E314" s="71" t="s">
        <v>209</v>
      </c>
      <c r="F314" s="84" t="s">
        <v>204</v>
      </c>
      <c r="G314" s="84"/>
      <c r="H314" s="84" t="s">
        <v>484</v>
      </c>
      <c r="I314" s="69">
        <v>1</v>
      </c>
      <c r="J314" s="69">
        <v>100</v>
      </c>
      <c r="K314" s="75">
        <f t="shared" si="21"/>
        <v>100</v>
      </c>
      <c r="L314" s="73">
        <f t="shared" si="24"/>
        <v>100</v>
      </c>
      <c r="M314" s="73">
        <f t="shared" si="22"/>
        <v>0</v>
      </c>
      <c r="N314" s="29"/>
      <c r="AC314" t="str">
        <f t="shared" si="23"/>
        <v>Jul</v>
      </c>
    </row>
    <row r="315" spans="2:29" x14ac:dyDescent="0.3">
      <c r="B315" s="148">
        <v>45868</v>
      </c>
      <c r="C315" s="80">
        <f t="shared" si="20"/>
        <v>7</v>
      </c>
      <c r="D315" s="74" t="s">
        <v>43</v>
      </c>
      <c r="E315" s="71" t="s">
        <v>209</v>
      </c>
      <c r="F315" s="84" t="s">
        <v>204</v>
      </c>
      <c r="G315" s="84"/>
      <c r="H315" s="84" t="s">
        <v>484</v>
      </c>
      <c r="I315" s="69">
        <v>1</v>
      </c>
      <c r="J315" s="69">
        <v>220</v>
      </c>
      <c r="K315" s="75">
        <f t="shared" si="21"/>
        <v>220</v>
      </c>
      <c r="L315" s="73">
        <f t="shared" si="24"/>
        <v>220</v>
      </c>
      <c r="M315" s="73">
        <f t="shared" si="22"/>
        <v>0</v>
      </c>
      <c r="N315" s="29"/>
      <c r="AC315" t="str">
        <f t="shared" si="23"/>
        <v>Jul</v>
      </c>
    </row>
    <row r="316" spans="2:29" x14ac:dyDescent="0.3">
      <c r="B316" s="148">
        <v>45868</v>
      </c>
      <c r="C316" s="80">
        <f t="shared" si="20"/>
        <v>7</v>
      </c>
      <c r="D316" s="74" t="s">
        <v>26</v>
      </c>
      <c r="E316" s="71" t="s">
        <v>209</v>
      </c>
      <c r="F316" s="84" t="s">
        <v>204</v>
      </c>
      <c r="G316" s="84"/>
      <c r="H316" s="84" t="s">
        <v>484</v>
      </c>
      <c r="I316" s="69">
        <v>1</v>
      </c>
      <c r="J316" s="69">
        <v>550</v>
      </c>
      <c r="K316" s="75">
        <f t="shared" si="21"/>
        <v>550</v>
      </c>
      <c r="L316" s="73">
        <f t="shared" si="24"/>
        <v>550</v>
      </c>
      <c r="M316" s="73">
        <f t="shared" si="22"/>
        <v>0</v>
      </c>
      <c r="N316" s="29"/>
      <c r="AC316" t="str">
        <f t="shared" si="23"/>
        <v>Jul</v>
      </c>
    </row>
    <row r="317" spans="2:29" x14ac:dyDescent="0.3">
      <c r="B317" s="148">
        <v>45868</v>
      </c>
      <c r="C317" s="80">
        <f t="shared" si="20"/>
        <v>7</v>
      </c>
      <c r="D317" s="74" t="s">
        <v>184</v>
      </c>
      <c r="E317" s="71" t="s">
        <v>209</v>
      </c>
      <c r="F317" s="84" t="s">
        <v>204</v>
      </c>
      <c r="G317" s="84"/>
      <c r="H317" s="84" t="s">
        <v>484</v>
      </c>
      <c r="I317" s="69">
        <v>1</v>
      </c>
      <c r="J317" s="69">
        <v>30</v>
      </c>
      <c r="K317" s="75">
        <f t="shared" si="21"/>
        <v>30</v>
      </c>
      <c r="L317" s="73">
        <f t="shared" si="24"/>
        <v>30</v>
      </c>
      <c r="M317" s="73">
        <f t="shared" si="22"/>
        <v>0</v>
      </c>
      <c r="N317" s="29"/>
      <c r="AC317" t="str">
        <f t="shared" si="23"/>
        <v>Jul</v>
      </c>
    </row>
    <row r="318" spans="2:29" x14ac:dyDescent="0.3">
      <c r="B318" s="148">
        <v>45868</v>
      </c>
      <c r="C318" s="80">
        <f t="shared" si="20"/>
        <v>7</v>
      </c>
      <c r="D318" s="74" t="s">
        <v>185</v>
      </c>
      <c r="E318" s="71" t="s">
        <v>209</v>
      </c>
      <c r="F318" s="84" t="s">
        <v>204</v>
      </c>
      <c r="G318" s="84"/>
      <c r="H318" s="84" t="s">
        <v>484</v>
      </c>
      <c r="I318" s="69">
        <v>1</v>
      </c>
      <c r="J318" s="69">
        <v>750</v>
      </c>
      <c r="K318" s="75">
        <f t="shared" si="21"/>
        <v>750</v>
      </c>
      <c r="L318" s="73">
        <f t="shared" si="24"/>
        <v>750</v>
      </c>
      <c r="M318" s="73">
        <f t="shared" si="22"/>
        <v>0</v>
      </c>
      <c r="N318" s="29"/>
      <c r="AC318" t="str">
        <f t="shared" si="23"/>
        <v>Jul</v>
      </c>
    </row>
    <row r="319" spans="2:29" x14ac:dyDescent="0.3">
      <c r="B319" s="148">
        <v>45868</v>
      </c>
      <c r="C319" s="80">
        <f t="shared" si="20"/>
        <v>7</v>
      </c>
      <c r="D319" s="74" t="s">
        <v>35</v>
      </c>
      <c r="E319" s="71" t="s">
        <v>209</v>
      </c>
      <c r="F319" s="84" t="s">
        <v>204</v>
      </c>
      <c r="G319" s="84"/>
      <c r="H319" s="84" t="s">
        <v>484</v>
      </c>
      <c r="I319" s="69">
        <v>1</v>
      </c>
      <c r="J319" s="69">
        <v>200</v>
      </c>
      <c r="K319" s="75">
        <f t="shared" si="21"/>
        <v>200</v>
      </c>
      <c r="L319" s="73">
        <f t="shared" si="24"/>
        <v>200</v>
      </c>
      <c r="M319" s="73">
        <f t="shared" si="22"/>
        <v>0</v>
      </c>
      <c r="N319" s="29"/>
      <c r="AC319" t="str">
        <f t="shared" si="23"/>
        <v>Jul</v>
      </c>
    </row>
    <row r="320" spans="2:29" x14ac:dyDescent="0.3">
      <c r="B320" s="148">
        <v>45868</v>
      </c>
      <c r="C320" s="80">
        <f t="shared" si="20"/>
        <v>7</v>
      </c>
      <c r="D320" s="74" t="s">
        <v>76</v>
      </c>
      <c r="E320" s="71" t="s">
        <v>209</v>
      </c>
      <c r="F320" s="84" t="s">
        <v>1</v>
      </c>
      <c r="G320" s="84"/>
      <c r="H320" s="84" t="s">
        <v>488</v>
      </c>
      <c r="I320" s="69">
        <v>1</v>
      </c>
      <c r="J320" s="69">
        <v>1700</v>
      </c>
      <c r="K320" s="75">
        <f t="shared" si="21"/>
        <v>1700</v>
      </c>
      <c r="L320" s="73">
        <f t="shared" si="24"/>
        <v>1700</v>
      </c>
      <c r="M320" s="73">
        <f t="shared" si="22"/>
        <v>0</v>
      </c>
      <c r="N320" s="29"/>
      <c r="AC320" t="str">
        <f t="shared" si="23"/>
        <v>Jul</v>
      </c>
    </row>
    <row r="321" spans="2:29" x14ac:dyDescent="0.3">
      <c r="B321" s="148">
        <v>45869</v>
      </c>
      <c r="C321" s="80">
        <f t="shared" si="20"/>
        <v>7</v>
      </c>
      <c r="D321" s="74" t="s">
        <v>138</v>
      </c>
      <c r="E321" s="71" t="s">
        <v>209</v>
      </c>
      <c r="F321" s="84" t="s">
        <v>204</v>
      </c>
      <c r="G321" s="84"/>
      <c r="H321" s="84" t="s">
        <v>481</v>
      </c>
      <c r="I321" s="69">
        <v>1</v>
      </c>
      <c r="J321" s="69">
        <v>450</v>
      </c>
      <c r="K321" s="75">
        <f t="shared" si="21"/>
        <v>450</v>
      </c>
      <c r="L321" s="73">
        <f t="shared" si="24"/>
        <v>450</v>
      </c>
      <c r="M321" s="73">
        <f t="shared" si="22"/>
        <v>0</v>
      </c>
      <c r="N321" s="29"/>
      <c r="AC321" t="str">
        <f t="shared" si="23"/>
        <v>Jul</v>
      </c>
    </row>
    <row r="322" spans="2:29" x14ac:dyDescent="0.3">
      <c r="B322" s="148">
        <v>45869</v>
      </c>
      <c r="C322" s="80">
        <f t="shared" si="20"/>
        <v>7</v>
      </c>
      <c r="D322" s="74" t="s">
        <v>23</v>
      </c>
      <c r="E322" s="71" t="s">
        <v>209</v>
      </c>
      <c r="F322" s="84" t="s">
        <v>204</v>
      </c>
      <c r="G322" s="84"/>
      <c r="H322" s="84" t="s">
        <v>485</v>
      </c>
      <c r="I322" s="69">
        <v>2</v>
      </c>
      <c r="J322" s="69">
        <v>250</v>
      </c>
      <c r="K322" s="75">
        <f t="shared" si="21"/>
        <v>500</v>
      </c>
      <c r="L322" s="73">
        <f t="shared" si="24"/>
        <v>500</v>
      </c>
      <c r="M322" s="73">
        <f t="shared" si="22"/>
        <v>0</v>
      </c>
      <c r="N322" s="29"/>
      <c r="AC322" t="str">
        <f t="shared" si="23"/>
        <v>Jul</v>
      </c>
    </row>
    <row r="323" spans="2:29" x14ac:dyDescent="0.3">
      <c r="B323" s="148">
        <v>45869</v>
      </c>
      <c r="C323" s="80">
        <f t="shared" si="20"/>
        <v>7</v>
      </c>
      <c r="D323" s="74" t="s">
        <v>104</v>
      </c>
      <c r="E323" s="71" t="s">
        <v>209</v>
      </c>
      <c r="F323" s="84" t="s">
        <v>204</v>
      </c>
      <c r="G323" s="84"/>
      <c r="H323" s="84" t="s">
        <v>484</v>
      </c>
      <c r="I323" s="69">
        <v>1</v>
      </c>
      <c r="J323" s="69">
        <v>150</v>
      </c>
      <c r="K323" s="75">
        <f t="shared" si="21"/>
        <v>150</v>
      </c>
      <c r="L323" s="73">
        <f t="shared" si="24"/>
        <v>150</v>
      </c>
      <c r="M323" s="73">
        <f t="shared" si="22"/>
        <v>0</v>
      </c>
      <c r="N323" s="29"/>
      <c r="AC323" t="str">
        <f t="shared" si="23"/>
        <v>Jul</v>
      </c>
    </row>
    <row r="324" spans="2:29" x14ac:dyDescent="0.3">
      <c r="B324" s="148">
        <v>45869</v>
      </c>
      <c r="C324" s="80">
        <f t="shared" si="20"/>
        <v>7</v>
      </c>
      <c r="D324" s="74" t="s">
        <v>189</v>
      </c>
      <c r="E324" s="71" t="s">
        <v>209</v>
      </c>
      <c r="F324" s="84" t="s">
        <v>204</v>
      </c>
      <c r="G324" s="84"/>
      <c r="H324" s="84" t="s">
        <v>479</v>
      </c>
      <c r="I324" s="69">
        <v>1</v>
      </c>
      <c r="J324" s="69">
        <v>400</v>
      </c>
      <c r="K324" s="75">
        <f t="shared" si="21"/>
        <v>400</v>
      </c>
      <c r="L324" s="73">
        <f t="shared" si="24"/>
        <v>400</v>
      </c>
      <c r="M324" s="73">
        <f t="shared" si="22"/>
        <v>0</v>
      </c>
      <c r="N324" s="29"/>
      <c r="AC324" t="str">
        <f t="shared" si="23"/>
        <v>Jul</v>
      </c>
    </row>
    <row r="325" spans="2:29" x14ac:dyDescent="0.3">
      <c r="B325" s="148">
        <v>45869</v>
      </c>
      <c r="C325" s="80">
        <f t="shared" si="20"/>
        <v>7</v>
      </c>
      <c r="D325" s="74" t="s">
        <v>190</v>
      </c>
      <c r="E325" s="71" t="s">
        <v>209</v>
      </c>
      <c r="F325" s="84" t="s">
        <v>204</v>
      </c>
      <c r="G325" s="84"/>
      <c r="H325" s="84" t="s">
        <v>489</v>
      </c>
      <c r="I325" s="69">
        <v>1</v>
      </c>
      <c r="J325" s="69">
        <v>250</v>
      </c>
      <c r="K325" s="75">
        <f t="shared" si="21"/>
        <v>250</v>
      </c>
      <c r="L325" s="73">
        <f t="shared" si="24"/>
        <v>250</v>
      </c>
      <c r="M325" s="73">
        <f t="shared" si="22"/>
        <v>0</v>
      </c>
      <c r="N325" s="29"/>
      <c r="AC325" t="str">
        <f t="shared" si="23"/>
        <v>Jul</v>
      </c>
    </row>
    <row r="326" spans="2:29" x14ac:dyDescent="0.3">
      <c r="B326" s="148">
        <v>45869</v>
      </c>
      <c r="C326" s="80">
        <f t="shared" ref="C326:C389" si="25">MONTH(B326)</f>
        <v>7</v>
      </c>
      <c r="D326" s="74" t="s">
        <v>97</v>
      </c>
      <c r="E326" s="71" t="s">
        <v>209</v>
      </c>
      <c r="F326" s="84" t="s">
        <v>204</v>
      </c>
      <c r="G326" s="84"/>
      <c r="H326" s="84" t="s">
        <v>486</v>
      </c>
      <c r="I326" s="69">
        <v>1</v>
      </c>
      <c r="J326" s="69">
        <v>5070</v>
      </c>
      <c r="K326" s="75">
        <f t="shared" ref="K326:K389" si="26">I326*J326</f>
        <v>5070</v>
      </c>
      <c r="L326" s="73">
        <f t="shared" si="24"/>
        <v>5070</v>
      </c>
      <c r="M326" s="73">
        <f t="shared" ref="M326:M389" si="27">K326-L326</f>
        <v>0</v>
      </c>
      <c r="N326" s="29"/>
      <c r="AC326" t="str">
        <f t="shared" si="23"/>
        <v>Jul</v>
      </c>
    </row>
    <row r="327" spans="2:29" x14ac:dyDescent="0.3">
      <c r="B327" s="148">
        <v>45869</v>
      </c>
      <c r="C327" s="80">
        <f t="shared" si="25"/>
        <v>7</v>
      </c>
      <c r="D327" s="74" t="s">
        <v>99</v>
      </c>
      <c r="E327" s="71" t="s">
        <v>209</v>
      </c>
      <c r="F327" s="84" t="s">
        <v>204</v>
      </c>
      <c r="G327" s="84"/>
      <c r="H327" s="84" t="s">
        <v>485</v>
      </c>
      <c r="I327" s="69">
        <v>1</v>
      </c>
      <c r="J327" s="69">
        <v>800</v>
      </c>
      <c r="K327" s="75">
        <f t="shared" si="26"/>
        <v>800</v>
      </c>
      <c r="L327" s="73">
        <f t="shared" si="24"/>
        <v>800</v>
      </c>
      <c r="M327" s="73">
        <f t="shared" si="27"/>
        <v>0</v>
      </c>
      <c r="N327" s="29"/>
      <c r="AC327" t="str">
        <f t="shared" ref="AC327:AC390" si="28">IFERROR(INDEX(AA:AA,MATCH(C327,Z:Z,0)),"")</f>
        <v>Jul</v>
      </c>
    </row>
    <row r="328" spans="2:29" x14ac:dyDescent="0.3">
      <c r="B328" s="148">
        <v>45869</v>
      </c>
      <c r="C328" s="80">
        <f t="shared" si="25"/>
        <v>7</v>
      </c>
      <c r="D328" s="74" t="s">
        <v>23</v>
      </c>
      <c r="E328" s="71" t="s">
        <v>209</v>
      </c>
      <c r="F328" s="84" t="s">
        <v>204</v>
      </c>
      <c r="G328" s="84"/>
      <c r="H328" s="84" t="s">
        <v>485</v>
      </c>
      <c r="I328" s="69">
        <v>1</v>
      </c>
      <c r="J328" s="69">
        <v>230</v>
      </c>
      <c r="K328" s="75">
        <f t="shared" si="26"/>
        <v>230</v>
      </c>
      <c r="L328" s="73">
        <f t="shared" si="24"/>
        <v>230</v>
      </c>
      <c r="M328" s="73">
        <f t="shared" si="27"/>
        <v>0</v>
      </c>
      <c r="N328" s="29"/>
      <c r="AC328" t="str">
        <f t="shared" si="28"/>
        <v>Jul</v>
      </c>
    </row>
    <row r="329" spans="2:29" x14ac:dyDescent="0.3">
      <c r="B329" s="148">
        <v>45869</v>
      </c>
      <c r="C329" s="80">
        <f t="shared" si="25"/>
        <v>7</v>
      </c>
      <c r="D329" s="74" t="s">
        <v>183</v>
      </c>
      <c r="E329" s="71" t="s">
        <v>209</v>
      </c>
      <c r="F329" s="84" t="s">
        <v>204</v>
      </c>
      <c r="G329" s="84"/>
      <c r="H329" s="84" t="s">
        <v>485</v>
      </c>
      <c r="I329" s="69">
        <v>1</v>
      </c>
      <c r="J329" s="69">
        <v>320</v>
      </c>
      <c r="K329" s="75">
        <f t="shared" si="26"/>
        <v>320</v>
      </c>
      <c r="L329" s="73">
        <f t="shared" ref="L329:L335" si="29">K329</f>
        <v>320</v>
      </c>
      <c r="M329" s="73">
        <f t="shared" si="27"/>
        <v>0</v>
      </c>
      <c r="N329" s="29"/>
      <c r="AC329" t="str">
        <f t="shared" si="28"/>
        <v>Jul</v>
      </c>
    </row>
    <row r="330" spans="2:29" x14ac:dyDescent="0.3">
      <c r="B330" s="148">
        <v>45869</v>
      </c>
      <c r="C330" s="80">
        <f t="shared" si="25"/>
        <v>7</v>
      </c>
      <c r="D330" s="74" t="s">
        <v>183</v>
      </c>
      <c r="E330" s="71" t="s">
        <v>209</v>
      </c>
      <c r="F330" s="84" t="s">
        <v>204</v>
      </c>
      <c r="G330" s="84"/>
      <c r="H330" s="84" t="s">
        <v>483</v>
      </c>
      <c r="I330" s="69">
        <v>1</v>
      </c>
      <c r="J330" s="69">
        <v>320</v>
      </c>
      <c r="K330" s="75">
        <f t="shared" si="26"/>
        <v>320</v>
      </c>
      <c r="L330" s="73">
        <f t="shared" si="29"/>
        <v>320</v>
      </c>
      <c r="M330" s="73">
        <f t="shared" si="27"/>
        <v>0</v>
      </c>
      <c r="N330" s="29"/>
      <c r="AC330" t="str">
        <f t="shared" si="28"/>
        <v>Jul</v>
      </c>
    </row>
    <row r="331" spans="2:29" x14ac:dyDescent="0.3">
      <c r="B331" s="148">
        <v>45869</v>
      </c>
      <c r="C331" s="80">
        <f t="shared" si="25"/>
        <v>7</v>
      </c>
      <c r="D331" s="74" t="s">
        <v>109</v>
      </c>
      <c r="E331" s="71" t="s">
        <v>209</v>
      </c>
      <c r="F331" s="84" t="s">
        <v>204</v>
      </c>
      <c r="G331" s="84"/>
      <c r="H331" s="84" t="s">
        <v>482</v>
      </c>
      <c r="I331" s="69">
        <v>1</v>
      </c>
      <c r="J331" s="69">
        <v>850</v>
      </c>
      <c r="K331" s="75">
        <f t="shared" si="26"/>
        <v>850</v>
      </c>
      <c r="L331" s="73">
        <f t="shared" si="29"/>
        <v>850</v>
      </c>
      <c r="M331" s="73">
        <f t="shared" si="27"/>
        <v>0</v>
      </c>
      <c r="N331" s="29"/>
      <c r="AC331" t="str">
        <f t="shared" si="28"/>
        <v>Jul</v>
      </c>
    </row>
    <row r="332" spans="2:29" x14ac:dyDescent="0.3">
      <c r="B332" s="148">
        <v>45869</v>
      </c>
      <c r="C332" s="80">
        <f t="shared" si="25"/>
        <v>7</v>
      </c>
      <c r="D332" s="74" t="s">
        <v>22</v>
      </c>
      <c r="E332" s="71" t="s">
        <v>209</v>
      </c>
      <c r="F332" s="84" t="s">
        <v>204</v>
      </c>
      <c r="G332" s="84"/>
      <c r="H332" s="84" t="s">
        <v>483</v>
      </c>
      <c r="I332" s="69">
        <v>1</v>
      </c>
      <c r="J332" s="69">
        <v>2950</v>
      </c>
      <c r="K332" s="75">
        <f t="shared" si="26"/>
        <v>2950</v>
      </c>
      <c r="L332" s="73">
        <f t="shared" si="29"/>
        <v>2950</v>
      </c>
      <c r="M332" s="73">
        <f t="shared" si="27"/>
        <v>0</v>
      </c>
      <c r="N332" s="29"/>
      <c r="AC332" t="str">
        <f t="shared" si="28"/>
        <v>Jul</v>
      </c>
    </row>
    <row r="333" spans="2:29" x14ac:dyDescent="0.3">
      <c r="B333" s="148">
        <v>45869</v>
      </c>
      <c r="C333" s="80">
        <f t="shared" si="25"/>
        <v>7</v>
      </c>
      <c r="D333" s="74" t="s">
        <v>102</v>
      </c>
      <c r="E333" s="71" t="s">
        <v>209</v>
      </c>
      <c r="F333" s="84" t="s">
        <v>204</v>
      </c>
      <c r="G333" s="84"/>
      <c r="H333" s="84" t="s">
        <v>481</v>
      </c>
      <c r="I333" s="69">
        <v>1</v>
      </c>
      <c r="J333" s="69">
        <v>900</v>
      </c>
      <c r="K333" s="75">
        <f t="shared" si="26"/>
        <v>900</v>
      </c>
      <c r="L333" s="73">
        <f t="shared" si="29"/>
        <v>900</v>
      </c>
      <c r="M333" s="73">
        <f t="shared" si="27"/>
        <v>0</v>
      </c>
      <c r="N333" s="29"/>
      <c r="AC333" t="str">
        <f t="shared" si="28"/>
        <v>Jul</v>
      </c>
    </row>
    <row r="334" spans="2:29" x14ac:dyDescent="0.3">
      <c r="B334" s="148">
        <v>45869</v>
      </c>
      <c r="C334" s="80">
        <f t="shared" si="25"/>
        <v>7</v>
      </c>
      <c r="D334" s="74" t="s">
        <v>192</v>
      </c>
      <c r="E334" s="71" t="s">
        <v>209</v>
      </c>
      <c r="F334" s="84" t="s">
        <v>0</v>
      </c>
      <c r="G334" s="84"/>
      <c r="H334" s="84" t="s">
        <v>484</v>
      </c>
      <c r="I334" s="69">
        <v>4</v>
      </c>
      <c r="J334" s="69">
        <v>1800</v>
      </c>
      <c r="K334" s="75">
        <f t="shared" si="26"/>
        <v>7200</v>
      </c>
      <c r="L334" s="73">
        <f t="shared" si="29"/>
        <v>7200</v>
      </c>
      <c r="M334" s="73">
        <f t="shared" si="27"/>
        <v>0</v>
      </c>
      <c r="N334" s="29"/>
      <c r="AC334" t="str">
        <f t="shared" si="28"/>
        <v>Jul</v>
      </c>
    </row>
    <row r="335" spans="2:29" x14ac:dyDescent="0.3">
      <c r="B335" s="148">
        <v>45869</v>
      </c>
      <c r="C335" s="80">
        <f t="shared" si="25"/>
        <v>7</v>
      </c>
      <c r="D335" s="74" t="s">
        <v>195</v>
      </c>
      <c r="E335" s="71" t="s">
        <v>209</v>
      </c>
      <c r="F335" s="84" t="s">
        <v>204</v>
      </c>
      <c r="G335" s="84"/>
      <c r="H335" s="84" t="s">
        <v>484</v>
      </c>
      <c r="I335" s="69">
        <v>1</v>
      </c>
      <c r="J335" s="69">
        <v>100</v>
      </c>
      <c r="K335" s="75">
        <f t="shared" si="26"/>
        <v>100</v>
      </c>
      <c r="L335" s="73">
        <f t="shared" si="29"/>
        <v>100</v>
      </c>
      <c r="M335" s="73">
        <f t="shared" si="27"/>
        <v>0</v>
      </c>
      <c r="N335" s="29"/>
      <c r="AC335" t="str">
        <f t="shared" si="28"/>
        <v>Jul</v>
      </c>
    </row>
    <row r="336" spans="2:29" x14ac:dyDescent="0.3">
      <c r="B336" s="148">
        <v>45843</v>
      </c>
      <c r="C336" s="80">
        <f t="shared" si="25"/>
        <v>7</v>
      </c>
      <c r="D336" s="74" t="s">
        <v>16</v>
      </c>
      <c r="E336" s="71" t="s">
        <v>219</v>
      </c>
      <c r="F336" s="84" t="s">
        <v>1</v>
      </c>
      <c r="G336" s="84"/>
      <c r="H336" s="84" t="s">
        <v>478</v>
      </c>
      <c r="I336" s="69">
        <v>1</v>
      </c>
      <c r="J336" s="69">
        <v>2850</v>
      </c>
      <c r="K336" s="75">
        <f t="shared" si="26"/>
        <v>2850</v>
      </c>
      <c r="L336" s="75"/>
      <c r="M336" s="73">
        <f t="shared" si="27"/>
        <v>2850</v>
      </c>
      <c r="N336" s="29"/>
      <c r="AC336" t="str">
        <f t="shared" si="28"/>
        <v>Jul</v>
      </c>
    </row>
    <row r="337" spans="2:29" x14ac:dyDescent="0.3">
      <c r="B337" s="148">
        <v>45845</v>
      </c>
      <c r="C337" s="80">
        <f t="shared" si="25"/>
        <v>7</v>
      </c>
      <c r="D337" s="74" t="s">
        <v>32</v>
      </c>
      <c r="E337" s="71" t="s">
        <v>219</v>
      </c>
      <c r="F337" s="84" t="s">
        <v>0</v>
      </c>
      <c r="G337" s="84"/>
      <c r="H337" s="84" t="s">
        <v>488</v>
      </c>
      <c r="I337" s="69">
        <v>1</v>
      </c>
      <c r="J337" s="69">
        <v>3800</v>
      </c>
      <c r="K337" s="75">
        <f t="shared" si="26"/>
        <v>3800</v>
      </c>
      <c r="L337" s="75"/>
      <c r="M337" s="73">
        <f t="shared" si="27"/>
        <v>3800</v>
      </c>
      <c r="N337" s="29"/>
      <c r="AC337" t="str">
        <f t="shared" si="28"/>
        <v>Jul</v>
      </c>
    </row>
    <row r="338" spans="2:29" x14ac:dyDescent="0.3">
      <c r="B338" s="148">
        <v>45847</v>
      </c>
      <c r="C338" s="80">
        <f t="shared" si="25"/>
        <v>7</v>
      </c>
      <c r="D338" s="74" t="s">
        <v>13</v>
      </c>
      <c r="E338" s="71" t="s">
        <v>219</v>
      </c>
      <c r="F338" s="84" t="s">
        <v>0</v>
      </c>
      <c r="G338" s="84"/>
      <c r="H338" s="84" t="s">
        <v>488</v>
      </c>
      <c r="I338" s="69">
        <v>2</v>
      </c>
      <c r="J338" s="69">
        <v>4675</v>
      </c>
      <c r="K338" s="75">
        <f t="shared" si="26"/>
        <v>9350</v>
      </c>
      <c r="L338" s="75"/>
      <c r="M338" s="73">
        <f t="shared" si="27"/>
        <v>9350</v>
      </c>
      <c r="N338" s="29"/>
      <c r="AC338" t="str">
        <f t="shared" si="28"/>
        <v>Jul</v>
      </c>
    </row>
    <row r="339" spans="2:29" x14ac:dyDescent="0.3">
      <c r="B339" s="148">
        <v>45848</v>
      </c>
      <c r="C339" s="80">
        <f t="shared" si="25"/>
        <v>7</v>
      </c>
      <c r="D339" s="74" t="s">
        <v>13</v>
      </c>
      <c r="E339" s="71" t="s">
        <v>219</v>
      </c>
      <c r="F339" s="84" t="s">
        <v>0</v>
      </c>
      <c r="G339" s="84"/>
      <c r="H339" s="84" t="s">
        <v>478</v>
      </c>
      <c r="I339" s="69">
        <v>4</v>
      </c>
      <c r="J339" s="69">
        <v>4612.5</v>
      </c>
      <c r="K339" s="75">
        <f t="shared" si="26"/>
        <v>18450</v>
      </c>
      <c r="L339" s="75"/>
      <c r="M339" s="73">
        <f t="shared" si="27"/>
        <v>18450</v>
      </c>
      <c r="N339" s="29"/>
      <c r="AC339" t="str">
        <f t="shared" si="28"/>
        <v>Jul</v>
      </c>
    </row>
    <row r="340" spans="2:29" x14ac:dyDescent="0.3">
      <c r="B340" s="148">
        <v>45848</v>
      </c>
      <c r="C340" s="80">
        <f t="shared" si="25"/>
        <v>7</v>
      </c>
      <c r="D340" s="74" t="s">
        <v>61</v>
      </c>
      <c r="E340" s="71" t="s">
        <v>219</v>
      </c>
      <c r="F340" s="84" t="s">
        <v>0</v>
      </c>
      <c r="G340" s="84"/>
      <c r="H340" s="84" t="s">
        <v>487</v>
      </c>
      <c r="I340" s="69">
        <v>4</v>
      </c>
      <c r="J340" s="69">
        <v>4412.5</v>
      </c>
      <c r="K340" s="75">
        <f t="shared" si="26"/>
        <v>17650</v>
      </c>
      <c r="L340" s="75"/>
      <c r="M340" s="73">
        <f t="shared" si="27"/>
        <v>17650</v>
      </c>
      <c r="N340" s="29"/>
      <c r="AC340" t="str">
        <f t="shared" si="28"/>
        <v>Jul</v>
      </c>
    </row>
    <row r="341" spans="2:29" x14ac:dyDescent="0.3">
      <c r="B341" s="148">
        <v>45850</v>
      </c>
      <c r="C341" s="80">
        <f t="shared" si="25"/>
        <v>7</v>
      </c>
      <c r="D341" s="74" t="s">
        <v>32</v>
      </c>
      <c r="E341" s="71" t="s">
        <v>219</v>
      </c>
      <c r="F341" s="84" t="s">
        <v>0</v>
      </c>
      <c r="G341" s="84"/>
      <c r="H341" s="84" t="s">
        <v>483</v>
      </c>
      <c r="I341" s="69">
        <v>4</v>
      </c>
      <c r="J341" s="69">
        <v>5000</v>
      </c>
      <c r="K341" s="75">
        <f t="shared" si="26"/>
        <v>20000</v>
      </c>
      <c r="L341" s="75"/>
      <c r="M341" s="73">
        <f t="shared" si="27"/>
        <v>20000</v>
      </c>
      <c r="N341" s="29"/>
      <c r="AC341" t="str">
        <f t="shared" si="28"/>
        <v>Jul</v>
      </c>
    </row>
    <row r="342" spans="2:29" x14ac:dyDescent="0.3">
      <c r="B342" s="148">
        <v>45850</v>
      </c>
      <c r="C342" s="80">
        <f t="shared" si="25"/>
        <v>7</v>
      </c>
      <c r="D342" s="74" t="s">
        <v>13</v>
      </c>
      <c r="E342" s="71" t="s">
        <v>219</v>
      </c>
      <c r="F342" s="84" t="s">
        <v>0</v>
      </c>
      <c r="G342" s="84"/>
      <c r="H342" s="84" t="s">
        <v>482</v>
      </c>
      <c r="I342" s="69">
        <v>1</v>
      </c>
      <c r="J342" s="69">
        <v>5150</v>
      </c>
      <c r="K342" s="75">
        <f t="shared" si="26"/>
        <v>5150</v>
      </c>
      <c r="L342" s="75"/>
      <c r="M342" s="73">
        <f t="shared" si="27"/>
        <v>5150</v>
      </c>
      <c r="N342" s="29"/>
      <c r="AC342" t="str">
        <f t="shared" si="28"/>
        <v>Jul</v>
      </c>
    </row>
    <row r="343" spans="2:29" x14ac:dyDescent="0.3">
      <c r="B343" s="148">
        <v>45854</v>
      </c>
      <c r="C343" s="80">
        <f t="shared" si="25"/>
        <v>7</v>
      </c>
      <c r="D343" s="74" t="s">
        <v>32</v>
      </c>
      <c r="E343" s="71" t="s">
        <v>219</v>
      </c>
      <c r="F343" s="84" t="s">
        <v>0</v>
      </c>
      <c r="G343" s="84"/>
      <c r="H343" s="84" t="s">
        <v>485</v>
      </c>
      <c r="I343" s="69">
        <v>2</v>
      </c>
      <c r="J343" s="69">
        <v>4000</v>
      </c>
      <c r="K343" s="75">
        <f t="shared" si="26"/>
        <v>8000</v>
      </c>
      <c r="L343" s="75"/>
      <c r="M343" s="73">
        <f t="shared" si="27"/>
        <v>8000</v>
      </c>
      <c r="N343" s="29"/>
      <c r="AC343" t="str">
        <f t="shared" si="28"/>
        <v>Jul</v>
      </c>
    </row>
    <row r="344" spans="2:29" x14ac:dyDescent="0.3">
      <c r="B344" s="148">
        <v>45854</v>
      </c>
      <c r="C344" s="80">
        <f t="shared" si="25"/>
        <v>7</v>
      </c>
      <c r="D344" s="74" t="s">
        <v>32</v>
      </c>
      <c r="E344" s="71" t="s">
        <v>219</v>
      </c>
      <c r="F344" s="84" t="s">
        <v>0</v>
      </c>
      <c r="G344" s="84"/>
      <c r="H344" s="84" t="s">
        <v>483</v>
      </c>
      <c r="I344" s="69">
        <v>2</v>
      </c>
      <c r="J344" s="69">
        <v>3975</v>
      </c>
      <c r="K344" s="75">
        <f t="shared" si="26"/>
        <v>7950</v>
      </c>
      <c r="L344" s="75"/>
      <c r="M344" s="73">
        <f t="shared" si="27"/>
        <v>7950</v>
      </c>
      <c r="N344" s="29"/>
      <c r="AC344" t="str">
        <f t="shared" si="28"/>
        <v>Jul</v>
      </c>
    </row>
    <row r="345" spans="2:29" x14ac:dyDescent="0.3">
      <c r="B345" s="148">
        <v>45861</v>
      </c>
      <c r="C345" s="80">
        <f t="shared" si="25"/>
        <v>7</v>
      </c>
      <c r="D345" s="74" t="s">
        <v>143</v>
      </c>
      <c r="E345" s="71" t="s">
        <v>219</v>
      </c>
      <c r="F345" s="84" t="s">
        <v>0</v>
      </c>
      <c r="G345" s="84"/>
      <c r="H345" s="84" t="s">
        <v>486</v>
      </c>
      <c r="I345" s="69">
        <v>2</v>
      </c>
      <c r="J345" s="69">
        <v>1250</v>
      </c>
      <c r="K345" s="75">
        <f t="shared" si="26"/>
        <v>2500</v>
      </c>
      <c r="L345" s="75"/>
      <c r="M345" s="73">
        <f t="shared" si="27"/>
        <v>2500</v>
      </c>
      <c r="N345" s="29"/>
      <c r="AC345" t="str">
        <f t="shared" si="28"/>
        <v>Jul</v>
      </c>
    </row>
    <row r="346" spans="2:29" x14ac:dyDescent="0.3">
      <c r="B346" s="148">
        <v>45861</v>
      </c>
      <c r="C346" s="80">
        <f t="shared" si="25"/>
        <v>7</v>
      </c>
      <c r="D346" s="74" t="s">
        <v>13</v>
      </c>
      <c r="E346" s="71" t="s">
        <v>219</v>
      </c>
      <c r="F346" s="84" t="s">
        <v>0</v>
      </c>
      <c r="G346" s="84"/>
      <c r="H346" s="84" t="s">
        <v>479</v>
      </c>
      <c r="I346" s="69">
        <v>2</v>
      </c>
      <c r="J346" s="69">
        <v>3975</v>
      </c>
      <c r="K346" s="75">
        <f t="shared" si="26"/>
        <v>7950</v>
      </c>
      <c r="L346" s="75"/>
      <c r="M346" s="73">
        <f t="shared" si="27"/>
        <v>7950</v>
      </c>
      <c r="N346" s="29"/>
      <c r="AC346" t="str">
        <f t="shared" si="28"/>
        <v>Jul</v>
      </c>
    </row>
    <row r="347" spans="2:29" x14ac:dyDescent="0.3">
      <c r="B347" s="148">
        <v>45861</v>
      </c>
      <c r="C347" s="80">
        <f t="shared" si="25"/>
        <v>7</v>
      </c>
      <c r="D347" s="74" t="s">
        <v>149</v>
      </c>
      <c r="E347" s="71" t="s">
        <v>219</v>
      </c>
      <c r="F347" s="84" t="s">
        <v>0</v>
      </c>
      <c r="G347" s="84"/>
      <c r="H347" s="84" t="s">
        <v>487</v>
      </c>
      <c r="I347" s="69">
        <v>4</v>
      </c>
      <c r="J347" s="69">
        <v>4287.5</v>
      </c>
      <c r="K347" s="75">
        <f t="shared" si="26"/>
        <v>17150</v>
      </c>
      <c r="L347" s="75"/>
      <c r="M347" s="73">
        <f t="shared" si="27"/>
        <v>17150</v>
      </c>
      <c r="N347" s="29"/>
      <c r="AC347" t="str">
        <f t="shared" si="28"/>
        <v>Jul</v>
      </c>
    </row>
    <row r="348" spans="2:29" x14ac:dyDescent="0.3">
      <c r="B348" s="148">
        <v>45863</v>
      </c>
      <c r="C348" s="80">
        <f t="shared" si="25"/>
        <v>7</v>
      </c>
      <c r="D348" s="74" t="s">
        <v>13</v>
      </c>
      <c r="E348" s="71" t="s">
        <v>219</v>
      </c>
      <c r="F348" s="84" t="s">
        <v>0</v>
      </c>
      <c r="G348" s="84"/>
      <c r="H348" s="84" t="s">
        <v>483</v>
      </c>
      <c r="I348" s="69">
        <v>3</v>
      </c>
      <c r="J348" s="69">
        <v>4850</v>
      </c>
      <c r="K348" s="75">
        <f t="shared" si="26"/>
        <v>14550</v>
      </c>
      <c r="L348" s="75"/>
      <c r="M348" s="73">
        <f t="shared" si="27"/>
        <v>14550</v>
      </c>
      <c r="N348" s="29"/>
      <c r="AC348" t="str">
        <f t="shared" si="28"/>
        <v>Jul</v>
      </c>
    </row>
    <row r="349" spans="2:29" x14ac:dyDescent="0.3">
      <c r="B349" s="148">
        <v>45863</v>
      </c>
      <c r="C349" s="80">
        <f t="shared" si="25"/>
        <v>7</v>
      </c>
      <c r="D349" s="74" t="s">
        <v>164</v>
      </c>
      <c r="E349" s="71" t="s">
        <v>219</v>
      </c>
      <c r="F349" s="84" t="s">
        <v>0</v>
      </c>
      <c r="G349" s="84"/>
      <c r="H349" s="84" t="s">
        <v>483</v>
      </c>
      <c r="I349" s="69">
        <v>4</v>
      </c>
      <c r="J349" s="69">
        <v>4750</v>
      </c>
      <c r="K349" s="75">
        <f t="shared" si="26"/>
        <v>19000</v>
      </c>
      <c r="L349" s="75"/>
      <c r="M349" s="73">
        <f t="shared" si="27"/>
        <v>19000</v>
      </c>
      <c r="N349" s="29"/>
      <c r="AC349" t="str">
        <f t="shared" si="28"/>
        <v>Jul</v>
      </c>
    </row>
    <row r="350" spans="2:29" x14ac:dyDescent="0.3">
      <c r="B350" s="148">
        <v>45864</v>
      </c>
      <c r="C350" s="80">
        <f t="shared" si="25"/>
        <v>7</v>
      </c>
      <c r="D350" s="74" t="s">
        <v>165</v>
      </c>
      <c r="E350" s="71" t="s">
        <v>219</v>
      </c>
      <c r="F350" s="84" t="s">
        <v>0</v>
      </c>
      <c r="G350" s="84"/>
      <c r="H350" s="84" t="s">
        <v>486</v>
      </c>
      <c r="I350" s="69">
        <v>2</v>
      </c>
      <c r="J350" s="69">
        <v>2100</v>
      </c>
      <c r="K350" s="75">
        <f t="shared" si="26"/>
        <v>4200</v>
      </c>
      <c r="L350" s="75"/>
      <c r="M350" s="73">
        <f t="shared" si="27"/>
        <v>4200</v>
      </c>
      <c r="N350" s="29"/>
      <c r="AC350" t="str">
        <f t="shared" si="28"/>
        <v>Jul</v>
      </c>
    </row>
    <row r="351" spans="2:29" x14ac:dyDescent="0.3">
      <c r="B351" s="148">
        <v>45866</v>
      </c>
      <c r="C351" s="80">
        <f t="shared" si="25"/>
        <v>7</v>
      </c>
      <c r="D351" s="74" t="s">
        <v>13</v>
      </c>
      <c r="E351" s="71" t="s">
        <v>219</v>
      </c>
      <c r="F351" s="84" t="s">
        <v>0</v>
      </c>
      <c r="G351" s="84"/>
      <c r="H351" s="84" t="s">
        <v>476</v>
      </c>
      <c r="I351" s="69">
        <v>2</v>
      </c>
      <c r="J351" s="69">
        <v>4775</v>
      </c>
      <c r="K351" s="75">
        <f t="shared" si="26"/>
        <v>9550</v>
      </c>
      <c r="L351" s="75"/>
      <c r="M351" s="73">
        <f t="shared" si="27"/>
        <v>9550</v>
      </c>
      <c r="N351" s="29"/>
      <c r="AC351" t="str">
        <f t="shared" si="28"/>
        <v>Jul</v>
      </c>
    </row>
    <row r="352" spans="2:29" ht="18" customHeight="1" x14ac:dyDescent="0.35">
      <c r="B352" s="148">
        <v>45853</v>
      </c>
      <c r="C352" s="80">
        <f t="shared" si="25"/>
        <v>7</v>
      </c>
      <c r="D352" s="102" t="s">
        <v>80</v>
      </c>
      <c r="E352" s="71" t="s">
        <v>210</v>
      </c>
      <c r="F352" s="66" t="s">
        <v>80</v>
      </c>
      <c r="G352" s="104"/>
      <c r="H352" s="104"/>
      <c r="I352" s="104"/>
      <c r="J352" s="104"/>
      <c r="K352" s="65">
        <f t="shared" si="26"/>
        <v>0</v>
      </c>
      <c r="L352" s="65"/>
      <c r="M352" s="73">
        <f t="shared" si="27"/>
        <v>0</v>
      </c>
      <c r="N352" s="29"/>
      <c r="AC352" t="str">
        <f t="shared" si="28"/>
        <v>Jul</v>
      </c>
    </row>
    <row r="353" spans="2:29" ht="18" customHeight="1" x14ac:dyDescent="0.35">
      <c r="B353" s="148">
        <v>45869</v>
      </c>
      <c r="C353" s="80">
        <f t="shared" si="25"/>
        <v>7</v>
      </c>
      <c r="D353" s="102" t="s">
        <v>193</v>
      </c>
      <c r="E353" s="71" t="s">
        <v>210</v>
      </c>
      <c r="F353" s="66" t="s">
        <v>80</v>
      </c>
      <c r="G353" s="104"/>
      <c r="H353" s="104"/>
      <c r="I353" s="104"/>
      <c r="J353" s="104"/>
      <c r="K353" s="65">
        <f t="shared" si="26"/>
        <v>0</v>
      </c>
      <c r="L353" s="65"/>
      <c r="M353" s="73">
        <f t="shared" si="27"/>
        <v>0</v>
      </c>
      <c r="N353" s="29"/>
      <c r="AC353" t="str">
        <f t="shared" si="28"/>
        <v>Jul</v>
      </c>
    </row>
    <row r="354" spans="2:29" ht="18" customHeight="1" x14ac:dyDescent="0.35">
      <c r="B354" s="148">
        <v>45860</v>
      </c>
      <c r="C354" s="80">
        <f t="shared" si="25"/>
        <v>7</v>
      </c>
      <c r="D354" s="102" t="s">
        <v>141</v>
      </c>
      <c r="E354" s="71" t="s">
        <v>210</v>
      </c>
      <c r="F354" s="66" t="s">
        <v>80</v>
      </c>
      <c r="G354" s="104"/>
      <c r="H354" s="104"/>
      <c r="I354" s="104"/>
      <c r="J354" s="104"/>
      <c r="K354" s="65">
        <f t="shared" si="26"/>
        <v>0</v>
      </c>
      <c r="L354" s="65"/>
      <c r="M354" s="73">
        <f t="shared" si="27"/>
        <v>0</v>
      </c>
      <c r="N354" s="29"/>
      <c r="AC354" t="str">
        <f t="shared" si="28"/>
        <v>Jul</v>
      </c>
    </row>
    <row r="355" spans="2:29" ht="18" customHeight="1" x14ac:dyDescent="0.35">
      <c r="B355" s="148">
        <v>45852</v>
      </c>
      <c r="C355" s="80">
        <f t="shared" si="25"/>
        <v>7</v>
      </c>
      <c r="D355" s="102" t="s">
        <v>74</v>
      </c>
      <c r="E355" s="71" t="s">
        <v>210</v>
      </c>
      <c r="F355" s="66" t="s">
        <v>80</v>
      </c>
      <c r="G355" s="104"/>
      <c r="H355" s="104"/>
      <c r="I355" s="104"/>
      <c r="J355" s="104"/>
      <c r="K355" s="65">
        <f t="shared" si="26"/>
        <v>0</v>
      </c>
      <c r="L355" s="65"/>
      <c r="M355" s="73">
        <f t="shared" si="27"/>
        <v>0</v>
      </c>
      <c r="N355" s="29"/>
      <c r="AC355" t="str">
        <f t="shared" si="28"/>
        <v>Jul</v>
      </c>
    </row>
    <row r="356" spans="2:29" ht="18" customHeight="1" x14ac:dyDescent="0.35">
      <c r="B356" s="148">
        <v>45856</v>
      </c>
      <c r="C356" s="80">
        <f t="shared" si="25"/>
        <v>7</v>
      </c>
      <c r="D356" s="102" t="s">
        <v>107</v>
      </c>
      <c r="E356" s="71" t="s">
        <v>210</v>
      </c>
      <c r="F356" s="66" t="s">
        <v>107</v>
      </c>
      <c r="G356" s="104"/>
      <c r="H356" s="104"/>
      <c r="I356" s="104"/>
      <c r="J356" s="104"/>
      <c r="K356" s="65">
        <f t="shared" si="26"/>
        <v>0</v>
      </c>
      <c r="L356" s="65"/>
      <c r="M356" s="73">
        <f t="shared" si="27"/>
        <v>0</v>
      </c>
      <c r="N356" s="29"/>
      <c r="AC356" t="str">
        <f t="shared" si="28"/>
        <v>Jul</v>
      </c>
    </row>
    <row r="357" spans="2:29" ht="18" customHeight="1" x14ac:dyDescent="0.35">
      <c r="B357" s="148">
        <v>45846</v>
      </c>
      <c r="C357" s="80">
        <f t="shared" si="25"/>
        <v>7</v>
      </c>
      <c r="D357" s="102" t="s">
        <v>227</v>
      </c>
      <c r="E357" s="71" t="s">
        <v>210</v>
      </c>
      <c r="F357" s="66" t="s">
        <v>217</v>
      </c>
      <c r="G357" s="104">
        <v>0</v>
      </c>
      <c r="H357" s="104"/>
      <c r="I357" s="104">
        <v>0</v>
      </c>
      <c r="J357" s="104">
        <v>0</v>
      </c>
      <c r="K357" s="65">
        <f t="shared" si="26"/>
        <v>0</v>
      </c>
      <c r="L357" s="65"/>
      <c r="M357" s="73">
        <f t="shared" si="27"/>
        <v>0</v>
      </c>
      <c r="N357" s="29"/>
      <c r="AC357" t="str">
        <f t="shared" si="28"/>
        <v>Jul</v>
      </c>
    </row>
    <row r="358" spans="2:29" ht="18" customHeight="1" x14ac:dyDescent="0.35">
      <c r="B358" s="148">
        <v>45852</v>
      </c>
      <c r="C358" s="80">
        <f t="shared" si="25"/>
        <v>7</v>
      </c>
      <c r="D358" s="102" t="s">
        <v>224</v>
      </c>
      <c r="E358" s="71" t="s">
        <v>210</v>
      </c>
      <c r="F358" s="66" t="s">
        <v>205</v>
      </c>
      <c r="G358" s="104"/>
      <c r="H358" s="104"/>
      <c r="I358" s="104"/>
      <c r="J358" s="104"/>
      <c r="K358" s="65">
        <f t="shared" si="26"/>
        <v>0</v>
      </c>
      <c r="L358" s="65"/>
      <c r="M358" s="73">
        <f t="shared" si="27"/>
        <v>0</v>
      </c>
      <c r="N358" s="29"/>
      <c r="AC358" t="str">
        <f t="shared" si="28"/>
        <v>Jul</v>
      </c>
    </row>
    <row r="359" spans="2:29" ht="18" customHeight="1" x14ac:dyDescent="0.35">
      <c r="B359" s="148">
        <v>45851</v>
      </c>
      <c r="C359" s="80">
        <f t="shared" si="25"/>
        <v>7</v>
      </c>
      <c r="D359" s="102" t="s">
        <v>72</v>
      </c>
      <c r="E359" s="71" t="s">
        <v>210</v>
      </c>
      <c r="F359" s="66" t="s">
        <v>206</v>
      </c>
      <c r="G359" s="104">
        <v>0</v>
      </c>
      <c r="H359" s="104"/>
      <c r="I359" s="104">
        <v>0</v>
      </c>
      <c r="J359" s="104">
        <v>0</v>
      </c>
      <c r="K359" s="65">
        <f t="shared" si="26"/>
        <v>0</v>
      </c>
      <c r="L359" s="65"/>
      <c r="M359" s="73">
        <f t="shared" si="27"/>
        <v>0</v>
      </c>
      <c r="N359" s="29"/>
      <c r="AC359" t="str">
        <f t="shared" si="28"/>
        <v>Jul</v>
      </c>
    </row>
    <row r="360" spans="2:29" ht="18" customHeight="1" x14ac:dyDescent="0.35">
      <c r="B360" s="148">
        <v>45852</v>
      </c>
      <c r="C360" s="80">
        <f t="shared" si="25"/>
        <v>7</v>
      </c>
      <c r="D360" s="102" t="s">
        <v>72</v>
      </c>
      <c r="E360" s="71" t="s">
        <v>210</v>
      </c>
      <c r="F360" s="66" t="s">
        <v>206</v>
      </c>
      <c r="G360" s="104"/>
      <c r="H360" s="104"/>
      <c r="I360" s="104"/>
      <c r="J360" s="104"/>
      <c r="K360" s="65">
        <f t="shared" si="26"/>
        <v>0</v>
      </c>
      <c r="L360" s="65"/>
      <c r="M360" s="73">
        <f t="shared" si="27"/>
        <v>0</v>
      </c>
      <c r="N360" s="29"/>
      <c r="AC360" t="str">
        <f t="shared" si="28"/>
        <v>Jul</v>
      </c>
    </row>
    <row r="361" spans="2:29" ht="18" customHeight="1" x14ac:dyDescent="0.35">
      <c r="B361" s="148">
        <v>45860</v>
      </c>
      <c r="C361" s="80">
        <f t="shared" si="25"/>
        <v>7</v>
      </c>
      <c r="D361" s="102" t="s">
        <v>72</v>
      </c>
      <c r="E361" s="71" t="s">
        <v>210</v>
      </c>
      <c r="F361" s="66" t="s">
        <v>206</v>
      </c>
      <c r="G361" s="104"/>
      <c r="H361" s="104"/>
      <c r="I361" s="104"/>
      <c r="J361" s="104"/>
      <c r="K361" s="65">
        <f t="shared" si="26"/>
        <v>0</v>
      </c>
      <c r="L361" s="65"/>
      <c r="M361" s="73">
        <f t="shared" si="27"/>
        <v>0</v>
      </c>
      <c r="N361" s="29"/>
      <c r="AC361" t="str">
        <f t="shared" si="28"/>
        <v>Jul</v>
      </c>
    </row>
    <row r="362" spans="2:29" ht="18" customHeight="1" x14ac:dyDescent="0.35">
      <c r="B362" s="148">
        <v>45849</v>
      </c>
      <c r="C362" s="80">
        <f t="shared" si="25"/>
        <v>7</v>
      </c>
      <c r="D362" s="102" t="s">
        <v>55</v>
      </c>
      <c r="E362" s="71" t="s">
        <v>210</v>
      </c>
      <c r="F362" s="66" t="s">
        <v>206</v>
      </c>
      <c r="G362" s="104"/>
      <c r="H362" s="104"/>
      <c r="I362" s="104"/>
      <c r="J362" s="104"/>
      <c r="K362" s="65">
        <f t="shared" si="26"/>
        <v>0</v>
      </c>
      <c r="L362" s="65"/>
      <c r="M362" s="73">
        <f t="shared" si="27"/>
        <v>0</v>
      </c>
      <c r="N362" s="29"/>
      <c r="AC362" t="str">
        <f t="shared" si="28"/>
        <v>Jul</v>
      </c>
    </row>
    <row r="363" spans="2:29" ht="18" customHeight="1" x14ac:dyDescent="0.35">
      <c r="B363" s="148">
        <v>45849</v>
      </c>
      <c r="C363" s="80">
        <f t="shared" si="25"/>
        <v>7</v>
      </c>
      <c r="D363" s="102" t="s">
        <v>53</v>
      </c>
      <c r="E363" s="71" t="s">
        <v>210</v>
      </c>
      <c r="F363" s="66" t="s">
        <v>107</v>
      </c>
      <c r="G363" s="104"/>
      <c r="H363" s="104"/>
      <c r="I363" s="104"/>
      <c r="J363" s="104"/>
      <c r="K363" s="65">
        <f t="shared" si="26"/>
        <v>0</v>
      </c>
      <c r="L363" s="65"/>
      <c r="M363" s="73">
        <f t="shared" si="27"/>
        <v>0</v>
      </c>
      <c r="N363" s="29"/>
      <c r="AC363" t="str">
        <f t="shared" si="28"/>
        <v>Jul</v>
      </c>
    </row>
    <row r="364" spans="2:29" ht="18" customHeight="1" x14ac:dyDescent="0.35">
      <c r="B364" s="148">
        <v>45856</v>
      </c>
      <c r="C364" s="80">
        <f t="shared" si="25"/>
        <v>7</v>
      </c>
      <c r="D364" s="102" t="s">
        <v>53</v>
      </c>
      <c r="E364" s="71" t="s">
        <v>210</v>
      </c>
      <c r="F364" s="66" t="s">
        <v>107</v>
      </c>
      <c r="G364" s="104"/>
      <c r="H364" s="104"/>
      <c r="I364" s="104"/>
      <c r="J364" s="104"/>
      <c r="K364" s="65">
        <f t="shared" si="26"/>
        <v>0</v>
      </c>
      <c r="L364" s="65"/>
      <c r="M364" s="73">
        <f t="shared" si="27"/>
        <v>0</v>
      </c>
      <c r="N364" s="29"/>
      <c r="AC364" t="str">
        <f t="shared" si="28"/>
        <v>Jul</v>
      </c>
    </row>
    <row r="365" spans="2:29" ht="18" customHeight="1" x14ac:dyDescent="0.35">
      <c r="B365" s="148">
        <v>45846</v>
      </c>
      <c r="C365" s="80">
        <f t="shared" si="25"/>
        <v>7</v>
      </c>
      <c r="D365" s="102" t="s">
        <v>38</v>
      </c>
      <c r="E365" s="71" t="s">
        <v>210</v>
      </c>
      <c r="F365" s="66" t="s">
        <v>38</v>
      </c>
      <c r="G365" s="104"/>
      <c r="H365" s="104"/>
      <c r="I365" s="104"/>
      <c r="J365" s="104"/>
      <c r="K365" s="65">
        <f t="shared" si="26"/>
        <v>0</v>
      </c>
      <c r="L365" s="65"/>
      <c r="M365" s="73">
        <f t="shared" si="27"/>
        <v>0</v>
      </c>
      <c r="N365" s="29"/>
      <c r="AC365" t="str">
        <f t="shared" si="28"/>
        <v>Jul</v>
      </c>
    </row>
    <row r="366" spans="2:29" ht="18" customHeight="1" x14ac:dyDescent="0.35">
      <c r="B366" s="148">
        <v>45848</v>
      </c>
      <c r="C366" s="80">
        <f t="shared" si="25"/>
        <v>7</v>
      </c>
      <c r="D366" s="102" t="s">
        <v>38</v>
      </c>
      <c r="E366" s="71" t="s">
        <v>210</v>
      </c>
      <c r="F366" s="66" t="s">
        <v>38</v>
      </c>
      <c r="G366" s="104"/>
      <c r="H366" s="104"/>
      <c r="I366" s="104"/>
      <c r="J366" s="104"/>
      <c r="K366" s="65">
        <f t="shared" si="26"/>
        <v>0</v>
      </c>
      <c r="L366" s="65"/>
      <c r="M366" s="73">
        <f t="shared" si="27"/>
        <v>0</v>
      </c>
      <c r="N366" s="29"/>
      <c r="AC366" t="str">
        <f t="shared" si="28"/>
        <v>Jul</v>
      </c>
    </row>
    <row r="367" spans="2:29" ht="18" customHeight="1" x14ac:dyDescent="0.35">
      <c r="B367" s="148">
        <v>45849</v>
      </c>
      <c r="C367" s="80">
        <f t="shared" si="25"/>
        <v>7</v>
      </c>
      <c r="D367" s="102" t="s">
        <v>51</v>
      </c>
      <c r="E367" s="71" t="s">
        <v>210</v>
      </c>
      <c r="F367" s="66" t="s">
        <v>206</v>
      </c>
      <c r="G367" s="104"/>
      <c r="H367" s="104"/>
      <c r="I367" s="104"/>
      <c r="J367" s="104"/>
      <c r="K367" s="65">
        <f t="shared" si="26"/>
        <v>0</v>
      </c>
      <c r="L367" s="65"/>
      <c r="M367" s="73">
        <f t="shared" si="27"/>
        <v>0</v>
      </c>
      <c r="N367" s="29"/>
      <c r="AC367" t="str">
        <f t="shared" si="28"/>
        <v>Jul</v>
      </c>
    </row>
    <row r="368" spans="2:29" ht="18" customHeight="1" x14ac:dyDescent="0.35">
      <c r="B368" s="148">
        <v>45851</v>
      </c>
      <c r="C368" s="80">
        <f t="shared" si="25"/>
        <v>7</v>
      </c>
      <c r="D368" s="102" t="s">
        <v>51</v>
      </c>
      <c r="E368" s="71" t="s">
        <v>210</v>
      </c>
      <c r="F368" s="66" t="s">
        <v>206</v>
      </c>
      <c r="G368" s="104"/>
      <c r="H368" s="104"/>
      <c r="I368" s="104"/>
      <c r="J368" s="104"/>
      <c r="K368" s="65">
        <f t="shared" si="26"/>
        <v>0</v>
      </c>
      <c r="L368" s="65"/>
      <c r="M368" s="73">
        <f t="shared" si="27"/>
        <v>0</v>
      </c>
      <c r="N368" s="29"/>
      <c r="AC368" t="str">
        <f t="shared" si="28"/>
        <v>Jul</v>
      </c>
    </row>
    <row r="369" spans="2:29" ht="18" customHeight="1" x14ac:dyDescent="0.35">
      <c r="B369" s="148">
        <v>45853</v>
      </c>
      <c r="C369" s="80">
        <f t="shared" si="25"/>
        <v>7</v>
      </c>
      <c r="D369" s="102" t="s">
        <v>51</v>
      </c>
      <c r="E369" s="71" t="s">
        <v>210</v>
      </c>
      <c r="F369" s="66" t="s">
        <v>206</v>
      </c>
      <c r="G369" s="104"/>
      <c r="H369" s="104"/>
      <c r="I369" s="104"/>
      <c r="J369" s="104"/>
      <c r="K369" s="65">
        <f t="shared" si="26"/>
        <v>0</v>
      </c>
      <c r="L369" s="65"/>
      <c r="M369" s="73">
        <f t="shared" si="27"/>
        <v>0</v>
      </c>
      <c r="N369" s="29"/>
      <c r="AC369" t="str">
        <f t="shared" si="28"/>
        <v>Jul</v>
      </c>
    </row>
    <row r="370" spans="2:29" ht="18" customHeight="1" x14ac:dyDescent="0.35">
      <c r="B370" s="148">
        <v>45854</v>
      </c>
      <c r="C370" s="80">
        <f t="shared" si="25"/>
        <v>7</v>
      </c>
      <c r="D370" s="102" t="s">
        <v>51</v>
      </c>
      <c r="E370" s="71" t="s">
        <v>210</v>
      </c>
      <c r="F370" s="66" t="s">
        <v>206</v>
      </c>
      <c r="G370" s="104"/>
      <c r="H370" s="104"/>
      <c r="I370" s="104"/>
      <c r="J370" s="104"/>
      <c r="K370" s="65">
        <f t="shared" si="26"/>
        <v>0</v>
      </c>
      <c r="L370" s="65"/>
      <c r="M370" s="73">
        <f t="shared" si="27"/>
        <v>0</v>
      </c>
      <c r="N370" s="29"/>
      <c r="AC370" t="str">
        <f t="shared" si="28"/>
        <v>Jul</v>
      </c>
    </row>
    <row r="371" spans="2:29" ht="18" customHeight="1" x14ac:dyDescent="0.35">
      <c r="B371" s="148">
        <v>45855</v>
      </c>
      <c r="C371" s="80">
        <f t="shared" si="25"/>
        <v>7</v>
      </c>
      <c r="D371" s="102" t="s">
        <v>51</v>
      </c>
      <c r="E371" s="71" t="s">
        <v>210</v>
      </c>
      <c r="F371" s="66" t="s">
        <v>206</v>
      </c>
      <c r="G371" s="104"/>
      <c r="H371" s="104"/>
      <c r="I371" s="104"/>
      <c r="J371" s="104"/>
      <c r="K371" s="65">
        <f t="shared" si="26"/>
        <v>0</v>
      </c>
      <c r="L371" s="65"/>
      <c r="M371" s="73">
        <f t="shared" si="27"/>
        <v>0</v>
      </c>
      <c r="N371" s="29"/>
      <c r="AC371" t="str">
        <f t="shared" si="28"/>
        <v>Jul</v>
      </c>
    </row>
    <row r="372" spans="2:29" ht="18" customHeight="1" x14ac:dyDescent="0.35">
      <c r="B372" s="148">
        <v>45860</v>
      </c>
      <c r="C372" s="80">
        <f t="shared" si="25"/>
        <v>7</v>
      </c>
      <c r="D372" s="102" t="s">
        <v>51</v>
      </c>
      <c r="E372" s="71" t="s">
        <v>210</v>
      </c>
      <c r="F372" s="66" t="s">
        <v>206</v>
      </c>
      <c r="G372" s="104"/>
      <c r="H372" s="104"/>
      <c r="I372" s="104"/>
      <c r="J372" s="104"/>
      <c r="K372" s="65">
        <f t="shared" si="26"/>
        <v>0</v>
      </c>
      <c r="L372" s="65"/>
      <c r="M372" s="73">
        <f t="shared" si="27"/>
        <v>0</v>
      </c>
      <c r="N372" s="29"/>
      <c r="AC372" t="str">
        <f t="shared" si="28"/>
        <v>Jul</v>
      </c>
    </row>
    <row r="373" spans="2:29" ht="18" customHeight="1" x14ac:dyDescent="0.35">
      <c r="B373" s="148">
        <v>45861</v>
      </c>
      <c r="C373" s="80">
        <f t="shared" si="25"/>
        <v>7</v>
      </c>
      <c r="D373" s="102" t="s">
        <v>51</v>
      </c>
      <c r="E373" s="71" t="s">
        <v>210</v>
      </c>
      <c r="F373" s="66" t="s">
        <v>206</v>
      </c>
      <c r="G373" s="104"/>
      <c r="H373" s="104"/>
      <c r="I373" s="104"/>
      <c r="J373" s="104"/>
      <c r="K373" s="65">
        <f t="shared" si="26"/>
        <v>0</v>
      </c>
      <c r="L373" s="65"/>
      <c r="M373" s="73">
        <f t="shared" si="27"/>
        <v>0</v>
      </c>
      <c r="N373" s="29"/>
      <c r="AC373" t="str">
        <f t="shared" si="28"/>
        <v>Jul</v>
      </c>
    </row>
    <row r="374" spans="2:29" ht="18" customHeight="1" x14ac:dyDescent="0.35">
      <c r="B374" s="148">
        <v>45862</v>
      </c>
      <c r="C374" s="80">
        <f t="shared" si="25"/>
        <v>7</v>
      </c>
      <c r="D374" s="102" t="s">
        <v>51</v>
      </c>
      <c r="E374" s="71" t="s">
        <v>210</v>
      </c>
      <c r="F374" s="66" t="s">
        <v>206</v>
      </c>
      <c r="G374" s="104"/>
      <c r="H374" s="104"/>
      <c r="I374" s="104"/>
      <c r="J374" s="104"/>
      <c r="K374" s="65">
        <f t="shared" si="26"/>
        <v>0</v>
      </c>
      <c r="L374" s="65"/>
      <c r="M374" s="73">
        <f t="shared" si="27"/>
        <v>0</v>
      </c>
      <c r="N374" s="29"/>
      <c r="AC374" t="str">
        <f t="shared" si="28"/>
        <v>Jul</v>
      </c>
    </row>
    <row r="375" spans="2:29" ht="18" customHeight="1" x14ac:dyDescent="0.35">
      <c r="B375" s="148">
        <v>45863</v>
      </c>
      <c r="C375" s="80">
        <f t="shared" si="25"/>
        <v>7</v>
      </c>
      <c r="D375" s="102" t="s">
        <v>51</v>
      </c>
      <c r="E375" s="71" t="s">
        <v>210</v>
      </c>
      <c r="F375" s="66" t="s">
        <v>206</v>
      </c>
      <c r="G375" s="104"/>
      <c r="H375" s="104"/>
      <c r="I375" s="104"/>
      <c r="J375" s="104"/>
      <c r="K375" s="65">
        <f t="shared" si="26"/>
        <v>0</v>
      </c>
      <c r="L375" s="65"/>
      <c r="M375" s="73">
        <f t="shared" si="27"/>
        <v>0</v>
      </c>
      <c r="N375" s="29"/>
      <c r="AC375" t="str">
        <f t="shared" si="28"/>
        <v>Jul</v>
      </c>
    </row>
    <row r="376" spans="2:29" ht="18" customHeight="1" x14ac:dyDescent="0.35">
      <c r="B376" s="148">
        <v>45864</v>
      </c>
      <c r="C376" s="80">
        <f t="shared" si="25"/>
        <v>7</v>
      </c>
      <c r="D376" s="102" t="s">
        <v>51</v>
      </c>
      <c r="E376" s="71" t="s">
        <v>210</v>
      </c>
      <c r="F376" s="66" t="s">
        <v>206</v>
      </c>
      <c r="G376" s="104"/>
      <c r="H376" s="104"/>
      <c r="I376" s="104"/>
      <c r="J376" s="104"/>
      <c r="K376" s="65">
        <f t="shared" si="26"/>
        <v>0</v>
      </c>
      <c r="L376" s="65"/>
      <c r="M376" s="73">
        <f t="shared" si="27"/>
        <v>0</v>
      </c>
      <c r="N376" s="29"/>
      <c r="AC376" t="str">
        <f t="shared" si="28"/>
        <v>Jul</v>
      </c>
    </row>
    <row r="377" spans="2:29" ht="18" customHeight="1" x14ac:dyDescent="0.35">
      <c r="B377" s="148">
        <v>45865</v>
      </c>
      <c r="C377" s="80">
        <f t="shared" si="25"/>
        <v>7</v>
      </c>
      <c r="D377" s="102" t="s">
        <v>51</v>
      </c>
      <c r="E377" s="71" t="s">
        <v>210</v>
      </c>
      <c r="F377" s="66" t="s">
        <v>206</v>
      </c>
      <c r="G377" s="104"/>
      <c r="H377" s="104"/>
      <c r="I377" s="104"/>
      <c r="J377" s="104"/>
      <c r="K377" s="65">
        <f t="shared" si="26"/>
        <v>0</v>
      </c>
      <c r="L377" s="65"/>
      <c r="M377" s="73">
        <f t="shared" si="27"/>
        <v>0</v>
      </c>
      <c r="N377" s="29"/>
      <c r="AC377" t="str">
        <f t="shared" si="28"/>
        <v>Jul</v>
      </c>
    </row>
    <row r="378" spans="2:29" ht="18" customHeight="1" x14ac:dyDescent="0.35">
      <c r="B378" s="148">
        <v>45866</v>
      </c>
      <c r="C378" s="80">
        <f t="shared" si="25"/>
        <v>7</v>
      </c>
      <c r="D378" s="102" t="s">
        <v>51</v>
      </c>
      <c r="E378" s="71" t="s">
        <v>210</v>
      </c>
      <c r="F378" s="66" t="s">
        <v>206</v>
      </c>
      <c r="G378" s="104"/>
      <c r="H378" s="104"/>
      <c r="I378" s="104"/>
      <c r="J378" s="104"/>
      <c r="K378" s="65">
        <f t="shared" si="26"/>
        <v>0</v>
      </c>
      <c r="L378" s="65"/>
      <c r="M378" s="73">
        <f t="shared" si="27"/>
        <v>0</v>
      </c>
      <c r="N378" s="29"/>
      <c r="AC378" t="str">
        <f t="shared" si="28"/>
        <v>Jul</v>
      </c>
    </row>
    <row r="379" spans="2:29" ht="18" customHeight="1" x14ac:dyDescent="0.35">
      <c r="B379" s="148">
        <v>45867</v>
      </c>
      <c r="C379" s="80">
        <f t="shared" si="25"/>
        <v>7</v>
      </c>
      <c r="D379" s="102" t="s">
        <v>51</v>
      </c>
      <c r="E379" s="71" t="s">
        <v>210</v>
      </c>
      <c r="F379" s="66" t="s">
        <v>206</v>
      </c>
      <c r="G379" s="104"/>
      <c r="H379" s="104"/>
      <c r="I379" s="104"/>
      <c r="J379" s="104"/>
      <c r="K379" s="65">
        <f t="shared" si="26"/>
        <v>0</v>
      </c>
      <c r="L379" s="65"/>
      <c r="M379" s="73">
        <f t="shared" si="27"/>
        <v>0</v>
      </c>
      <c r="N379" s="29"/>
      <c r="AC379" t="str">
        <f t="shared" si="28"/>
        <v>Jul</v>
      </c>
    </row>
    <row r="380" spans="2:29" ht="18" customHeight="1" x14ac:dyDescent="0.35">
      <c r="B380" s="148">
        <v>45868</v>
      </c>
      <c r="C380" s="80">
        <f t="shared" si="25"/>
        <v>7</v>
      </c>
      <c r="D380" s="102" t="s">
        <v>51</v>
      </c>
      <c r="E380" s="71" t="s">
        <v>210</v>
      </c>
      <c r="F380" s="66" t="s">
        <v>206</v>
      </c>
      <c r="G380" s="104"/>
      <c r="H380" s="104"/>
      <c r="I380" s="104"/>
      <c r="J380" s="104"/>
      <c r="K380" s="65">
        <f t="shared" si="26"/>
        <v>0</v>
      </c>
      <c r="L380" s="65"/>
      <c r="M380" s="73">
        <f t="shared" si="27"/>
        <v>0</v>
      </c>
      <c r="N380" s="29"/>
      <c r="AC380" t="str">
        <f t="shared" si="28"/>
        <v>Jul</v>
      </c>
    </row>
    <row r="381" spans="2:29" ht="18" customHeight="1" x14ac:dyDescent="0.35">
      <c r="B381" s="148">
        <v>45869</v>
      </c>
      <c r="C381" s="80">
        <f t="shared" si="25"/>
        <v>7</v>
      </c>
      <c r="D381" s="102" t="s">
        <v>51</v>
      </c>
      <c r="E381" s="71" t="s">
        <v>210</v>
      </c>
      <c r="F381" s="66" t="s">
        <v>206</v>
      </c>
      <c r="G381" s="104"/>
      <c r="H381" s="104"/>
      <c r="I381" s="104"/>
      <c r="J381" s="104"/>
      <c r="K381" s="65">
        <f t="shared" si="26"/>
        <v>0</v>
      </c>
      <c r="L381" s="65"/>
      <c r="M381" s="73">
        <f t="shared" si="27"/>
        <v>0</v>
      </c>
      <c r="N381" s="29"/>
      <c r="AC381" t="str">
        <f t="shared" si="28"/>
        <v>Jul</v>
      </c>
    </row>
    <row r="382" spans="2:29" ht="18" customHeight="1" x14ac:dyDescent="0.35">
      <c r="B382" s="148">
        <v>45857</v>
      </c>
      <c r="C382" s="80">
        <f t="shared" si="25"/>
        <v>7</v>
      </c>
      <c r="D382" s="102" t="s">
        <v>108</v>
      </c>
      <c r="E382" s="71" t="s">
        <v>210</v>
      </c>
      <c r="F382" s="66" t="s">
        <v>206</v>
      </c>
      <c r="G382" s="104"/>
      <c r="H382" s="104"/>
      <c r="I382" s="104"/>
      <c r="J382" s="104"/>
      <c r="K382" s="65">
        <f t="shared" si="26"/>
        <v>0</v>
      </c>
      <c r="L382" s="65"/>
      <c r="M382" s="73">
        <f t="shared" si="27"/>
        <v>0</v>
      </c>
      <c r="N382" s="29"/>
      <c r="AC382" t="str">
        <f t="shared" si="28"/>
        <v>Jul</v>
      </c>
    </row>
    <row r="383" spans="2:29" ht="18" customHeight="1" x14ac:dyDescent="0.35">
      <c r="B383" s="148">
        <v>45858</v>
      </c>
      <c r="C383" s="80">
        <f t="shared" si="25"/>
        <v>7</v>
      </c>
      <c r="D383" s="102" t="s">
        <v>128</v>
      </c>
      <c r="E383" s="71" t="s">
        <v>210</v>
      </c>
      <c r="F383" s="66" t="s">
        <v>206</v>
      </c>
      <c r="G383" s="104"/>
      <c r="H383" s="104"/>
      <c r="I383" s="104"/>
      <c r="J383" s="104"/>
      <c r="K383" s="65">
        <f t="shared" si="26"/>
        <v>0</v>
      </c>
      <c r="L383" s="65"/>
      <c r="M383" s="73">
        <f t="shared" si="27"/>
        <v>0</v>
      </c>
      <c r="N383" s="29"/>
      <c r="AC383" t="str">
        <f t="shared" si="28"/>
        <v>Jul</v>
      </c>
    </row>
    <row r="384" spans="2:29" ht="18" customHeight="1" x14ac:dyDescent="0.35">
      <c r="B384" s="148">
        <v>45856</v>
      </c>
      <c r="C384" s="80">
        <f t="shared" si="25"/>
        <v>7</v>
      </c>
      <c r="D384" s="102" t="s">
        <v>106</v>
      </c>
      <c r="E384" s="71" t="s">
        <v>210</v>
      </c>
      <c r="F384" s="66" t="s">
        <v>206</v>
      </c>
      <c r="G384" s="104"/>
      <c r="H384" s="104"/>
      <c r="I384" s="104"/>
      <c r="J384" s="104"/>
      <c r="K384" s="65">
        <f t="shared" si="26"/>
        <v>0</v>
      </c>
      <c r="L384" s="65"/>
      <c r="M384" s="73">
        <f t="shared" si="27"/>
        <v>0</v>
      </c>
      <c r="N384" s="29"/>
      <c r="AC384" t="str">
        <f t="shared" si="28"/>
        <v>Jul</v>
      </c>
    </row>
    <row r="385" spans="2:29" ht="18" customHeight="1" x14ac:dyDescent="0.35">
      <c r="B385" s="148">
        <v>45845</v>
      </c>
      <c r="C385" s="80">
        <f t="shared" si="25"/>
        <v>7</v>
      </c>
      <c r="D385" s="102" t="s">
        <v>223</v>
      </c>
      <c r="E385" s="71" t="s">
        <v>210</v>
      </c>
      <c r="F385" s="66" t="s">
        <v>205</v>
      </c>
      <c r="G385" s="104"/>
      <c r="H385" s="104"/>
      <c r="I385" s="104"/>
      <c r="J385" s="104"/>
      <c r="K385" s="65">
        <f t="shared" si="26"/>
        <v>0</v>
      </c>
      <c r="L385" s="65"/>
      <c r="M385" s="73">
        <f t="shared" si="27"/>
        <v>0</v>
      </c>
      <c r="N385" s="29"/>
      <c r="AC385" t="str">
        <f t="shared" si="28"/>
        <v>Jul</v>
      </c>
    </row>
    <row r="386" spans="2:29" ht="18" customHeight="1" x14ac:dyDescent="0.35">
      <c r="B386" s="148">
        <v>45868</v>
      </c>
      <c r="C386" s="80">
        <f t="shared" si="25"/>
        <v>7</v>
      </c>
      <c r="D386" s="102" t="s">
        <v>223</v>
      </c>
      <c r="E386" s="71" t="s">
        <v>210</v>
      </c>
      <c r="F386" s="66" t="s">
        <v>205</v>
      </c>
      <c r="G386" s="104"/>
      <c r="H386" s="104"/>
      <c r="I386" s="104"/>
      <c r="J386" s="104"/>
      <c r="K386" s="65">
        <f t="shared" si="26"/>
        <v>0</v>
      </c>
      <c r="L386" s="65"/>
      <c r="M386" s="73">
        <f t="shared" si="27"/>
        <v>0</v>
      </c>
      <c r="N386" s="29"/>
      <c r="AC386" t="str">
        <f t="shared" si="28"/>
        <v>Jul</v>
      </c>
    </row>
    <row r="387" spans="2:29" ht="18" customHeight="1" x14ac:dyDescent="0.35">
      <c r="B387" s="148">
        <v>45852</v>
      </c>
      <c r="C387" s="80">
        <f t="shared" si="25"/>
        <v>7</v>
      </c>
      <c r="D387" s="102" t="s">
        <v>73</v>
      </c>
      <c r="E387" s="71" t="s">
        <v>210</v>
      </c>
      <c r="F387" s="66" t="s">
        <v>206</v>
      </c>
      <c r="G387" s="104"/>
      <c r="H387" s="104"/>
      <c r="I387" s="104"/>
      <c r="J387" s="104"/>
      <c r="K387" s="65">
        <f t="shared" si="26"/>
        <v>0</v>
      </c>
      <c r="L387" s="65"/>
      <c r="M387" s="73">
        <f t="shared" si="27"/>
        <v>0</v>
      </c>
      <c r="N387" s="29"/>
      <c r="AC387" t="str">
        <f t="shared" si="28"/>
        <v>Jul</v>
      </c>
    </row>
    <row r="388" spans="2:29" ht="18" customHeight="1" x14ac:dyDescent="0.35">
      <c r="B388" s="148">
        <v>45853</v>
      </c>
      <c r="C388" s="80">
        <f t="shared" si="25"/>
        <v>7</v>
      </c>
      <c r="D388" s="102" t="s">
        <v>73</v>
      </c>
      <c r="E388" s="71" t="s">
        <v>210</v>
      </c>
      <c r="F388" s="66" t="s">
        <v>206</v>
      </c>
      <c r="G388" s="104"/>
      <c r="H388" s="104"/>
      <c r="I388" s="104"/>
      <c r="J388" s="104"/>
      <c r="K388" s="65">
        <f t="shared" si="26"/>
        <v>0</v>
      </c>
      <c r="L388" s="65"/>
      <c r="M388" s="73">
        <f t="shared" si="27"/>
        <v>0</v>
      </c>
      <c r="N388" s="29"/>
      <c r="AC388" t="str">
        <f t="shared" si="28"/>
        <v>Jul</v>
      </c>
    </row>
    <row r="389" spans="2:29" ht="18" customHeight="1" x14ac:dyDescent="0.35">
      <c r="B389" s="148">
        <v>45868</v>
      </c>
      <c r="C389" s="80">
        <f t="shared" si="25"/>
        <v>7</v>
      </c>
      <c r="D389" s="102" t="s">
        <v>73</v>
      </c>
      <c r="E389" s="71" t="s">
        <v>210</v>
      </c>
      <c r="F389" s="66" t="s">
        <v>206</v>
      </c>
      <c r="G389" s="104"/>
      <c r="H389" s="104"/>
      <c r="I389" s="104"/>
      <c r="J389" s="104"/>
      <c r="K389" s="65">
        <f t="shared" si="26"/>
        <v>0</v>
      </c>
      <c r="L389" s="65"/>
      <c r="M389" s="73">
        <f t="shared" si="27"/>
        <v>0</v>
      </c>
      <c r="N389" s="29"/>
      <c r="AC389" t="str">
        <f t="shared" si="28"/>
        <v>Jul</v>
      </c>
    </row>
    <row r="390" spans="2:29" ht="18" customHeight="1" x14ac:dyDescent="0.35">
      <c r="B390" s="148">
        <v>45849</v>
      </c>
      <c r="C390" s="80">
        <f t="shared" ref="C390:C453" si="30">MONTH(B390)</f>
        <v>7</v>
      </c>
      <c r="D390" s="102" t="s">
        <v>52</v>
      </c>
      <c r="E390" s="71" t="s">
        <v>210</v>
      </c>
      <c r="F390" s="66" t="s">
        <v>206</v>
      </c>
      <c r="G390" s="104"/>
      <c r="H390" s="104"/>
      <c r="I390" s="104"/>
      <c r="J390" s="104"/>
      <c r="K390" s="65">
        <f t="shared" ref="K390:K453" si="31">I390*J390</f>
        <v>0</v>
      </c>
      <c r="L390" s="65"/>
      <c r="M390" s="73">
        <f t="shared" ref="M390:M453" si="32">K390-L390</f>
        <v>0</v>
      </c>
      <c r="N390" s="29"/>
      <c r="AC390" t="str">
        <f t="shared" si="28"/>
        <v>Jul</v>
      </c>
    </row>
    <row r="391" spans="2:29" ht="18" customHeight="1" x14ac:dyDescent="0.35">
      <c r="B391" s="148">
        <v>45850</v>
      </c>
      <c r="C391" s="80">
        <f t="shared" si="30"/>
        <v>7</v>
      </c>
      <c r="D391" s="102" t="s">
        <v>52</v>
      </c>
      <c r="E391" s="71" t="s">
        <v>210</v>
      </c>
      <c r="F391" s="66" t="s">
        <v>206</v>
      </c>
      <c r="G391" s="104"/>
      <c r="H391" s="104"/>
      <c r="I391" s="104"/>
      <c r="J391" s="104"/>
      <c r="K391" s="65">
        <f t="shared" si="31"/>
        <v>0</v>
      </c>
      <c r="L391" s="65"/>
      <c r="M391" s="73">
        <f t="shared" si="32"/>
        <v>0</v>
      </c>
      <c r="N391" s="29"/>
      <c r="AC391" t="str">
        <f t="shared" ref="AC391:AC454" si="33">IFERROR(INDEX(AA:AA,MATCH(C391,Z:Z,0)),"")</f>
        <v>Jul</v>
      </c>
    </row>
    <row r="392" spans="2:29" ht="18" customHeight="1" x14ac:dyDescent="0.35">
      <c r="B392" s="148">
        <v>45857</v>
      </c>
      <c r="C392" s="80">
        <f t="shared" si="30"/>
        <v>7</v>
      </c>
      <c r="D392" s="102" t="s">
        <v>52</v>
      </c>
      <c r="E392" s="71" t="s">
        <v>210</v>
      </c>
      <c r="F392" s="66" t="s">
        <v>206</v>
      </c>
      <c r="G392" s="104"/>
      <c r="H392" s="104"/>
      <c r="I392" s="104"/>
      <c r="J392" s="104"/>
      <c r="K392" s="65">
        <f t="shared" si="31"/>
        <v>0</v>
      </c>
      <c r="L392" s="65"/>
      <c r="M392" s="73">
        <f t="shared" si="32"/>
        <v>0</v>
      </c>
      <c r="N392" s="29"/>
      <c r="AC392" t="str">
        <f t="shared" si="33"/>
        <v>Jul</v>
      </c>
    </row>
    <row r="393" spans="2:29" ht="18" customHeight="1" x14ac:dyDescent="0.35">
      <c r="B393" s="148">
        <v>45864</v>
      </c>
      <c r="C393" s="80">
        <f t="shared" si="30"/>
        <v>7</v>
      </c>
      <c r="D393" s="102" t="s">
        <v>52</v>
      </c>
      <c r="E393" s="71" t="s">
        <v>210</v>
      </c>
      <c r="F393" s="66" t="s">
        <v>206</v>
      </c>
      <c r="G393" s="104"/>
      <c r="H393" s="104"/>
      <c r="I393" s="104"/>
      <c r="J393" s="104"/>
      <c r="K393" s="65">
        <f t="shared" si="31"/>
        <v>0</v>
      </c>
      <c r="L393" s="65"/>
      <c r="M393" s="73">
        <f t="shared" si="32"/>
        <v>0</v>
      </c>
      <c r="N393" s="29"/>
      <c r="AC393" t="str">
        <f t="shared" si="33"/>
        <v>Jul</v>
      </c>
    </row>
    <row r="394" spans="2:29" ht="18" customHeight="1" x14ac:dyDescent="0.35">
      <c r="B394" s="148">
        <v>45865</v>
      </c>
      <c r="C394" s="80">
        <f t="shared" si="30"/>
        <v>7</v>
      </c>
      <c r="D394" s="102" t="s">
        <v>52</v>
      </c>
      <c r="E394" s="71" t="s">
        <v>210</v>
      </c>
      <c r="F394" s="66" t="s">
        <v>206</v>
      </c>
      <c r="G394" s="104"/>
      <c r="H394" s="104"/>
      <c r="I394" s="104"/>
      <c r="J394" s="104"/>
      <c r="K394" s="65">
        <f t="shared" si="31"/>
        <v>0</v>
      </c>
      <c r="L394" s="65"/>
      <c r="M394" s="73">
        <f t="shared" si="32"/>
        <v>0</v>
      </c>
      <c r="N394" s="29"/>
      <c r="AC394" t="str">
        <f t="shared" si="33"/>
        <v>Jul</v>
      </c>
    </row>
    <row r="395" spans="2:29" ht="18" customHeight="1" x14ac:dyDescent="0.35">
      <c r="B395" s="148">
        <v>45867</v>
      </c>
      <c r="C395" s="80">
        <f t="shared" si="30"/>
        <v>7</v>
      </c>
      <c r="D395" s="102" t="s">
        <v>52</v>
      </c>
      <c r="E395" s="71" t="s">
        <v>210</v>
      </c>
      <c r="F395" s="66" t="s">
        <v>206</v>
      </c>
      <c r="G395" s="104"/>
      <c r="H395" s="104"/>
      <c r="I395" s="104"/>
      <c r="J395" s="104"/>
      <c r="K395" s="65">
        <f t="shared" si="31"/>
        <v>0</v>
      </c>
      <c r="L395" s="65"/>
      <c r="M395" s="73">
        <f t="shared" si="32"/>
        <v>0</v>
      </c>
      <c r="N395" s="29"/>
      <c r="AC395" t="str">
        <f t="shared" si="33"/>
        <v>Jul</v>
      </c>
    </row>
    <row r="396" spans="2:29" ht="18" customHeight="1" x14ac:dyDescent="0.35">
      <c r="B396" s="148">
        <v>45869</v>
      </c>
      <c r="C396" s="80">
        <f t="shared" si="30"/>
        <v>7</v>
      </c>
      <c r="D396" s="102" t="s">
        <v>52</v>
      </c>
      <c r="E396" s="71" t="s">
        <v>210</v>
      </c>
      <c r="F396" s="66" t="s">
        <v>206</v>
      </c>
      <c r="G396" s="104"/>
      <c r="H396" s="104"/>
      <c r="I396" s="104"/>
      <c r="J396" s="104"/>
      <c r="K396" s="65">
        <f t="shared" si="31"/>
        <v>0</v>
      </c>
      <c r="L396" s="65"/>
      <c r="M396" s="73">
        <f t="shared" si="32"/>
        <v>0</v>
      </c>
      <c r="N396" s="29"/>
      <c r="AC396" t="str">
        <f t="shared" si="33"/>
        <v>Jul</v>
      </c>
    </row>
    <row r="397" spans="2:29" ht="18" customHeight="1" x14ac:dyDescent="0.35">
      <c r="B397" s="148">
        <v>45844</v>
      </c>
      <c r="C397" s="80">
        <f t="shared" si="30"/>
        <v>7</v>
      </c>
      <c r="D397" s="102" t="s">
        <v>224</v>
      </c>
      <c r="E397" s="71" t="s">
        <v>210</v>
      </c>
      <c r="F397" s="66" t="s">
        <v>205</v>
      </c>
      <c r="G397" s="104"/>
      <c r="H397" s="104"/>
      <c r="I397" s="104"/>
      <c r="J397" s="104"/>
      <c r="K397" s="65">
        <f t="shared" si="31"/>
        <v>0</v>
      </c>
      <c r="L397" s="65"/>
      <c r="M397" s="73">
        <f t="shared" si="32"/>
        <v>0</v>
      </c>
      <c r="N397" s="29"/>
      <c r="AC397" t="str">
        <f t="shared" si="33"/>
        <v>Jul</v>
      </c>
    </row>
    <row r="398" spans="2:29" ht="18" customHeight="1" x14ac:dyDescent="0.35">
      <c r="B398" s="148">
        <v>45848</v>
      </c>
      <c r="C398" s="80">
        <f t="shared" si="30"/>
        <v>7</v>
      </c>
      <c r="D398" s="102" t="s">
        <v>226</v>
      </c>
      <c r="E398" s="71" t="s">
        <v>210</v>
      </c>
      <c r="F398" s="66" t="s">
        <v>205</v>
      </c>
      <c r="G398" s="104"/>
      <c r="H398" s="104"/>
      <c r="I398" s="104"/>
      <c r="J398" s="104"/>
      <c r="K398" s="65">
        <f t="shared" si="31"/>
        <v>0</v>
      </c>
      <c r="L398" s="65"/>
      <c r="M398" s="73">
        <f t="shared" si="32"/>
        <v>0</v>
      </c>
      <c r="N398" s="29"/>
      <c r="AC398" t="str">
        <f t="shared" si="33"/>
        <v>Jul</v>
      </c>
    </row>
    <row r="399" spans="2:29" ht="18" customHeight="1" x14ac:dyDescent="0.35">
      <c r="B399" s="148">
        <v>45849</v>
      </c>
      <c r="C399" s="80">
        <f t="shared" si="30"/>
        <v>7</v>
      </c>
      <c r="D399" s="102" t="s">
        <v>226</v>
      </c>
      <c r="E399" s="71" t="s">
        <v>210</v>
      </c>
      <c r="F399" s="66" t="s">
        <v>205</v>
      </c>
      <c r="G399" s="104"/>
      <c r="H399" s="104"/>
      <c r="I399" s="104"/>
      <c r="J399" s="104"/>
      <c r="K399" s="65">
        <f t="shared" si="31"/>
        <v>0</v>
      </c>
      <c r="L399" s="65"/>
      <c r="M399" s="73">
        <f t="shared" si="32"/>
        <v>0</v>
      </c>
      <c r="N399" s="29"/>
      <c r="AC399" t="str">
        <f t="shared" si="33"/>
        <v>Jul</v>
      </c>
    </row>
    <row r="400" spans="2:29" ht="18" customHeight="1" x14ac:dyDescent="0.35">
      <c r="B400" s="148">
        <v>45864</v>
      </c>
      <c r="C400" s="80">
        <f t="shared" si="30"/>
        <v>7</v>
      </c>
      <c r="D400" s="102" t="s">
        <v>226</v>
      </c>
      <c r="E400" s="71" t="s">
        <v>210</v>
      </c>
      <c r="F400" s="66" t="s">
        <v>205</v>
      </c>
      <c r="G400" s="104"/>
      <c r="H400" s="104"/>
      <c r="I400" s="104"/>
      <c r="J400" s="104"/>
      <c r="K400" s="65">
        <f t="shared" si="31"/>
        <v>0</v>
      </c>
      <c r="L400" s="65"/>
      <c r="M400" s="73">
        <f t="shared" si="32"/>
        <v>0</v>
      </c>
      <c r="N400" s="29"/>
      <c r="AC400" t="str">
        <f t="shared" si="33"/>
        <v>Jul</v>
      </c>
    </row>
    <row r="401" spans="2:29" ht="18" customHeight="1" x14ac:dyDescent="0.35">
      <c r="B401" s="148">
        <v>45866</v>
      </c>
      <c r="C401" s="80">
        <f t="shared" si="30"/>
        <v>7</v>
      </c>
      <c r="D401" s="102" t="s">
        <v>226</v>
      </c>
      <c r="E401" s="71" t="s">
        <v>210</v>
      </c>
      <c r="F401" s="66" t="s">
        <v>205</v>
      </c>
      <c r="G401" s="104"/>
      <c r="H401" s="104"/>
      <c r="I401" s="104"/>
      <c r="J401" s="104"/>
      <c r="K401" s="65">
        <f t="shared" si="31"/>
        <v>0</v>
      </c>
      <c r="L401" s="65"/>
      <c r="M401" s="73">
        <f t="shared" si="32"/>
        <v>0</v>
      </c>
      <c r="N401" s="29"/>
      <c r="AC401" t="str">
        <f t="shared" si="33"/>
        <v>Jul</v>
      </c>
    </row>
    <row r="402" spans="2:29" ht="18" customHeight="1" x14ac:dyDescent="0.35">
      <c r="B402" s="148">
        <v>45867</v>
      </c>
      <c r="C402" s="80">
        <f t="shared" si="30"/>
        <v>7</v>
      </c>
      <c r="D402" s="102" t="s">
        <v>226</v>
      </c>
      <c r="E402" s="71" t="s">
        <v>210</v>
      </c>
      <c r="F402" s="66" t="s">
        <v>205</v>
      </c>
      <c r="G402" s="104"/>
      <c r="H402" s="104"/>
      <c r="I402" s="104"/>
      <c r="J402" s="104"/>
      <c r="K402" s="65">
        <f t="shared" si="31"/>
        <v>0</v>
      </c>
      <c r="L402" s="65"/>
      <c r="M402" s="73">
        <f t="shared" si="32"/>
        <v>0</v>
      </c>
      <c r="N402" s="29"/>
      <c r="AC402" t="str">
        <f t="shared" si="33"/>
        <v>Jul</v>
      </c>
    </row>
    <row r="403" spans="2:29" ht="18" customHeight="1" x14ac:dyDescent="0.35">
      <c r="B403" s="148">
        <v>45868</v>
      </c>
      <c r="C403" s="80">
        <f t="shared" si="30"/>
        <v>7</v>
      </c>
      <c r="D403" s="102" t="s">
        <v>226</v>
      </c>
      <c r="E403" s="71" t="s">
        <v>210</v>
      </c>
      <c r="F403" s="66" t="s">
        <v>205</v>
      </c>
      <c r="G403" s="104"/>
      <c r="H403" s="104"/>
      <c r="I403" s="104"/>
      <c r="J403" s="104"/>
      <c r="K403" s="65">
        <f t="shared" si="31"/>
        <v>0</v>
      </c>
      <c r="L403" s="65"/>
      <c r="M403" s="73">
        <f t="shared" si="32"/>
        <v>0</v>
      </c>
      <c r="N403" s="29"/>
      <c r="AC403" t="str">
        <f t="shared" si="33"/>
        <v>Jul</v>
      </c>
    </row>
    <row r="404" spans="2:29" ht="18" customHeight="1" x14ac:dyDescent="0.35">
      <c r="B404" s="148">
        <v>45869</v>
      </c>
      <c r="C404" s="80">
        <f t="shared" si="30"/>
        <v>7</v>
      </c>
      <c r="D404" s="102" t="s">
        <v>226</v>
      </c>
      <c r="E404" s="71" t="s">
        <v>210</v>
      </c>
      <c r="F404" s="66" t="s">
        <v>205</v>
      </c>
      <c r="G404" s="104"/>
      <c r="H404" s="104"/>
      <c r="I404" s="104"/>
      <c r="J404" s="104"/>
      <c r="K404" s="65">
        <f t="shared" si="31"/>
        <v>0</v>
      </c>
      <c r="L404" s="65"/>
      <c r="M404" s="73">
        <f t="shared" si="32"/>
        <v>0</v>
      </c>
      <c r="N404" s="29"/>
      <c r="AC404" t="str">
        <f t="shared" si="33"/>
        <v>Jul</v>
      </c>
    </row>
    <row r="405" spans="2:29" ht="18" customHeight="1" x14ac:dyDescent="0.35">
      <c r="B405" s="148">
        <v>45846</v>
      </c>
      <c r="C405" s="80">
        <f t="shared" si="30"/>
        <v>7</v>
      </c>
      <c r="D405" s="102" t="s">
        <v>225</v>
      </c>
      <c r="E405" s="71" t="s">
        <v>210</v>
      </c>
      <c r="F405" s="66" t="s">
        <v>205</v>
      </c>
      <c r="G405" s="104"/>
      <c r="H405" s="104"/>
      <c r="I405" s="104"/>
      <c r="J405" s="104"/>
      <c r="K405" s="65">
        <f t="shared" si="31"/>
        <v>0</v>
      </c>
      <c r="L405" s="65"/>
      <c r="M405" s="73">
        <f t="shared" si="32"/>
        <v>0</v>
      </c>
      <c r="N405" s="29"/>
      <c r="AC405" t="str">
        <f t="shared" si="33"/>
        <v>Jul</v>
      </c>
    </row>
    <row r="406" spans="2:29" ht="18" customHeight="1" x14ac:dyDescent="0.35">
      <c r="B406" s="148">
        <v>45858</v>
      </c>
      <c r="C406" s="80">
        <f t="shared" si="30"/>
        <v>7</v>
      </c>
      <c r="D406" s="102" t="s">
        <v>225</v>
      </c>
      <c r="E406" s="71" t="s">
        <v>210</v>
      </c>
      <c r="F406" s="66" t="s">
        <v>205</v>
      </c>
      <c r="G406" s="104"/>
      <c r="H406" s="104"/>
      <c r="I406" s="104"/>
      <c r="J406" s="104"/>
      <c r="K406" s="65">
        <f t="shared" si="31"/>
        <v>0</v>
      </c>
      <c r="L406" s="65"/>
      <c r="M406" s="73">
        <f t="shared" si="32"/>
        <v>0</v>
      </c>
      <c r="N406" s="29"/>
      <c r="AC406" t="str">
        <f t="shared" si="33"/>
        <v>Jul</v>
      </c>
    </row>
    <row r="407" spans="2:29" ht="18" customHeight="1" x14ac:dyDescent="0.35">
      <c r="B407" s="148">
        <v>45864</v>
      </c>
      <c r="C407" s="80">
        <f t="shared" si="30"/>
        <v>7</v>
      </c>
      <c r="D407" s="102" t="s">
        <v>225</v>
      </c>
      <c r="E407" s="71" t="s">
        <v>210</v>
      </c>
      <c r="F407" s="66" t="s">
        <v>205</v>
      </c>
      <c r="G407" s="104"/>
      <c r="H407" s="104"/>
      <c r="I407" s="104"/>
      <c r="J407" s="104"/>
      <c r="K407" s="65">
        <f t="shared" si="31"/>
        <v>0</v>
      </c>
      <c r="L407" s="65"/>
      <c r="M407" s="73">
        <f t="shared" si="32"/>
        <v>0</v>
      </c>
      <c r="N407" s="29"/>
      <c r="AC407" t="str">
        <f t="shared" si="33"/>
        <v>Jul</v>
      </c>
    </row>
    <row r="408" spans="2:29" ht="18" customHeight="1" x14ac:dyDescent="0.35">
      <c r="B408" s="148">
        <v>45867</v>
      </c>
      <c r="C408" s="80">
        <f t="shared" si="30"/>
        <v>7</v>
      </c>
      <c r="D408" s="102" t="s">
        <v>225</v>
      </c>
      <c r="E408" s="71" t="s">
        <v>210</v>
      </c>
      <c r="F408" s="66" t="s">
        <v>205</v>
      </c>
      <c r="G408" s="104"/>
      <c r="H408" s="104"/>
      <c r="I408" s="104"/>
      <c r="J408" s="104"/>
      <c r="K408" s="65">
        <f t="shared" si="31"/>
        <v>0</v>
      </c>
      <c r="L408" s="65"/>
      <c r="M408" s="73">
        <f t="shared" si="32"/>
        <v>0</v>
      </c>
      <c r="N408" s="29"/>
      <c r="AC408" t="str">
        <f t="shared" si="33"/>
        <v>Jul</v>
      </c>
    </row>
    <row r="409" spans="2:29" x14ac:dyDescent="0.3">
      <c r="B409" s="148">
        <v>45870</v>
      </c>
      <c r="C409" s="80">
        <f t="shared" si="30"/>
        <v>8</v>
      </c>
      <c r="D409" s="74" t="s">
        <v>116</v>
      </c>
      <c r="E409" s="71" t="s">
        <v>209</v>
      </c>
      <c r="F409" s="84" t="s">
        <v>204</v>
      </c>
      <c r="G409" s="84"/>
      <c r="H409" s="84" t="s">
        <v>483</v>
      </c>
      <c r="I409" s="69">
        <v>2</v>
      </c>
      <c r="J409" s="69">
        <v>1100</v>
      </c>
      <c r="K409" s="75">
        <f t="shared" si="31"/>
        <v>2200</v>
      </c>
      <c r="L409" s="73">
        <f t="shared" ref="L409:L425" si="34">K409</f>
        <v>2200</v>
      </c>
      <c r="M409" s="73">
        <f t="shared" si="32"/>
        <v>0</v>
      </c>
      <c r="N409" s="29"/>
      <c r="AC409" t="str">
        <f t="shared" si="33"/>
        <v>Aug</v>
      </c>
    </row>
    <row r="410" spans="2:29" x14ac:dyDescent="0.3">
      <c r="B410" s="148">
        <v>45870</v>
      </c>
      <c r="C410" s="80">
        <f t="shared" si="30"/>
        <v>8</v>
      </c>
      <c r="D410" s="74" t="s">
        <v>196</v>
      </c>
      <c r="E410" s="71" t="s">
        <v>209</v>
      </c>
      <c r="F410" s="84" t="s">
        <v>204</v>
      </c>
      <c r="G410" s="84"/>
      <c r="H410" s="84" t="s">
        <v>483</v>
      </c>
      <c r="I410" s="69">
        <v>1</v>
      </c>
      <c r="J410" s="69">
        <v>40</v>
      </c>
      <c r="K410" s="75">
        <f t="shared" si="31"/>
        <v>40</v>
      </c>
      <c r="L410" s="73">
        <f t="shared" si="34"/>
        <v>40</v>
      </c>
      <c r="M410" s="73">
        <f t="shared" si="32"/>
        <v>0</v>
      </c>
      <c r="N410" s="29"/>
      <c r="AC410" t="str">
        <f t="shared" si="33"/>
        <v>Aug</v>
      </c>
    </row>
    <row r="411" spans="2:29" x14ac:dyDescent="0.3">
      <c r="B411" s="148">
        <v>45870</v>
      </c>
      <c r="C411" s="80">
        <f t="shared" si="30"/>
        <v>8</v>
      </c>
      <c r="D411" s="74" t="s">
        <v>174</v>
      </c>
      <c r="E411" s="71" t="s">
        <v>209</v>
      </c>
      <c r="F411" s="84" t="s">
        <v>204</v>
      </c>
      <c r="G411" s="84"/>
      <c r="H411" s="84" t="s">
        <v>481</v>
      </c>
      <c r="I411" s="69">
        <v>6</v>
      </c>
      <c r="J411" s="69">
        <v>40</v>
      </c>
      <c r="K411" s="75">
        <f t="shared" si="31"/>
        <v>240</v>
      </c>
      <c r="L411" s="73">
        <f t="shared" si="34"/>
        <v>240</v>
      </c>
      <c r="M411" s="73">
        <f t="shared" si="32"/>
        <v>0</v>
      </c>
      <c r="N411" s="29"/>
      <c r="AC411" t="str">
        <f t="shared" si="33"/>
        <v>Aug</v>
      </c>
    </row>
    <row r="412" spans="2:29" x14ac:dyDescent="0.3">
      <c r="B412" s="148">
        <v>45870</v>
      </c>
      <c r="C412" s="80">
        <f t="shared" si="30"/>
        <v>8</v>
      </c>
      <c r="D412" s="74" t="s">
        <v>160</v>
      </c>
      <c r="E412" s="71" t="s">
        <v>209</v>
      </c>
      <c r="F412" s="84" t="s">
        <v>204</v>
      </c>
      <c r="G412" s="84"/>
      <c r="H412" s="84" t="s">
        <v>489</v>
      </c>
      <c r="I412" s="69">
        <v>1</v>
      </c>
      <c r="J412" s="69">
        <v>600</v>
      </c>
      <c r="K412" s="75">
        <f t="shared" si="31"/>
        <v>600</v>
      </c>
      <c r="L412" s="73">
        <f t="shared" si="34"/>
        <v>600</v>
      </c>
      <c r="M412" s="73">
        <f t="shared" si="32"/>
        <v>0</v>
      </c>
      <c r="N412" s="29"/>
      <c r="AC412" t="str">
        <f t="shared" si="33"/>
        <v>Aug</v>
      </c>
    </row>
    <row r="413" spans="2:29" x14ac:dyDescent="0.3">
      <c r="B413" s="148">
        <v>45870</v>
      </c>
      <c r="C413" s="80">
        <f t="shared" si="30"/>
        <v>8</v>
      </c>
      <c r="D413" s="74" t="s">
        <v>197</v>
      </c>
      <c r="E413" s="71" t="s">
        <v>209</v>
      </c>
      <c r="F413" s="84" t="s">
        <v>204</v>
      </c>
      <c r="G413" s="84"/>
      <c r="H413" s="84" t="s">
        <v>489</v>
      </c>
      <c r="I413" s="69">
        <v>8</v>
      </c>
      <c r="J413" s="69">
        <v>1.875</v>
      </c>
      <c r="K413" s="75">
        <f t="shared" si="31"/>
        <v>15</v>
      </c>
      <c r="L413" s="73">
        <f t="shared" si="34"/>
        <v>15</v>
      </c>
      <c r="M413" s="73">
        <f t="shared" si="32"/>
        <v>0</v>
      </c>
      <c r="N413" s="29"/>
      <c r="AC413" t="str">
        <f t="shared" si="33"/>
        <v>Aug</v>
      </c>
    </row>
    <row r="414" spans="2:29" x14ac:dyDescent="0.3">
      <c r="B414" s="148">
        <v>45870</v>
      </c>
      <c r="C414" s="80">
        <f t="shared" si="30"/>
        <v>8</v>
      </c>
      <c r="D414" s="74" t="s">
        <v>24</v>
      </c>
      <c r="E414" s="71" t="s">
        <v>209</v>
      </c>
      <c r="F414" s="84" t="s">
        <v>204</v>
      </c>
      <c r="G414" s="84"/>
      <c r="H414" s="84" t="s">
        <v>486</v>
      </c>
      <c r="I414" s="69">
        <v>1</v>
      </c>
      <c r="J414" s="69">
        <v>70</v>
      </c>
      <c r="K414" s="75">
        <f t="shared" si="31"/>
        <v>70</v>
      </c>
      <c r="L414" s="73">
        <f t="shared" si="34"/>
        <v>70</v>
      </c>
      <c r="M414" s="73">
        <f t="shared" si="32"/>
        <v>0</v>
      </c>
      <c r="N414" s="29"/>
      <c r="AC414" t="str">
        <f t="shared" si="33"/>
        <v>Aug</v>
      </c>
    </row>
    <row r="415" spans="2:29" x14ac:dyDescent="0.3">
      <c r="B415" s="148">
        <v>45870</v>
      </c>
      <c r="C415" s="80">
        <f t="shared" si="30"/>
        <v>8</v>
      </c>
      <c r="D415" s="74" t="s">
        <v>63</v>
      </c>
      <c r="E415" s="71" t="s">
        <v>209</v>
      </c>
      <c r="F415" s="84" t="s">
        <v>204</v>
      </c>
      <c r="G415" s="84"/>
      <c r="H415" s="84" t="s">
        <v>486</v>
      </c>
      <c r="I415" s="69">
        <v>1</v>
      </c>
      <c r="J415" s="69">
        <v>60</v>
      </c>
      <c r="K415" s="75">
        <f t="shared" si="31"/>
        <v>60</v>
      </c>
      <c r="L415" s="73">
        <f t="shared" si="34"/>
        <v>60</v>
      </c>
      <c r="M415" s="73">
        <f t="shared" si="32"/>
        <v>0</v>
      </c>
      <c r="N415" s="29"/>
      <c r="AC415" t="str">
        <f t="shared" si="33"/>
        <v>Aug</v>
      </c>
    </row>
    <row r="416" spans="2:29" x14ac:dyDescent="0.3">
      <c r="B416" s="148">
        <v>45870</v>
      </c>
      <c r="C416" s="80">
        <f t="shared" si="30"/>
        <v>8</v>
      </c>
      <c r="D416" s="74" t="s">
        <v>68</v>
      </c>
      <c r="E416" s="71" t="s">
        <v>209</v>
      </c>
      <c r="F416" s="84" t="s">
        <v>204</v>
      </c>
      <c r="G416" s="84"/>
      <c r="H416" s="84" t="s">
        <v>486</v>
      </c>
      <c r="I416" s="69">
        <v>1</v>
      </c>
      <c r="J416" s="69">
        <v>90</v>
      </c>
      <c r="K416" s="75">
        <f t="shared" si="31"/>
        <v>90</v>
      </c>
      <c r="L416" s="73">
        <f t="shared" si="34"/>
        <v>90</v>
      </c>
      <c r="M416" s="73">
        <f t="shared" si="32"/>
        <v>0</v>
      </c>
      <c r="N416" s="29"/>
      <c r="AC416" t="str">
        <f t="shared" si="33"/>
        <v>Aug</v>
      </c>
    </row>
    <row r="417" spans="2:29" x14ac:dyDescent="0.3">
      <c r="B417" s="148">
        <v>45870</v>
      </c>
      <c r="C417" s="80">
        <f t="shared" si="30"/>
        <v>8</v>
      </c>
      <c r="D417" s="74" t="s">
        <v>160</v>
      </c>
      <c r="E417" s="71" t="s">
        <v>209</v>
      </c>
      <c r="F417" s="84" t="s">
        <v>204</v>
      </c>
      <c r="G417" s="84"/>
      <c r="H417" s="84" t="s">
        <v>478</v>
      </c>
      <c r="I417" s="69">
        <v>1</v>
      </c>
      <c r="J417" s="69">
        <v>600</v>
      </c>
      <c r="K417" s="75">
        <f t="shared" si="31"/>
        <v>600</v>
      </c>
      <c r="L417" s="73">
        <f t="shared" si="34"/>
        <v>600</v>
      </c>
      <c r="M417" s="73">
        <f t="shared" si="32"/>
        <v>0</v>
      </c>
      <c r="N417" s="29"/>
      <c r="AC417" t="str">
        <f t="shared" si="33"/>
        <v>Aug</v>
      </c>
    </row>
    <row r="418" spans="2:29" x14ac:dyDescent="0.3">
      <c r="B418" s="148">
        <v>45870</v>
      </c>
      <c r="C418" s="80">
        <f t="shared" si="30"/>
        <v>8</v>
      </c>
      <c r="D418" s="74" t="s">
        <v>25</v>
      </c>
      <c r="E418" s="71" t="s">
        <v>209</v>
      </c>
      <c r="F418" s="84" t="s">
        <v>204</v>
      </c>
      <c r="G418" s="84"/>
      <c r="H418" s="84" t="s">
        <v>485</v>
      </c>
      <c r="I418" s="69">
        <v>1</v>
      </c>
      <c r="J418" s="69">
        <v>350</v>
      </c>
      <c r="K418" s="75">
        <f t="shared" si="31"/>
        <v>350</v>
      </c>
      <c r="L418" s="73">
        <f t="shared" si="34"/>
        <v>350</v>
      </c>
      <c r="M418" s="73">
        <f t="shared" si="32"/>
        <v>0</v>
      </c>
      <c r="N418" s="29"/>
      <c r="AC418" t="str">
        <f t="shared" si="33"/>
        <v>Aug</v>
      </c>
    </row>
    <row r="419" spans="2:29" x14ac:dyDescent="0.3">
      <c r="B419" s="148">
        <v>45870</v>
      </c>
      <c r="C419" s="80">
        <f t="shared" si="30"/>
        <v>8</v>
      </c>
      <c r="D419" s="74" t="s">
        <v>35</v>
      </c>
      <c r="E419" s="71" t="s">
        <v>209</v>
      </c>
      <c r="F419" s="84" t="s">
        <v>204</v>
      </c>
      <c r="G419" s="84"/>
      <c r="H419" s="84" t="s">
        <v>485</v>
      </c>
      <c r="I419" s="69">
        <v>1</v>
      </c>
      <c r="J419" s="69">
        <v>200</v>
      </c>
      <c r="K419" s="75">
        <f t="shared" si="31"/>
        <v>200</v>
      </c>
      <c r="L419" s="73">
        <f t="shared" si="34"/>
        <v>200</v>
      </c>
      <c r="M419" s="73">
        <f t="shared" si="32"/>
        <v>0</v>
      </c>
      <c r="N419" s="29"/>
      <c r="AC419" t="str">
        <f t="shared" si="33"/>
        <v>Aug</v>
      </c>
    </row>
    <row r="420" spans="2:29" x14ac:dyDescent="0.3">
      <c r="B420" s="148">
        <v>45870</v>
      </c>
      <c r="C420" s="80">
        <f t="shared" si="30"/>
        <v>8</v>
      </c>
      <c r="D420" s="74" t="s">
        <v>71</v>
      </c>
      <c r="E420" s="71" t="s">
        <v>209</v>
      </c>
      <c r="F420" s="84" t="s">
        <v>204</v>
      </c>
      <c r="G420" s="84"/>
      <c r="H420" s="84" t="s">
        <v>481</v>
      </c>
      <c r="I420" s="69">
        <v>1</v>
      </c>
      <c r="J420" s="69">
        <v>150</v>
      </c>
      <c r="K420" s="75">
        <f t="shared" si="31"/>
        <v>150</v>
      </c>
      <c r="L420" s="73">
        <f t="shared" si="34"/>
        <v>150</v>
      </c>
      <c r="M420" s="73">
        <f t="shared" si="32"/>
        <v>0</v>
      </c>
      <c r="N420" s="29"/>
      <c r="AC420" t="str">
        <f t="shared" si="33"/>
        <v>Aug</v>
      </c>
    </row>
    <row r="421" spans="2:29" x14ac:dyDescent="0.3">
      <c r="B421" s="148">
        <v>45870</v>
      </c>
      <c r="C421" s="80">
        <f t="shared" si="30"/>
        <v>8</v>
      </c>
      <c r="D421" s="74" t="s">
        <v>63</v>
      </c>
      <c r="E421" s="71" t="s">
        <v>209</v>
      </c>
      <c r="F421" s="84" t="s">
        <v>204</v>
      </c>
      <c r="G421" s="84"/>
      <c r="H421" s="84" t="s">
        <v>487</v>
      </c>
      <c r="I421" s="69">
        <v>1</v>
      </c>
      <c r="J421" s="69">
        <v>60</v>
      </c>
      <c r="K421" s="75">
        <f t="shared" si="31"/>
        <v>60</v>
      </c>
      <c r="L421" s="73">
        <f t="shared" si="34"/>
        <v>60</v>
      </c>
      <c r="M421" s="73">
        <f t="shared" si="32"/>
        <v>0</v>
      </c>
      <c r="N421" s="29"/>
      <c r="AC421" t="str">
        <f t="shared" si="33"/>
        <v>Aug</v>
      </c>
    </row>
    <row r="422" spans="2:29" x14ac:dyDescent="0.3">
      <c r="B422" s="148">
        <v>45870</v>
      </c>
      <c r="C422" s="80">
        <f t="shared" si="30"/>
        <v>8</v>
      </c>
      <c r="D422" s="74" t="s">
        <v>68</v>
      </c>
      <c r="E422" s="71" t="s">
        <v>209</v>
      </c>
      <c r="F422" s="84" t="s">
        <v>204</v>
      </c>
      <c r="G422" s="84"/>
      <c r="H422" s="84" t="s">
        <v>487</v>
      </c>
      <c r="I422" s="69">
        <v>1</v>
      </c>
      <c r="J422" s="69">
        <v>100</v>
      </c>
      <c r="K422" s="75">
        <f t="shared" si="31"/>
        <v>100</v>
      </c>
      <c r="L422" s="73">
        <f t="shared" si="34"/>
        <v>100</v>
      </c>
      <c r="M422" s="73">
        <f t="shared" si="32"/>
        <v>0</v>
      </c>
      <c r="N422" s="29"/>
      <c r="AC422" t="str">
        <f t="shared" si="33"/>
        <v>Aug</v>
      </c>
    </row>
    <row r="423" spans="2:29" x14ac:dyDescent="0.3">
      <c r="B423" s="148">
        <v>45870</v>
      </c>
      <c r="C423" s="80">
        <f t="shared" si="30"/>
        <v>8</v>
      </c>
      <c r="D423" s="74" t="s">
        <v>198</v>
      </c>
      <c r="E423" s="71" t="s">
        <v>209</v>
      </c>
      <c r="F423" s="84" t="s">
        <v>204</v>
      </c>
      <c r="G423" s="84"/>
      <c r="H423" s="84" t="s">
        <v>488</v>
      </c>
      <c r="I423" s="69">
        <v>1</v>
      </c>
      <c r="J423" s="69">
        <v>450</v>
      </c>
      <c r="K423" s="75">
        <f t="shared" si="31"/>
        <v>450</v>
      </c>
      <c r="L423" s="73">
        <f t="shared" si="34"/>
        <v>450</v>
      </c>
      <c r="M423" s="73">
        <f t="shared" si="32"/>
        <v>0</v>
      </c>
      <c r="N423" s="29"/>
      <c r="AC423" t="str">
        <f t="shared" si="33"/>
        <v>Aug</v>
      </c>
    </row>
    <row r="424" spans="2:29" x14ac:dyDescent="0.3">
      <c r="B424" s="148">
        <v>45870</v>
      </c>
      <c r="C424" s="80">
        <f t="shared" si="30"/>
        <v>8</v>
      </c>
      <c r="D424" s="74" t="s">
        <v>152</v>
      </c>
      <c r="E424" s="71" t="s">
        <v>209</v>
      </c>
      <c r="F424" s="84" t="s">
        <v>204</v>
      </c>
      <c r="G424" s="84"/>
      <c r="H424" s="84" t="s">
        <v>482</v>
      </c>
      <c r="I424" s="69">
        <v>1</v>
      </c>
      <c r="J424" s="69">
        <v>250</v>
      </c>
      <c r="K424" s="75">
        <f t="shared" si="31"/>
        <v>250</v>
      </c>
      <c r="L424" s="73">
        <f t="shared" si="34"/>
        <v>250</v>
      </c>
      <c r="M424" s="73">
        <f t="shared" si="32"/>
        <v>0</v>
      </c>
      <c r="N424" s="29"/>
      <c r="AC424" t="str">
        <f t="shared" si="33"/>
        <v>Aug</v>
      </c>
    </row>
    <row r="425" spans="2:29" x14ac:dyDescent="0.3">
      <c r="B425" s="148">
        <v>45870</v>
      </c>
      <c r="C425" s="80">
        <f t="shared" si="30"/>
        <v>8</v>
      </c>
      <c r="D425" s="74" t="s">
        <v>76</v>
      </c>
      <c r="E425" s="71" t="s">
        <v>209</v>
      </c>
      <c r="F425" s="84" t="s">
        <v>1</v>
      </c>
      <c r="G425" s="84"/>
      <c r="H425" s="84" t="s">
        <v>482</v>
      </c>
      <c r="I425" s="69">
        <v>1</v>
      </c>
      <c r="J425" s="69">
        <v>1750</v>
      </c>
      <c r="K425" s="75">
        <f t="shared" si="31"/>
        <v>1750</v>
      </c>
      <c r="L425" s="73">
        <f t="shared" si="34"/>
        <v>1750</v>
      </c>
      <c r="M425" s="73">
        <f t="shared" si="32"/>
        <v>0</v>
      </c>
      <c r="N425" s="29"/>
      <c r="AC425" t="str">
        <f t="shared" si="33"/>
        <v>Aug</v>
      </c>
    </row>
    <row r="426" spans="2:29" x14ac:dyDescent="0.3">
      <c r="B426" s="148">
        <v>45870</v>
      </c>
      <c r="C426" s="80">
        <f t="shared" si="30"/>
        <v>8</v>
      </c>
      <c r="D426" s="74" t="s">
        <v>49</v>
      </c>
      <c r="E426" s="71" t="s">
        <v>219</v>
      </c>
      <c r="F426" s="84" t="s">
        <v>1</v>
      </c>
      <c r="G426" s="84"/>
      <c r="H426" s="84" t="s">
        <v>478</v>
      </c>
      <c r="I426" s="69">
        <v>1</v>
      </c>
      <c r="J426" s="69">
        <v>3050</v>
      </c>
      <c r="K426" s="75">
        <f t="shared" si="31"/>
        <v>3050</v>
      </c>
      <c r="L426" s="75"/>
      <c r="M426" s="73">
        <f t="shared" si="32"/>
        <v>3050</v>
      </c>
      <c r="N426" s="29"/>
      <c r="AC426" t="str">
        <f t="shared" si="33"/>
        <v>Aug</v>
      </c>
    </row>
    <row r="427" spans="2:29" x14ac:dyDescent="0.3">
      <c r="B427" s="148">
        <v>45870</v>
      </c>
      <c r="C427" s="80">
        <f t="shared" si="30"/>
        <v>8</v>
      </c>
      <c r="D427" s="74" t="s">
        <v>139</v>
      </c>
      <c r="E427" s="71" t="s">
        <v>219</v>
      </c>
      <c r="F427" s="84" t="s">
        <v>1</v>
      </c>
      <c r="G427" s="84"/>
      <c r="H427" s="84" t="s">
        <v>482</v>
      </c>
      <c r="I427" s="69">
        <v>1</v>
      </c>
      <c r="J427" s="69">
        <v>1950</v>
      </c>
      <c r="K427" s="75">
        <f t="shared" si="31"/>
        <v>1950</v>
      </c>
      <c r="L427" s="75"/>
      <c r="M427" s="73">
        <f t="shared" si="32"/>
        <v>1950</v>
      </c>
      <c r="N427" s="29"/>
      <c r="AC427" t="str">
        <f t="shared" si="33"/>
        <v>Aug</v>
      </c>
    </row>
    <row r="428" spans="2:29" ht="18" customHeight="1" x14ac:dyDescent="0.35">
      <c r="B428" s="148">
        <v>45870</v>
      </c>
      <c r="C428" s="80">
        <f t="shared" si="30"/>
        <v>8</v>
      </c>
      <c r="D428" s="102" t="s">
        <v>200</v>
      </c>
      <c r="E428" s="71" t="s">
        <v>210</v>
      </c>
      <c r="F428" s="66" t="s">
        <v>80</v>
      </c>
      <c r="G428" s="104"/>
      <c r="H428" s="104"/>
      <c r="I428" s="104"/>
      <c r="J428" s="104"/>
      <c r="K428" s="65">
        <f t="shared" si="31"/>
        <v>0</v>
      </c>
      <c r="L428" s="65"/>
      <c r="M428" s="73">
        <f t="shared" si="32"/>
        <v>0</v>
      </c>
      <c r="N428" s="29"/>
      <c r="AC428" t="str">
        <f t="shared" si="33"/>
        <v>Aug</v>
      </c>
    </row>
    <row r="429" spans="2:29" ht="18" customHeight="1" x14ac:dyDescent="0.35">
      <c r="B429" s="148">
        <v>45870</v>
      </c>
      <c r="C429" s="80">
        <f t="shared" si="30"/>
        <v>8</v>
      </c>
      <c r="D429" s="102" t="s">
        <v>223</v>
      </c>
      <c r="E429" s="71" t="s">
        <v>210</v>
      </c>
      <c r="F429" s="66" t="s">
        <v>205</v>
      </c>
      <c r="G429" s="104"/>
      <c r="H429" s="104"/>
      <c r="I429" s="104"/>
      <c r="J429" s="104"/>
      <c r="K429" s="65">
        <f t="shared" si="31"/>
        <v>0</v>
      </c>
      <c r="L429" s="65"/>
      <c r="M429" s="73">
        <f t="shared" si="32"/>
        <v>0</v>
      </c>
      <c r="N429" s="29"/>
      <c r="AC429" t="str">
        <f t="shared" si="33"/>
        <v>Aug</v>
      </c>
    </row>
    <row r="430" spans="2:29" ht="18" customHeight="1" x14ac:dyDescent="0.35">
      <c r="B430" s="148">
        <v>45870</v>
      </c>
      <c r="C430" s="80">
        <f t="shared" si="30"/>
        <v>8</v>
      </c>
      <c r="D430" s="102" t="s">
        <v>51</v>
      </c>
      <c r="E430" s="71" t="s">
        <v>210</v>
      </c>
      <c r="F430" s="66" t="s">
        <v>206</v>
      </c>
      <c r="G430" s="104"/>
      <c r="H430" s="104"/>
      <c r="I430" s="104"/>
      <c r="J430" s="104"/>
      <c r="K430" s="65">
        <f t="shared" si="31"/>
        <v>0</v>
      </c>
      <c r="L430" s="65"/>
      <c r="M430" s="73">
        <f t="shared" si="32"/>
        <v>0</v>
      </c>
      <c r="N430" s="29"/>
      <c r="AC430" t="str">
        <f t="shared" si="33"/>
        <v>Aug</v>
      </c>
    </row>
    <row r="431" spans="2:29" ht="18" customHeight="1" x14ac:dyDescent="0.35">
      <c r="B431" s="148">
        <v>45870</v>
      </c>
      <c r="C431" s="80">
        <f t="shared" si="30"/>
        <v>8</v>
      </c>
      <c r="D431" s="102" t="s">
        <v>225</v>
      </c>
      <c r="E431" s="71" t="s">
        <v>210</v>
      </c>
      <c r="F431" s="66" t="s">
        <v>205</v>
      </c>
      <c r="G431" s="104"/>
      <c r="H431" s="104"/>
      <c r="I431" s="104"/>
      <c r="J431" s="104"/>
      <c r="K431" s="65">
        <f t="shared" si="31"/>
        <v>0</v>
      </c>
      <c r="L431" s="65"/>
      <c r="M431" s="73">
        <f t="shared" si="32"/>
        <v>0</v>
      </c>
      <c r="N431" s="29"/>
      <c r="AC431" t="str">
        <f t="shared" si="33"/>
        <v>Aug</v>
      </c>
    </row>
    <row r="432" spans="2:29" ht="18" customHeight="1" x14ac:dyDescent="0.35">
      <c r="B432" s="148">
        <v>45870</v>
      </c>
      <c r="C432" s="80">
        <f t="shared" si="30"/>
        <v>8</v>
      </c>
      <c r="D432" s="102" t="s">
        <v>226</v>
      </c>
      <c r="E432" s="71" t="s">
        <v>210</v>
      </c>
      <c r="F432" s="66" t="s">
        <v>205</v>
      </c>
      <c r="G432" s="104"/>
      <c r="H432" s="104"/>
      <c r="I432" s="104">
        <v>1</v>
      </c>
      <c r="J432" s="104">
        <v>1000</v>
      </c>
      <c r="K432" s="65">
        <f t="shared" si="31"/>
        <v>1000</v>
      </c>
      <c r="L432" s="65"/>
      <c r="M432" s="73">
        <f t="shared" si="32"/>
        <v>1000</v>
      </c>
      <c r="N432" s="29"/>
      <c r="AC432" t="str">
        <f t="shared" si="33"/>
        <v>Aug</v>
      </c>
    </row>
    <row r="433" spans="2:29" x14ac:dyDescent="0.35">
      <c r="B433" s="148">
        <v>45871</v>
      </c>
      <c r="C433" s="80">
        <f t="shared" si="30"/>
        <v>8</v>
      </c>
      <c r="D433" s="70" t="s">
        <v>60</v>
      </c>
      <c r="E433" s="67" t="s">
        <v>444</v>
      </c>
      <c r="F433" s="67" t="s">
        <v>204</v>
      </c>
      <c r="G433" s="85">
        <v>458885</v>
      </c>
      <c r="H433" s="84" t="s">
        <v>488</v>
      </c>
      <c r="I433" s="63">
        <v>5</v>
      </c>
      <c r="J433" s="63">
        <v>150</v>
      </c>
      <c r="K433" s="65">
        <f t="shared" si="31"/>
        <v>750</v>
      </c>
      <c r="M433" s="73">
        <f t="shared" si="32"/>
        <v>750</v>
      </c>
      <c r="AC433" t="str">
        <f t="shared" si="33"/>
        <v>Aug</v>
      </c>
    </row>
    <row r="434" spans="2:29" x14ac:dyDescent="0.35">
      <c r="B434" s="149">
        <v>45784</v>
      </c>
      <c r="C434" s="80">
        <f t="shared" si="30"/>
        <v>5</v>
      </c>
      <c r="D434" s="74" t="s">
        <v>160</v>
      </c>
      <c r="E434" s="67" t="s">
        <v>444</v>
      </c>
      <c r="F434" s="67" t="s">
        <v>204</v>
      </c>
      <c r="G434" s="85">
        <v>458886</v>
      </c>
      <c r="H434" s="84" t="s">
        <v>488</v>
      </c>
      <c r="I434" s="63">
        <v>10</v>
      </c>
      <c r="J434" s="63">
        <v>200</v>
      </c>
      <c r="K434" s="65">
        <f t="shared" si="31"/>
        <v>2000</v>
      </c>
      <c r="L434" s="68">
        <v>2000</v>
      </c>
      <c r="M434" s="73">
        <f t="shared" si="32"/>
        <v>0</v>
      </c>
      <c r="AC434" t="str">
        <f t="shared" si="33"/>
        <v>May</v>
      </c>
    </row>
    <row r="435" spans="2:29" x14ac:dyDescent="0.35">
      <c r="C435" s="80">
        <f t="shared" si="30"/>
        <v>1</v>
      </c>
      <c r="K435" s="65">
        <f t="shared" si="31"/>
        <v>0</v>
      </c>
      <c r="M435" s="73">
        <f t="shared" si="32"/>
        <v>0</v>
      </c>
      <c r="AC435" t="str">
        <f t="shared" si="33"/>
        <v>Jan</v>
      </c>
    </row>
    <row r="436" spans="2:29" x14ac:dyDescent="0.35">
      <c r="C436" s="80">
        <f t="shared" si="30"/>
        <v>1</v>
      </c>
      <c r="K436" s="65">
        <f t="shared" si="31"/>
        <v>0</v>
      </c>
      <c r="M436" s="73">
        <f t="shared" si="32"/>
        <v>0</v>
      </c>
      <c r="AC436" t="str">
        <f t="shared" si="33"/>
        <v>Jan</v>
      </c>
    </row>
    <row r="437" spans="2:29" x14ac:dyDescent="0.35">
      <c r="C437" s="80">
        <f t="shared" si="30"/>
        <v>1</v>
      </c>
      <c r="K437" s="65">
        <f t="shared" si="31"/>
        <v>0</v>
      </c>
      <c r="M437" s="73">
        <f t="shared" si="32"/>
        <v>0</v>
      </c>
      <c r="AC437" t="str">
        <f t="shared" si="33"/>
        <v>Jan</v>
      </c>
    </row>
    <row r="438" spans="2:29" x14ac:dyDescent="0.35">
      <c r="C438" s="80">
        <f t="shared" si="30"/>
        <v>1</v>
      </c>
      <c r="K438" s="65">
        <f t="shared" si="31"/>
        <v>0</v>
      </c>
      <c r="M438" s="73">
        <f t="shared" si="32"/>
        <v>0</v>
      </c>
      <c r="AC438" t="str">
        <f t="shared" si="33"/>
        <v>Jan</v>
      </c>
    </row>
    <row r="439" spans="2:29" x14ac:dyDescent="0.35">
      <c r="C439" s="80">
        <f t="shared" si="30"/>
        <v>1</v>
      </c>
      <c r="K439" s="65">
        <f t="shared" si="31"/>
        <v>0</v>
      </c>
      <c r="M439" s="73">
        <f t="shared" si="32"/>
        <v>0</v>
      </c>
      <c r="AC439" t="str">
        <f t="shared" si="33"/>
        <v>Jan</v>
      </c>
    </row>
    <row r="440" spans="2:29" x14ac:dyDescent="0.35">
      <c r="C440" s="80">
        <f t="shared" si="30"/>
        <v>1</v>
      </c>
      <c r="K440" s="65">
        <f t="shared" si="31"/>
        <v>0</v>
      </c>
      <c r="M440" s="73">
        <f t="shared" si="32"/>
        <v>0</v>
      </c>
      <c r="AC440" t="str">
        <f t="shared" si="33"/>
        <v>Jan</v>
      </c>
    </row>
    <row r="441" spans="2:29" x14ac:dyDescent="0.35">
      <c r="C441" s="80">
        <f t="shared" si="30"/>
        <v>1</v>
      </c>
      <c r="K441" s="65">
        <f t="shared" si="31"/>
        <v>0</v>
      </c>
      <c r="M441" s="73">
        <f t="shared" si="32"/>
        <v>0</v>
      </c>
      <c r="AC441" t="str">
        <f t="shared" si="33"/>
        <v>Jan</v>
      </c>
    </row>
    <row r="442" spans="2:29" x14ac:dyDescent="0.35">
      <c r="C442" s="80">
        <f t="shared" si="30"/>
        <v>1</v>
      </c>
      <c r="K442" s="65">
        <f t="shared" si="31"/>
        <v>0</v>
      </c>
      <c r="M442" s="73">
        <f t="shared" si="32"/>
        <v>0</v>
      </c>
      <c r="AC442" t="str">
        <f t="shared" si="33"/>
        <v>Jan</v>
      </c>
    </row>
    <row r="443" spans="2:29" x14ac:dyDescent="0.35">
      <c r="C443" s="80">
        <f t="shared" si="30"/>
        <v>1</v>
      </c>
      <c r="K443" s="65">
        <f t="shared" si="31"/>
        <v>0</v>
      </c>
      <c r="M443" s="73">
        <f t="shared" si="32"/>
        <v>0</v>
      </c>
      <c r="AC443" t="str">
        <f t="shared" si="33"/>
        <v>Jan</v>
      </c>
    </row>
    <row r="444" spans="2:29" x14ac:dyDescent="0.35">
      <c r="C444" s="80">
        <f t="shared" si="30"/>
        <v>1</v>
      </c>
      <c r="K444" s="65">
        <f t="shared" si="31"/>
        <v>0</v>
      </c>
      <c r="M444" s="73">
        <f t="shared" si="32"/>
        <v>0</v>
      </c>
      <c r="AC444" t="str">
        <f t="shared" si="33"/>
        <v>Jan</v>
      </c>
    </row>
    <row r="445" spans="2:29" x14ac:dyDescent="0.35">
      <c r="C445" s="80">
        <f t="shared" si="30"/>
        <v>1</v>
      </c>
      <c r="K445" s="65">
        <f t="shared" si="31"/>
        <v>0</v>
      </c>
      <c r="M445" s="73">
        <f t="shared" si="32"/>
        <v>0</v>
      </c>
      <c r="AC445" t="str">
        <f t="shared" si="33"/>
        <v>Jan</v>
      </c>
    </row>
    <row r="446" spans="2:29" x14ac:dyDescent="0.35">
      <c r="C446" s="80">
        <f t="shared" si="30"/>
        <v>1</v>
      </c>
      <c r="K446" s="65">
        <f t="shared" si="31"/>
        <v>0</v>
      </c>
      <c r="M446" s="73">
        <f t="shared" si="32"/>
        <v>0</v>
      </c>
      <c r="AC446" t="str">
        <f t="shared" si="33"/>
        <v>Jan</v>
      </c>
    </row>
    <row r="447" spans="2:29" x14ac:dyDescent="0.35">
      <c r="C447" s="80">
        <f t="shared" si="30"/>
        <v>1</v>
      </c>
      <c r="K447" s="65">
        <f t="shared" si="31"/>
        <v>0</v>
      </c>
      <c r="M447" s="73">
        <f t="shared" si="32"/>
        <v>0</v>
      </c>
      <c r="AC447" t="str">
        <f t="shared" si="33"/>
        <v>Jan</v>
      </c>
    </row>
    <row r="448" spans="2:29" x14ac:dyDescent="0.35">
      <c r="C448" s="80">
        <f t="shared" si="30"/>
        <v>1</v>
      </c>
      <c r="K448" s="65">
        <f t="shared" si="31"/>
        <v>0</v>
      </c>
      <c r="M448" s="73">
        <f t="shared" si="32"/>
        <v>0</v>
      </c>
      <c r="AC448" t="str">
        <f t="shared" si="33"/>
        <v>Jan</v>
      </c>
    </row>
    <row r="449" spans="3:29" x14ac:dyDescent="0.35">
      <c r="C449" s="80">
        <f t="shared" si="30"/>
        <v>1</v>
      </c>
      <c r="K449" s="65">
        <f t="shared" si="31"/>
        <v>0</v>
      </c>
      <c r="M449" s="73">
        <f t="shared" si="32"/>
        <v>0</v>
      </c>
      <c r="AC449" t="str">
        <f t="shared" si="33"/>
        <v>Jan</v>
      </c>
    </row>
    <row r="450" spans="3:29" x14ac:dyDescent="0.35">
      <c r="C450" s="80">
        <f t="shared" si="30"/>
        <v>1</v>
      </c>
      <c r="K450" s="65">
        <f t="shared" si="31"/>
        <v>0</v>
      </c>
      <c r="M450" s="73">
        <f t="shared" si="32"/>
        <v>0</v>
      </c>
      <c r="AC450" t="str">
        <f t="shared" si="33"/>
        <v>Jan</v>
      </c>
    </row>
    <row r="451" spans="3:29" x14ac:dyDescent="0.35">
      <c r="C451" s="80">
        <f t="shared" si="30"/>
        <v>1</v>
      </c>
      <c r="K451" s="65">
        <f t="shared" si="31"/>
        <v>0</v>
      </c>
      <c r="M451" s="73">
        <f t="shared" si="32"/>
        <v>0</v>
      </c>
      <c r="AC451" t="str">
        <f t="shared" si="33"/>
        <v>Jan</v>
      </c>
    </row>
    <row r="452" spans="3:29" x14ac:dyDescent="0.35">
      <c r="C452" s="80">
        <f t="shared" si="30"/>
        <v>1</v>
      </c>
      <c r="K452" s="65">
        <f t="shared" si="31"/>
        <v>0</v>
      </c>
      <c r="M452" s="73">
        <f t="shared" si="32"/>
        <v>0</v>
      </c>
      <c r="AC452" t="str">
        <f t="shared" si="33"/>
        <v>Jan</v>
      </c>
    </row>
    <row r="453" spans="3:29" x14ac:dyDescent="0.35">
      <c r="C453" s="80">
        <f t="shared" si="30"/>
        <v>1</v>
      </c>
      <c r="K453" s="65">
        <f t="shared" si="31"/>
        <v>0</v>
      </c>
      <c r="M453" s="73">
        <f t="shared" si="32"/>
        <v>0</v>
      </c>
      <c r="AC453" t="str">
        <f t="shared" si="33"/>
        <v>Jan</v>
      </c>
    </row>
    <row r="454" spans="3:29" x14ac:dyDescent="0.35">
      <c r="C454" s="80">
        <f t="shared" ref="C454:C517" si="35">MONTH(B454)</f>
        <v>1</v>
      </c>
      <c r="K454" s="65">
        <f t="shared" ref="K454:K517" si="36">I454*J454</f>
        <v>0</v>
      </c>
      <c r="M454" s="73">
        <f t="shared" ref="M454:M517" si="37">K454-L454</f>
        <v>0</v>
      </c>
      <c r="AC454" t="str">
        <f t="shared" si="33"/>
        <v>Jan</v>
      </c>
    </row>
    <row r="455" spans="3:29" x14ac:dyDescent="0.35">
      <c r="C455" s="80">
        <f t="shared" si="35"/>
        <v>1</v>
      </c>
      <c r="K455" s="65">
        <f t="shared" si="36"/>
        <v>0</v>
      </c>
      <c r="M455" s="73">
        <f t="shared" si="37"/>
        <v>0</v>
      </c>
      <c r="AC455" t="str">
        <f t="shared" ref="AC455:AC518" si="38">IFERROR(INDEX(AA:AA,MATCH(C455,Z:Z,0)),"")</f>
        <v>Jan</v>
      </c>
    </row>
    <row r="456" spans="3:29" x14ac:dyDescent="0.35">
      <c r="C456" s="80">
        <f t="shared" si="35"/>
        <v>1</v>
      </c>
      <c r="K456" s="65">
        <f t="shared" si="36"/>
        <v>0</v>
      </c>
      <c r="M456" s="73">
        <f t="shared" si="37"/>
        <v>0</v>
      </c>
      <c r="AC456" t="str">
        <f t="shared" si="38"/>
        <v>Jan</v>
      </c>
    </row>
    <row r="457" spans="3:29" x14ac:dyDescent="0.35">
      <c r="C457" s="80">
        <f t="shared" si="35"/>
        <v>1</v>
      </c>
      <c r="K457" s="65">
        <f t="shared" si="36"/>
        <v>0</v>
      </c>
      <c r="M457" s="73">
        <f t="shared" si="37"/>
        <v>0</v>
      </c>
      <c r="AC457" t="str">
        <f t="shared" si="38"/>
        <v>Jan</v>
      </c>
    </row>
    <row r="458" spans="3:29" x14ac:dyDescent="0.35">
      <c r="C458" s="80">
        <f t="shared" si="35"/>
        <v>1</v>
      </c>
      <c r="K458" s="65">
        <f t="shared" si="36"/>
        <v>0</v>
      </c>
      <c r="M458" s="73">
        <f t="shared" si="37"/>
        <v>0</v>
      </c>
      <c r="AC458" t="str">
        <f t="shared" si="38"/>
        <v>Jan</v>
      </c>
    </row>
    <row r="459" spans="3:29" x14ac:dyDescent="0.35">
      <c r="C459" s="80">
        <f t="shared" si="35"/>
        <v>1</v>
      </c>
      <c r="K459" s="65">
        <f t="shared" si="36"/>
        <v>0</v>
      </c>
      <c r="M459" s="73">
        <f t="shared" si="37"/>
        <v>0</v>
      </c>
      <c r="AC459" t="str">
        <f t="shared" si="38"/>
        <v>Jan</v>
      </c>
    </row>
    <row r="460" spans="3:29" x14ac:dyDescent="0.35">
      <c r="C460" s="80">
        <f t="shared" si="35"/>
        <v>1</v>
      </c>
      <c r="K460" s="65">
        <f t="shared" si="36"/>
        <v>0</v>
      </c>
      <c r="M460" s="73">
        <f t="shared" si="37"/>
        <v>0</v>
      </c>
      <c r="AC460" t="str">
        <f t="shared" si="38"/>
        <v>Jan</v>
      </c>
    </row>
    <row r="461" spans="3:29" x14ac:dyDescent="0.35">
      <c r="C461" s="80">
        <f t="shared" si="35"/>
        <v>1</v>
      </c>
      <c r="K461" s="65">
        <f t="shared" si="36"/>
        <v>0</v>
      </c>
      <c r="M461" s="73">
        <f t="shared" si="37"/>
        <v>0</v>
      </c>
      <c r="AC461" t="str">
        <f t="shared" si="38"/>
        <v>Jan</v>
      </c>
    </row>
    <row r="462" spans="3:29" x14ac:dyDescent="0.35">
      <c r="C462" s="80">
        <f t="shared" si="35"/>
        <v>1</v>
      </c>
      <c r="K462" s="65">
        <f t="shared" si="36"/>
        <v>0</v>
      </c>
      <c r="M462" s="73">
        <f t="shared" si="37"/>
        <v>0</v>
      </c>
      <c r="AC462" t="str">
        <f t="shared" si="38"/>
        <v>Jan</v>
      </c>
    </row>
    <row r="463" spans="3:29" x14ac:dyDescent="0.35">
      <c r="C463" s="80">
        <f t="shared" si="35"/>
        <v>1</v>
      </c>
      <c r="K463" s="65">
        <f t="shared" si="36"/>
        <v>0</v>
      </c>
      <c r="M463" s="73">
        <f t="shared" si="37"/>
        <v>0</v>
      </c>
      <c r="AC463" t="str">
        <f t="shared" si="38"/>
        <v>Jan</v>
      </c>
    </row>
    <row r="464" spans="3:29" x14ac:dyDescent="0.35">
      <c r="C464" s="80">
        <f t="shared" si="35"/>
        <v>1</v>
      </c>
      <c r="K464" s="65">
        <f t="shared" si="36"/>
        <v>0</v>
      </c>
      <c r="M464" s="73">
        <f t="shared" si="37"/>
        <v>0</v>
      </c>
      <c r="AC464" t="str">
        <f t="shared" si="38"/>
        <v>Jan</v>
      </c>
    </row>
    <row r="465" spans="3:29" x14ac:dyDescent="0.35">
      <c r="C465" s="80">
        <f t="shared" si="35"/>
        <v>1</v>
      </c>
      <c r="K465" s="65">
        <f t="shared" si="36"/>
        <v>0</v>
      </c>
      <c r="M465" s="73">
        <f t="shared" si="37"/>
        <v>0</v>
      </c>
      <c r="AC465" t="str">
        <f t="shared" si="38"/>
        <v>Jan</v>
      </c>
    </row>
    <row r="466" spans="3:29" x14ac:dyDescent="0.35">
      <c r="C466" s="80">
        <f t="shared" si="35"/>
        <v>1</v>
      </c>
      <c r="K466" s="65">
        <f t="shared" si="36"/>
        <v>0</v>
      </c>
      <c r="M466" s="73">
        <f t="shared" si="37"/>
        <v>0</v>
      </c>
      <c r="AC466" t="str">
        <f t="shared" si="38"/>
        <v>Jan</v>
      </c>
    </row>
    <row r="467" spans="3:29" x14ac:dyDescent="0.35">
      <c r="C467" s="80">
        <f t="shared" si="35"/>
        <v>1</v>
      </c>
      <c r="K467" s="65">
        <f t="shared" si="36"/>
        <v>0</v>
      </c>
      <c r="M467" s="73">
        <f t="shared" si="37"/>
        <v>0</v>
      </c>
      <c r="AC467" t="str">
        <f t="shared" si="38"/>
        <v>Jan</v>
      </c>
    </row>
    <row r="468" spans="3:29" x14ac:dyDescent="0.35">
      <c r="C468" s="80">
        <f t="shared" si="35"/>
        <v>1</v>
      </c>
      <c r="K468" s="65">
        <f t="shared" si="36"/>
        <v>0</v>
      </c>
      <c r="M468" s="73">
        <f t="shared" si="37"/>
        <v>0</v>
      </c>
      <c r="AC468" t="str">
        <f t="shared" si="38"/>
        <v>Jan</v>
      </c>
    </row>
    <row r="469" spans="3:29" x14ac:dyDescent="0.35">
      <c r="C469" s="80">
        <f t="shared" si="35"/>
        <v>1</v>
      </c>
      <c r="K469" s="65">
        <f t="shared" si="36"/>
        <v>0</v>
      </c>
      <c r="M469" s="73">
        <f t="shared" si="37"/>
        <v>0</v>
      </c>
      <c r="AC469" t="str">
        <f t="shared" si="38"/>
        <v>Jan</v>
      </c>
    </row>
    <row r="470" spans="3:29" x14ac:dyDescent="0.35">
      <c r="C470" s="80">
        <f t="shared" si="35"/>
        <v>1</v>
      </c>
      <c r="K470" s="65">
        <f t="shared" si="36"/>
        <v>0</v>
      </c>
      <c r="M470" s="73">
        <f t="shared" si="37"/>
        <v>0</v>
      </c>
      <c r="AC470" t="str">
        <f t="shared" si="38"/>
        <v>Jan</v>
      </c>
    </row>
    <row r="471" spans="3:29" x14ac:dyDescent="0.35">
      <c r="C471" s="80">
        <f t="shared" si="35"/>
        <v>1</v>
      </c>
      <c r="K471" s="65">
        <f t="shared" si="36"/>
        <v>0</v>
      </c>
      <c r="M471" s="73">
        <f t="shared" si="37"/>
        <v>0</v>
      </c>
      <c r="AC471" t="str">
        <f t="shared" si="38"/>
        <v>Jan</v>
      </c>
    </row>
    <row r="472" spans="3:29" x14ac:dyDescent="0.35">
      <c r="C472" s="80">
        <f t="shared" si="35"/>
        <v>1</v>
      </c>
      <c r="K472" s="65">
        <f t="shared" si="36"/>
        <v>0</v>
      </c>
      <c r="M472" s="73">
        <f t="shared" si="37"/>
        <v>0</v>
      </c>
      <c r="AC472" t="str">
        <f t="shared" si="38"/>
        <v>Jan</v>
      </c>
    </row>
    <row r="473" spans="3:29" x14ac:dyDescent="0.35">
      <c r="C473" s="80">
        <f t="shared" si="35"/>
        <v>1</v>
      </c>
      <c r="K473" s="65">
        <f t="shared" si="36"/>
        <v>0</v>
      </c>
      <c r="M473" s="73">
        <f t="shared" si="37"/>
        <v>0</v>
      </c>
      <c r="AC473" t="str">
        <f t="shared" si="38"/>
        <v>Jan</v>
      </c>
    </row>
    <row r="474" spans="3:29" x14ac:dyDescent="0.35">
      <c r="C474" s="80">
        <f t="shared" si="35"/>
        <v>1</v>
      </c>
      <c r="K474" s="65">
        <f t="shared" si="36"/>
        <v>0</v>
      </c>
      <c r="M474" s="73">
        <f t="shared" si="37"/>
        <v>0</v>
      </c>
      <c r="AC474" t="str">
        <f t="shared" si="38"/>
        <v>Jan</v>
      </c>
    </row>
    <row r="475" spans="3:29" x14ac:dyDescent="0.35">
      <c r="C475" s="80">
        <f t="shared" si="35"/>
        <v>1</v>
      </c>
      <c r="K475" s="65">
        <f t="shared" si="36"/>
        <v>0</v>
      </c>
      <c r="M475" s="73">
        <f t="shared" si="37"/>
        <v>0</v>
      </c>
      <c r="AC475" t="str">
        <f t="shared" si="38"/>
        <v>Jan</v>
      </c>
    </row>
    <row r="476" spans="3:29" x14ac:dyDescent="0.35">
      <c r="C476" s="80">
        <f t="shared" si="35"/>
        <v>1</v>
      </c>
      <c r="K476" s="65">
        <f t="shared" si="36"/>
        <v>0</v>
      </c>
      <c r="M476" s="73">
        <f t="shared" si="37"/>
        <v>0</v>
      </c>
      <c r="AC476" t="str">
        <f t="shared" si="38"/>
        <v>Jan</v>
      </c>
    </row>
    <row r="477" spans="3:29" x14ac:dyDescent="0.35">
      <c r="C477" s="80">
        <f t="shared" si="35"/>
        <v>1</v>
      </c>
      <c r="K477" s="65">
        <f t="shared" si="36"/>
        <v>0</v>
      </c>
      <c r="M477" s="73">
        <f t="shared" si="37"/>
        <v>0</v>
      </c>
      <c r="AC477" t="str">
        <f t="shared" si="38"/>
        <v>Jan</v>
      </c>
    </row>
    <row r="478" spans="3:29" x14ac:dyDescent="0.35">
      <c r="C478" s="80">
        <f t="shared" si="35"/>
        <v>1</v>
      </c>
      <c r="K478" s="65">
        <f t="shared" si="36"/>
        <v>0</v>
      </c>
      <c r="M478" s="73">
        <f t="shared" si="37"/>
        <v>0</v>
      </c>
      <c r="AC478" t="str">
        <f t="shared" si="38"/>
        <v>Jan</v>
      </c>
    </row>
    <row r="479" spans="3:29" x14ac:dyDescent="0.35">
      <c r="C479" s="80">
        <f t="shared" si="35"/>
        <v>1</v>
      </c>
      <c r="K479" s="65">
        <f t="shared" si="36"/>
        <v>0</v>
      </c>
      <c r="M479" s="73">
        <f t="shared" si="37"/>
        <v>0</v>
      </c>
      <c r="AC479" t="str">
        <f t="shared" si="38"/>
        <v>Jan</v>
      </c>
    </row>
    <row r="480" spans="3:29" x14ac:dyDescent="0.35">
      <c r="C480" s="80">
        <f t="shared" si="35"/>
        <v>1</v>
      </c>
      <c r="K480" s="65">
        <f t="shared" si="36"/>
        <v>0</v>
      </c>
      <c r="M480" s="73">
        <f t="shared" si="37"/>
        <v>0</v>
      </c>
      <c r="AC480" t="str">
        <f t="shared" si="38"/>
        <v>Jan</v>
      </c>
    </row>
    <row r="481" spans="3:29" x14ac:dyDescent="0.35">
      <c r="C481" s="80">
        <f t="shared" si="35"/>
        <v>1</v>
      </c>
      <c r="K481" s="65">
        <f t="shared" si="36"/>
        <v>0</v>
      </c>
      <c r="M481" s="73">
        <f t="shared" si="37"/>
        <v>0</v>
      </c>
      <c r="AC481" t="str">
        <f t="shared" si="38"/>
        <v>Jan</v>
      </c>
    </row>
    <row r="482" spans="3:29" x14ac:dyDescent="0.35">
      <c r="C482" s="80">
        <f t="shared" si="35"/>
        <v>1</v>
      </c>
      <c r="K482" s="65">
        <f t="shared" si="36"/>
        <v>0</v>
      </c>
      <c r="M482" s="73">
        <f t="shared" si="37"/>
        <v>0</v>
      </c>
      <c r="AC482" t="str">
        <f t="shared" si="38"/>
        <v>Jan</v>
      </c>
    </row>
    <row r="483" spans="3:29" x14ac:dyDescent="0.35">
      <c r="C483" s="80">
        <f t="shared" si="35"/>
        <v>1</v>
      </c>
      <c r="K483" s="65">
        <f t="shared" si="36"/>
        <v>0</v>
      </c>
      <c r="M483" s="73">
        <f t="shared" si="37"/>
        <v>0</v>
      </c>
      <c r="AC483" t="str">
        <f t="shared" si="38"/>
        <v>Jan</v>
      </c>
    </row>
    <row r="484" spans="3:29" x14ac:dyDescent="0.35">
      <c r="C484" s="80">
        <f t="shared" si="35"/>
        <v>1</v>
      </c>
      <c r="K484" s="65">
        <f t="shared" si="36"/>
        <v>0</v>
      </c>
      <c r="M484" s="73">
        <f t="shared" si="37"/>
        <v>0</v>
      </c>
      <c r="AC484" t="str">
        <f t="shared" si="38"/>
        <v>Jan</v>
      </c>
    </row>
    <row r="485" spans="3:29" x14ac:dyDescent="0.35">
      <c r="C485" s="80">
        <f t="shared" si="35"/>
        <v>1</v>
      </c>
      <c r="K485" s="65">
        <f t="shared" si="36"/>
        <v>0</v>
      </c>
      <c r="M485" s="73">
        <f t="shared" si="37"/>
        <v>0</v>
      </c>
      <c r="AC485" t="str">
        <f t="shared" si="38"/>
        <v>Jan</v>
      </c>
    </row>
    <row r="486" spans="3:29" x14ac:dyDescent="0.35">
      <c r="C486" s="80">
        <f t="shared" si="35"/>
        <v>1</v>
      </c>
      <c r="K486" s="65">
        <f t="shared" si="36"/>
        <v>0</v>
      </c>
      <c r="M486" s="73">
        <f t="shared" si="37"/>
        <v>0</v>
      </c>
      <c r="AC486" t="str">
        <f t="shared" si="38"/>
        <v>Jan</v>
      </c>
    </row>
    <row r="487" spans="3:29" x14ac:dyDescent="0.35">
      <c r="C487" s="80">
        <f t="shared" si="35"/>
        <v>1</v>
      </c>
      <c r="K487" s="65">
        <f t="shared" si="36"/>
        <v>0</v>
      </c>
      <c r="M487" s="73">
        <f t="shared" si="37"/>
        <v>0</v>
      </c>
      <c r="AC487" t="str">
        <f t="shared" si="38"/>
        <v>Jan</v>
      </c>
    </row>
    <row r="488" spans="3:29" x14ac:dyDescent="0.35">
      <c r="C488" s="80">
        <f t="shared" si="35"/>
        <v>1</v>
      </c>
      <c r="K488" s="65">
        <f t="shared" si="36"/>
        <v>0</v>
      </c>
      <c r="M488" s="73">
        <f t="shared" si="37"/>
        <v>0</v>
      </c>
      <c r="AC488" t="str">
        <f t="shared" si="38"/>
        <v>Jan</v>
      </c>
    </row>
    <row r="489" spans="3:29" x14ac:dyDescent="0.35">
      <c r="C489" s="80">
        <f t="shared" si="35"/>
        <v>1</v>
      </c>
      <c r="K489" s="65">
        <f t="shared" si="36"/>
        <v>0</v>
      </c>
      <c r="M489" s="73">
        <f t="shared" si="37"/>
        <v>0</v>
      </c>
      <c r="AC489" t="str">
        <f t="shared" si="38"/>
        <v>Jan</v>
      </c>
    </row>
    <row r="490" spans="3:29" x14ac:dyDescent="0.35">
      <c r="C490" s="80">
        <f t="shared" si="35"/>
        <v>1</v>
      </c>
      <c r="K490" s="65">
        <f t="shared" si="36"/>
        <v>0</v>
      </c>
      <c r="M490" s="73">
        <f t="shared" si="37"/>
        <v>0</v>
      </c>
      <c r="AC490" t="str">
        <f t="shared" si="38"/>
        <v>Jan</v>
      </c>
    </row>
    <row r="491" spans="3:29" x14ac:dyDescent="0.35">
      <c r="C491" s="80">
        <f t="shared" si="35"/>
        <v>1</v>
      </c>
      <c r="K491" s="65">
        <f t="shared" si="36"/>
        <v>0</v>
      </c>
      <c r="M491" s="73">
        <f t="shared" si="37"/>
        <v>0</v>
      </c>
      <c r="AC491" t="str">
        <f t="shared" si="38"/>
        <v>Jan</v>
      </c>
    </row>
    <row r="492" spans="3:29" x14ac:dyDescent="0.35">
      <c r="C492" s="80">
        <f t="shared" si="35"/>
        <v>1</v>
      </c>
      <c r="K492" s="65">
        <f t="shared" si="36"/>
        <v>0</v>
      </c>
      <c r="M492" s="73">
        <f t="shared" si="37"/>
        <v>0</v>
      </c>
      <c r="AC492" t="str">
        <f t="shared" si="38"/>
        <v>Jan</v>
      </c>
    </row>
    <row r="493" spans="3:29" x14ac:dyDescent="0.35">
      <c r="C493" s="80">
        <f t="shared" si="35"/>
        <v>1</v>
      </c>
      <c r="K493" s="65">
        <f t="shared" si="36"/>
        <v>0</v>
      </c>
      <c r="M493" s="73">
        <f t="shared" si="37"/>
        <v>0</v>
      </c>
      <c r="AC493" t="str">
        <f t="shared" si="38"/>
        <v>Jan</v>
      </c>
    </row>
    <row r="494" spans="3:29" x14ac:dyDescent="0.35">
      <c r="C494" s="80">
        <f t="shared" si="35"/>
        <v>1</v>
      </c>
      <c r="K494" s="65">
        <f t="shared" si="36"/>
        <v>0</v>
      </c>
      <c r="M494" s="73">
        <f t="shared" si="37"/>
        <v>0</v>
      </c>
      <c r="AC494" t="str">
        <f t="shared" si="38"/>
        <v>Jan</v>
      </c>
    </row>
    <row r="495" spans="3:29" x14ac:dyDescent="0.35">
      <c r="C495" s="80">
        <f t="shared" si="35"/>
        <v>1</v>
      </c>
      <c r="K495" s="65">
        <f t="shared" si="36"/>
        <v>0</v>
      </c>
      <c r="M495" s="73">
        <f t="shared" si="37"/>
        <v>0</v>
      </c>
      <c r="AC495" t="str">
        <f t="shared" si="38"/>
        <v>Jan</v>
      </c>
    </row>
    <row r="496" spans="3:29" x14ac:dyDescent="0.35">
      <c r="C496" s="80">
        <f t="shared" si="35"/>
        <v>1</v>
      </c>
      <c r="K496" s="65">
        <f t="shared" si="36"/>
        <v>0</v>
      </c>
      <c r="M496" s="73">
        <f t="shared" si="37"/>
        <v>0</v>
      </c>
      <c r="AC496" t="str">
        <f t="shared" si="38"/>
        <v>Jan</v>
      </c>
    </row>
    <row r="497" spans="3:29" x14ac:dyDescent="0.35">
      <c r="C497" s="80">
        <f t="shared" si="35"/>
        <v>1</v>
      </c>
      <c r="K497" s="65">
        <f t="shared" si="36"/>
        <v>0</v>
      </c>
      <c r="M497" s="73">
        <f t="shared" si="37"/>
        <v>0</v>
      </c>
      <c r="AC497" t="str">
        <f t="shared" si="38"/>
        <v>Jan</v>
      </c>
    </row>
    <row r="498" spans="3:29" x14ac:dyDescent="0.35">
      <c r="C498" s="80">
        <f t="shared" si="35"/>
        <v>1</v>
      </c>
      <c r="K498" s="65">
        <f t="shared" si="36"/>
        <v>0</v>
      </c>
      <c r="M498" s="73">
        <f t="shared" si="37"/>
        <v>0</v>
      </c>
      <c r="AC498" t="str">
        <f t="shared" si="38"/>
        <v>Jan</v>
      </c>
    </row>
    <row r="499" spans="3:29" x14ac:dyDescent="0.35">
      <c r="C499" s="80">
        <f t="shared" si="35"/>
        <v>1</v>
      </c>
      <c r="K499" s="65">
        <f t="shared" si="36"/>
        <v>0</v>
      </c>
      <c r="M499" s="73">
        <f t="shared" si="37"/>
        <v>0</v>
      </c>
      <c r="AC499" t="str">
        <f t="shared" si="38"/>
        <v>Jan</v>
      </c>
    </row>
    <row r="500" spans="3:29" x14ac:dyDescent="0.35">
      <c r="C500" s="80">
        <f t="shared" si="35"/>
        <v>1</v>
      </c>
      <c r="K500" s="65">
        <f t="shared" si="36"/>
        <v>0</v>
      </c>
      <c r="M500" s="73">
        <f t="shared" si="37"/>
        <v>0</v>
      </c>
      <c r="AC500" t="str">
        <f t="shared" si="38"/>
        <v>Jan</v>
      </c>
    </row>
    <row r="501" spans="3:29" x14ac:dyDescent="0.35">
      <c r="C501" s="80">
        <f t="shared" si="35"/>
        <v>1</v>
      </c>
      <c r="K501" s="65">
        <f t="shared" si="36"/>
        <v>0</v>
      </c>
      <c r="M501" s="73">
        <f t="shared" si="37"/>
        <v>0</v>
      </c>
      <c r="AC501" t="str">
        <f t="shared" si="38"/>
        <v>Jan</v>
      </c>
    </row>
    <row r="502" spans="3:29" x14ac:dyDescent="0.35">
      <c r="C502" s="80">
        <f t="shared" si="35"/>
        <v>1</v>
      </c>
      <c r="K502" s="65">
        <f t="shared" si="36"/>
        <v>0</v>
      </c>
      <c r="M502" s="73">
        <f t="shared" si="37"/>
        <v>0</v>
      </c>
      <c r="AC502" t="str">
        <f t="shared" si="38"/>
        <v>Jan</v>
      </c>
    </row>
    <row r="503" spans="3:29" x14ac:dyDescent="0.35">
      <c r="C503" s="80">
        <f t="shared" si="35"/>
        <v>1</v>
      </c>
      <c r="K503" s="65">
        <f t="shared" si="36"/>
        <v>0</v>
      </c>
      <c r="M503" s="73">
        <f t="shared" si="37"/>
        <v>0</v>
      </c>
      <c r="AC503" t="str">
        <f t="shared" si="38"/>
        <v>Jan</v>
      </c>
    </row>
    <row r="504" spans="3:29" x14ac:dyDescent="0.35">
      <c r="C504" s="80">
        <f t="shared" si="35"/>
        <v>1</v>
      </c>
      <c r="K504" s="65">
        <f t="shared" si="36"/>
        <v>0</v>
      </c>
      <c r="M504" s="73">
        <f t="shared" si="37"/>
        <v>0</v>
      </c>
      <c r="AC504" t="str">
        <f t="shared" si="38"/>
        <v>Jan</v>
      </c>
    </row>
    <row r="505" spans="3:29" x14ac:dyDescent="0.35">
      <c r="C505" s="80">
        <f t="shared" si="35"/>
        <v>1</v>
      </c>
      <c r="K505" s="65">
        <f t="shared" si="36"/>
        <v>0</v>
      </c>
      <c r="M505" s="73">
        <f t="shared" si="37"/>
        <v>0</v>
      </c>
      <c r="AC505" t="str">
        <f t="shared" si="38"/>
        <v>Jan</v>
      </c>
    </row>
    <row r="506" spans="3:29" x14ac:dyDescent="0.35">
      <c r="C506" s="80">
        <f t="shared" si="35"/>
        <v>1</v>
      </c>
      <c r="K506" s="65">
        <f t="shared" si="36"/>
        <v>0</v>
      </c>
      <c r="M506" s="73">
        <f t="shared" si="37"/>
        <v>0</v>
      </c>
      <c r="AC506" t="str">
        <f t="shared" si="38"/>
        <v>Jan</v>
      </c>
    </row>
    <row r="507" spans="3:29" x14ac:dyDescent="0.35">
      <c r="C507" s="80">
        <f t="shared" si="35"/>
        <v>1</v>
      </c>
      <c r="K507" s="65">
        <f t="shared" si="36"/>
        <v>0</v>
      </c>
      <c r="M507" s="73">
        <f t="shared" si="37"/>
        <v>0</v>
      </c>
      <c r="AC507" t="str">
        <f t="shared" si="38"/>
        <v>Jan</v>
      </c>
    </row>
    <row r="508" spans="3:29" x14ac:dyDescent="0.35">
      <c r="C508" s="80">
        <f t="shared" si="35"/>
        <v>1</v>
      </c>
      <c r="K508" s="65">
        <f t="shared" si="36"/>
        <v>0</v>
      </c>
      <c r="M508" s="73">
        <f t="shared" si="37"/>
        <v>0</v>
      </c>
      <c r="AC508" t="str">
        <f t="shared" si="38"/>
        <v>Jan</v>
      </c>
    </row>
    <row r="509" spans="3:29" x14ac:dyDescent="0.35">
      <c r="C509" s="80">
        <f t="shared" si="35"/>
        <v>1</v>
      </c>
      <c r="K509" s="65">
        <f t="shared" si="36"/>
        <v>0</v>
      </c>
      <c r="M509" s="73">
        <f t="shared" si="37"/>
        <v>0</v>
      </c>
      <c r="AC509" t="str">
        <f t="shared" si="38"/>
        <v>Jan</v>
      </c>
    </row>
    <row r="510" spans="3:29" x14ac:dyDescent="0.35">
      <c r="C510" s="80">
        <f t="shared" si="35"/>
        <v>1</v>
      </c>
      <c r="K510" s="65">
        <f t="shared" si="36"/>
        <v>0</v>
      </c>
      <c r="M510" s="73">
        <f t="shared" si="37"/>
        <v>0</v>
      </c>
      <c r="AC510" t="str">
        <f t="shared" si="38"/>
        <v>Jan</v>
      </c>
    </row>
    <row r="511" spans="3:29" x14ac:dyDescent="0.35">
      <c r="C511" s="80">
        <f t="shared" si="35"/>
        <v>1</v>
      </c>
      <c r="K511" s="65">
        <f t="shared" si="36"/>
        <v>0</v>
      </c>
      <c r="M511" s="73">
        <f t="shared" si="37"/>
        <v>0</v>
      </c>
      <c r="AC511" t="str">
        <f t="shared" si="38"/>
        <v>Jan</v>
      </c>
    </row>
    <row r="512" spans="3:29" x14ac:dyDescent="0.35">
      <c r="C512" s="80">
        <f t="shared" si="35"/>
        <v>1</v>
      </c>
      <c r="K512" s="65">
        <f t="shared" si="36"/>
        <v>0</v>
      </c>
      <c r="M512" s="73">
        <f t="shared" si="37"/>
        <v>0</v>
      </c>
      <c r="AC512" t="str">
        <f t="shared" si="38"/>
        <v>Jan</v>
      </c>
    </row>
    <row r="513" spans="3:29" x14ac:dyDescent="0.35">
      <c r="C513" s="80">
        <f t="shared" si="35"/>
        <v>1</v>
      </c>
      <c r="K513" s="65">
        <f t="shared" si="36"/>
        <v>0</v>
      </c>
      <c r="M513" s="73">
        <f t="shared" si="37"/>
        <v>0</v>
      </c>
      <c r="AC513" t="str">
        <f t="shared" si="38"/>
        <v>Jan</v>
      </c>
    </row>
    <row r="514" spans="3:29" x14ac:dyDescent="0.35">
      <c r="C514" s="80">
        <f t="shared" si="35"/>
        <v>1</v>
      </c>
      <c r="K514" s="65">
        <f t="shared" si="36"/>
        <v>0</v>
      </c>
      <c r="M514" s="73">
        <f t="shared" si="37"/>
        <v>0</v>
      </c>
      <c r="AC514" t="str">
        <f t="shared" si="38"/>
        <v>Jan</v>
      </c>
    </row>
    <row r="515" spans="3:29" x14ac:dyDescent="0.35">
      <c r="C515" s="80">
        <f t="shared" si="35"/>
        <v>1</v>
      </c>
      <c r="K515" s="65">
        <f t="shared" si="36"/>
        <v>0</v>
      </c>
      <c r="M515" s="73">
        <f t="shared" si="37"/>
        <v>0</v>
      </c>
      <c r="AC515" t="str">
        <f t="shared" si="38"/>
        <v>Jan</v>
      </c>
    </row>
    <row r="516" spans="3:29" x14ac:dyDescent="0.35">
      <c r="C516" s="80">
        <f t="shared" si="35"/>
        <v>1</v>
      </c>
      <c r="K516" s="65">
        <f t="shared" si="36"/>
        <v>0</v>
      </c>
      <c r="M516" s="73">
        <f t="shared" si="37"/>
        <v>0</v>
      </c>
      <c r="AC516" t="str">
        <f t="shared" si="38"/>
        <v>Jan</v>
      </c>
    </row>
    <row r="517" spans="3:29" x14ac:dyDescent="0.35">
      <c r="C517" s="80">
        <f t="shared" si="35"/>
        <v>1</v>
      </c>
      <c r="K517" s="65">
        <f t="shared" si="36"/>
        <v>0</v>
      </c>
      <c r="M517" s="73">
        <f t="shared" si="37"/>
        <v>0</v>
      </c>
      <c r="AC517" t="str">
        <f t="shared" si="38"/>
        <v>Jan</v>
      </c>
    </row>
    <row r="518" spans="3:29" x14ac:dyDescent="0.35">
      <c r="C518" s="80">
        <f t="shared" ref="C518:C581" si="39">MONTH(B518)</f>
        <v>1</v>
      </c>
      <c r="K518" s="65">
        <f t="shared" ref="K518:K581" si="40">I518*J518</f>
        <v>0</v>
      </c>
      <c r="M518" s="73">
        <f t="shared" ref="M518:M581" si="41">K518-L518</f>
        <v>0</v>
      </c>
      <c r="AC518" t="str">
        <f t="shared" si="38"/>
        <v>Jan</v>
      </c>
    </row>
    <row r="519" spans="3:29" x14ac:dyDescent="0.35">
      <c r="C519" s="80">
        <f t="shared" si="39"/>
        <v>1</v>
      </c>
      <c r="K519" s="65">
        <f t="shared" si="40"/>
        <v>0</v>
      </c>
      <c r="M519" s="73">
        <f t="shared" si="41"/>
        <v>0</v>
      </c>
      <c r="AC519" t="str">
        <f t="shared" ref="AC519:AC582" si="42">IFERROR(INDEX(AA:AA,MATCH(C519,Z:Z,0)),"")</f>
        <v>Jan</v>
      </c>
    </row>
    <row r="520" spans="3:29" x14ac:dyDescent="0.35">
      <c r="C520" s="80">
        <f t="shared" si="39"/>
        <v>1</v>
      </c>
      <c r="K520" s="65">
        <f t="shared" si="40"/>
        <v>0</v>
      </c>
      <c r="M520" s="73">
        <f t="shared" si="41"/>
        <v>0</v>
      </c>
      <c r="AC520" t="str">
        <f t="shared" si="42"/>
        <v>Jan</v>
      </c>
    </row>
    <row r="521" spans="3:29" x14ac:dyDescent="0.35">
      <c r="C521" s="80">
        <f t="shared" si="39"/>
        <v>1</v>
      </c>
      <c r="K521" s="65">
        <f t="shared" si="40"/>
        <v>0</v>
      </c>
      <c r="M521" s="73">
        <f t="shared" si="41"/>
        <v>0</v>
      </c>
      <c r="AC521" t="str">
        <f t="shared" si="42"/>
        <v>Jan</v>
      </c>
    </row>
    <row r="522" spans="3:29" x14ac:dyDescent="0.35">
      <c r="C522" s="80">
        <f t="shared" si="39"/>
        <v>1</v>
      </c>
      <c r="K522" s="65">
        <f t="shared" si="40"/>
        <v>0</v>
      </c>
      <c r="M522" s="73">
        <f t="shared" si="41"/>
        <v>0</v>
      </c>
      <c r="AC522" t="str">
        <f t="shared" si="42"/>
        <v>Jan</v>
      </c>
    </row>
    <row r="523" spans="3:29" x14ac:dyDescent="0.35">
      <c r="C523" s="80">
        <f t="shared" si="39"/>
        <v>1</v>
      </c>
      <c r="K523" s="65">
        <f t="shared" si="40"/>
        <v>0</v>
      </c>
      <c r="M523" s="73">
        <f t="shared" si="41"/>
        <v>0</v>
      </c>
      <c r="AC523" t="str">
        <f t="shared" si="42"/>
        <v>Jan</v>
      </c>
    </row>
    <row r="524" spans="3:29" x14ac:dyDescent="0.35">
      <c r="C524" s="80">
        <f t="shared" si="39"/>
        <v>1</v>
      </c>
      <c r="K524" s="65">
        <f t="shared" si="40"/>
        <v>0</v>
      </c>
      <c r="M524" s="73">
        <f t="shared" si="41"/>
        <v>0</v>
      </c>
      <c r="AC524" t="str">
        <f t="shared" si="42"/>
        <v>Jan</v>
      </c>
    </row>
    <row r="525" spans="3:29" x14ac:dyDescent="0.35">
      <c r="C525" s="80">
        <f t="shared" si="39"/>
        <v>1</v>
      </c>
      <c r="K525" s="65">
        <f t="shared" si="40"/>
        <v>0</v>
      </c>
      <c r="M525" s="73">
        <f t="shared" si="41"/>
        <v>0</v>
      </c>
      <c r="AC525" t="str">
        <f t="shared" si="42"/>
        <v>Jan</v>
      </c>
    </row>
    <row r="526" spans="3:29" x14ac:dyDescent="0.35">
      <c r="C526" s="80">
        <f t="shared" si="39"/>
        <v>1</v>
      </c>
      <c r="K526" s="65">
        <f t="shared" si="40"/>
        <v>0</v>
      </c>
      <c r="M526" s="73">
        <f t="shared" si="41"/>
        <v>0</v>
      </c>
      <c r="AC526" t="str">
        <f t="shared" si="42"/>
        <v>Jan</v>
      </c>
    </row>
    <row r="527" spans="3:29" x14ac:dyDescent="0.35">
      <c r="C527" s="80">
        <f t="shared" si="39"/>
        <v>1</v>
      </c>
      <c r="K527" s="65">
        <f t="shared" si="40"/>
        <v>0</v>
      </c>
      <c r="M527" s="73">
        <f t="shared" si="41"/>
        <v>0</v>
      </c>
      <c r="AC527" t="str">
        <f t="shared" si="42"/>
        <v>Jan</v>
      </c>
    </row>
    <row r="528" spans="3:29" x14ac:dyDescent="0.35">
      <c r="C528" s="80">
        <f t="shared" si="39"/>
        <v>1</v>
      </c>
      <c r="K528" s="65">
        <f t="shared" si="40"/>
        <v>0</v>
      </c>
      <c r="M528" s="73">
        <f t="shared" si="41"/>
        <v>0</v>
      </c>
      <c r="AC528" t="str">
        <f t="shared" si="42"/>
        <v>Jan</v>
      </c>
    </row>
    <row r="529" spans="3:29" x14ac:dyDescent="0.35">
      <c r="C529" s="80">
        <f t="shared" si="39"/>
        <v>1</v>
      </c>
      <c r="K529" s="65">
        <f t="shared" si="40"/>
        <v>0</v>
      </c>
      <c r="M529" s="73">
        <f t="shared" si="41"/>
        <v>0</v>
      </c>
      <c r="AC529" t="str">
        <f t="shared" si="42"/>
        <v>Jan</v>
      </c>
    </row>
    <row r="530" spans="3:29" x14ac:dyDescent="0.35">
      <c r="C530" s="80">
        <f t="shared" si="39"/>
        <v>1</v>
      </c>
      <c r="K530" s="65">
        <f t="shared" si="40"/>
        <v>0</v>
      </c>
      <c r="M530" s="73">
        <f t="shared" si="41"/>
        <v>0</v>
      </c>
      <c r="AC530" t="str">
        <f t="shared" si="42"/>
        <v>Jan</v>
      </c>
    </row>
    <row r="531" spans="3:29" x14ac:dyDescent="0.35">
      <c r="C531" s="80">
        <f t="shared" si="39"/>
        <v>1</v>
      </c>
      <c r="K531" s="65">
        <f t="shared" si="40"/>
        <v>0</v>
      </c>
      <c r="M531" s="73">
        <f t="shared" si="41"/>
        <v>0</v>
      </c>
      <c r="AC531" t="str">
        <f t="shared" si="42"/>
        <v>Jan</v>
      </c>
    </row>
    <row r="532" spans="3:29" x14ac:dyDescent="0.35">
      <c r="C532" s="80">
        <f t="shared" si="39"/>
        <v>1</v>
      </c>
      <c r="K532" s="65">
        <f t="shared" si="40"/>
        <v>0</v>
      </c>
      <c r="M532" s="73">
        <f t="shared" si="41"/>
        <v>0</v>
      </c>
      <c r="AC532" t="str">
        <f t="shared" si="42"/>
        <v>Jan</v>
      </c>
    </row>
    <row r="533" spans="3:29" x14ac:dyDescent="0.35">
      <c r="C533" s="80">
        <f t="shared" si="39"/>
        <v>1</v>
      </c>
      <c r="K533" s="65">
        <f t="shared" si="40"/>
        <v>0</v>
      </c>
      <c r="M533" s="73">
        <f t="shared" si="41"/>
        <v>0</v>
      </c>
      <c r="AC533" t="str">
        <f t="shared" si="42"/>
        <v>Jan</v>
      </c>
    </row>
    <row r="534" spans="3:29" x14ac:dyDescent="0.35">
      <c r="C534" s="80">
        <f t="shared" si="39"/>
        <v>1</v>
      </c>
      <c r="K534" s="65">
        <f t="shared" si="40"/>
        <v>0</v>
      </c>
      <c r="M534" s="73">
        <f t="shared" si="41"/>
        <v>0</v>
      </c>
      <c r="AC534" t="str">
        <f t="shared" si="42"/>
        <v>Jan</v>
      </c>
    </row>
    <row r="535" spans="3:29" x14ac:dyDescent="0.35">
      <c r="C535" s="80">
        <f t="shared" si="39"/>
        <v>1</v>
      </c>
      <c r="K535" s="65">
        <f t="shared" si="40"/>
        <v>0</v>
      </c>
      <c r="M535" s="73">
        <f t="shared" si="41"/>
        <v>0</v>
      </c>
      <c r="AC535" t="str">
        <f t="shared" si="42"/>
        <v>Jan</v>
      </c>
    </row>
    <row r="536" spans="3:29" x14ac:dyDescent="0.35">
      <c r="C536" s="80">
        <f t="shared" si="39"/>
        <v>1</v>
      </c>
      <c r="K536" s="65">
        <f t="shared" si="40"/>
        <v>0</v>
      </c>
      <c r="M536" s="73">
        <f t="shared" si="41"/>
        <v>0</v>
      </c>
      <c r="AC536" t="str">
        <f t="shared" si="42"/>
        <v>Jan</v>
      </c>
    </row>
    <row r="537" spans="3:29" x14ac:dyDescent="0.35">
      <c r="C537" s="80">
        <f t="shared" si="39"/>
        <v>1</v>
      </c>
      <c r="K537" s="65">
        <f t="shared" si="40"/>
        <v>0</v>
      </c>
      <c r="M537" s="73">
        <f t="shared" si="41"/>
        <v>0</v>
      </c>
      <c r="AC537" t="str">
        <f t="shared" si="42"/>
        <v>Jan</v>
      </c>
    </row>
    <row r="538" spans="3:29" x14ac:dyDescent="0.35">
      <c r="C538" s="80">
        <f t="shared" si="39"/>
        <v>1</v>
      </c>
      <c r="K538" s="65">
        <f t="shared" si="40"/>
        <v>0</v>
      </c>
      <c r="M538" s="73">
        <f t="shared" si="41"/>
        <v>0</v>
      </c>
      <c r="AC538" t="str">
        <f t="shared" si="42"/>
        <v>Jan</v>
      </c>
    </row>
    <row r="539" spans="3:29" x14ac:dyDescent="0.35">
      <c r="C539" s="80">
        <f t="shared" si="39"/>
        <v>1</v>
      </c>
      <c r="K539" s="65">
        <f t="shared" si="40"/>
        <v>0</v>
      </c>
      <c r="M539" s="73">
        <f t="shared" si="41"/>
        <v>0</v>
      </c>
      <c r="AC539" t="str">
        <f t="shared" si="42"/>
        <v>Jan</v>
      </c>
    </row>
    <row r="540" spans="3:29" x14ac:dyDescent="0.35">
      <c r="C540" s="80">
        <f t="shared" si="39"/>
        <v>1</v>
      </c>
      <c r="K540" s="65">
        <f t="shared" si="40"/>
        <v>0</v>
      </c>
      <c r="M540" s="73">
        <f t="shared" si="41"/>
        <v>0</v>
      </c>
      <c r="AC540" t="str">
        <f t="shared" si="42"/>
        <v>Jan</v>
      </c>
    </row>
    <row r="541" spans="3:29" x14ac:dyDescent="0.35">
      <c r="C541" s="80">
        <f t="shared" si="39"/>
        <v>1</v>
      </c>
      <c r="K541" s="65">
        <f t="shared" si="40"/>
        <v>0</v>
      </c>
      <c r="M541" s="73">
        <f t="shared" si="41"/>
        <v>0</v>
      </c>
      <c r="AC541" t="str">
        <f t="shared" si="42"/>
        <v>Jan</v>
      </c>
    </row>
    <row r="542" spans="3:29" x14ac:dyDescent="0.35">
      <c r="C542" s="80">
        <f t="shared" si="39"/>
        <v>1</v>
      </c>
      <c r="K542" s="65">
        <f t="shared" si="40"/>
        <v>0</v>
      </c>
      <c r="M542" s="73">
        <f t="shared" si="41"/>
        <v>0</v>
      </c>
      <c r="AC542" t="str">
        <f t="shared" si="42"/>
        <v>Jan</v>
      </c>
    </row>
    <row r="543" spans="3:29" x14ac:dyDescent="0.35">
      <c r="C543" s="80">
        <f t="shared" si="39"/>
        <v>1</v>
      </c>
      <c r="K543" s="65">
        <f t="shared" si="40"/>
        <v>0</v>
      </c>
      <c r="M543" s="73">
        <f t="shared" si="41"/>
        <v>0</v>
      </c>
      <c r="AC543" t="str">
        <f t="shared" si="42"/>
        <v>Jan</v>
      </c>
    </row>
    <row r="544" spans="3:29" x14ac:dyDescent="0.35">
      <c r="C544" s="80">
        <f t="shared" si="39"/>
        <v>1</v>
      </c>
      <c r="K544" s="65">
        <f t="shared" si="40"/>
        <v>0</v>
      </c>
      <c r="M544" s="73">
        <f t="shared" si="41"/>
        <v>0</v>
      </c>
      <c r="AC544" t="str">
        <f t="shared" si="42"/>
        <v>Jan</v>
      </c>
    </row>
    <row r="545" spans="3:29" x14ac:dyDescent="0.35">
      <c r="C545" s="80">
        <f t="shared" si="39"/>
        <v>1</v>
      </c>
      <c r="K545" s="65">
        <f t="shared" si="40"/>
        <v>0</v>
      </c>
      <c r="M545" s="73">
        <f t="shared" si="41"/>
        <v>0</v>
      </c>
      <c r="AC545" t="str">
        <f t="shared" si="42"/>
        <v>Jan</v>
      </c>
    </row>
    <row r="546" spans="3:29" x14ac:dyDescent="0.35">
      <c r="C546" s="80">
        <f t="shared" si="39"/>
        <v>1</v>
      </c>
      <c r="K546" s="65">
        <f t="shared" si="40"/>
        <v>0</v>
      </c>
      <c r="M546" s="73">
        <f t="shared" si="41"/>
        <v>0</v>
      </c>
      <c r="AC546" t="str">
        <f t="shared" si="42"/>
        <v>Jan</v>
      </c>
    </row>
    <row r="547" spans="3:29" x14ac:dyDescent="0.35">
      <c r="C547" s="80">
        <f t="shared" si="39"/>
        <v>1</v>
      </c>
      <c r="K547" s="65">
        <f t="shared" si="40"/>
        <v>0</v>
      </c>
      <c r="M547" s="73">
        <f t="shared" si="41"/>
        <v>0</v>
      </c>
      <c r="AC547" t="str">
        <f t="shared" si="42"/>
        <v>Jan</v>
      </c>
    </row>
    <row r="548" spans="3:29" x14ac:dyDescent="0.35">
      <c r="C548" s="80">
        <f t="shared" si="39"/>
        <v>1</v>
      </c>
      <c r="K548" s="65">
        <f t="shared" si="40"/>
        <v>0</v>
      </c>
      <c r="M548" s="73">
        <f t="shared" si="41"/>
        <v>0</v>
      </c>
      <c r="AC548" t="str">
        <f t="shared" si="42"/>
        <v>Jan</v>
      </c>
    </row>
    <row r="549" spans="3:29" x14ac:dyDescent="0.35">
      <c r="C549" s="80">
        <f t="shared" si="39"/>
        <v>1</v>
      </c>
      <c r="K549" s="65">
        <f t="shared" si="40"/>
        <v>0</v>
      </c>
      <c r="M549" s="73">
        <f t="shared" si="41"/>
        <v>0</v>
      </c>
      <c r="AC549" t="str">
        <f t="shared" si="42"/>
        <v>Jan</v>
      </c>
    </row>
    <row r="550" spans="3:29" x14ac:dyDescent="0.35">
      <c r="C550" s="80">
        <f t="shared" si="39"/>
        <v>1</v>
      </c>
      <c r="K550" s="65">
        <f t="shared" si="40"/>
        <v>0</v>
      </c>
      <c r="M550" s="73">
        <f t="shared" si="41"/>
        <v>0</v>
      </c>
      <c r="AC550" t="str">
        <f t="shared" si="42"/>
        <v>Jan</v>
      </c>
    </row>
    <row r="551" spans="3:29" x14ac:dyDescent="0.35">
      <c r="C551" s="80">
        <f t="shared" si="39"/>
        <v>1</v>
      </c>
      <c r="K551" s="65">
        <f t="shared" si="40"/>
        <v>0</v>
      </c>
      <c r="M551" s="73">
        <f t="shared" si="41"/>
        <v>0</v>
      </c>
      <c r="AC551" t="str">
        <f t="shared" si="42"/>
        <v>Jan</v>
      </c>
    </row>
    <row r="552" spans="3:29" x14ac:dyDescent="0.35">
      <c r="C552" s="80">
        <f t="shared" si="39"/>
        <v>1</v>
      </c>
      <c r="K552" s="65">
        <f t="shared" si="40"/>
        <v>0</v>
      </c>
      <c r="M552" s="73">
        <f t="shared" si="41"/>
        <v>0</v>
      </c>
      <c r="AC552" t="str">
        <f t="shared" si="42"/>
        <v>Jan</v>
      </c>
    </row>
    <row r="553" spans="3:29" x14ac:dyDescent="0.35">
      <c r="C553" s="80">
        <f t="shared" si="39"/>
        <v>1</v>
      </c>
      <c r="K553" s="65">
        <f t="shared" si="40"/>
        <v>0</v>
      </c>
      <c r="M553" s="73">
        <f t="shared" si="41"/>
        <v>0</v>
      </c>
      <c r="AC553" t="str">
        <f t="shared" si="42"/>
        <v>Jan</v>
      </c>
    </row>
    <row r="554" spans="3:29" x14ac:dyDescent="0.35">
      <c r="C554" s="80">
        <f t="shared" si="39"/>
        <v>1</v>
      </c>
      <c r="K554" s="65">
        <f t="shared" si="40"/>
        <v>0</v>
      </c>
      <c r="M554" s="73">
        <f t="shared" si="41"/>
        <v>0</v>
      </c>
      <c r="AC554" t="str">
        <f t="shared" si="42"/>
        <v>Jan</v>
      </c>
    </row>
    <row r="555" spans="3:29" x14ac:dyDescent="0.35">
      <c r="C555" s="80">
        <f t="shared" si="39"/>
        <v>1</v>
      </c>
      <c r="K555" s="65">
        <f t="shared" si="40"/>
        <v>0</v>
      </c>
      <c r="M555" s="73">
        <f t="shared" si="41"/>
        <v>0</v>
      </c>
      <c r="AC555" t="str">
        <f t="shared" si="42"/>
        <v>Jan</v>
      </c>
    </row>
    <row r="556" spans="3:29" x14ac:dyDescent="0.35">
      <c r="C556" s="80">
        <f t="shared" si="39"/>
        <v>1</v>
      </c>
      <c r="K556" s="65">
        <f t="shared" si="40"/>
        <v>0</v>
      </c>
      <c r="M556" s="73">
        <f t="shared" si="41"/>
        <v>0</v>
      </c>
      <c r="AC556" t="str">
        <f t="shared" si="42"/>
        <v>Jan</v>
      </c>
    </row>
    <row r="557" spans="3:29" x14ac:dyDescent="0.35">
      <c r="C557" s="80">
        <f t="shared" si="39"/>
        <v>1</v>
      </c>
      <c r="K557" s="65">
        <f t="shared" si="40"/>
        <v>0</v>
      </c>
      <c r="M557" s="73">
        <f t="shared" si="41"/>
        <v>0</v>
      </c>
      <c r="AC557" t="str">
        <f t="shared" si="42"/>
        <v>Jan</v>
      </c>
    </row>
    <row r="558" spans="3:29" x14ac:dyDescent="0.35">
      <c r="C558" s="80">
        <f t="shared" si="39"/>
        <v>1</v>
      </c>
      <c r="K558" s="65">
        <f t="shared" si="40"/>
        <v>0</v>
      </c>
      <c r="M558" s="73">
        <f t="shared" si="41"/>
        <v>0</v>
      </c>
      <c r="AC558" t="str">
        <f t="shared" si="42"/>
        <v>Jan</v>
      </c>
    </row>
    <row r="559" spans="3:29" x14ac:dyDescent="0.35">
      <c r="C559" s="80">
        <f t="shared" si="39"/>
        <v>1</v>
      </c>
      <c r="K559" s="65">
        <f t="shared" si="40"/>
        <v>0</v>
      </c>
      <c r="M559" s="73">
        <f t="shared" si="41"/>
        <v>0</v>
      </c>
      <c r="AC559" t="str">
        <f t="shared" si="42"/>
        <v>Jan</v>
      </c>
    </row>
    <row r="560" spans="3:29" x14ac:dyDescent="0.35">
      <c r="C560" s="80">
        <f t="shared" si="39"/>
        <v>1</v>
      </c>
      <c r="K560" s="65">
        <f t="shared" si="40"/>
        <v>0</v>
      </c>
      <c r="M560" s="73">
        <f t="shared" si="41"/>
        <v>0</v>
      </c>
      <c r="AC560" t="str">
        <f t="shared" si="42"/>
        <v>Jan</v>
      </c>
    </row>
    <row r="561" spans="3:29" x14ac:dyDescent="0.35">
      <c r="C561" s="80">
        <f t="shared" si="39"/>
        <v>1</v>
      </c>
      <c r="K561" s="65">
        <f t="shared" si="40"/>
        <v>0</v>
      </c>
      <c r="M561" s="73">
        <f t="shared" si="41"/>
        <v>0</v>
      </c>
      <c r="AC561" t="str">
        <f t="shared" si="42"/>
        <v>Jan</v>
      </c>
    </row>
    <row r="562" spans="3:29" x14ac:dyDescent="0.35">
      <c r="C562" s="80">
        <f t="shared" si="39"/>
        <v>1</v>
      </c>
      <c r="K562" s="65">
        <f t="shared" si="40"/>
        <v>0</v>
      </c>
      <c r="M562" s="73">
        <f t="shared" si="41"/>
        <v>0</v>
      </c>
      <c r="AC562" t="str">
        <f t="shared" si="42"/>
        <v>Jan</v>
      </c>
    </row>
    <row r="563" spans="3:29" x14ac:dyDescent="0.35">
      <c r="C563" s="80">
        <f t="shared" si="39"/>
        <v>1</v>
      </c>
      <c r="K563" s="65">
        <f t="shared" si="40"/>
        <v>0</v>
      </c>
      <c r="M563" s="73">
        <f t="shared" si="41"/>
        <v>0</v>
      </c>
      <c r="AC563" t="str">
        <f t="shared" si="42"/>
        <v>Jan</v>
      </c>
    </row>
    <row r="564" spans="3:29" x14ac:dyDescent="0.35">
      <c r="C564" s="80">
        <f t="shared" si="39"/>
        <v>1</v>
      </c>
      <c r="K564" s="65">
        <f t="shared" si="40"/>
        <v>0</v>
      </c>
      <c r="M564" s="73">
        <f t="shared" si="41"/>
        <v>0</v>
      </c>
      <c r="AC564" t="str">
        <f t="shared" si="42"/>
        <v>Jan</v>
      </c>
    </row>
    <row r="565" spans="3:29" x14ac:dyDescent="0.35">
      <c r="C565" s="80">
        <f t="shared" si="39"/>
        <v>1</v>
      </c>
      <c r="K565" s="65">
        <f t="shared" si="40"/>
        <v>0</v>
      </c>
      <c r="M565" s="73">
        <f t="shared" si="41"/>
        <v>0</v>
      </c>
      <c r="AC565" t="str">
        <f t="shared" si="42"/>
        <v>Jan</v>
      </c>
    </row>
    <row r="566" spans="3:29" x14ac:dyDescent="0.35">
      <c r="C566" s="80">
        <f t="shared" si="39"/>
        <v>1</v>
      </c>
      <c r="K566" s="65">
        <f t="shared" si="40"/>
        <v>0</v>
      </c>
      <c r="M566" s="73">
        <f t="shared" si="41"/>
        <v>0</v>
      </c>
      <c r="AC566" t="str">
        <f t="shared" si="42"/>
        <v>Jan</v>
      </c>
    </row>
    <row r="567" spans="3:29" x14ac:dyDescent="0.35">
      <c r="C567" s="80">
        <f t="shared" si="39"/>
        <v>1</v>
      </c>
      <c r="K567" s="65">
        <f t="shared" si="40"/>
        <v>0</v>
      </c>
      <c r="M567" s="73">
        <f t="shared" si="41"/>
        <v>0</v>
      </c>
      <c r="AC567" t="str">
        <f t="shared" si="42"/>
        <v>Jan</v>
      </c>
    </row>
    <row r="568" spans="3:29" x14ac:dyDescent="0.35">
      <c r="C568" s="80">
        <f t="shared" si="39"/>
        <v>1</v>
      </c>
      <c r="K568" s="65">
        <f t="shared" si="40"/>
        <v>0</v>
      </c>
      <c r="M568" s="73">
        <f t="shared" si="41"/>
        <v>0</v>
      </c>
      <c r="AC568" t="str">
        <f t="shared" si="42"/>
        <v>Jan</v>
      </c>
    </row>
    <row r="569" spans="3:29" x14ac:dyDescent="0.35">
      <c r="C569" s="80">
        <f t="shared" si="39"/>
        <v>1</v>
      </c>
      <c r="K569" s="65">
        <f t="shared" si="40"/>
        <v>0</v>
      </c>
      <c r="M569" s="73">
        <f t="shared" si="41"/>
        <v>0</v>
      </c>
      <c r="AC569" t="str">
        <f t="shared" si="42"/>
        <v>Jan</v>
      </c>
    </row>
    <row r="570" spans="3:29" x14ac:dyDescent="0.35">
      <c r="C570" s="80">
        <f t="shared" si="39"/>
        <v>1</v>
      </c>
      <c r="K570" s="65">
        <f t="shared" si="40"/>
        <v>0</v>
      </c>
      <c r="M570" s="73">
        <f t="shared" si="41"/>
        <v>0</v>
      </c>
      <c r="AC570" t="str">
        <f t="shared" si="42"/>
        <v>Jan</v>
      </c>
    </row>
    <row r="571" spans="3:29" x14ac:dyDescent="0.35">
      <c r="C571" s="80">
        <f t="shared" si="39"/>
        <v>1</v>
      </c>
      <c r="K571" s="65">
        <f t="shared" si="40"/>
        <v>0</v>
      </c>
      <c r="M571" s="73">
        <f t="shared" si="41"/>
        <v>0</v>
      </c>
      <c r="AC571" t="str">
        <f t="shared" si="42"/>
        <v>Jan</v>
      </c>
    </row>
    <row r="572" spans="3:29" x14ac:dyDescent="0.35">
      <c r="C572" s="80">
        <f t="shared" si="39"/>
        <v>1</v>
      </c>
      <c r="K572" s="65">
        <f t="shared" si="40"/>
        <v>0</v>
      </c>
      <c r="M572" s="73">
        <f t="shared" si="41"/>
        <v>0</v>
      </c>
      <c r="AC572" t="str">
        <f t="shared" si="42"/>
        <v>Jan</v>
      </c>
    </row>
    <row r="573" spans="3:29" x14ac:dyDescent="0.35">
      <c r="C573" s="80">
        <f t="shared" si="39"/>
        <v>1</v>
      </c>
      <c r="K573" s="65">
        <f t="shared" si="40"/>
        <v>0</v>
      </c>
      <c r="M573" s="73">
        <f t="shared" si="41"/>
        <v>0</v>
      </c>
      <c r="AC573" t="str">
        <f t="shared" si="42"/>
        <v>Jan</v>
      </c>
    </row>
    <row r="574" spans="3:29" x14ac:dyDescent="0.35">
      <c r="C574" s="80">
        <f t="shared" si="39"/>
        <v>1</v>
      </c>
      <c r="K574" s="65">
        <f t="shared" si="40"/>
        <v>0</v>
      </c>
      <c r="M574" s="73">
        <f t="shared" si="41"/>
        <v>0</v>
      </c>
      <c r="AC574" t="str">
        <f t="shared" si="42"/>
        <v>Jan</v>
      </c>
    </row>
    <row r="575" spans="3:29" x14ac:dyDescent="0.35">
      <c r="C575" s="80">
        <f t="shared" si="39"/>
        <v>1</v>
      </c>
      <c r="K575" s="65">
        <f t="shared" si="40"/>
        <v>0</v>
      </c>
      <c r="M575" s="73">
        <f t="shared" si="41"/>
        <v>0</v>
      </c>
      <c r="AC575" t="str">
        <f t="shared" si="42"/>
        <v>Jan</v>
      </c>
    </row>
    <row r="576" spans="3:29" x14ac:dyDescent="0.35">
      <c r="C576" s="80">
        <f t="shared" si="39"/>
        <v>1</v>
      </c>
      <c r="K576" s="65">
        <f t="shared" si="40"/>
        <v>0</v>
      </c>
      <c r="M576" s="73">
        <f t="shared" si="41"/>
        <v>0</v>
      </c>
      <c r="AC576" t="str">
        <f t="shared" si="42"/>
        <v>Jan</v>
      </c>
    </row>
    <row r="577" spans="3:29" x14ac:dyDescent="0.35">
      <c r="C577" s="80">
        <f t="shared" si="39"/>
        <v>1</v>
      </c>
      <c r="K577" s="65">
        <f t="shared" si="40"/>
        <v>0</v>
      </c>
      <c r="M577" s="73">
        <f t="shared" si="41"/>
        <v>0</v>
      </c>
      <c r="AC577" t="str">
        <f t="shared" si="42"/>
        <v>Jan</v>
      </c>
    </row>
    <row r="578" spans="3:29" x14ac:dyDescent="0.35">
      <c r="C578" s="80">
        <f t="shared" si="39"/>
        <v>1</v>
      </c>
      <c r="K578" s="65">
        <f t="shared" si="40"/>
        <v>0</v>
      </c>
      <c r="M578" s="73">
        <f t="shared" si="41"/>
        <v>0</v>
      </c>
      <c r="AC578" t="str">
        <f t="shared" si="42"/>
        <v>Jan</v>
      </c>
    </row>
    <row r="579" spans="3:29" x14ac:dyDescent="0.35">
      <c r="C579" s="80">
        <f t="shared" si="39"/>
        <v>1</v>
      </c>
      <c r="K579" s="65">
        <f t="shared" si="40"/>
        <v>0</v>
      </c>
      <c r="M579" s="73">
        <f t="shared" si="41"/>
        <v>0</v>
      </c>
      <c r="AC579" t="str">
        <f t="shared" si="42"/>
        <v>Jan</v>
      </c>
    </row>
    <row r="580" spans="3:29" x14ac:dyDescent="0.35">
      <c r="C580" s="80">
        <f t="shared" si="39"/>
        <v>1</v>
      </c>
      <c r="K580" s="65">
        <f t="shared" si="40"/>
        <v>0</v>
      </c>
      <c r="M580" s="73">
        <f t="shared" si="41"/>
        <v>0</v>
      </c>
      <c r="AC580" t="str">
        <f t="shared" si="42"/>
        <v>Jan</v>
      </c>
    </row>
    <row r="581" spans="3:29" x14ac:dyDescent="0.35">
      <c r="C581" s="80">
        <f t="shared" si="39"/>
        <v>1</v>
      </c>
      <c r="K581" s="65">
        <f t="shared" si="40"/>
        <v>0</v>
      </c>
      <c r="M581" s="73">
        <f t="shared" si="41"/>
        <v>0</v>
      </c>
      <c r="AC581" t="str">
        <f t="shared" si="42"/>
        <v>Jan</v>
      </c>
    </row>
    <row r="582" spans="3:29" x14ac:dyDescent="0.35">
      <c r="C582" s="80">
        <f t="shared" ref="C582:C645" si="43">MONTH(B582)</f>
        <v>1</v>
      </c>
      <c r="K582" s="65">
        <f t="shared" ref="K582:K645" si="44">I582*J582</f>
        <v>0</v>
      </c>
      <c r="M582" s="73">
        <f t="shared" ref="M582:M645" si="45">K582-L582</f>
        <v>0</v>
      </c>
      <c r="AC582" t="str">
        <f t="shared" si="42"/>
        <v>Jan</v>
      </c>
    </row>
    <row r="583" spans="3:29" x14ac:dyDescent="0.35">
      <c r="C583" s="80">
        <f t="shared" si="43"/>
        <v>1</v>
      </c>
      <c r="K583" s="65">
        <f t="shared" si="44"/>
        <v>0</v>
      </c>
      <c r="M583" s="73">
        <f t="shared" si="45"/>
        <v>0</v>
      </c>
      <c r="AC583" t="str">
        <f t="shared" ref="AC583:AC646" si="46">IFERROR(INDEX(AA:AA,MATCH(C583,Z:Z,0)),"")</f>
        <v>Jan</v>
      </c>
    </row>
    <row r="584" spans="3:29" x14ac:dyDescent="0.35">
      <c r="C584" s="80">
        <f t="shared" si="43"/>
        <v>1</v>
      </c>
      <c r="K584" s="65">
        <f t="shared" si="44"/>
        <v>0</v>
      </c>
      <c r="M584" s="73">
        <f t="shared" si="45"/>
        <v>0</v>
      </c>
      <c r="AC584" t="str">
        <f t="shared" si="46"/>
        <v>Jan</v>
      </c>
    </row>
    <row r="585" spans="3:29" x14ac:dyDescent="0.35">
      <c r="C585" s="80">
        <f t="shared" si="43"/>
        <v>1</v>
      </c>
      <c r="K585" s="65">
        <f t="shared" si="44"/>
        <v>0</v>
      </c>
      <c r="M585" s="73">
        <f t="shared" si="45"/>
        <v>0</v>
      </c>
      <c r="AC585" t="str">
        <f t="shared" si="46"/>
        <v>Jan</v>
      </c>
    </row>
    <row r="586" spans="3:29" x14ac:dyDescent="0.35">
      <c r="C586" s="80">
        <f t="shared" si="43"/>
        <v>1</v>
      </c>
      <c r="K586" s="65">
        <f t="shared" si="44"/>
        <v>0</v>
      </c>
      <c r="M586" s="73">
        <f t="shared" si="45"/>
        <v>0</v>
      </c>
      <c r="AC586" t="str">
        <f t="shared" si="46"/>
        <v>Jan</v>
      </c>
    </row>
    <row r="587" spans="3:29" x14ac:dyDescent="0.35">
      <c r="C587" s="80">
        <f t="shared" si="43"/>
        <v>1</v>
      </c>
      <c r="K587" s="65">
        <f t="shared" si="44"/>
        <v>0</v>
      </c>
      <c r="M587" s="73">
        <f t="shared" si="45"/>
        <v>0</v>
      </c>
      <c r="AC587" t="str">
        <f t="shared" si="46"/>
        <v>Jan</v>
      </c>
    </row>
    <row r="588" spans="3:29" x14ac:dyDescent="0.35">
      <c r="C588" s="80">
        <f t="shared" si="43"/>
        <v>1</v>
      </c>
      <c r="K588" s="65">
        <f t="shared" si="44"/>
        <v>0</v>
      </c>
      <c r="M588" s="73">
        <f t="shared" si="45"/>
        <v>0</v>
      </c>
      <c r="AC588" t="str">
        <f t="shared" si="46"/>
        <v>Jan</v>
      </c>
    </row>
    <row r="589" spans="3:29" x14ac:dyDescent="0.35">
      <c r="C589" s="80">
        <f t="shared" si="43"/>
        <v>1</v>
      </c>
      <c r="K589" s="65">
        <f t="shared" si="44"/>
        <v>0</v>
      </c>
      <c r="M589" s="73">
        <f t="shared" si="45"/>
        <v>0</v>
      </c>
      <c r="AC589" t="str">
        <f t="shared" si="46"/>
        <v>Jan</v>
      </c>
    </row>
    <row r="590" spans="3:29" x14ac:dyDescent="0.35">
      <c r="C590" s="80">
        <f t="shared" si="43"/>
        <v>1</v>
      </c>
      <c r="K590" s="65">
        <f t="shared" si="44"/>
        <v>0</v>
      </c>
      <c r="M590" s="73">
        <f t="shared" si="45"/>
        <v>0</v>
      </c>
      <c r="AC590" t="str">
        <f t="shared" si="46"/>
        <v>Jan</v>
      </c>
    </row>
    <row r="591" spans="3:29" x14ac:dyDescent="0.35">
      <c r="C591" s="80">
        <f t="shared" si="43"/>
        <v>1</v>
      </c>
      <c r="K591" s="65">
        <f t="shared" si="44"/>
        <v>0</v>
      </c>
      <c r="M591" s="73">
        <f t="shared" si="45"/>
        <v>0</v>
      </c>
      <c r="AC591" t="str">
        <f t="shared" si="46"/>
        <v>Jan</v>
      </c>
    </row>
    <row r="592" spans="3:29" x14ac:dyDescent="0.35">
      <c r="C592" s="80">
        <f t="shared" si="43"/>
        <v>1</v>
      </c>
      <c r="K592" s="65">
        <f t="shared" si="44"/>
        <v>0</v>
      </c>
      <c r="M592" s="73">
        <f t="shared" si="45"/>
        <v>0</v>
      </c>
      <c r="AC592" t="str">
        <f t="shared" si="46"/>
        <v>Jan</v>
      </c>
    </row>
    <row r="593" spans="3:29" x14ac:dyDescent="0.35">
      <c r="C593" s="80">
        <f t="shared" si="43"/>
        <v>1</v>
      </c>
      <c r="K593" s="65">
        <f t="shared" si="44"/>
        <v>0</v>
      </c>
      <c r="M593" s="73">
        <f t="shared" si="45"/>
        <v>0</v>
      </c>
      <c r="AC593" t="str">
        <f t="shared" si="46"/>
        <v>Jan</v>
      </c>
    </row>
    <row r="594" spans="3:29" x14ac:dyDescent="0.35">
      <c r="C594" s="80">
        <f t="shared" si="43"/>
        <v>1</v>
      </c>
      <c r="K594" s="65">
        <f t="shared" si="44"/>
        <v>0</v>
      </c>
      <c r="M594" s="73">
        <f t="shared" si="45"/>
        <v>0</v>
      </c>
      <c r="AC594" t="str">
        <f t="shared" si="46"/>
        <v>Jan</v>
      </c>
    </row>
    <row r="595" spans="3:29" x14ac:dyDescent="0.35">
      <c r="C595" s="80">
        <f t="shared" si="43"/>
        <v>1</v>
      </c>
      <c r="K595" s="65">
        <f t="shared" si="44"/>
        <v>0</v>
      </c>
      <c r="M595" s="73">
        <f t="shared" si="45"/>
        <v>0</v>
      </c>
      <c r="AC595" t="str">
        <f t="shared" si="46"/>
        <v>Jan</v>
      </c>
    </row>
    <row r="596" spans="3:29" x14ac:dyDescent="0.35">
      <c r="C596" s="80">
        <f t="shared" si="43"/>
        <v>1</v>
      </c>
      <c r="K596" s="65">
        <f t="shared" si="44"/>
        <v>0</v>
      </c>
      <c r="M596" s="73">
        <f t="shared" si="45"/>
        <v>0</v>
      </c>
      <c r="AC596" t="str">
        <f t="shared" si="46"/>
        <v>Jan</v>
      </c>
    </row>
    <row r="597" spans="3:29" x14ac:dyDescent="0.35">
      <c r="C597" s="80">
        <f t="shared" si="43"/>
        <v>1</v>
      </c>
      <c r="K597" s="65">
        <f t="shared" si="44"/>
        <v>0</v>
      </c>
      <c r="M597" s="73">
        <f t="shared" si="45"/>
        <v>0</v>
      </c>
      <c r="AC597" t="str">
        <f t="shared" si="46"/>
        <v>Jan</v>
      </c>
    </row>
    <row r="598" spans="3:29" x14ac:dyDescent="0.35">
      <c r="C598" s="80">
        <f t="shared" si="43"/>
        <v>1</v>
      </c>
      <c r="K598" s="65">
        <f t="shared" si="44"/>
        <v>0</v>
      </c>
      <c r="M598" s="73">
        <f t="shared" si="45"/>
        <v>0</v>
      </c>
      <c r="AC598" t="str">
        <f t="shared" si="46"/>
        <v>Jan</v>
      </c>
    </row>
    <row r="599" spans="3:29" x14ac:dyDescent="0.35">
      <c r="C599" s="80">
        <f t="shared" si="43"/>
        <v>1</v>
      </c>
      <c r="K599" s="65">
        <f t="shared" si="44"/>
        <v>0</v>
      </c>
      <c r="M599" s="73">
        <f t="shared" si="45"/>
        <v>0</v>
      </c>
      <c r="AC599" t="str">
        <f t="shared" si="46"/>
        <v>Jan</v>
      </c>
    </row>
    <row r="600" spans="3:29" x14ac:dyDescent="0.35">
      <c r="C600" s="80">
        <f t="shared" si="43"/>
        <v>1</v>
      </c>
      <c r="K600" s="65">
        <f t="shared" si="44"/>
        <v>0</v>
      </c>
      <c r="M600" s="73">
        <f t="shared" si="45"/>
        <v>0</v>
      </c>
      <c r="AC600" t="str">
        <f t="shared" si="46"/>
        <v>Jan</v>
      </c>
    </row>
    <row r="601" spans="3:29" x14ac:dyDescent="0.35">
      <c r="C601" s="80">
        <f t="shared" si="43"/>
        <v>1</v>
      </c>
      <c r="K601" s="65">
        <f t="shared" si="44"/>
        <v>0</v>
      </c>
      <c r="M601" s="73">
        <f t="shared" si="45"/>
        <v>0</v>
      </c>
      <c r="AC601" t="str">
        <f t="shared" si="46"/>
        <v>Jan</v>
      </c>
    </row>
    <row r="602" spans="3:29" x14ac:dyDescent="0.35">
      <c r="C602" s="80">
        <f t="shared" si="43"/>
        <v>1</v>
      </c>
      <c r="K602" s="65">
        <f t="shared" si="44"/>
        <v>0</v>
      </c>
      <c r="M602" s="73">
        <f t="shared" si="45"/>
        <v>0</v>
      </c>
      <c r="AC602" t="str">
        <f t="shared" si="46"/>
        <v>Jan</v>
      </c>
    </row>
    <row r="603" spans="3:29" x14ac:dyDescent="0.35">
      <c r="C603" s="80">
        <f t="shared" si="43"/>
        <v>1</v>
      </c>
      <c r="K603" s="65">
        <f t="shared" si="44"/>
        <v>0</v>
      </c>
      <c r="M603" s="73">
        <f t="shared" si="45"/>
        <v>0</v>
      </c>
      <c r="AC603" t="str">
        <f t="shared" si="46"/>
        <v>Jan</v>
      </c>
    </row>
    <row r="604" spans="3:29" x14ac:dyDescent="0.35">
      <c r="C604" s="80">
        <f t="shared" si="43"/>
        <v>1</v>
      </c>
      <c r="K604" s="65">
        <f t="shared" si="44"/>
        <v>0</v>
      </c>
      <c r="M604" s="73">
        <f t="shared" si="45"/>
        <v>0</v>
      </c>
      <c r="AC604" t="str">
        <f t="shared" si="46"/>
        <v>Jan</v>
      </c>
    </row>
    <row r="605" spans="3:29" x14ac:dyDescent="0.35">
      <c r="C605" s="80">
        <f t="shared" si="43"/>
        <v>1</v>
      </c>
      <c r="K605" s="65">
        <f t="shared" si="44"/>
        <v>0</v>
      </c>
      <c r="M605" s="73">
        <f t="shared" si="45"/>
        <v>0</v>
      </c>
      <c r="AC605" t="str">
        <f t="shared" si="46"/>
        <v>Jan</v>
      </c>
    </row>
    <row r="606" spans="3:29" x14ac:dyDescent="0.35">
      <c r="C606" s="80">
        <f t="shared" si="43"/>
        <v>1</v>
      </c>
      <c r="K606" s="65">
        <f t="shared" si="44"/>
        <v>0</v>
      </c>
      <c r="M606" s="73">
        <f t="shared" si="45"/>
        <v>0</v>
      </c>
      <c r="AC606" t="str">
        <f t="shared" si="46"/>
        <v>Jan</v>
      </c>
    </row>
    <row r="607" spans="3:29" x14ac:dyDescent="0.35">
      <c r="C607" s="80">
        <f t="shared" si="43"/>
        <v>1</v>
      </c>
      <c r="K607" s="65">
        <f t="shared" si="44"/>
        <v>0</v>
      </c>
      <c r="M607" s="73">
        <f t="shared" si="45"/>
        <v>0</v>
      </c>
      <c r="AC607" t="str">
        <f t="shared" si="46"/>
        <v>Jan</v>
      </c>
    </row>
    <row r="608" spans="3:29" x14ac:dyDescent="0.35">
      <c r="C608" s="80">
        <f t="shared" si="43"/>
        <v>1</v>
      </c>
      <c r="K608" s="65">
        <f t="shared" si="44"/>
        <v>0</v>
      </c>
      <c r="M608" s="73">
        <f t="shared" si="45"/>
        <v>0</v>
      </c>
      <c r="AC608" t="str">
        <f t="shared" si="46"/>
        <v>Jan</v>
      </c>
    </row>
    <row r="609" spans="3:29" x14ac:dyDescent="0.35">
      <c r="C609" s="80">
        <f t="shared" si="43"/>
        <v>1</v>
      </c>
      <c r="K609" s="65">
        <f t="shared" si="44"/>
        <v>0</v>
      </c>
      <c r="M609" s="73">
        <f t="shared" si="45"/>
        <v>0</v>
      </c>
      <c r="AC609" t="str">
        <f t="shared" si="46"/>
        <v>Jan</v>
      </c>
    </row>
    <row r="610" spans="3:29" x14ac:dyDescent="0.35">
      <c r="C610" s="80">
        <f t="shared" si="43"/>
        <v>1</v>
      </c>
      <c r="K610" s="65">
        <f t="shared" si="44"/>
        <v>0</v>
      </c>
      <c r="M610" s="73">
        <f t="shared" si="45"/>
        <v>0</v>
      </c>
      <c r="AC610" t="str">
        <f t="shared" si="46"/>
        <v>Jan</v>
      </c>
    </row>
    <row r="611" spans="3:29" x14ac:dyDescent="0.35">
      <c r="C611" s="80">
        <f t="shared" si="43"/>
        <v>1</v>
      </c>
      <c r="K611" s="65">
        <f t="shared" si="44"/>
        <v>0</v>
      </c>
      <c r="M611" s="73">
        <f t="shared" si="45"/>
        <v>0</v>
      </c>
      <c r="AC611" t="str">
        <f t="shared" si="46"/>
        <v>Jan</v>
      </c>
    </row>
    <row r="612" spans="3:29" x14ac:dyDescent="0.35">
      <c r="C612" s="80">
        <f t="shared" si="43"/>
        <v>1</v>
      </c>
      <c r="K612" s="65">
        <f t="shared" si="44"/>
        <v>0</v>
      </c>
      <c r="M612" s="73">
        <f t="shared" si="45"/>
        <v>0</v>
      </c>
      <c r="AC612" t="str">
        <f t="shared" si="46"/>
        <v>Jan</v>
      </c>
    </row>
    <row r="613" spans="3:29" x14ac:dyDescent="0.35">
      <c r="C613" s="80">
        <f t="shared" si="43"/>
        <v>1</v>
      </c>
      <c r="K613" s="65">
        <f t="shared" si="44"/>
        <v>0</v>
      </c>
      <c r="M613" s="73">
        <f t="shared" si="45"/>
        <v>0</v>
      </c>
      <c r="AC613" t="str">
        <f t="shared" si="46"/>
        <v>Jan</v>
      </c>
    </row>
    <row r="614" spans="3:29" x14ac:dyDescent="0.35">
      <c r="C614" s="80">
        <f t="shared" si="43"/>
        <v>1</v>
      </c>
      <c r="K614" s="65">
        <f t="shared" si="44"/>
        <v>0</v>
      </c>
      <c r="M614" s="73">
        <f t="shared" si="45"/>
        <v>0</v>
      </c>
      <c r="AC614" t="str">
        <f t="shared" si="46"/>
        <v>Jan</v>
      </c>
    </row>
    <row r="615" spans="3:29" x14ac:dyDescent="0.35">
      <c r="C615" s="80">
        <f t="shared" si="43"/>
        <v>1</v>
      </c>
      <c r="K615" s="65">
        <f t="shared" si="44"/>
        <v>0</v>
      </c>
      <c r="M615" s="73">
        <f t="shared" si="45"/>
        <v>0</v>
      </c>
      <c r="AC615" t="str">
        <f t="shared" si="46"/>
        <v>Jan</v>
      </c>
    </row>
    <row r="616" spans="3:29" x14ac:dyDescent="0.35">
      <c r="C616" s="80">
        <f t="shared" si="43"/>
        <v>1</v>
      </c>
      <c r="K616" s="65">
        <f t="shared" si="44"/>
        <v>0</v>
      </c>
      <c r="M616" s="73">
        <f t="shared" si="45"/>
        <v>0</v>
      </c>
      <c r="AC616" t="str">
        <f t="shared" si="46"/>
        <v>Jan</v>
      </c>
    </row>
    <row r="617" spans="3:29" x14ac:dyDescent="0.35">
      <c r="C617" s="80">
        <f t="shared" si="43"/>
        <v>1</v>
      </c>
      <c r="K617" s="65">
        <f t="shared" si="44"/>
        <v>0</v>
      </c>
      <c r="M617" s="73">
        <f t="shared" si="45"/>
        <v>0</v>
      </c>
      <c r="AC617" t="str">
        <f t="shared" si="46"/>
        <v>Jan</v>
      </c>
    </row>
    <row r="618" spans="3:29" x14ac:dyDescent="0.35">
      <c r="C618" s="80">
        <f t="shared" si="43"/>
        <v>1</v>
      </c>
      <c r="K618" s="65">
        <f t="shared" si="44"/>
        <v>0</v>
      </c>
      <c r="M618" s="73">
        <f t="shared" si="45"/>
        <v>0</v>
      </c>
      <c r="AC618" t="str">
        <f t="shared" si="46"/>
        <v>Jan</v>
      </c>
    </row>
    <row r="619" spans="3:29" x14ac:dyDescent="0.35">
      <c r="C619" s="80">
        <f t="shared" si="43"/>
        <v>1</v>
      </c>
      <c r="K619" s="65">
        <f t="shared" si="44"/>
        <v>0</v>
      </c>
      <c r="M619" s="73">
        <f t="shared" si="45"/>
        <v>0</v>
      </c>
      <c r="AC619" t="str">
        <f t="shared" si="46"/>
        <v>Jan</v>
      </c>
    </row>
    <row r="620" spans="3:29" x14ac:dyDescent="0.35">
      <c r="C620" s="80">
        <f t="shared" si="43"/>
        <v>1</v>
      </c>
      <c r="K620" s="65">
        <f t="shared" si="44"/>
        <v>0</v>
      </c>
      <c r="M620" s="73">
        <f t="shared" si="45"/>
        <v>0</v>
      </c>
      <c r="AC620" t="str">
        <f t="shared" si="46"/>
        <v>Jan</v>
      </c>
    </row>
    <row r="621" spans="3:29" x14ac:dyDescent="0.35">
      <c r="C621" s="80">
        <f t="shared" si="43"/>
        <v>1</v>
      </c>
      <c r="K621" s="65">
        <f t="shared" si="44"/>
        <v>0</v>
      </c>
      <c r="M621" s="73">
        <f t="shared" si="45"/>
        <v>0</v>
      </c>
      <c r="AC621" t="str">
        <f t="shared" si="46"/>
        <v>Jan</v>
      </c>
    </row>
    <row r="622" spans="3:29" x14ac:dyDescent="0.35">
      <c r="C622" s="80">
        <f t="shared" si="43"/>
        <v>1</v>
      </c>
      <c r="K622" s="65">
        <f t="shared" si="44"/>
        <v>0</v>
      </c>
      <c r="M622" s="73">
        <f t="shared" si="45"/>
        <v>0</v>
      </c>
      <c r="AC622" t="str">
        <f t="shared" si="46"/>
        <v>Jan</v>
      </c>
    </row>
    <row r="623" spans="3:29" x14ac:dyDescent="0.35">
      <c r="C623" s="80">
        <f t="shared" si="43"/>
        <v>1</v>
      </c>
      <c r="K623" s="65">
        <f t="shared" si="44"/>
        <v>0</v>
      </c>
      <c r="M623" s="73">
        <f t="shared" si="45"/>
        <v>0</v>
      </c>
      <c r="AC623" t="str">
        <f t="shared" si="46"/>
        <v>Jan</v>
      </c>
    </row>
    <row r="624" spans="3:29" x14ac:dyDescent="0.35">
      <c r="C624" s="80">
        <f t="shared" si="43"/>
        <v>1</v>
      </c>
      <c r="K624" s="65">
        <f t="shared" si="44"/>
        <v>0</v>
      </c>
      <c r="M624" s="73">
        <f t="shared" si="45"/>
        <v>0</v>
      </c>
      <c r="AC624" t="str">
        <f t="shared" si="46"/>
        <v>Jan</v>
      </c>
    </row>
    <row r="625" spans="3:29" x14ac:dyDescent="0.35">
      <c r="C625" s="80">
        <f t="shared" si="43"/>
        <v>1</v>
      </c>
      <c r="K625" s="65">
        <f t="shared" si="44"/>
        <v>0</v>
      </c>
      <c r="M625" s="73">
        <f t="shared" si="45"/>
        <v>0</v>
      </c>
      <c r="AC625" t="str">
        <f t="shared" si="46"/>
        <v>Jan</v>
      </c>
    </row>
    <row r="626" spans="3:29" x14ac:dyDescent="0.35">
      <c r="C626" s="80">
        <f t="shared" si="43"/>
        <v>1</v>
      </c>
      <c r="K626" s="65">
        <f t="shared" si="44"/>
        <v>0</v>
      </c>
      <c r="M626" s="73">
        <f t="shared" si="45"/>
        <v>0</v>
      </c>
      <c r="AC626" t="str">
        <f t="shared" si="46"/>
        <v>Jan</v>
      </c>
    </row>
    <row r="627" spans="3:29" x14ac:dyDescent="0.35">
      <c r="C627" s="80">
        <f t="shared" si="43"/>
        <v>1</v>
      </c>
      <c r="K627" s="65">
        <f t="shared" si="44"/>
        <v>0</v>
      </c>
      <c r="M627" s="73">
        <f t="shared" si="45"/>
        <v>0</v>
      </c>
      <c r="AC627" t="str">
        <f t="shared" si="46"/>
        <v>Jan</v>
      </c>
    </row>
    <row r="628" spans="3:29" x14ac:dyDescent="0.35">
      <c r="C628" s="80">
        <f t="shared" si="43"/>
        <v>1</v>
      </c>
      <c r="K628" s="65">
        <f t="shared" si="44"/>
        <v>0</v>
      </c>
      <c r="M628" s="73">
        <f t="shared" si="45"/>
        <v>0</v>
      </c>
      <c r="AC628" t="str">
        <f t="shared" si="46"/>
        <v>Jan</v>
      </c>
    </row>
    <row r="629" spans="3:29" x14ac:dyDescent="0.35">
      <c r="C629" s="80">
        <f t="shared" si="43"/>
        <v>1</v>
      </c>
      <c r="K629" s="65">
        <f t="shared" si="44"/>
        <v>0</v>
      </c>
      <c r="M629" s="73">
        <f t="shared" si="45"/>
        <v>0</v>
      </c>
      <c r="AC629" t="str">
        <f t="shared" si="46"/>
        <v>Jan</v>
      </c>
    </row>
    <row r="630" spans="3:29" x14ac:dyDescent="0.35">
      <c r="C630" s="80">
        <f t="shared" si="43"/>
        <v>1</v>
      </c>
      <c r="K630" s="65">
        <f t="shared" si="44"/>
        <v>0</v>
      </c>
      <c r="M630" s="73">
        <f t="shared" si="45"/>
        <v>0</v>
      </c>
      <c r="AC630" t="str">
        <f t="shared" si="46"/>
        <v>Jan</v>
      </c>
    </row>
    <row r="631" spans="3:29" x14ac:dyDescent="0.35">
      <c r="C631" s="80">
        <f t="shared" si="43"/>
        <v>1</v>
      </c>
      <c r="K631" s="65">
        <f t="shared" si="44"/>
        <v>0</v>
      </c>
      <c r="M631" s="73">
        <f t="shared" si="45"/>
        <v>0</v>
      </c>
      <c r="AC631" t="str">
        <f t="shared" si="46"/>
        <v>Jan</v>
      </c>
    </row>
    <row r="632" spans="3:29" x14ac:dyDescent="0.35">
      <c r="C632" s="80">
        <f t="shared" si="43"/>
        <v>1</v>
      </c>
      <c r="K632" s="65">
        <f t="shared" si="44"/>
        <v>0</v>
      </c>
      <c r="M632" s="73">
        <f t="shared" si="45"/>
        <v>0</v>
      </c>
      <c r="AC632" t="str">
        <f t="shared" si="46"/>
        <v>Jan</v>
      </c>
    </row>
    <row r="633" spans="3:29" x14ac:dyDescent="0.35">
      <c r="C633" s="80">
        <f t="shared" si="43"/>
        <v>1</v>
      </c>
      <c r="K633" s="65">
        <f t="shared" si="44"/>
        <v>0</v>
      </c>
      <c r="M633" s="73">
        <f t="shared" si="45"/>
        <v>0</v>
      </c>
      <c r="AC633" t="str">
        <f t="shared" si="46"/>
        <v>Jan</v>
      </c>
    </row>
    <row r="634" spans="3:29" x14ac:dyDescent="0.35">
      <c r="C634" s="80">
        <f t="shared" si="43"/>
        <v>1</v>
      </c>
      <c r="K634" s="65">
        <f t="shared" si="44"/>
        <v>0</v>
      </c>
      <c r="M634" s="73">
        <f t="shared" si="45"/>
        <v>0</v>
      </c>
      <c r="AC634" t="str">
        <f t="shared" si="46"/>
        <v>Jan</v>
      </c>
    </row>
    <row r="635" spans="3:29" x14ac:dyDescent="0.35">
      <c r="C635" s="80">
        <f t="shared" si="43"/>
        <v>1</v>
      </c>
      <c r="K635" s="65">
        <f t="shared" si="44"/>
        <v>0</v>
      </c>
      <c r="M635" s="73">
        <f t="shared" si="45"/>
        <v>0</v>
      </c>
      <c r="AC635" t="str">
        <f t="shared" si="46"/>
        <v>Jan</v>
      </c>
    </row>
    <row r="636" spans="3:29" x14ac:dyDescent="0.35">
      <c r="C636" s="80">
        <f t="shared" si="43"/>
        <v>1</v>
      </c>
      <c r="K636" s="65">
        <f t="shared" si="44"/>
        <v>0</v>
      </c>
      <c r="M636" s="73">
        <f t="shared" si="45"/>
        <v>0</v>
      </c>
      <c r="AC636" t="str">
        <f t="shared" si="46"/>
        <v>Jan</v>
      </c>
    </row>
    <row r="637" spans="3:29" x14ac:dyDescent="0.35">
      <c r="C637" s="80">
        <f t="shared" si="43"/>
        <v>1</v>
      </c>
      <c r="K637" s="65">
        <f t="shared" si="44"/>
        <v>0</v>
      </c>
      <c r="M637" s="73">
        <f t="shared" si="45"/>
        <v>0</v>
      </c>
      <c r="AC637" t="str">
        <f t="shared" si="46"/>
        <v>Jan</v>
      </c>
    </row>
    <row r="638" spans="3:29" x14ac:dyDescent="0.35">
      <c r="C638" s="80">
        <f t="shared" si="43"/>
        <v>1</v>
      </c>
      <c r="K638" s="65">
        <f t="shared" si="44"/>
        <v>0</v>
      </c>
      <c r="M638" s="73">
        <f t="shared" si="45"/>
        <v>0</v>
      </c>
      <c r="AC638" t="str">
        <f t="shared" si="46"/>
        <v>Jan</v>
      </c>
    </row>
    <row r="639" spans="3:29" x14ac:dyDescent="0.35">
      <c r="C639" s="80">
        <f t="shared" si="43"/>
        <v>1</v>
      </c>
      <c r="K639" s="65">
        <f t="shared" si="44"/>
        <v>0</v>
      </c>
      <c r="M639" s="73">
        <f t="shared" si="45"/>
        <v>0</v>
      </c>
      <c r="AC639" t="str">
        <f t="shared" si="46"/>
        <v>Jan</v>
      </c>
    </row>
    <row r="640" spans="3:29" x14ac:dyDescent="0.35">
      <c r="C640" s="80">
        <f t="shared" si="43"/>
        <v>1</v>
      </c>
      <c r="K640" s="65">
        <f t="shared" si="44"/>
        <v>0</v>
      </c>
      <c r="M640" s="73">
        <f t="shared" si="45"/>
        <v>0</v>
      </c>
      <c r="AC640" t="str">
        <f t="shared" si="46"/>
        <v>Jan</v>
      </c>
    </row>
    <row r="641" spans="3:29" x14ac:dyDescent="0.35">
      <c r="C641" s="80">
        <f t="shared" si="43"/>
        <v>1</v>
      </c>
      <c r="K641" s="65">
        <f t="shared" si="44"/>
        <v>0</v>
      </c>
      <c r="M641" s="73">
        <f t="shared" si="45"/>
        <v>0</v>
      </c>
      <c r="AC641" t="str">
        <f t="shared" si="46"/>
        <v>Jan</v>
      </c>
    </row>
    <row r="642" spans="3:29" x14ac:dyDescent="0.35">
      <c r="C642" s="80">
        <f t="shared" si="43"/>
        <v>1</v>
      </c>
      <c r="K642" s="65">
        <f t="shared" si="44"/>
        <v>0</v>
      </c>
      <c r="M642" s="73">
        <f t="shared" si="45"/>
        <v>0</v>
      </c>
      <c r="AC642" t="str">
        <f t="shared" si="46"/>
        <v>Jan</v>
      </c>
    </row>
    <row r="643" spans="3:29" x14ac:dyDescent="0.35">
      <c r="C643" s="80">
        <f t="shared" si="43"/>
        <v>1</v>
      </c>
      <c r="K643" s="65">
        <f t="shared" si="44"/>
        <v>0</v>
      </c>
      <c r="M643" s="73">
        <f t="shared" si="45"/>
        <v>0</v>
      </c>
      <c r="AC643" t="str">
        <f t="shared" si="46"/>
        <v>Jan</v>
      </c>
    </row>
    <row r="644" spans="3:29" x14ac:dyDescent="0.35">
      <c r="C644" s="80">
        <f t="shared" si="43"/>
        <v>1</v>
      </c>
      <c r="K644" s="65">
        <f t="shared" si="44"/>
        <v>0</v>
      </c>
      <c r="M644" s="73">
        <f t="shared" si="45"/>
        <v>0</v>
      </c>
      <c r="AC644" t="str">
        <f t="shared" si="46"/>
        <v>Jan</v>
      </c>
    </row>
    <row r="645" spans="3:29" x14ac:dyDescent="0.35">
      <c r="C645" s="80">
        <f t="shared" si="43"/>
        <v>1</v>
      </c>
      <c r="K645" s="65">
        <f t="shared" si="44"/>
        <v>0</v>
      </c>
      <c r="M645" s="73">
        <f t="shared" si="45"/>
        <v>0</v>
      </c>
      <c r="AC645" t="str">
        <f t="shared" si="46"/>
        <v>Jan</v>
      </c>
    </row>
    <row r="646" spans="3:29" x14ac:dyDescent="0.35">
      <c r="C646" s="80">
        <f t="shared" ref="C646:C709" si="47">MONTH(B646)</f>
        <v>1</v>
      </c>
      <c r="K646" s="65">
        <f t="shared" ref="K646:K709" si="48">I646*J646</f>
        <v>0</v>
      </c>
      <c r="M646" s="73">
        <f t="shared" ref="M646:M709" si="49">K646-L646</f>
        <v>0</v>
      </c>
      <c r="AC646" t="str">
        <f t="shared" si="46"/>
        <v>Jan</v>
      </c>
    </row>
    <row r="647" spans="3:29" x14ac:dyDescent="0.35">
      <c r="C647" s="80">
        <f t="shared" si="47"/>
        <v>1</v>
      </c>
      <c r="K647" s="65">
        <f t="shared" si="48"/>
        <v>0</v>
      </c>
      <c r="M647" s="73">
        <f t="shared" si="49"/>
        <v>0</v>
      </c>
      <c r="AC647" t="str">
        <f t="shared" ref="AC647:AC703" si="50">IFERROR(INDEX(AA:AA,MATCH(C647,Z:Z,0)),"")</f>
        <v>Jan</v>
      </c>
    </row>
    <row r="648" spans="3:29" x14ac:dyDescent="0.35">
      <c r="C648" s="80">
        <f t="shared" si="47"/>
        <v>1</v>
      </c>
      <c r="K648" s="65">
        <f t="shared" si="48"/>
        <v>0</v>
      </c>
      <c r="M648" s="73">
        <f t="shared" si="49"/>
        <v>0</v>
      </c>
      <c r="AC648" t="str">
        <f t="shared" si="50"/>
        <v>Jan</v>
      </c>
    </row>
    <row r="649" spans="3:29" x14ac:dyDescent="0.35">
      <c r="C649" s="80">
        <f t="shared" si="47"/>
        <v>1</v>
      </c>
      <c r="K649" s="65">
        <f t="shared" si="48"/>
        <v>0</v>
      </c>
      <c r="M649" s="73">
        <f t="shared" si="49"/>
        <v>0</v>
      </c>
      <c r="AC649" t="str">
        <f t="shared" si="50"/>
        <v>Jan</v>
      </c>
    </row>
    <row r="650" spans="3:29" x14ac:dyDescent="0.35">
      <c r="C650" s="80">
        <f t="shared" si="47"/>
        <v>1</v>
      </c>
      <c r="K650" s="65">
        <f t="shared" si="48"/>
        <v>0</v>
      </c>
      <c r="M650" s="73">
        <f t="shared" si="49"/>
        <v>0</v>
      </c>
      <c r="AC650" t="str">
        <f t="shared" si="50"/>
        <v>Jan</v>
      </c>
    </row>
    <row r="651" spans="3:29" x14ac:dyDescent="0.35">
      <c r="C651" s="80">
        <f t="shared" si="47"/>
        <v>1</v>
      </c>
      <c r="K651" s="65">
        <f t="shared" si="48"/>
        <v>0</v>
      </c>
      <c r="M651" s="73">
        <f t="shared" si="49"/>
        <v>0</v>
      </c>
      <c r="AC651" t="str">
        <f t="shared" si="50"/>
        <v>Jan</v>
      </c>
    </row>
    <row r="652" spans="3:29" x14ac:dyDescent="0.35">
      <c r="C652" s="80">
        <f t="shared" si="47"/>
        <v>1</v>
      </c>
      <c r="K652" s="65">
        <f t="shared" si="48"/>
        <v>0</v>
      </c>
      <c r="M652" s="73">
        <f t="shared" si="49"/>
        <v>0</v>
      </c>
      <c r="AC652" t="str">
        <f t="shared" si="50"/>
        <v>Jan</v>
      </c>
    </row>
    <row r="653" spans="3:29" x14ac:dyDescent="0.35">
      <c r="C653" s="80">
        <f t="shared" si="47"/>
        <v>1</v>
      </c>
      <c r="K653" s="65">
        <f t="shared" si="48"/>
        <v>0</v>
      </c>
      <c r="M653" s="73">
        <f t="shared" si="49"/>
        <v>0</v>
      </c>
      <c r="AC653" t="str">
        <f t="shared" si="50"/>
        <v>Jan</v>
      </c>
    </row>
    <row r="654" spans="3:29" x14ac:dyDescent="0.35">
      <c r="C654" s="80">
        <f t="shared" si="47"/>
        <v>1</v>
      </c>
      <c r="K654" s="65">
        <f t="shared" si="48"/>
        <v>0</v>
      </c>
      <c r="M654" s="73">
        <f t="shared" si="49"/>
        <v>0</v>
      </c>
      <c r="AC654" t="str">
        <f t="shared" si="50"/>
        <v>Jan</v>
      </c>
    </row>
    <row r="655" spans="3:29" x14ac:dyDescent="0.35">
      <c r="C655" s="80">
        <f t="shared" si="47"/>
        <v>1</v>
      </c>
      <c r="K655" s="65">
        <f t="shared" si="48"/>
        <v>0</v>
      </c>
      <c r="M655" s="73">
        <f t="shared" si="49"/>
        <v>0</v>
      </c>
      <c r="AC655" t="str">
        <f t="shared" si="50"/>
        <v>Jan</v>
      </c>
    </row>
    <row r="656" spans="3:29" x14ac:dyDescent="0.35">
      <c r="C656" s="80">
        <f t="shared" si="47"/>
        <v>1</v>
      </c>
      <c r="K656" s="65">
        <f t="shared" si="48"/>
        <v>0</v>
      </c>
      <c r="M656" s="73">
        <f t="shared" si="49"/>
        <v>0</v>
      </c>
      <c r="AC656" t="str">
        <f t="shared" si="50"/>
        <v>Jan</v>
      </c>
    </row>
    <row r="657" spans="3:29" x14ac:dyDescent="0.35">
      <c r="C657" s="80">
        <f t="shared" si="47"/>
        <v>1</v>
      </c>
      <c r="K657" s="65">
        <f t="shared" si="48"/>
        <v>0</v>
      </c>
      <c r="M657" s="73">
        <f t="shared" si="49"/>
        <v>0</v>
      </c>
      <c r="AC657" t="str">
        <f t="shared" si="50"/>
        <v>Jan</v>
      </c>
    </row>
    <row r="658" spans="3:29" x14ac:dyDescent="0.35">
      <c r="C658" s="80">
        <f t="shared" si="47"/>
        <v>1</v>
      </c>
      <c r="K658" s="65">
        <f t="shared" si="48"/>
        <v>0</v>
      </c>
      <c r="M658" s="73">
        <f t="shared" si="49"/>
        <v>0</v>
      </c>
      <c r="AC658" t="str">
        <f t="shared" si="50"/>
        <v>Jan</v>
      </c>
    </row>
    <row r="659" spans="3:29" x14ac:dyDescent="0.35">
      <c r="C659" s="80">
        <f t="shared" si="47"/>
        <v>1</v>
      </c>
      <c r="K659" s="65">
        <f t="shared" si="48"/>
        <v>0</v>
      </c>
      <c r="M659" s="73">
        <f t="shared" si="49"/>
        <v>0</v>
      </c>
      <c r="AC659" t="str">
        <f t="shared" si="50"/>
        <v>Jan</v>
      </c>
    </row>
    <row r="660" spans="3:29" x14ac:dyDescent="0.35">
      <c r="C660" s="80">
        <f t="shared" si="47"/>
        <v>1</v>
      </c>
      <c r="K660" s="65">
        <f t="shared" si="48"/>
        <v>0</v>
      </c>
      <c r="M660" s="73">
        <f t="shared" si="49"/>
        <v>0</v>
      </c>
      <c r="AC660" t="str">
        <f t="shared" si="50"/>
        <v>Jan</v>
      </c>
    </row>
    <row r="661" spans="3:29" x14ac:dyDescent="0.35">
      <c r="C661" s="80">
        <f t="shared" si="47"/>
        <v>1</v>
      </c>
      <c r="K661" s="65">
        <f t="shared" si="48"/>
        <v>0</v>
      </c>
      <c r="M661" s="73">
        <f t="shared" si="49"/>
        <v>0</v>
      </c>
      <c r="AC661" t="str">
        <f t="shared" si="50"/>
        <v>Jan</v>
      </c>
    </row>
    <row r="662" spans="3:29" x14ac:dyDescent="0.35">
      <c r="C662" s="80">
        <f t="shared" si="47"/>
        <v>1</v>
      </c>
      <c r="K662" s="65">
        <f t="shared" si="48"/>
        <v>0</v>
      </c>
      <c r="M662" s="73">
        <f t="shared" si="49"/>
        <v>0</v>
      </c>
      <c r="AC662" t="str">
        <f t="shared" si="50"/>
        <v>Jan</v>
      </c>
    </row>
    <row r="663" spans="3:29" x14ac:dyDescent="0.35">
      <c r="C663" s="80">
        <f t="shared" si="47"/>
        <v>1</v>
      </c>
      <c r="K663" s="65">
        <f t="shared" si="48"/>
        <v>0</v>
      </c>
      <c r="M663" s="73">
        <f t="shared" si="49"/>
        <v>0</v>
      </c>
      <c r="AC663" t="str">
        <f t="shared" si="50"/>
        <v>Jan</v>
      </c>
    </row>
    <row r="664" spans="3:29" x14ac:dyDescent="0.35">
      <c r="C664" s="80">
        <f t="shared" si="47"/>
        <v>1</v>
      </c>
      <c r="K664" s="65">
        <f t="shared" si="48"/>
        <v>0</v>
      </c>
      <c r="M664" s="73">
        <f t="shared" si="49"/>
        <v>0</v>
      </c>
      <c r="AC664" t="str">
        <f t="shared" si="50"/>
        <v>Jan</v>
      </c>
    </row>
    <row r="665" spans="3:29" x14ac:dyDescent="0.35">
      <c r="C665" s="80">
        <f t="shared" si="47"/>
        <v>1</v>
      </c>
      <c r="K665" s="65">
        <f t="shared" si="48"/>
        <v>0</v>
      </c>
      <c r="M665" s="73">
        <f t="shared" si="49"/>
        <v>0</v>
      </c>
      <c r="AC665" t="str">
        <f t="shared" si="50"/>
        <v>Jan</v>
      </c>
    </row>
    <row r="666" spans="3:29" x14ac:dyDescent="0.35">
      <c r="C666" s="80">
        <f t="shared" si="47"/>
        <v>1</v>
      </c>
      <c r="K666" s="65">
        <f t="shared" si="48"/>
        <v>0</v>
      </c>
      <c r="M666" s="73">
        <f t="shared" si="49"/>
        <v>0</v>
      </c>
      <c r="AC666" t="str">
        <f t="shared" si="50"/>
        <v>Jan</v>
      </c>
    </row>
    <row r="667" spans="3:29" x14ac:dyDescent="0.35">
      <c r="C667" s="80">
        <f t="shared" si="47"/>
        <v>1</v>
      </c>
      <c r="K667" s="65">
        <f t="shared" si="48"/>
        <v>0</v>
      </c>
      <c r="M667" s="73">
        <f t="shared" si="49"/>
        <v>0</v>
      </c>
      <c r="AC667" t="str">
        <f t="shared" si="50"/>
        <v>Jan</v>
      </c>
    </row>
    <row r="668" spans="3:29" x14ac:dyDescent="0.35">
      <c r="C668" s="80">
        <f t="shared" si="47"/>
        <v>1</v>
      </c>
      <c r="K668" s="65">
        <f t="shared" si="48"/>
        <v>0</v>
      </c>
      <c r="M668" s="73">
        <f t="shared" si="49"/>
        <v>0</v>
      </c>
      <c r="AC668" t="str">
        <f t="shared" si="50"/>
        <v>Jan</v>
      </c>
    </row>
    <row r="669" spans="3:29" x14ac:dyDescent="0.35">
      <c r="C669" s="80">
        <f t="shared" si="47"/>
        <v>1</v>
      </c>
      <c r="K669" s="65">
        <f t="shared" si="48"/>
        <v>0</v>
      </c>
      <c r="M669" s="73">
        <f t="shared" si="49"/>
        <v>0</v>
      </c>
      <c r="AC669" t="str">
        <f t="shared" si="50"/>
        <v>Jan</v>
      </c>
    </row>
    <row r="670" spans="3:29" x14ac:dyDescent="0.35">
      <c r="C670" s="80">
        <f t="shared" si="47"/>
        <v>1</v>
      </c>
      <c r="K670" s="65">
        <f t="shared" si="48"/>
        <v>0</v>
      </c>
      <c r="M670" s="73">
        <f t="shared" si="49"/>
        <v>0</v>
      </c>
      <c r="AC670" t="str">
        <f t="shared" si="50"/>
        <v>Jan</v>
      </c>
    </row>
    <row r="671" spans="3:29" x14ac:dyDescent="0.35">
      <c r="C671" s="80">
        <f t="shared" si="47"/>
        <v>1</v>
      </c>
      <c r="K671" s="65">
        <f t="shared" si="48"/>
        <v>0</v>
      </c>
      <c r="M671" s="73">
        <f t="shared" si="49"/>
        <v>0</v>
      </c>
      <c r="AC671" t="str">
        <f t="shared" si="50"/>
        <v>Jan</v>
      </c>
    </row>
    <row r="672" spans="3:29" x14ac:dyDescent="0.35">
      <c r="C672" s="80">
        <f t="shared" si="47"/>
        <v>1</v>
      </c>
      <c r="K672" s="65">
        <f t="shared" si="48"/>
        <v>0</v>
      </c>
      <c r="M672" s="73">
        <f t="shared" si="49"/>
        <v>0</v>
      </c>
      <c r="AC672" t="str">
        <f t="shared" si="50"/>
        <v>Jan</v>
      </c>
    </row>
    <row r="673" spans="3:29" x14ac:dyDescent="0.35">
      <c r="C673" s="80">
        <f t="shared" si="47"/>
        <v>1</v>
      </c>
      <c r="K673" s="65">
        <f t="shared" si="48"/>
        <v>0</v>
      </c>
      <c r="M673" s="73">
        <f t="shared" si="49"/>
        <v>0</v>
      </c>
      <c r="AC673" t="str">
        <f t="shared" si="50"/>
        <v>Jan</v>
      </c>
    </row>
    <row r="674" spans="3:29" x14ac:dyDescent="0.35">
      <c r="C674" s="80">
        <f t="shared" si="47"/>
        <v>1</v>
      </c>
      <c r="K674" s="65">
        <f t="shared" si="48"/>
        <v>0</v>
      </c>
      <c r="M674" s="73">
        <f t="shared" si="49"/>
        <v>0</v>
      </c>
      <c r="AC674" t="str">
        <f t="shared" si="50"/>
        <v>Jan</v>
      </c>
    </row>
    <row r="675" spans="3:29" x14ac:dyDescent="0.35">
      <c r="C675" s="80">
        <f t="shared" si="47"/>
        <v>1</v>
      </c>
      <c r="K675" s="65">
        <f t="shared" si="48"/>
        <v>0</v>
      </c>
      <c r="M675" s="73">
        <f t="shared" si="49"/>
        <v>0</v>
      </c>
      <c r="AC675" t="str">
        <f t="shared" si="50"/>
        <v>Jan</v>
      </c>
    </row>
    <row r="676" spans="3:29" x14ac:dyDescent="0.35">
      <c r="C676" s="80">
        <f t="shared" si="47"/>
        <v>1</v>
      </c>
      <c r="K676" s="65">
        <f t="shared" si="48"/>
        <v>0</v>
      </c>
      <c r="M676" s="73">
        <f t="shared" si="49"/>
        <v>0</v>
      </c>
      <c r="AC676" t="str">
        <f t="shared" si="50"/>
        <v>Jan</v>
      </c>
    </row>
    <row r="677" spans="3:29" x14ac:dyDescent="0.35">
      <c r="C677" s="80">
        <f t="shared" si="47"/>
        <v>1</v>
      </c>
      <c r="K677" s="65">
        <f t="shared" si="48"/>
        <v>0</v>
      </c>
      <c r="M677" s="73">
        <f t="shared" si="49"/>
        <v>0</v>
      </c>
      <c r="AC677" t="str">
        <f t="shared" si="50"/>
        <v>Jan</v>
      </c>
    </row>
    <row r="678" spans="3:29" x14ac:dyDescent="0.35">
      <c r="C678" s="80">
        <f t="shared" si="47"/>
        <v>1</v>
      </c>
      <c r="K678" s="65">
        <f t="shared" si="48"/>
        <v>0</v>
      </c>
      <c r="M678" s="73">
        <f t="shared" si="49"/>
        <v>0</v>
      </c>
      <c r="AC678" t="str">
        <f t="shared" si="50"/>
        <v>Jan</v>
      </c>
    </row>
    <row r="679" spans="3:29" x14ac:dyDescent="0.35">
      <c r="C679" s="80">
        <f t="shared" si="47"/>
        <v>1</v>
      </c>
      <c r="K679" s="65">
        <f t="shared" si="48"/>
        <v>0</v>
      </c>
      <c r="M679" s="73">
        <f t="shared" si="49"/>
        <v>0</v>
      </c>
      <c r="AC679" t="str">
        <f t="shared" si="50"/>
        <v>Jan</v>
      </c>
    </row>
    <row r="680" spans="3:29" x14ac:dyDescent="0.35">
      <c r="C680" s="80">
        <f t="shared" si="47"/>
        <v>1</v>
      </c>
      <c r="K680" s="65">
        <f t="shared" si="48"/>
        <v>0</v>
      </c>
      <c r="M680" s="73">
        <f t="shared" si="49"/>
        <v>0</v>
      </c>
      <c r="AC680" t="str">
        <f t="shared" si="50"/>
        <v>Jan</v>
      </c>
    </row>
    <row r="681" spans="3:29" x14ac:dyDescent="0.35">
      <c r="C681" s="80">
        <f t="shared" si="47"/>
        <v>1</v>
      </c>
      <c r="K681" s="65">
        <f t="shared" si="48"/>
        <v>0</v>
      </c>
      <c r="M681" s="73">
        <f t="shared" si="49"/>
        <v>0</v>
      </c>
      <c r="AC681" t="str">
        <f t="shared" si="50"/>
        <v>Jan</v>
      </c>
    </row>
    <row r="682" spans="3:29" x14ac:dyDescent="0.35">
      <c r="C682" s="80">
        <f t="shared" si="47"/>
        <v>1</v>
      </c>
      <c r="K682" s="65">
        <f t="shared" si="48"/>
        <v>0</v>
      </c>
      <c r="M682" s="73">
        <f t="shared" si="49"/>
        <v>0</v>
      </c>
      <c r="AC682" t="str">
        <f t="shared" si="50"/>
        <v>Jan</v>
      </c>
    </row>
    <row r="683" spans="3:29" x14ac:dyDescent="0.35">
      <c r="C683" s="80">
        <f t="shared" si="47"/>
        <v>1</v>
      </c>
      <c r="K683" s="65">
        <f t="shared" si="48"/>
        <v>0</v>
      </c>
      <c r="M683" s="73">
        <f t="shared" si="49"/>
        <v>0</v>
      </c>
      <c r="AC683" t="str">
        <f t="shared" si="50"/>
        <v>Jan</v>
      </c>
    </row>
    <row r="684" spans="3:29" x14ac:dyDescent="0.35">
      <c r="C684" s="80">
        <f t="shared" si="47"/>
        <v>1</v>
      </c>
      <c r="K684" s="65">
        <f t="shared" si="48"/>
        <v>0</v>
      </c>
      <c r="M684" s="73">
        <f t="shared" si="49"/>
        <v>0</v>
      </c>
      <c r="AC684" t="str">
        <f t="shared" si="50"/>
        <v>Jan</v>
      </c>
    </row>
    <row r="685" spans="3:29" x14ac:dyDescent="0.35">
      <c r="C685" s="80">
        <f t="shared" si="47"/>
        <v>1</v>
      </c>
      <c r="K685" s="65">
        <f t="shared" si="48"/>
        <v>0</v>
      </c>
      <c r="M685" s="73">
        <f t="shared" si="49"/>
        <v>0</v>
      </c>
      <c r="AC685" t="str">
        <f t="shared" si="50"/>
        <v>Jan</v>
      </c>
    </row>
    <row r="686" spans="3:29" x14ac:dyDescent="0.35">
      <c r="C686" s="80">
        <f t="shared" si="47"/>
        <v>1</v>
      </c>
      <c r="K686" s="65">
        <f t="shared" si="48"/>
        <v>0</v>
      </c>
      <c r="M686" s="73">
        <f t="shared" si="49"/>
        <v>0</v>
      </c>
      <c r="AC686" t="str">
        <f t="shared" si="50"/>
        <v>Jan</v>
      </c>
    </row>
    <row r="687" spans="3:29" x14ac:dyDescent="0.35">
      <c r="C687" s="80">
        <f t="shared" si="47"/>
        <v>1</v>
      </c>
      <c r="K687" s="65">
        <f t="shared" si="48"/>
        <v>0</v>
      </c>
      <c r="M687" s="73">
        <f t="shared" si="49"/>
        <v>0</v>
      </c>
      <c r="AC687" t="str">
        <f t="shared" si="50"/>
        <v>Jan</v>
      </c>
    </row>
    <row r="688" spans="3:29" x14ac:dyDescent="0.35">
      <c r="C688" s="80">
        <f t="shared" si="47"/>
        <v>1</v>
      </c>
      <c r="K688" s="65">
        <f t="shared" si="48"/>
        <v>0</v>
      </c>
      <c r="M688" s="73">
        <f t="shared" si="49"/>
        <v>0</v>
      </c>
      <c r="AC688" t="str">
        <f t="shared" si="50"/>
        <v>Jan</v>
      </c>
    </row>
    <row r="689" spans="3:29" x14ac:dyDescent="0.35">
      <c r="C689" s="80">
        <f t="shared" si="47"/>
        <v>1</v>
      </c>
      <c r="K689" s="65">
        <f t="shared" si="48"/>
        <v>0</v>
      </c>
      <c r="M689" s="73">
        <f t="shared" si="49"/>
        <v>0</v>
      </c>
      <c r="AC689" t="str">
        <f t="shared" si="50"/>
        <v>Jan</v>
      </c>
    </row>
    <row r="690" spans="3:29" x14ac:dyDescent="0.35">
      <c r="C690" s="80">
        <f t="shared" si="47"/>
        <v>1</v>
      </c>
      <c r="K690" s="65">
        <f t="shared" si="48"/>
        <v>0</v>
      </c>
      <c r="M690" s="73">
        <f t="shared" si="49"/>
        <v>0</v>
      </c>
      <c r="AC690" t="str">
        <f t="shared" si="50"/>
        <v>Jan</v>
      </c>
    </row>
    <row r="691" spans="3:29" x14ac:dyDescent="0.35">
      <c r="C691" s="80">
        <f t="shared" si="47"/>
        <v>1</v>
      </c>
      <c r="K691" s="65">
        <f t="shared" si="48"/>
        <v>0</v>
      </c>
      <c r="M691" s="73">
        <f t="shared" si="49"/>
        <v>0</v>
      </c>
      <c r="AC691" t="str">
        <f t="shared" si="50"/>
        <v>Jan</v>
      </c>
    </row>
    <row r="692" spans="3:29" x14ac:dyDescent="0.35">
      <c r="C692" s="80">
        <f t="shared" si="47"/>
        <v>1</v>
      </c>
      <c r="K692" s="65">
        <f t="shared" si="48"/>
        <v>0</v>
      </c>
      <c r="M692" s="73">
        <f t="shared" si="49"/>
        <v>0</v>
      </c>
      <c r="AC692" t="str">
        <f t="shared" si="50"/>
        <v>Jan</v>
      </c>
    </row>
    <row r="693" spans="3:29" x14ac:dyDescent="0.35">
      <c r="C693" s="80">
        <f t="shared" si="47"/>
        <v>1</v>
      </c>
      <c r="K693" s="65">
        <f t="shared" si="48"/>
        <v>0</v>
      </c>
      <c r="M693" s="73">
        <f t="shared" si="49"/>
        <v>0</v>
      </c>
      <c r="AC693" t="str">
        <f t="shared" si="50"/>
        <v>Jan</v>
      </c>
    </row>
    <row r="694" spans="3:29" x14ac:dyDescent="0.35">
      <c r="C694" s="80">
        <f t="shared" si="47"/>
        <v>1</v>
      </c>
      <c r="K694" s="65">
        <f t="shared" si="48"/>
        <v>0</v>
      </c>
      <c r="M694" s="73">
        <f t="shared" si="49"/>
        <v>0</v>
      </c>
      <c r="AC694" t="str">
        <f t="shared" si="50"/>
        <v>Jan</v>
      </c>
    </row>
    <row r="695" spans="3:29" x14ac:dyDescent="0.35">
      <c r="C695" s="80">
        <f t="shared" si="47"/>
        <v>1</v>
      </c>
      <c r="K695" s="65">
        <f t="shared" si="48"/>
        <v>0</v>
      </c>
      <c r="M695" s="73">
        <f t="shared" si="49"/>
        <v>0</v>
      </c>
      <c r="AC695" t="str">
        <f t="shared" si="50"/>
        <v>Jan</v>
      </c>
    </row>
    <row r="696" spans="3:29" x14ac:dyDescent="0.35">
      <c r="C696" s="80">
        <f t="shared" si="47"/>
        <v>1</v>
      </c>
      <c r="K696" s="65">
        <f t="shared" si="48"/>
        <v>0</v>
      </c>
      <c r="M696" s="73">
        <f t="shared" si="49"/>
        <v>0</v>
      </c>
      <c r="AC696" t="str">
        <f t="shared" si="50"/>
        <v>Jan</v>
      </c>
    </row>
    <row r="697" spans="3:29" x14ac:dyDescent="0.35">
      <c r="C697" s="80">
        <f t="shared" si="47"/>
        <v>1</v>
      </c>
      <c r="K697" s="65">
        <f t="shared" si="48"/>
        <v>0</v>
      </c>
      <c r="M697" s="73">
        <f t="shared" si="49"/>
        <v>0</v>
      </c>
      <c r="AC697" t="str">
        <f t="shared" si="50"/>
        <v>Jan</v>
      </c>
    </row>
    <row r="698" spans="3:29" x14ac:dyDescent="0.35">
      <c r="C698" s="80">
        <f t="shared" si="47"/>
        <v>1</v>
      </c>
      <c r="K698" s="65">
        <f t="shared" si="48"/>
        <v>0</v>
      </c>
      <c r="M698" s="73">
        <f t="shared" si="49"/>
        <v>0</v>
      </c>
      <c r="AC698" t="str">
        <f t="shared" si="50"/>
        <v>Jan</v>
      </c>
    </row>
    <row r="699" spans="3:29" x14ac:dyDescent="0.35">
      <c r="C699" s="80">
        <f t="shared" si="47"/>
        <v>1</v>
      </c>
      <c r="K699" s="65">
        <f t="shared" si="48"/>
        <v>0</v>
      </c>
      <c r="M699" s="73">
        <f t="shared" si="49"/>
        <v>0</v>
      </c>
      <c r="AC699" t="str">
        <f t="shared" si="50"/>
        <v>Jan</v>
      </c>
    </row>
    <row r="700" spans="3:29" x14ac:dyDescent="0.35">
      <c r="C700" s="80">
        <f t="shared" si="47"/>
        <v>1</v>
      </c>
      <c r="K700" s="65">
        <f t="shared" si="48"/>
        <v>0</v>
      </c>
      <c r="M700" s="73">
        <f t="shared" si="49"/>
        <v>0</v>
      </c>
      <c r="AC700" t="str">
        <f t="shared" si="50"/>
        <v>Jan</v>
      </c>
    </row>
    <row r="701" spans="3:29" x14ac:dyDescent="0.35">
      <c r="C701" s="80">
        <f t="shared" si="47"/>
        <v>1</v>
      </c>
      <c r="K701" s="65">
        <f t="shared" si="48"/>
        <v>0</v>
      </c>
      <c r="M701" s="73">
        <f t="shared" si="49"/>
        <v>0</v>
      </c>
      <c r="AC701" t="str">
        <f t="shared" si="50"/>
        <v>Jan</v>
      </c>
    </row>
    <row r="702" spans="3:29" x14ac:dyDescent="0.35">
      <c r="C702" s="80">
        <f t="shared" si="47"/>
        <v>1</v>
      </c>
      <c r="K702" s="65">
        <f t="shared" si="48"/>
        <v>0</v>
      </c>
      <c r="M702" s="73">
        <f t="shared" si="49"/>
        <v>0</v>
      </c>
      <c r="AC702" t="str">
        <f t="shared" si="50"/>
        <v>Jan</v>
      </c>
    </row>
    <row r="703" spans="3:29" x14ac:dyDescent="0.35">
      <c r="C703" s="80">
        <f t="shared" si="47"/>
        <v>1</v>
      </c>
      <c r="K703" s="65">
        <f t="shared" si="48"/>
        <v>0</v>
      </c>
      <c r="M703" s="73">
        <f t="shared" si="49"/>
        <v>0</v>
      </c>
      <c r="AC703" t="str">
        <f t="shared" si="50"/>
        <v>Jan</v>
      </c>
    </row>
    <row r="704" spans="3:29" x14ac:dyDescent="0.35">
      <c r="C704" s="80">
        <f t="shared" si="47"/>
        <v>1</v>
      </c>
      <c r="K704" s="65">
        <f t="shared" si="48"/>
        <v>0</v>
      </c>
      <c r="M704" s="73">
        <f t="shared" si="49"/>
        <v>0</v>
      </c>
      <c r="AC704" t="str">
        <f t="shared" ref="AC704:AC710" si="51">IFERROR(INDEX(AA:AA,MATCH(C704,Z:Z,0)),"")</f>
        <v>Jan</v>
      </c>
    </row>
    <row r="705" spans="3:29" x14ac:dyDescent="0.35">
      <c r="C705" s="80">
        <f t="shared" si="47"/>
        <v>1</v>
      </c>
      <c r="K705" s="65">
        <f t="shared" si="48"/>
        <v>0</v>
      </c>
      <c r="M705" s="73">
        <f t="shared" si="49"/>
        <v>0</v>
      </c>
      <c r="AC705" t="str">
        <f t="shared" si="51"/>
        <v>Jan</v>
      </c>
    </row>
    <row r="706" spans="3:29" x14ac:dyDescent="0.35">
      <c r="C706" s="80">
        <f t="shared" si="47"/>
        <v>1</v>
      </c>
      <c r="K706" s="65">
        <f t="shared" si="48"/>
        <v>0</v>
      </c>
      <c r="M706" s="73">
        <f t="shared" si="49"/>
        <v>0</v>
      </c>
      <c r="AC706" t="str">
        <f t="shared" si="51"/>
        <v>Jan</v>
      </c>
    </row>
    <row r="707" spans="3:29" x14ac:dyDescent="0.35">
      <c r="C707" s="80">
        <f t="shared" si="47"/>
        <v>1</v>
      </c>
      <c r="K707" s="65">
        <f t="shared" si="48"/>
        <v>0</v>
      </c>
      <c r="M707" s="73">
        <f t="shared" si="49"/>
        <v>0</v>
      </c>
      <c r="AC707" t="str">
        <f t="shared" si="51"/>
        <v>Jan</v>
      </c>
    </row>
    <row r="708" spans="3:29" x14ac:dyDescent="0.35">
      <c r="C708" s="80">
        <f t="shared" si="47"/>
        <v>1</v>
      </c>
      <c r="K708" s="65">
        <f t="shared" si="48"/>
        <v>0</v>
      </c>
      <c r="M708" s="73">
        <f t="shared" si="49"/>
        <v>0</v>
      </c>
      <c r="AC708" t="str">
        <f t="shared" si="51"/>
        <v>Jan</v>
      </c>
    </row>
    <row r="709" spans="3:29" x14ac:dyDescent="0.35">
      <c r="C709" s="80">
        <f t="shared" si="47"/>
        <v>1</v>
      </c>
      <c r="K709" s="65">
        <f t="shared" si="48"/>
        <v>0</v>
      </c>
      <c r="M709" s="73">
        <f t="shared" si="49"/>
        <v>0</v>
      </c>
      <c r="AC709" t="str">
        <f t="shared" si="51"/>
        <v>Jan</v>
      </c>
    </row>
    <row r="710" spans="3:29" x14ac:dyDescent="0.35">
      <c r="C710" s="80">
        <f t="shared" ref="C710:C773" si="52">MONTH(B710)</f>
        <v>1</v>
      </c>
      <c r="K710" s="65">
        <f t="shared" ref="K710:K773" si="53">I710*J710</f>
        <v>0</v>
      </c>
      <c r="M710" s="73">
        <f t="shared" ref="M710:M773" si="54">K710-L710</f>
        <v>0</v>
      </c>
      <c r="AC710" t="str">
        <f t="shared" si="51"/>
        <v>Jan</v>
      </c>
    </row>
    <row r="711" spans="3:29" x14ac:dyDescent="0.35">
      <c r="C711" s="80">
        <f t="shared" si="52"/>
        <v>1</v>
      </c>
      <c r="K711" s="65">
        <f t="shared" si="53"/>
        <v>0</v>
      </c>
      <c r="M711" s="73">
        <f t="shared" si="54"/>
        <v>0</v>
      </c>
      <c r="AC711" t="str">
        <f t="shared" ref="AC711:AC774" si="55">IFERROR(INDEX(AA:AA,MATCH(C711,Z:Z,0)),"")</f>
        <v>Jan</v>
      </c>
    </row>
    <row r="712" spans="3:29" x14ac:dyDescent="0.35">
      <c r="C712" s="80">
        <f t="shared" si="52"/>
        <v>1</v>
      </c>
      <c r="K712" s="65">
        <f t="shared" si="53"/>
        <v>0</v>
      </c>
      <c r="M712" s="73">
        <f t="shared" si="54"/>
        <v>0</v>
      </c>
      <c r="AC712" t="str">
        <f t="shared" si="55"/>
        <v>Jan</v>
      </c>
    </row>
    <row r="713" spans="3:29" x14ac:dyDescent="0.35">
      <c r="C713" s="80">
        <f t="shared" si="52"/>
        <v>1</v>
      </c>
      <c r="K713" s="65">
        <f t="shared" si="53"/>
        <v>0</v>
      </c>
      <c r="M713" s="73">
        <f t="shared" si="54"/>
        <v>0</v>
      </c>
      <c r="AC713" t="str">
        <f t="shared" si="55"/>
        <v>Jan</v>
      </c>
    </row>
    <row r="714" spans="3:29" x14ac:dyDescent="0.35">
      <c r="C714" s="80">
        <f t="shared" si="52"/>
        <v>1</v>
      </c>
      <c r="K714" s="65">
        <f t="shared" si="53"/>
        <v>0</v>
      </c>
      <c r="M714" s="73">
        <f t="shared" si="54"/>
        <v>0</v>
      </c>
      <c r="AC714" t="str">
        <f t="shared" si="55"/>
        <v>Jan</v>
      </c>
    </row>
    <row r="715" spans="3:29" x14ac:dyDescent="0.35">
      <c r="C715" s="80">
        <f t="shared" si="52"/>
        <v>1</v>
      </c>
      <c r="K715" s="65">
        <f t="shared" si="53"/>
        <v>0</v>
      </c>
      <c r="M715" s="73">
        <f t="shared" si="54"/>
        <v>0</v>
      </c>
      <c r="AC715" t="str">
        <f t="shared" si="55"/>
        <v>Jan</v>
      </c>
    </row>
    <row r="716" spans="3:29" x14ac:dyDescent="0.35">
      <c r="C716" s="80">
        <f t="shared" si="52"/>
        <v>1</v>
      </c>
      <c r="K716" s="65">
        <f t="shared" si="53"/>
        <v>0</v>
      </c>
      <c r="M716" s="73">
        <f t="shared" si="54"/>
        <v>0</v>
      </c>
      <c r="AC716" t="str">
        <f t="shared" si="55"/>
        <v>Jan</v>
      </c>
    </row>
    <row r="717" spans="3:29" x14ac:dyDescent="0.35">
      <c r="C717" s="80">
        <f t="shared" si="52"/>
        <v>1</v>
      </c>
      <c r="K717" s="65">
        <f t="shared" si="53"/>
        <v>0</v>
      </c>
      <c r="M717" s="73">
        <f t="shared" si="54"/>
        <v>0</v>
      </c>
      <c r="AC717" t="str">
        <f t="shared" si="55"/>
        <v>Jan</v>
      </c>
    </row>
    <row r="718" spans="3:29" x14ac:dyDescent="0.35">
      <c r="C718" s="80">
        <f t="shared" si="52"/>
        <v>1</v>
      </c>
      <c r="K718" s="65">
        <f t="shared" si="53"/>
        <v>0</v>
      </c>
      <c r="M718" s="73">
        <f t="shared" si="54"/>
        <v>0</v>
      </c>
      <c r="AC718" t="str">
        <f t="shared" si="55"/>
        <v>Jan</v>
      </c>
    </row>
    <row r="719" spans="3:29" x14ac:dyDescent="0.35">
      <c r="C719" s="80">
        <f t="shared" si="52"/>
        <v>1</v>
      </c>
      <c r="K719" s="65">
        <f t="shared" si="53"/>
        <v>0</v>
      </c>
      <c r="M719" s="73">
        <f t="shared" si="54"/>
        <v>0</v>
      </c>
      <c r="AC719" t="str">
        <f t="shared" si="55"/>
        <v>Jan</v>
      </c>
    </row>
    <row r="720" spans="3:29" x14ac:dyDescent="0.35">
      <c r="C720" s="80">
        <f t="shared" si="52"/>
        <v>1</v>
      </c>
      <c r="K720" s="65">
        <f t="shared" si="53"/>
        <v>0</v>
      </c>
      <c r="M720" s="73">
        <f t="shared" si="54"/>
        <v>0</v>
      </c>
      <c r="AC720" t="str">
        <f t="shared" si="55"/>
        <v>Jan</v>
      </c>
    </row>
    <row r="721" spans="3:29" x14ac:dyDescent="0.35">
      <c r="C721" s="80">
        <f t="shared" si="52"/>
        <v>1</v>
      </c>
      <c r="K721" s="65">
        <f t="shared" si="53"/>
        <v>0</v>
      </c>
      <c r="M721" s="73">
        <f t="shared" si="54"/>
        <v>0</v>
      </c>
      <c r="AC721" t="str">
        <f t="shared" si="55"/>
        <v>Jan</v>
      </c>
    </row>
    <row r="722" spans="3:29" x14ac:dyDescent="0.35">
      <c r="C722" s="80">
        <f t="shared" si="52"/>
        <v>1</v>
      </c>
      <c r="K722" s="65">
        <f t="shared" si="53"/>
        <v>0</v>
      </c>
      <c r="M722" s="73">
        <f t="shared" si="54"/>
        <v>0</v>
      </c>
      <c r="AC722" t="str">
        <f t="shared" si="55"/>
        <v>Jan</v>
      </c>
    </row>
    <row r="723" spans="3:29" x14ac:dyDescent="0.35">
      <c r="C723" s="80">
        <f t="shared" si="52"/>
        <v>1</v>
      </c>
      <c r="K723" s="65">
        <f t="shared" si="53"/>
        <v>0</v>
      </c>
      <c r="M723" s="73">
        <f t="shared" si="54"/>
        <v>0</v>
      </c>
      <c r="AC723" t="str">
        <f t="shared" si="55"/>
        <v>Jan</v>
      </c>
    </row>
    <row r="724" spans="3:29" x14ac:dyDescent="0.35">
      <c r="C724" s="80">
        <f t="shared" si="52"/>
        <v>1</v>
      </c>
      <c r="K724" s="65">
        <f t="shared" si="53"/>
        <v>0</v>
      </c>
      <c r="M724" s="73">
        <f t="shared" si="54"/>
        <v>0</v>
      </c>
      <c r="AC724" t="str">
        <f t="shared" si="55"/>
        <v>Jan</v>
      </c>
    </row>
    <row r="725" spans="3:29" x14ac:dyDescent="0.35">
      <c r="C725" s="80">
        <f t="shared" si="52"/>
        <v>1</v>
      </c>
      <c r="K725" s="65">
        <f t="shared" si="53"/>
        <v>0</v>
      </c>
      <c r="M725" s="73">
        <f t="shared" si="54"/>
        <v>0</v>
      </c>
      <c r="AC725" t="str">
        <f t="shared" si="55"/>
        <v>Jan</v>
      </c>
    </row>
    <row r="726" spans="3:29" x14ac:dyDescent="0.35">
      <c r="C726" s="80">
        <f t="shared" si="52"/>
        <v>1</v>
      </c>
      <c r="K726" s="65">
        <f t="shared" si="53"/>
        <v>0</v>
      </c>
      <c r="M726" s="73">
        <f t="shared" si="54"/>
        <v>0</v>
      </c>
      <c r="AC726" t="str">
        <f t="shared" si="55"/>
        <v>Jan</v>
      </c>
    </row>
    <row r="727" spans="3:29" x14ac:dyDescent="0.35">
      <c r="C727" s="80">
        <f t="shared" si="52"/>
        <v>1</v>
      </c>
      <c r="K727" s="65">
        <f t="shared" si="53"/>
        <v>0</v>
      </c>
      <c r="M727" s="73">
        <f t="shared" si="54"/>
        <v>0</v>
      </c>
      <c r="AC727" t="str">
        <f t="shared" si="55"/>
        <v>Jan</v>
      </c>
    </row>
    <row r="728" spans="3:29" x14ac:dyDescent="0.35">
      <c r="C728" s="80">
        <f t="shared" si="52"/>
        <v>1</v>
      </c>
      <c r="K728" s="65">
        <f t="shared" si="53"/>
        <v>0</v>
      </c>
      <c r="M728" s="73">
        <f t="shared" si="54"/>
        <v>0</v>
      </c>
      <c r="AC728" t="str">
        <f t="shared" si="55"/>
        <v>Jan</v>
      </c>
    </row>
    <row r="729" spans="3:29" x14ac:dyDescent="0.35">
      <c r="C729" s="80">
        <f t="shared" si="52"/>
        <v>1</v>
      </c>
      <c r="K729" s="65">
        <f t="shared" si="53"/>
        <v>0</v>
      </c>
      <c r="M729" s="73">
        <f t="shared" si="54"/>
        <v>0</v>
      </c>
      <c r="AC729" t="str">
        <f t="shared" si="55"/>
        <v>Jan</v>
      </c>
    </row>
    <row r="730" spans="3:29" x14ac:dyDescent="0.35">
      <c r="C730" s="80">
        <f t="shared" si="52"/>
        <v>1</v>
      </c>
      <c r="K730" s="65">
        <f t="shared" si="53"/>
        <v>0</v>
      </c>
      <c r="M730" s="73">
        <f t="shared" si="54"/>
        <v>0</v>
      </c>
      <c r="AC730" t="str">
        <f t="shared" si="55"/>
        <v>Jan</v>
      </c>
    </row>
    <row r="731" spans="3:29" x14ac:dyDescent="0.35">
      <c r="C731" s="80">
        <f t="shared" si="52"/>
        <v>1</v>
      </c>
      <c r="K731" s="65">
        <f t="shared" si="53"/>
        <v>0</v>
      </c>
      <c r="M731" s="73">
        <f t="shared" si="54"/>
        <v>0</v>
      </c>
      <c r="AC731" t="str">
        <f t="shared" si="55"/>
        <v>Jan</v>
      </c>
    </row>
    <row r="732" spans="3:29" x14ac:dyDescent="0.35">
      <c r="C732" s="80">
        <f t="shared" si="52"/>
        <v>1</v>
      </c>
      <c r="K732" s="65">
        <f t="shared" si="53"/>
        <v>0</v>
      </c>
      <c r="M732" s="73">
        <f t="shared" si="54"/>
        <v>0</v>
      </c>
      <c r="AC732" t="str">
        <f t="shared" si="55"/>
        <v>Jan</v>
      </c>
    </row>
    <row r="733" spans="3:29" x14ac:dyDescent="0.35">
      <c r="C733" s="80">
        <f t="shared" si="52"/>
        <v>1</v>
      </c>
      <c r="K733" s="65">
        <f t="shared" si="53"/>
        <v>0</v>
      </c>
      <c r="M733" s="73">
        <f t="shared" si="54"/>
        <v>0</v>
      </c>
      <c r="AC733" t="str">
        <f t="shared" si="55"/>
        <v>Jan</v>
      </c>
    </row>
    <row r="734" spans="3:29" x14ac:dyDescent="0.35">
      <c r="C734" s="80">
        <f t="shared" si="52"/>
        <v>1</v>
      </c>
      <c r="K734" s="65">
        <f t="shared" si="53"/>
        <v>0</v>
      </c>
      <c r="M734" s="73">
        <f t="shared" si="54"/>
        <v>0</v>
      </c>
      <c r="AC734" t="str">
        <f t="shared" si="55"/>
        <v>Jan</v>
      </c>
    </row>
    <row r="735" spans="3:29" x14ac:dyDescent="0.35">
      <c r="C735" s="80">
        <f t="shared" si="52"/>
        <v>1</v>
      </c>
      <c r="K735" s="65">
        <f t="shared" si="53"/>
        <v>0</v>
      </c>
      <c r="M735" s="73">
        <f t="shared" si="54"/>
        <v>0</v>
      </c>
      <c r="AC735" t="str">
        <f t="shared" si="55"/>
        <v>Jan</v>
      </c>
    </row>
    <row r="736" spans="3:29" x14ac:dyDescent="0.35">
      <c r="C736" s="80">
        <f t="shared" si="52"/>
        <v>1</v>
      </c>
      <c r="K736" s="65">
        <f t="shared" si="53"/>
        <v>0</v>
      </c>
      <c r="M736" s="73">
        <f t="shared" si="54"/>
        <v>0</v>
      </c>
      <c r="AC736" t="str">
        <f t="shared" si="55"/>
        <v>Jan</v>
      </c>
    </row>
    <row r="737" spans="3:29" x14ac:dyDescent="0.35">
      <c r="C737" s="80">
        <f t="shared" si="52"/>
        <v>1</v>
      </c>
      <c r="K737" s="65">
        <f t="shared" si="53"/>
        <v>0</v>
      </c>
      <c r="M737" s="73">
        <f t="shared" si="54"/>
        <v>0</v>
      </c>
      <c r="AC737" t="str">
        <f t="shared" si="55"/>
        <v>Jan</v>
      </c>
    </row>
    <row r="738" spans="3:29" x14ac:dyDescent="0.35">
      <c r="C738" s="80">
        <f t="shared" si="52"/>
        <v>1</v>
      </c>
      <c r="K738" s="65">
        <f t="shared" si="53"/>
        <v>0</v>
      </c>
      <c r="M738" s="73">
        <f t="shared" si="54"/>
        <v>0</v>
      </c>
      <c r="AC738" t="str">
        <f t="shared" si="55"/>
        <v>Jan</v>
      </c>
    </row>
    <row r="739" spans="3:29" x14ac:dyDescent="0.35">
      <c r="C739" s="80">
        <f t="shared" si="52"/>
        <v>1</v>
      </c>
      <c r="K739" s="65">
        <f t="shared" si="53"/>
        <v>0</v>
      </c>
      <c r="M739" s="73">
        <f t="shared" si="54"/>
        <v>0</v>
      </c>
      <c r="AC739" t="str">
        <f t="shared" si="55"/>
        <v>Jan</v>
      </c>
    </row>
    <row r="740" spans="3:29" x14ac:dyDescent="0.35">
      <c r="C740" s="80">
        <f t="shared" si="52"/>
        <v>1</v>
      </c>
      <c r="K740" s="65">
        <f t="shared" si="53"/>
        <v>0</v>
      </c>
      <c r="M740" s="73">
        <f t="shared" si="54"/>
        <v>0</v>
      </c>
      <c r="AC740" t="str">
        <f t="shared" si="55"/>
        <v>Jan</v>
      </c>
    </row>
    <row r="741" spans="3:29" x14ac:dyDescent="0.35">
      <c r="C741" s="80">
        <f t="shared" si="52"/>
        <v>1</v>
      </c>
      <c r="K741" s="65">
        <f t="shared" si="53"/>
        <v>0</v>
      </c>
      <c r="M741" s="73">
        <f t="shared" si="54"/>
        <v>0</v>
      </c>
      <c r="AC741" t="str">
        <f t="shared" si="55"/>
        <v>Jan</v>
      </c>
    </row>
    <row r="742" spans="3:29" x14ac:dyDescent="0.35">
      <c r="C742" s="80">
        <f t="shared" si="52"/>
        <v>1</v>
      </c>
      <c r="K742" s="65">
        <f t="shared" si="53"/>
        <v>0</v>
      </c>
      <c r="M742" s="73">
        <f t="shared" si="54"/>
        <v>0</v>
      </c>
      <c r="AC742" t="str">
        <f t="shared" si="55"/>
        <v>Jan</v>
      </c>
    </row>
    <row r="743" spans="3:29" x14ac:dyDescent="0.35">
      <c r="C743" s="80">
        <f t="shared" si="52"/>
        <v>1</v>
      </c>
      <c r="K743" s="65">
        <f t="shared" si="53"/>
        <v>0</v>
      </c>
      <c r="M743" s="73">
        <f t="shared" si="54"/>
        <v>0</v>
      </c>
      <c r="AC743" t="str">
        <f t="shared" si="55"/>
        <v>Jan</v>
      </c>
    </row>
    <row r="744" spans="3:29" x14ac:dyDescent="0.35">
      <c r="C744" s="80">
        <f t="shared" si="52"/>
        <v>1</v>
      </c>
      <c r="K744" s="65">
        <f t="shared" si="53"/>
        <v>0</v>
      </c>
      <c r="M744" s="73">
        <f t="shared" si="54"/>
        <v>0</v>
      </c>
      <c r="AC744" t="str">
        <f t="shared" si="55"/>
        <v>Jan</v>
      </c>
    </row>
    <row r="745" spans="3:29" x14ac:dyDescent="0.35">
      <c r="C745" s="80">
        <f t="shared" si="52"/>
        <v>1</v>
      </c>
      <c r="K745" s="65">
        <f t="shared" si="53"/>
        <v>0</v>
      </c>
      <c r="M745" s="73">
        <f t="shared" si="54"/>
        <v>0</v>
      </c>
      <c r="AC745" t="str">
        <f t="shared" si="55"/>
        <v>Jan</v>
      </c>
    </row>
    <row r="746" spans="3:29" x14ac:dyDescent="0.35">
      <c r="C746" s="80">
        <f t="shared" si="52"/>
        <v>1</v>
      </c>
      <c r="K746" s="65">
        <f t="shared" si="53"/>
        <v>0</v>
      </c>
      <c r="M746" s="73">
        <f t="shared" si="54"/>
        <v>0</v>
      </c>
      <c r="AC746" t="str">
        <f t="shared" si="55"/>
        <v>Jan</v>
      </c>
    </row>
    <row r="747" spans="3:29" x14ac:dyDescent="0.35">
      <c r="C747" s="80">
        <f t="shared" si="52"/>
        <v>1</v>
      </c>
      <c r="K747" s="65">
        <f t="shared" si="53"/>
        <v>0</v>
      </c>
      <c r="M747" s="73">
        <f t="shared" si="54"/>
        <v>0</v>
      </c>
      <c r="AC747" t="str">
        <f t="shared" si="55"/>
        <v>Jan</v>
      </c>
    </row>
    <row r="748" spans="3:29" x14ac:dyDescent="0.35">
      <c r="C748" s="80">
        <f t="shared" si="52"/>
        <v>1</v>
      </c>
      <c r="K748" s="65">
        <f t="shared" si="53"/>
        <v>0</v>
      </c>
      <c r="M748" s="73">
        <f t="shared" si="54"/>
        <v>0</v>
      </c>
      <c r="AC748" t="str">
        <f t="shared" si="55"/>
        <v>Jan</v>
      </c>
    </row>
    <row r="749" spans="3:29" x14ac:dyDescent="0.35">
      <c r="C749" s="80">
        <f t="shared" si="52"/>
        <v>1</v>
      </c>
      <c r="K749" s="65">
        <f t="shared" si="53"/>
        <v>0</v>
      </c>
      <c r="M749" s="73">
        <f t="shared" si="54"/>
        <v>0</v>
      </c>
      <c r="AC749" t="str">
        <f t="shared" si="55"/>
        <v>Jan</v>
      </c>
    </row>
    <row r="750" spans="3:29" x14ac:dyDescent="0.35">
      <c r="C750" s="80">
        <f t="shared" si="52"/>
        <v>1</v>
      </c>
      <c r="K750" s="65">
        <f t="shared" si="53"/>
        <v>0</v>
      </c>
      <c r="M750" s="73">
        <f t="shared" si="54"/>
        <v>0</v>
      </c>
      <c r="AC750" t="str">
        <f t="shared" si="55"/>
        <v>Jan</v>
      </c>
    </row>
    <row r="751" spans="3:29" x14ac:dyDescent="0.35">
      <c r="C751" s="80">
        <f t="shared" si="52"/>
        <v>1</v>
      </c>
      <c r="K751" s="65">
        <f t="shared" si="53"/>
        <v>0</v>
      </c>
      <c r="M751" s="73">
        <f t="shared" si="54"/>
        <v>0</v>
      </c>
      <c r="AC751" t="str">
        <f t="shared" si="55"/>
        <v>Jan</v>
      </c>
    </row>
    <row r="752" spans="3:29" x14ac:dyDescent="0.35">
      <c r="C752" s="80">
        <f t="shared" si="52"/>
        <v>1</v>
      </c>
      <c r="K752" s="65">
        <f t="shared" si="53"/>
        <v>0</v>
      </c>
      <c r="M752" s="73">
        <f t="shared" si="54"/>
        <v>0</v>
      </c>
      <c r="AC752" t="str">
        <f t="shared" si="55"/>
        <v>Jan</v>
      </c>
    </row>
    <row r="753" spans="3:29" x14ac:dyDescent="0.35">
      <c r="C753" s="80">
        <f t="shared" si="52"/>
        <v>1</v>
      </c>
      <c r="K753" s="65">
        <f t="shared" si="53"/>
        <v>0</v>
      </c>
      <c r="M753" s="73">
        <f t="shared" si="54"/>
        <v>0</v>
      </c>
      <c r="AC753" t="str">
        <f t="shared" si="55"/>
        <v>Jan</v>
      </c>
    </row>
    <row r="754" spans="3:29" x14ac:dyDescent="0.35">
      <c r="C754" s="80">
        <f t="shared" si="52"/>
        <v>1</v>
      </c>
      <c r="K754" s="65">
        <f t="shared" si="53"/>
        <v>0</v>
      </c>
      <c r="M754" s="73">
        <f t="shared" si="54"/>
        <v>0</v>
      </c>
      <c r="AC754" t="str">
        <f t="shared" si="55"/>
        <v>Jan</v>
      </c>
    </row>
    <row r="755" spans="3:29" x14ac:dyDescent="0.35">
      <c r="C755" s="80">
        <f t="shared" si="52"/>
        <v>1</v>
      </c>
      <c r="K755" s="65">
        <f t="shared" si="53"/>
        <v>0</v>
      </c>
      <c r="M755" s="73">
        <f t="shared" si="54"/>
        <v>0</v>
      </c>
      <c r="AC755" t="str">
        <f t="shared" si="55"/>
        <v>Jan</v>
      </c>
    </row>
    <row r="756" spans="3:29" x14ac:dyDescent="0.35">
      <c r="C756" s="80">
        <f t="shared" si="52"/>
        <v>1</v>
      </c>
      <c r="K756" s="65">
        <f t="shared" si="53"/>
        <v>0</v>
      </c>
      <c r="M756" s="73">
        <f t="shared" si="54"/>
        <v>0</v>
      </c>
      <c r="AC756" t="str">
        <f t="shared" si="55"/>
        <v>Jan</v>
      </c>
    </row>
    <row r="757" spans="3:29" x14ac:dyDescent="0.35">
      <c r="C757" s="80">
        <f t="shared" si="52"/>
        <v>1</v>
      </c>
      <c r="K757" s="65">
        <f t="shared" si="53"/>
        <v>0</v>
      </c>
      <c r="M757" s="73">
        <f t="shared" si="54"/>
        <v>0</v>
      </c>
      <c r="AC757" t="str">
        <f t="shared" si="55"/>
        <v>Jan</v>
      </c>
    </row>
    <row r="758" spans="3:29" x14ac:dyDescent="0.35">
      <c r="C758" s="80">
        <f t="shared" si="52"/>
        <v>1</v>
      </c>
      <c r="K758" s="65">
        <f t="shared" si="53"/>
        <v>0</v>
      </c>
      <c r="M758" s="73">
        <f t="shared" si="54"/>
        <v>0</v>
      </c>
      <c r="AC758" t="str">
        <f t="shared" si="55"/>
        <v>Jan</v>
      </c>
    </row>
    <row r="759" spans="3:29" x14ac:dyDescent="0.35">
      <c r="C759" s="80">
        <f t="shared" si="52"/>
        <v>1</v>
      </c>
      <c r="K759" s="65">
        <f t="shared" si="53"/>
        <v>0</v>
      </c>
      <c r="M759" s="73">
        <f t="shared" si="54"/>
        <v>0</v>
      </c>
      <c r="AC759" t="str">
        <f t="shared" si="55"/>
        <v>Jan</v>
      </c>
    </row>
    <row r="760" spans="3:29" x14ac:dyDescent="0.35">
      <c r="C760" s="80">
        <f t="shared" si="52"/>
        <v>1</v>
      </c>
      <c r="K760" s="65">
        <f t="shared" si="53"/>
        <v>0</v>
      </c>
      <c r="M760" s="73">
        <f t="shared" si="54"/>
        <v>0</v>
      </c>
      <c r="AC760" t="str">
        <f t="shared" si="55"/>
        <v>Jan</v>
      </c>
    </row>
    <row r="761" spans="3:29" x14ac:dyDescent="0.35">
      <c r="C761" s="80">
        <f t="shared" si="52"/>
        <v>1</v>
      </c>
      <c r="K761" s="65">
        <f t="shared" si="53"/>
        <v>0</v>
      </c>
      <c r="M761" s="73">
        <f t="shared" si="54"/>
        <v>0</v>
      </c>
      <c r="AC761" t="str">
        <f t="shared" si="55"/>
        <v>Jan</v>
      </c>
    </row>
    <row r="762" spans="3:29" x14ac:dyDescent="0.35">
      <c r="C762" s="80">
        <f t="shared" si="52"/>
        <v>1</v>
      </c>
      <c r="K762" s="65">
        <f t="shared" si="53"/>
        <v>0</v>
      </c>
      <c r="M762" s="73">
        <f t="shared" si="54"/>
        <v>0</v>
      </c>
      <c r="AC762" t="str">
        <f t="shared" si="55"/>
        <v>Jan</v>
      </c>
    </row>
    <row r="763" spans="3:29" x14ac:dyDescent="0.35">
      <c r="C763" s="80">
        <f t="shared" si="52"/>
        <v>1</v>
      </c>
      <c r="K763" s="65">
        <f t="shared" si="53"/>
        <v>0</v>
      </c>
      <c r="M763" s="73">
        <f t="shared" si="54"/>
        <v>0</v>
      </c>
      <c r="AC763" t="str">
        <f t="shared" si="55"/>
        <v>Jan</v>
      </c>
    </row>
    <row r="764" spans="3:29" x14ac:dyDescent="0.35">
      <c r="C764" s="80">
        <f t="shared" si="52"/>
        <v>1</v>
      </c>
      <c r="K764" s="65">
        <f t="shared" si="53"/>
        <v>0</v>
      </c>
      <c r="M764" s="73">
        <f t="shared" si="54"/>
        <v>0</v>
      </c>
      <c r="AC764" t="str">
        <f t="shared" si="55"/>
        <v>Jan</v>
      </c>
    </row>
    <row r="765" spans="3:29" x14ac:dyDescent="0.35">
      <c r="C765" s="80">
        <f t="shared" si="52"/>
        <v>1</v>
      </c>
      <c r="K765" s="65">
        <f t="shared" si="53"/>
        <v>0</v>
      </c>
      <c r="M765" s="73">
        <f t="shared" si="54"/>
        <v>0</v>
      </c>
      <c r="AC765" t="str">
        <f t="shared" si="55"/>
        <v>Jan</v>
      </c>
    </row>
    <row r="766" spans="3:29" x14ac:dyDescent="0.35">
      <c r="C766" s="80">
        <f t="shared" si="52"/>
        <v>1</v>
      </c>
      <c r="K766" s="65">
        <f t="shared" si="53"/>
        <v>0</v>
      </c>
      <c r="M766" s="73">
        <f t="shared" si="54"/>
        <v>0</v>
      </c>
      <c r="AC766" t="str">
        <f t="shared" si="55"/>
        <v>Jan</v>
      </c>
    </row>
    <row r="767" spans="3:29" x14ac:dyDescent="0.35">
      <c r="C767" s="80">
        <f t="shared" si="52"/>
        <v>1</v>
      </c>
      <c r="K767" s="65">
        <f t="shared" si="53"/>
        <v>0</v>
      </c>
      <c r="M767" s="73">
        <f t="shared" si="54"/>
        <v>0</v>
      </c>
      <c r="AC767" t="str">
        <f t="shared" si="55"/>
        <v>Jan</v>
      </c>
    </row>
    <row r="768" spans="3:29" x14ac:dyDescent="0.35">
      <c r="C768" s="80">
        <f t="shared" si="52"/>
        <v>1</v>
      </c>
      <c r="K768" s="65">
        <f t="shared" si="53"/>
        <v>0</v>
      </c>
      <c r="M768" s="73">
        <f t="shared" si="54"/>
        <v>0</v>
      </c>
      <c r="AC768" t="str">
        <f t="shared" si="55"/>
        <v>Jan</v>
      </c>
    </row>
    <row r="769" spans="3:29" x14ac:dyDescent="0.35">
      <c r="C769" s="80">
        <f t="shared" si="52"/>
        <v>1</v>
      </c>
      <c r="K769" s="65">
        <f t="shared" si="53"/>
        <v>0</v>
      </c>
      <c r="M769" s="73">
        <f t="shared" si="54"/>
        <v>0</v>
      </c>
      <c r="AC769" t="str">
        <f t="shared" si="55"/>
        <v>Jan</v>
      </c>
    </row>
    <row r="770" spans="3:29" x14ac:dyDescent="0.35">
      <c r="C770" s="80">
        <f t="shared" si="52"/>
        <v>1</v>
      </c>
      <c r="K770" s="65">
        <f t="shared" si="53"/>
        <v>0</v>
      </c>
      <c r="M770" s="73">
        <f t="shared" si="54"/>
        <v>0</v>
      </c>
      <c r="AC770" t="str">
        <f t="shared" si="55"/>
        <v>Jan</v>
      </c>
    </row>
    <row r="771" spans="3:29" x14ac:dyDescent="0.35">
      <c r="C771" s="80">
        <f t="shared" si="52"/>
        <v>1</v>
      </c>
      <c r="K771" s="65">
        <f t="shared" si="53"/>
        <v>0</v>
      </c>
      <c r="M771" s="73">
        <f t="shared" si="54"/>
        <v>0</v>
      </c>
      <c r="AC771" t="str">
        <f t="shared" si="55"/>
        <v>Jan</v>
      </c>
    </row>
    <row r="772" spans="3:29" x14ac:dyDescent="0.35">
      <c r="C772" s="80">
        <f t="shared" si="52"/>
        <v>1</v>
      </c>
      <c r="K772" s="65">
        <f t="shared" si="53"/>
        <v>0</v>
      </c>
      <c r="M772" s="73">
        <f t="shared" si="54"/>
        <v>0</v>
      </c>
      <c r="AC772" t="str">
        <f t="shared" si="55"/>
        <v>Jan</v>
      </c>
    </row>
    <row r="773" spans="3:29" x14ac:dyDescent="0.35">
      <c r="C773" s="80">
        <f t="shared" si="52"/>
        <v>1</v>
      </c>
      <c r="K773" s="65">
        <f t="shared" si="53"/>
        <v>0</v>
      </c>
      <c r="M773" s="73">
        <f t="shared" si="54"/>
        <v>0</v>
      </c>
      <c r="AC773" t="str">
        <f t="shared" si="55"/>
        <v>Jan</v>
      </c>
    </row>
    <row r="774" spans="3:29" x14ac:dyDescent="0.35">
      <c r="C774" s="80">
        <f t="shared" ref="C774:C837" si="56">MONTH(B774)</f>
        <v>1</v>
      </c>
      <c r="K774" s="65">
        <f t="shared" ref="K774:K837" si="57">I774*J774</f>
        <v>0</v>
      </c>
      <c r="M774" s="73">
        <f t="shared" ref="M774:M837" si="58">K774-L774</f>
        <v>0</v>
      </c>
      <c r="AC774" t="str">
        <f t="shared" si="55"/>
        <v>Jan</v>
      </c>
    </row>
    <row r="775" spans="3:29" x14ac:dyDescent="0.35">
      <c r="C775" s="80">
        <f t="shared" si="56"/>
        <v>1</v>
      </c>
      <c r="K775" s="65">
        <f t="shared" si="57"/>
        <v>0</v>
      </c>
      <c r="M775" s="73">
        <f t="shared" si="58"/>
        <v>0</v>
      </c>
      <c r="AC775" t="str">
        <f t="shared" ref="AC775:AC838" si="59">IFERROR(INDEX(AA:AA,MATCH(C775,Z:Z,0)),"")</f>
        <v>Jan</v>
      </c>
    </row>
    <row r="776" spans="3:29" x14ac:dyDescent="0.35">
      <c r="C776" s="80">
        <f t="shared" si="56"/>
        <v>1</v>
      </c>
      <c r="K776" s="65">
        <f t="shared" si="57"/>
        <v>0</v>
      </c>
      <c r="M776" s="73">
        <f t="shared" si="58"/>
        <v>0</v>
      </c>
      <c r="AC776" t="str">
        <f t="shared" si="59"/>
        <v>Jan</v>
      </c>
    </row>
    <row r="777" spans="3:29" x14ac:dyDescent="0.35">
      <c r="C777" s="80">
        <f t="shared" si="56"/>
        <v>1</v>
      </c>
      <c r="K777" s="65">
        <f t="shared" si="57"/>
        <v>0</v>
      </c>
      <c r="M777" s="73">
        <f t="shared" si="58"/>
        <v>0</v>
      </c>
      <c r="AC777" t="str">
        <f t="shared" si="59"/>
        <v>Jan</v>
      </c>
    </row>
    <row r="778" spans="3:29" x14ac:dyDescent="0.35">
      <c r="C778" s="80">
        <f t="shared" si="56"/>
        <v>1</v>
      </c>
      <c r="K778" s="65">
        <f t="shared" si="57"/>
        <v>0</v>
      </c>
      <c r="M778" s="73">
        <f t="shared" si="58"/>
        <v>0</v>
      </c>
      <c r="AC778" t="str">
        <f t="shared" si="59"/>
        <v>Jan</v>
      </c>
    </row>
    <row r="779" spans="3:29" x14ac:dyDescent="0.35">
      <c r="C779" s="80">
        <f t="shared" si="56"/>
        <v>1</v>
      </c>
      <c r="K779" s="65">
        <f t="shared" si="57"/>
        <v>0</v>
      </c>
      <c r="M779" s="73">
        <f t="shared" si="58"/>
        <v>0</v>
      </c>
      <c r="AC779" t="str">
        <f t="shared" si="59"/>
        <v>Jan</v>
      </c>
    </row>
    <row r="780" spans="3:29" x14ac:dyDescent="0.35">
      <c r="C780" s="80">
        <f t="shared" si="56"/>
        <v>1</v>
      </c>
      <c r="K780" s="65">
        <f t="shared" si="57"/>
        <v>0</v>
      </c>
      <c r="M780" s="73">
        <f t="shared" si="58"/>
        <v>0</v>
      </c>
      <c r="AC780" t="str">
        <f t="shared" si="59"/>
        <v>Jan</v>
      </c>
    </row>
    <row r="781" spans="3:29" x14ac:dyDescent="0.35">
      <c r="C781" s="80">
        <f t="shared" si="56"/>
        <v>1</v>
      </c>
      <c r="K781" s="65">
        <f t="shared" si="57"/>
        <v>0</v>
      </c>
      <c r="M781" s="73">
        <f t="shared" si="58"/>
        <v>0</v>
      </c>
      <c r="AC781" t="str">
        <f t="shared" si="59"/>
        <v>Jan</v>
      </c>
    </row>
    <row r="782" spans="3:29" x14ac:dyDescent="0.35">
      <c r="C782" s="80">
        <f t="shared" si="56"/>
        <v>1</v>
      </c>
      <c r="K782" s="65">
        <f t="shared" si="57"/>
        <v>0</v>
      </c>
      <c r="M782" s="73">
        <f t="shared" si="58"/>
        <v>0</v>
      </c>
      <c r="AC782" t="str">
        <f t="shared" si="59"/>
        <v>Jan</v>
      </c>
    </row>
    <row r="783" spans="3:29" x14ac:dyDescent="0.35">
      <c r="C783" s="80">
        <f t="shared" si="56"/>
        <v>1</v>
      </c>
      <c r="K783" s="65">
        <f t="shared" si="57"/>
        <v>0</v>
      </c>
      <c r="M783" s="73">
        <f t="shared" si="58"/>
        <v>0</v>
      </c>
      <c r="AC783" t="str">
        <f t="shared" si="59"/>
        <v>Jan</v>
      </c>
    </row>
    <row r="784" spans="3:29" x14ac:dyDescent="0.35">
      <c r="C784" s="80">
        <f t="shared" si="56"/>
        <v>1</v>
      </c>
      <c r="K784" s="65">
        <f t="shared" si="57"/>
        <v>0</v>
      </c>
      <c r="M784" s="73">
        <f t="shared" si="58"/>
        <v>0</v>
      </c>
      <c r="AC784" t="str">
        <f t="shared" si="59"/>
        <v>Jan</v>
      </c>
    </row>
    <row r="785" spans="3:29" x14ac:dyDescent="0.35">
      <c r="C785" s="80">
        <f t="shared" si="56"/>
        <v>1</v>
      </c>
      <c r="K785" s="65">
        <f t="shared" si="57"/>
        <v>0</v>
      </c>
      <c r="M785" s="73">
        <f t="shared" si="58"/>
        <v>0</v>
      </c>
      <c r="AC785" t="str">
        <f t="shared" si="59"/>
        <v>Jan</v>
      </c>
    </row>
    <row r="786" spans="3:29" x14ac:dyDescent="0.35">
      <c r="C786" s="80">
        <f t="shared" si="56"/>
        <v>1</v>
      </c>
      <c r="K786" s="65">
        <f t="shared" si="57"/>
        <v>0</v>
      </c>
      <c r="M786" s="73">
        <f t="shared" si="58"/>
        <v>0</v>
      </c>
      <c r="AC786" t="str">
        <f t="shared" si="59"/>
        <v>Jan</v>
      </c>
    </row>
    <row r="787" spans="3:29" x14ac:dyDescent="0.35">
      <c r="C787" s="80">
        <f t="shared" si="56"/>
        <v>1</v>
      </c>
      <c r="K787" s="65">
        <f t="shared" si="57"/>
        <v>0</v>
      </c>
      <c r="M787" s="73">
        <f t="shared" si="58"/>
        <v>0</v>
      </c>
      <c r="AC787" t="str">
        <f t="shared" si="59"/>
        <v>Jan</v>
      </c>
    </row>
    <row r="788" spans="3:29" x14ac:dyDescent="0.35">
      <c r="C788" s="80">
        <f t="shared" si="56"/>
        <v>1</v>
      </c>
      <c r="K788" s="65">
        <f t="shared" si="57"/>
        <v>0</v>
      </c>
      <c r="M788" s="73">
        <f t="shared" si="58"/>
        <v>0</v>
      </c>
      <c r="AC788" t="str">
        <f t="shared" si="59"/>
        <v>Jan</v>
      </c>
    </row>
    <row r="789" spans="3:29" x14ac:dyDescent="0.35">
      <c r="C789" s="80">
        <f t="shared" si="56"/>
        <v>1</v>
      </c>
      <c r="K789" s="65">
        <f t="shared" si="57"/>
        <v>0</v>
      </c>
      <c r="M789" s="73">
        <f t="shared" si="58"/>
        <v>0</v>
      </c>
      <c r="AC789" t="str">
        <f t="shared" si="59"/>
        <v>Jan</v>
      </c>
    </row>
    <row r="790" spans="3:29" x14ac:dyDescent="0.35">
      <c r="C790" s="80">
        <f t="shared" si="56"/>
        <v>1</v>
      </c>
      <c r="K790" s="65">
        <f t="shared" si="57"/>
        <v>0</v>
      </c>
      <c r="M790" s="73">
        <f t="shared" si="58"/>
        <v>0</v>
      </c>
      <c r="AC790" t="str">
        <f t="shared" si="59"/>
        <v>Jan</v>
      </c>
    </row>
    <row r="791" spans="3:29" x14ac:dyDescent="0.35">
      <c r="C791" s="80">
        <f t="shared" si="56"/>
        <v>1</v>
      </c>
      <c r="K791" s="65">
        <f t="shared" si="57"/>
        <v>0</v>
      </c>
      <c r="M791" s="73">
        <f t="shared" si="58"/>
        <v>0</v>
      </c>
      <c r="AC791" t="str">
        <f t="shared" si="59"/>
        <v>Jan</v>
      </c>
    </row>
    <row r="792" spans="3:29" x14ac:dyDescent="0.35">
      <c r="C792" s="80">
        <f t="shared" si="56"/>
        <v>1</v>
      </c>
      <c r="K792" s="65">
        <f t="shared" si="57"/>
        <v>0</v>
      </c>
      <c r="M792" s="73">
        <f t="shared" si="58"/>
        <v>0</v>
      </c>
      <c r="AC792" t="str">
        <f t="shared" si="59"/>
        <v>Jan</v>
      </c>
    </row>
    <row r="793" spans="3:29" x14ac:dyDescent="0.35">
      <c r="C793" s="80">
        <f t="shared" si="56"/>
        <v>1</v>
      </c>
      <c r="K793" s="65">
        <f t="shared" si="57"/>
        <v>0</v>
      </c>
      <c r="M793" s="73">
        <f t="shared" si="58"/>
        <v>0</v>
      </c>
      <c r="AC793" t="str">
        <f t="shared" si="59"/>
        <v>Jan</v>
      </c>
    </row>
    <row r="794" spans="3:29" x14ac:dyDescent="0.35">
      <c r="C794" s="80">
        <f t="shared" si="56"/>
        <v>1</v>
      </c>
      <c r="K794" s="65">
        <f t="shared" si="57"/>
        <v>0</v>
      </c>
      <c r="M794" s="73">
        <f t="shared" si="58"/>
        <v>0</v>
      </c>
      <c r="AC794" t="str">
        <f t="shared" si="59"/>
        <v>Jan</v>
      </c>
    </row>
    <row r="795" spans="3:29" x14ac:dyDescent="0.35">
      <c r="C795" s="80">
        <f t="shared" si="56"/>
        <v>1</v>
      </c>
      <c r="K795" s="65">
        <f t="shared" si="57"/>
        <v>0</v>
      </c>
      <c r="M795" s="73">
        <f t="shared" si="58"/>
        <v>0</v>
      </c>
      <c r="AC795" t="str">
        <f t="shared" si="59"/>
        <v>Jan</v>
      </c>
    </row>
    <row r="796" spans="3:29" x14ac:dyDescent="0.35">
      <c r="C796" s="80">
        <f t="shared" si="56"/>
        <v>1</v>
      </c>
      <c r="K796" s="65">
        <f t="shared" si="57"/>
        <v>0</v>
      </c>
      <c r="M796" s="73">
        <f t="shared" si="58"/>
        <v>0</v>
      </c>
      <c r="AC796" t="str">
        <f t="shared" si="59"/>
        <v>Jan</v>
      </c>
    </row>
    <row r="797" spans="3:29" x14ac:dyDescent="0.35">
      <c r="C797" s="80">
        <f t="shared" si="56"/>
        <v>1</v>
      </c>
      <c r="K797" s="65">
        <f t="shared" si="57"/>
        <v>0</v>
      </c>
      <c r="M797" s="73">
        <f t="shared" si="58"/>
        <v>0</v>
      </c>
      <c r="AC797" t="str">
        <f t="shared" si="59"/>
        <v>Jan</v>
      </c>
    </row>
    <row r="798" spans="3:29" x14ac:dyDescent="0.35">
      <c r="C798" s="80">
        <f t="shared" si="56"/>
        <v>1</v>
      </c>
      <c r="K798" s="65">
        <f t="shared" si="57"/>
        <v>0</v>
      </c>
      <c r="M798" s="73">
        <f t="shared" si="58"/>
        <v>0</v>
      </c>
      <c r="AC798" t="str">
        <f t="shared" si="59"/>
        <v>Jan</v>
      </c>
    </row>
    <row r="799" spans="3:29" x14ac:dyDescent="0.35">
      <c r="C799" s="80">
        <f t="shared" si="56"/>
        <v>1</v>
      </c>
      <c r="K799" s="65">
        <f t="shared" si="57"/>
        <v>0</v>
      </c>
      <c r="M799" s="73">
        <f t="shared" si="58"/>
        <v>0</v>
      </c>
      <c r="AC799" t="str">
        <f t="shared" si="59"/>
        <v>Jan</v>
      </c>
    </row>
    <row r="800" spans="3:29" x14ac:dyDescent="0.35">
      <c r="C800" s="80">
        <f t="shared" si="56"/>
        <v>1</v>
      </c>
      <c r="K800" s="65">
        <f t="shared" si="57"/>
        <v>0</v>
      </c>
      <c r="M800" s="73">
        <f t="shared" si="58"/>
        <v>0</v>
      </c>
      <c r="AC800" t="str">
        <f t="shared" si="59"/>
        <v>Jan</v>
      </c>
    </row>
    <row r="801" spans="3:29" x14ac:dyDescent="0.35">
      <c r="C801" s="80">
        <f t="shared" si="56"/>
        <v>1</v>
      </c>
      <c r="K801" s="65">
        <f t="shared" si="57"/>
        <v>0</v>
      </c>
      <c r="M801" s="73">
        <f t="shared" si="58"/>
        <v>0</v>
      </c>
      <c r="AC801" t="str">
        <f t="shared" si="59"/>
        <v>Jan</v>
      </c>
    </row>
    <row r="802" spans="3:29" x14ac:dyDescent="0.35">
      <c r="C802" s="80">
        <f t="shared" si="56"/>
        <v>1</v>
      </c>
      <c r="K802" s="65">
        <f t="shared" si="57"/>
        <v>0</v>
      </c>
      <c r="M802" s="73">
        <f t="shared" si="58"/>
        <v>0</v>
      </c>
      <c r="AC802" t="str">
        <f t="shared" si="59"/>
        <v>Jan</v>
      </c>
    </row>
    <row r="803" spans="3:29" x14ac:dyDescent="0.35">
      <c r="C803" s="80">
        <f t="shared" si="56"/>
        <v>1</v>
      </c>
      <c r="K803" s="65">
        <f t="shared" si="57"/>
        <v>0</v>
      </c>
      <c r="M803" s="73">
        <f t="shared" si="58"/>
        <v>0</v>
      </c>
      <c r="AC803" t="str">
        <f t="shared" si="59"/>
        <v>Jan</v>
      </c>
    </row>
    <row r="804" spans="3:29" x14ac:dyDescent="0.35">
      <c r="C804" s="80">
        <f t="shared" si="56"/>
        <v>1</v>
      </c>
      <c r="K804" s="65">
        <f t="shared" si="57"/>
        <v>0</v>
      </c>
      <c r="M804" s="73">
        <f t="shared" si="58"/>
        <v>0</v>
      </c>
      <c r="AC804" t="str">
        <f t="shared" si="59"/>
        <v>Jan</v>
      </c>
    </row>
    <row r="805" spans="3:29" x14ac:dyDescent="0.35">
      <c r="C805" s="80">
        <f t="shared" si="56"/>
        <v>1</v>
      </c>
      <c r="K805" s="65">
        <f t="shared" si="57"/>
        <v>0</v>
      </c>
      <c r="M805" s="73">
        <f t="shared" si="58"/>
        <v>0</v>
      </c>
      <c r="AC805" t="str">
        <f t="shared" si="59"/>
        <v>Jan</v>
      </c>
    </row>
    <row r="806" spans="3:29" x14ac:dyDescent="0.35">
      <c r="C806" s="80">
        <f t="shared" si="56"/>
        <v>1</v>
      </c>
      <c r="K806" s="65">
        <f t="shared" si="57"/>
        <v>0</v>
      </c>
      <c r="M806" s="73">
        <f t="shared" si="58"/>
        <v>0</v>
      </c>
      <c r="AC806" t="str">
        <f t="shared" si="59"/>
        <v>Jan</v>
      </c>
    </row>
    <row r="807" spans="3:29" x14ac:dyDescent="0.35">
      <c r="C807" s="80">
        <f t="shared" si="56"/>
        <v>1</v>
      </c>
      <c r="K807" s="65">
        <f t="shared" si="57"/>
        <v>0</v>
      </c>
      <c r="M807" s="73">
        <f t="shared" si="58"/>
        <v>0</v>
      </c>
      <c r="AC807" t="str">
        <f t="shared" si="59"/>
        <v>Jan</v>
      </c>
    </row>
    <row r="808" spans="3:29" x14ac:dyDescent="0.35">
      <c r="C808" s="80">
        <f t="shared" si="56"/>
        <v>1</v>
      </c>
      <c r="K808" s="65">
        <f t="shared" si="57"/>
        <v>0</v>
      </c>
      <c r="M808" s="73">
        <f t="shared" si="58"/>
        <v>0</v>
      </c>
      <c r="AC808" t="str">
        <f t="shared" si="59"/>
        <v>Jan</v>
      </c>
    </row>
    <row r="809" spans="3:29" x14ac:dyDescent="0.35">
      <c r="C809" s="80">
        <f t="shared" si="56"/>
        <v>1</v>
      </c>
      <c r="K809" s="65">
        <f t="shared" si="57"/>
        <v>0</v>
      </c>
      <c r="M809" s="73">
        <f t="shared" si="58"/>
        <v>0</v>
      </c>
      <c r="AC809" t="str">
        <f t="shared" si="59"/>
        <v>Jan</v>
      </c>
    </row>
    <row r="810" spans="3:29" x14ac:dyDescent="0.35">
      <c r="C810" s="80">
        <f t="shared" si="56"/>
        <v>1</v>
      </c>
      <c r="K810" s="65">
        <f t="shared" si="57"/>
        <v>0</v>
      </c>
      <c r="M810" s="73">
        <f t="shared" si="58"/>
        <v>0</v>
      </c>
      <c r="AC810" t="str">
        <f t="shared" si="59"/>
        <v>Jan</v>
      </c>
    </row>
    <row r="811" spans="3:29" x14ac:dyDescent="0.35">
      <c r="C811" s="80">
        <f t="shared" si="56"/>
        <v>1</v>
      </c>
      <c r="K811" s="65">
        <f t="shared" si="57"/>
        <v>0</v>
      </c>
      <c r="M811" s="73">
        <f t="shared" si="58"/>
        <v>0</v>
      </c>
      <c r="AC811" t="str">
        <f t="shared" si="59"/>
        <v>Jan</v>
      </c>
    </row>
    <row r="812" spans="3:29" x14ac:dyDescent="0.35">
      <c r="C812" s="80">
        <f t="shared" si="56"/>
        <v>1</v>
      </c>
      <c r="K812" s="65">
        <f t="shared" si="57"/>
        <v>0</v>
      </c>
      <c r="M812" s="73">
        <f t="shared" si="58"/>
        <v>0</v>
      </c>
      <c r="AC812" t="str">
        <f t="shared" si="59"/>
        <v>Jan</v>
      </c>
    </row>
    <row r="813" spans="3:29" x14ac:dyDescent="0.35">
      <c r="C813" s="80">
        <f t="shared" si="56"/>
        <v>1</v>
      </c>
      <c r="K813" s="65">
        <f t="shared" si="57"/>
        <v>0</v>
      </c>
      <c r="M813" s="73">
        <f t="shared" si="58"/>
        <v>0</v>
      </c>
      <c r="AC813" t="str">
        <f t="shared" si="59"/>
        <v>Jan</v>
      </c>
    </row>
    <row r="814" spans="3:29" x14ac:dyDescent="0.35">
      <c r="C814" s="80">
        <f t="shared" si="56"/>
        <v>1</v>
      </c>
      <c r="K814" s="65">
        <f t="shared" si="57"/>
        <v>0</v>
      </c>
      <c r="M814" s="73">
        <f t="shared" si="58"/>
        <v>0</v>
      </c>
      <c r="AC814" t="str">
        <f t="shared" si="59"/>
        <v>Jan</v>
      </c>
    </row>
    <row r="815" spans="3:29" x14ac:dyDescent="0.35">
      <c r="C815" s="80">
        <f t="shared" si="56"/>
        <v>1</v>
      </c>
      <c r="K815" s="65">
        <f t="shared" si="57"/>
        <v>0</v>
      </c>
      <c r="M815" s="73">
        <f t="shared" si="58"/>
        <v>0</v>
      </c>
      <c r="AC815" t="str">
        <f t="shared" si="59"/>
        <v>Jan</v>
      </c>
    </row>
    <row r="816" spans="3:29" x14ac:dyDescent="0.35">
      <c r="C816" s="80">
        <f t="shared" si="56"/>
        <v>1</v>
      </c>
      <c r="K816" s="65">
        <f t="shared" si="57"/>
        <v>0</v>
      </c>
      <c r="M816" s="73">
        <f t="shared" si="58"/>
        <v>0</v>
      </c>
      <c r="AC816" t="str">
        <f t="shared" si="59"/>
        <v>Jan</v>
      </c>
    </row>
    <row r="817" spans="3:29" x14ac:dyDescent="0.35">
      <c r="C817" s="80">
        <f t="shared" si="56"/>
        <v>1</v>
      </c>
      <c r="K817" s="65">
        <f t="shared" si="57"/>
        <v>0</v>
      </c>
      <c r="M817" s="73">
        <f t="shared" si="58"/>
        <v>0</v>
      </c>
      <c r="AC817" t="str">
        <f t="shared" si="59"/>
        <v>Jan</v>
      </c>
    </row>
    <row r="818" spans="3:29" x14ac:dyDescent="0.35">
      <c r="C818" s="80">
        <f t="shared" si="56"/>
        <v>1</v>
      </c>
      <c r="K818" s="65">
        <f t="shared" si="57"/>
        <v>0</v>
      </c>
      <c r="M818" s="73">
        <f t="shared" si="58"/>
        <v>0</v>
      </c>
      <c r="AC818" t="str">
        <f t="shared" si="59"/>
        <v>Jan</v>
      </c>
    </row>
    <row r="819" spans="3:29" x14ac:dyDescent="0.35">
      <c r="C819" s="80">
        <f t="shared" si="56"/>
        <v>1</v>
      </c>
      <c r="K819" s="65">
        <f t="shared" si="57"/>
        <v>0</v>
      </c>
      <c r="M819" s="73">
        <f t="shared" si="58"/>
        <v>0</v>
      </c>
      <c r="AC819" t="str">
        <f t="shared" si="59"/>
        <v>Jan</v>
      </c>
    </row>
    <row r="820" spans="3:29" x14ac:dyDescent="0.35">
      <c r="C820" s="80">
        <f t="shared" si="56"/>
        <v>1</v>
      </c>
      <c r="K820" s="65">
        <f t="shared" si="57"/>
        <v>0</v>
      </c>
      <c r="M820" s="73">
        <f t="shared" si="58"/>
        <v>0</v>
      </c>
      <c r="AC820" t="str">
        <f t="shared" si="59"/>
        <v>Jan</v>
      </c>
    </row>
    <row r="821" spans="3:29" x14ac:dyDescent="0.35">
      <c r="C821" s="80">
        <f t="shared" si="56"/>
        <v>1</v>
      </c>
      <c r="K821" s="65">
        <f t="shared" si="57"/>
        <v>0</v>
      </c>
      <c r="M821" s="73">
        <f t="shared" si="58"/>
        <v>0</v>
      </c>
      <c r="AC821" t="str">
        <f t="shared" si="59"/>
        <v>Jan</v>
      </c>
    </row>
    <row r="822" spans="3:29" x14ac:dyDescent="0.35">
      <c r="C822" s="80">
        <f t="shared" si="56"/>
        <v>1</v>
      </c>
      <c r="K822" s="65">
        <f t="shared" si="57"/>
        <v>0</v>
      </c>
      <c r="M822" s="73">
        <f t="shared" si="58"/>
        <v>0</v>
      </c>
      <c r="AC822" t="str">
        <f t="shared" si="59"/>
        <v>Jan</v>
      </c>
    </row>
    <row r="823" spans="3:29" x14ac:dyDescent="0.35">
      <c r="C823" s="80">
        <f t="shared" si="56"/>
        <v>1</v>
      </c>
      <c r="K823" s="65">
        <f t="shared" si="57"/>
        <v>0</v>
      </c>
      <c r="M823" s="73">
        <f t="shared" si="58"/>
        <v>0</v>
      </c>
      <c r="AC823" t="str">
        <f t="shared" si="59"/>
        <v>Jan</v>
      </c>
    </row>
    <row r="824" spans="3:29" x14ac:dyDescent="0.35">
      <c r="C824" s="80">
        <f t="shared" si="56"/>
        <v>1</v>
      </c>
      <c r="K824" s="65">
        <f t="shared" si="57"/>
        <v>0</v>
      </c>
      <c r="M824" s="73">
        <f t="shared" si="58"/>
        <v>0</v>
      </c>
      <c r="AC824" t="str">
        <f t="shared" si="59"/>
        <v>Jan</v>
      </c>
    </row>
    <row r="825" spans="3:29" x14ac:dyDescent="0.35">
      <c r="C825" s="80">
        <f t="shared" si="56"/>
        <v>1</v>
      </c>
      <c r="K825" s="65">
        <f t="shared" si="57"/>
        <v>0</v>
      </c>
      <c r="M825" s="73">
        <f t="shared" si="58"/>
        <v>0</v>
      </c>
      <c r="AC825" t="str">
        <f t="shared" si="59"/>
        <v>Jan</v>
      </c>
    </row>
    <row r="826" spans="3:29" x14ac:dyDescent="0.35">
      <c r="C826" s="80">
        <f t="shared" si="56"/>
        <v>1</v>
      </c>
      <c r="K826" s="65">
        <f t="shared" si="57"/>
        <v>0</v>
      </c>
      <c r="M826" s="73">
        <f t="shared" si="58"/>
        <v>0</v>
      </c>
      <c r="AC826" t="str">
        <f t="shared" si="59"/>
        <v>Jan</v>
      </c>
    </row>
    <row r="827" spans="3:29" x14ac:dyDescent="0.35">
      <c r="C827" s="80">
        <f t="shared" si="56"/>
        <v>1</v>
      </c>
      <c r="K827" s="65">
        <f t="shared" si="57"/>
        <v>0</v>
      </c>
      <c r="M827" s="73">
        <f t="shared" si="58"/>
        <v>0</v>
      </c>
      <c r="AC827" t="str">
        <f t="shared" si="59"/>
        <v>Jan</v>
      </c>
    </row>
    <row r="828" spans="3:29" x14ac:dyDescent="0.35">
      <c r="C828" s="80">
        <f t="shared" si="56"/>
        <v>1</v>
      </c>
      <c r="K828" s="65">
        <f t="shared" si="57"/>
        <v>0</v>
      </c>
      <c r="M828" s="73">
        <f t="shared" si="58"/>
        <v>0</v>
      </c>
      <c r="AC828" t="str">
        <f t="shared" si="59"/>
        <v>Jan</v>
      </c>
    </row>
    <row r="829" spans="3:29" x14ac:dyDescent="0.35">
      <c r="C829" s="80">
        <f t="shared" si="56"/>
        <v>1</v>
      </c>
      <c r="K829" s="65">
        <f t="shared" si="57"/>
        <v>0</v>
      </c>
      <c r="M829" s="73">
        <f t="shared" si="58"/>
        <v>0</v>
      </c>
      <c r="AC829" t="str">
        <f t="shared" si="59"/>
        <v>Jan</v>
      </c>
    </row>
    <row r="830" spans="3:29" x14ac:dyDescent="0.35">
      <c r="C830" s="80">
        <f t="shared" si="56"/>
        <v>1</v>
      </c>
      <c r="K830" s="65">
        <f t="shared" si="57"/>
        <v>0</v>
      </c>
      <c r="M830" s="73">
        <f t="shared" si="58"/>
        <v>0</v>
      </c>
      <c r="AC830" t="str">
        <f t="shared" si="59"/>
        <v>Jan</v>
      </c>
    </row>
    <row r="831" spans="3:29" x14ac:dyDescent="0.35">
      <c r="C831" s="80">
        <f t="shared" si="56"/>
        <v>1</v>
      </c>
      <c r="K831" s="65">
        <f t="shared" si="57"/>
        <v>0</v>
      </c>
      <c r="M831" s="73">
        <f t="shared" si="58"/>
        <v>0</v>
      </c>
      <c r="AC831" t="str">
        <f t="shared" si="59"/>
        <v>Jan</v>
      </c>
    </row>
    <row r="832" spans="3:29" x14ac:dyDescent="0.35">
      <c r="C832" s="80">
        <f t="shared" si="56"/>
        <v>1</v>
      </c>
      <c r="K832" s="65">
        <f t="shared" si="57"/>
        <v>0</v>
      </c>
      <c r="M832" s="73">
        <f t="shared" si="58"/>
        <v>0</v>
      </c>
      <c r="AC832" t="str">
        <f t="shared" si="59"/>
        <v>Jan</v>
      </c>
    </row>
    <row r="833" spans="3:29" x14ac:dyDescent="0.35">
      <c r="C833" s="80">
        <f t="shared" si="56"/>
        <v>1</v>
      </c>
      <c r="K833" s="65">
        <f t="shared" si="57"/>
        <v>0</v>
      </c>
      <c r="M833" s="73">
        <f t="shared" si="58"/>
        <v>0</v>
      </c>
      <c r="AC833" t="str">
        <f t="shared" si="59"/>
        <v>Jan</v>
      </c>
    </row>
    <row r="834" spans="3:29" x14ac:dyDescent="0.35">
      <c r="C834" s="80">
        <f t="shared" si="56"/>
        <v>1</v>
      </c>
      <c r="K834" s="65">
        <f t="shared" si="57"/>
        <v>0</v>
      </c>
      <c r="M834" s="73">
        <f t="shared" si="58"/>
        <v>0</v>
      </c>
      <c r="AC834" t="str">
        <f t="shared" si="59"/>
        <v>Jan</v>
      </c>
    </row>
    <row r="835" spans="3:29" x14ac:dyDescent="0.35">
      <c r="C835" s="80">
        <f t="shared" si="56"/>
        <v>1</v>
      </c>
      <c r="K835" s="65">
        <f t="shared" si="57"/>
        <v>0</v>
      </c>
      <c r="M835" s="73">
        <f t="shared" si="58"/>
        <v>0</v>
      </c>
      <c r="AC835" t="str">
        <f t="shared" si="59"/>
        <v>Jan</v>
      </c>
    </row>
    <row r="836" spans="3:29" x14ac:dyDescent="0.35">
      <c r="C836" s="80">
        <f t="shared" si="56"/>
        <v>1</v>
      </c>
      <c r="K836" s="65">
        <f t="shared" si="57"/>
        <v>0</v>
      </c>
      <c r="M836" s="73">
        <f t="shared" si="58"/>
        <v>0</v>
      </c>
      <c r="AC836" t="str">
        <f t="shared" si="59"/>
        <v>Jan</v>
      </c>
    </row>
    <row r="837" spans="3:29" x14ac:dyDescent="0.35">
      <c r="C837" s="80">
        <f t="shared" si="56"/>
        <v>1</v>
      </c>
      <c r="K837" s="65">
        <f t="shared" si="57"/>
        <v>0</v>
      </c>
      <c r="M837" s="73">
        <f t="shared" si="58"/>
        <v>0</v>
      </c>
      <c r="AC837" t="str">
        <f t="shared" si="59"/>
        <v>Jan</v>
      </c>
    </row>
    <row r="838" spans="3:29" x14ac:dyDescent="0.35">
      <c r="C838" s="80">
        <f t="shared" ref="C838:C901" si="60">MONTH(B838)</f>
        <v>1</v>
      </c>
      <c r="K838" s="65">
        <f t="shared" ref="K838:K901" si="61">I838*J838</f>
        <v>0</v>
      </c>
      <c r="M838" s="73">
        <f t="shared" ref="M838:M901" si="62">K838-L838</f>
        <v>0</v>
      </c>
      <c r="AC838" t="str">
        <f t="shared" si="59"/>
        <v>Jan</v>
      </c>
    </row>
    <row r="839" spans="3:29" x14ac:dyDescent="0.35">
      <c r="C839" s="80">
        <f t="shared" si="60"/>
        <v>1</v>
      </c>
      <c r="K839" s="65">
        <f t="shared" si="61"/>
        <v>0</v>
      </c>
      <c r="M839" s="73">
        <f t="shared" si="62"/>
        <v>0</v>
      </c>
      <c r="AC839" t="str">
        <f t="shared" ref="AC839:AC902" si="63">IFERROR(INDEX(AA:AA,MATCH(C839,Z:Z,0)),"")</f>
        <v>Jan</v>
      </c>
    </row>
    <row r="840" spans="3:29" x14ac:dyDescent="0.35">
      <c r="C840" s="80">
        <f t="shared" si="60"/>
        <v>1</v>
      </c>
      <c r="K840" s="65">
        <f t="shared" si="61"/>
        <v>0</v>
      </c>
      <c r="M840" s="73">
        <f t="shared" si="62"/>
        <v>0</v>
      </c>
      <c r="AC840" t="str">
        <f t="shared" si="63"/>
        <v>Jan</v>
      </c>
    </row>
    <row r="841" spans="3:29" x14ac:dyDescent="0.35">
      <c r="C841" s="80">
        <f t="shared" si="60"/>
        <v>1</v>
      </c>
      <c r="K841" s="65">
        <f t="shared" si="61"/>
        <v>0</v>
      </c>
      <c r="M841" s="73">
        <f t="shared" si="62"/>
        <v>0</v>
      </c>
      <c r="AC841" t="str">
        <f t="shared" si="63"/>
        <v>Jan</v>
      </c>
    </row>
    <row r="842" spans="3:29" x14ac:dyDescent="0.35">
      <c r="C842" s="80">
        <f t="shared" si="60"/>
        <v>1</v>
      </c>
      <c r="K842" s="65">
        <f t="shared" si="61"/>
        <v>0</v>
      </c>
      <c r="M842" s="73">
        <f t="shared" si="62"/>
        <v>0</v>
      </c>
      <c r="AC842" t="str">
        <f t="shared" si="63"/>
        <v>Jan</v>
      </c>
    </row>
    <row r="843" spans="3:29" x14ac:dyDescent="0.35">
      <c r="C843" s="80">
        <f t="shared" si="60"/>
        <v>1</v>
      </c>
      <c r="K843" s="65">
        <f t="shared" si="61"/>
        <v>0</v>
      </c>
      <c r="M843" s="73">
        <f t="shared" si="62"/>
        <v>0</v>
      </c>
      <c r="AC843" t="str">
        <f t="shared" si="63"/>
        <v>Jan</v>
      </c>
    </row>
    <row r="844" spans="3:29" x14ac:dyDescent="0.35">
      <c r="C844" s="80">
        <f t="shared" si="60"/>
        <v>1</v>
      </c>
      <c r="K844" s="65">
        <f t="shared" si="61"/>
        <v>0</v>
      </c>
      <c r="M844" s="73">
        <f t="shared" si="62"/>
        <v>0</v>
      </c>
      <c r="AC844" t="str">
        <f t="shared" si="63"/>
        <v>Jan</v>
      </c>
    </row>
    <row r="845" spans="3:29" x14ac:dyDescent="0.35">
      <c r="C845" s="80">
        <f t="shared" si="60"/>
        <v>1</v>
      </c>
      <c r="K845" s="65">
        <f t="shared" si="61"/>
        <v>0</v>
      </c>
      <c r="M845" s="73">
        <f t="shared" si="62"/>
        <v>0</v>
      </c>
      <c r="AC845" t="str">
        <f t="shared" si="63"/>
        <v>Jan</v>
      </c>
    </row>
    <row r="846" spans="3:29" x14ac:dyDescent="0.35">
      <c r="C846" s="80">
        <f t="shared" si="60"/>
        <v>1</v>
      </c>
      <c r="K846" s="65">
        <f t="shared" si="61"/>
        <v>0</v>
      </c>
      <c r="M846" s="73">
        <f t="shared" si="62"/>
        <v>0</v>
      </c>
      <c r="AC846" t="str">
        <f t="shared" si="63"/>
        <v>Jan</v>
      </c>
    </row>
    <row r="847" spans="3:29" x14ac:dyDescent="0.35">
      <c r="C847" s="80">
        <f t="shared" si="60"/>
        <v>1</v>
      </c>
      <c r="K847" s="65">
        <f t="shared" si="61"/>
        <v>0</v>
      </c>
      <c r="M847" s="73">
        <f t="shared" si="62"/>
        <v>0</v>
      </c>
      <c r="AC847" t="str">
        <f t="shared" si="63"/>
        <v>Jan</v>
      </c>
    </row>
    <row r="848" spans="3:29" x14ac:dyDescent="0.35">
      <c r="C848" s="80">
        <f t="shared" si="60"/>
        <v>1</v>
      </c>
      <c r="K848" s="65">
        <f t="shared" si="61"/>
        <v>0</v>
      </c>
      <c r="M848" s="73">
        <f t="shared" si="62"/>
        <v>0</v>
      </c>
      <c r="AC848" t="str">
        <f t="shared" si="63"/>
        <v>Jan</v>
      </c>
    </row>
    <row r="849" spans="3:29" x14ac:dyDescent="0.35">
      <c r="C849" s="80">
        <f t="shared" si="60"/>
        <v>1</v>
      </c>
      <c r="K849" s="65">
        <f t="shared" si="61"/>
        <v>0</v>
      </c>
      <c r="M849" s="73">
        <f t="shared" si="62"/>
        <v>0</v>
      </c>
      <c r="AC849" t="str">
        <f t="shared" si="63"/>
        <v>Jan</v>
      </c>
    </row>
    <row r="850" spans="3:29" x14ac:dyDescent="0.35">
      <c r="C850" s="80">
        <f t="shared" si="60"/>
        <v>1</v>
      </c>
      <c r="K850" s="65">
        <f t="shared" si="61"/>
        <v>0</v>
      </c>
      <c r="M850" s="73">
        <f t="shared" si="62"/>
        <v>0</v>
      </c>
      <c r="AC850" t="str">
        <f t="shared" si="63"/>
        <v>Jan</v>
      </c>
    </row>
    <row r="851" spans="3:29" x14ac:dyDescent="0.35">
      <c r="C851" s="80">
        <f t="shared" si="60"/>
        <v>1</v>
      </c>
      <c r="K851" s="65">
        <f t="shared" si="61"/>
        <v>0</v>
      </c>
      <c r="M851" s="73">
        <f t="shared" si="62"/>
        <v>0</v>
      </c>
      <c r="AC851" t="str">
        <f t="shared" si="63"/>
        <v>Jan</v>
      </c>
    </row>
    <row r="852" spans="3:29" x14ac:dyDescent="0.35">
      <c r="C852" s="80">
        <f t="shared" si="60"/>
        <v>1</v>
      </c>
      <c r="K852" s="65">
        <f t="shared" si="61"/>
        <v>0</v>
      </c>
      <c r="M852" s="73">
        <f t="shared" si="62"/>
        <v>0</v>
      </c>
      <c r="AC852" t="str">
        <f t="shared" si="63"/>
        <v>Jan</v>
      </c>
    </row>
    <row r="853" spans="3:29" x14ac:dyDescent="0.35">
      <c r="C853" s="80">
        <f t="shared" si="60"/>
        <v>1</v>
      </c>
      <c r="K853" s="65">
        <f t="shared" si="61"/>
        <v>0</v>
      </c>
      <c r="M853" s="73">
        <f t="shared" si="62"/>
        <v>0</v>
      </c>
      <c r="AC853" t="str">
        <f t="shared" si="63"/>
        <v>Jan</v>
      </c>
    </row>
    <row r="854" spans="3:29" x14ac:dyDescent="0.35">
      <c r="C854" s="80">
        <f t="shared" si="60"/>
        <v>1</v>
      </c>
      <c r="K854" s="65">
        <f t="shared" si="61"/>
        <v>0</v>
      </c>
      <c r="M854" s="73">
        <f t="shared" si="62"/>
        <v>0</v>
      </c>
      <c r="AC854" t="str">
        <f t="shared" si="63"/>
        <v>Jan</v>
      </c>
    </row>
    <row r="855" spans="3:29" x14ac:dyDescent="0.35">
      <c r="C855" s="80">
        <f t="shared" si="60"/>
        <v>1</v>
      </c>
      <c r="K855" s="65">
        <f t="shared" si="61"/>
        <v>0</v>
      </c>
      <c r="M855" s="73">
        <f t="shared" si="62"/>
        <v>0</v>
      </c>
      <c r="AC855" t="str">
        <f t="shared" si="63"/>
        <v>Jan</v>
      </c>
    </row>
    <row r="856" spans="3:29" x14ac:dyDescent="0.35">
      <c r="C856" s="80">
        <f t="shared" si="60"/>
        <v>1</v>
      </c>
      <c r="K856" s="65">
        <f t="shared" si="61"/>
        <v>0</v>
      </c>
      <c r="M856" s="73">
        <f t="shared" si="62"/>
        <v>0</v>
      </c>
      <c r="AC856" t="str">
        <f t="shared" si="63"/>
        <v>Jan</v>
      </c>
    </row>
    <row r="857" spans="3:29" x14ac:dyDescent="0.35">
      <c r="C857" s="80">
        <f t="shared" si="60"/>
        <v>1</v>
      </c>
      <c r="K857" s="65">
        <f t="shared" si="61"/>
        <v>0</v>
      </c>
      <c r="M857" s="73">
        <f t="shared" si="62"/>
        <v>0</v>
      </c>
      <c r="AC857" t="str">
        <f t="shared" si="63"/>
        <v>Jan</v>
      </c>
    </row>
    <row r="858" spans="3:29" x14ac:dyDescent="0.35">
      <c r="C858" s="80">
        <f t="shared" si="60"/>
        <v>1</v>
      </c>
      <c r="K858" s="65">
        <f t="shared" si="61"/>
        <v>0</v>
      </c>
      <c r="M858" s="73">
        <f t="shared" si="62"/>
        <v>0</v>
      </c>
      <c r="AC858" t="str">
        <f t="shared" si="63"/>
        <v>Jan</v>
      </c>
    </row>
    <row r="859" spans="3:29" x14ac:dyDescent="0.35">
      <c r="C859" s="80">
        <f t="shared" si="60"/>
        <v>1</v>
      </c>
      <c r="K859" s="65">
        <f t="shared" si="61"/>
        <v>0</v>
      </c>
      <c r="M859" s="73">
        <f t="shared" si="62"/>
        <v>0</v>
      </c>
      <c r="AC859" t="str">
        <f t="shared" si="63"/>
        <v>Jan</v>
      </c>
    </row>
    <row r="860" spans="3:29" x14ac:dyDescent="0.35">
      <c r="C860" s="80">
        <f t="shared" si="60"/>
        <v>1</v>
      </c>
      <c r="K860" s="65">
        <f t="shared" si="61"/>
        <v>0</v>
      </c>
      <c r="M860" s="73">
        <f t="shared" si="62"/>
        <v>0</v>
      </c>
      <c r="AC860" t="str">
        <f t="shared" si="63"/>
        <v>Jan</v>
      </c>
    </row>
    <row r="861" spans="3:29" x14ac:dyDescent="0.35">
      <c r="C861" s="80">
        <f t="shared" si="60"/>
        <v>1</v>
      </c>
      <c r="K861" s="65">
        <f t="shared" si="61"/>
        <v>0</v>
      </c>
      <c r="M861" s="73">
        <f t="shared" si="62"/>
        <v>0</v>
      </c>
      <c r="AC861" t="str">
        <f t="shared" si="63"/>
        <v>Jan</v>
      </c>
    </row>
    <row r="862" spans="3:29" x14ac:dyDescent="0.35">
      <c r="C862" s="80">
        <f t="shared" si="60"/>
        <v>1</v>
      </c>
      <c r="K862" s="65">
        <f t="shared" si="61"/>
        <v>0</v>
      </c>
      <c r="M862" s="73">
        <f t="shared" si="62"/>
        <v>0</v>
      </c>
      <c r="AC862" t="str">
        <f t="shared" si="63"/>
        <v>Jan</v>
      </c>
    </row>
    <row r="863" spans="3:29" x14ac:dyDescent="0.35">
      <c r="C863" s="80">
        <f t="shared" si="60"/>
        <v>1</v>
      </c>
      <c r="K863" s="65">
        <f t="shared" si="61"/>
        <v>0</v>
      </c>
      <c r="M863" s="73">
        <f t="shared" si="62"/>
        <v>0</v>
      </c>
      <c r="AC863" t="str">
        <f t="shared" si="63"/>
        <v>Jan</v>
      </c>
    </row>
    <row r="864" spans="3:29" x14ac:dyDescent="0.35">
      <c r="C864" s="80">
        <f t="shared" si="60"/>
        <v>1</v>
      </c>
      <c r="K864" s="65">
        <f t="shared" si="61"/>
        <v>0</v>
      </c>
      <c r="M864" s="73">
        <f t="shared" si="62"/>
        <v>0</v>
      </c>
      <c r="AC864" t="str">
        <f t="shared" si="63"/>
        <v>Jan</v>
      </c>
    </row>
    <row r="865" spans="3:29" x14ac:dyDescent="0.35">
      <c r="C865" s="80">
        <f t="shared" si="60"/>
        <v>1</v>
      </c>
      <c r="K865" s="65">
        <f t="shared" si="61"/>
        <v>0</v>
      </c>
      <c r="M865" s="73">
        <f t="shared" si="62"/>
        <v>0</v>
      </c>
      <c r="AC865" t="str">
        <f t="shared" si="63"/>
        <v>Jan</v>
      </c>
    </row>
    <row r="866" spans="3:29" x14ac:dyDescent="0.35">
      <c r="C866" s="80">
        <f t="shared" si="60"/>
        <v>1</v>
      </c>
      <c r="K866" s="65">
        <f t="shared" si="61"/>
        <v>0</v>
      </c>
      <c r="M866" s="73">
        <f t="shared" si="62"/>
        <v>0</v>
      </c>
      <c r="AC866" t="str">
        <f t="shared" si="63"/>
        <v>Jan</v>
      </c>
    </row>
    <row r="867" spans="3:29" x14ac:dyDescent="0.35">
      <c r="C867" s="80">
        <f t="shared" si="60"/>
        <v>1</v>
      </c>
      <c r="K867" s="65">
        <f t="shared" si="61"/>
        <v>0</v>
      </c>
      <c r="M867" s="73">
        <f t="shared" si="62"/>
        <v>0</v>
      </c>
      <c r="AC867" t="str">
        <f t="shared" si="63"/>
        <v>Jan</v>
      </c>
    </row>
    <row r="868" spans="3:29" x14ac:dyDescent="0.35">
      <c r="C868" s="80">
        <f t="shared" si="60"/>
        <v>1</v>
      </c>
      <c r="K868" s="65">
        <f t="shared" si="61"/>
        <v>0</v>
      </c>
      <c r="M868" s="73">
        <f t="shared" si="62"/>
        <v>0</v>
      </c>
      <c r="AC868" t="str">
        <f t="shared" si="63"/>
        <v>Jan</v>
      </c>
    </row>
    <row r="869" spans="3:29" x14ac:dyDescent="0.35">
      <c r="C869" s="80">
        <f t="shared" si="60"/>
        <v>1</v>
      </c>
      <c r="K869" s="65">
        <f t="shared" si="61"/>
        <v>0</v>
      </c>
      <c r="M869" s="73">
        <f t="shared" si="62"/>
        <v>0</v>
      </c>
      <c r="AC869" t="str">
        <f t="shared" si="63"/>
        <v>Jan</v>
      </c>
    </row>
    <row r="870" spans="3:29" x14ac:dyDescent="0.35">
      <c r="C870" s="80">
        <f t="shared" si="60"/>
        <v>1</v>
      </c>
      <c r="K870" s="65">
        <f t="shared" si="61"/>
        <v>0</v>
      </c>
      <c r="M870" s="73">
        <f t="shared" si="62"/>
        <v>0</v>
      </c>
      <c r="AC870" t="str">
        <f t="shared" si="63"/>
        <v>Jan</v>
      </c>
    </row>
    <row r="871" spans="3:29" x14ac:dyDescent="0.35">
      <c r="C871" s="80">
        <f t="shared" si="60"/>
        <v>1</v>
      </c>
      <c r="K871" s="65">
        <f t="shared" si="61"/>
        <v>0</v>
      </c>
      <c r="M871" s="73">
        <f t="shared" si="62"/>
        <v>0</v>
      </c>
      <c r="AC871" t="str">
        <f t="shared" si="63"/>
        <v>Jan</v>
      </c>
    </row>
    <row r="872" spans="3:29" x14ac:dyDescent="0.35">
      <c r="C872" s="80">
        <f t="shared" si="60"/>
        <v>1</v>
      </c>
      <c r="K872" s="65">
        <f t="shared" si="61"/>
        <v>0</v>
      </c>
      <c r="M872" s="73">
        <f t="shared" si="62"/>
        <v>0</v>
      </c>
      <c r="AC872" t="str">
        <f t="shared" si="63"/>
        <v>Jan</v>
      </c>
    </row>
    <row r="873" spans="3:29" x14ac:dyDescent="0.35">
      <c r="C873" s="80">
        <f t="shared" si="60"/>
        <v>1</v>
      </c>
      <c r="K873" s="65">
        <f t="shared" si="61"/>
        <v>0</v>
      </c>
      <c r="M873" s="73">
        <f t="shared" si="62"/>
        <v>0</v>
      </c>
      <c r="AC873" t="str">
        <f t="shared" si="63"/>
        <v>Jan</v>
      </c>
    </row>
    <row r="874" spans="3:29" x14ac:dyDescent="0.35">
      <c r="C874" s="80">
        <f t="shared" si="60"/>
        <v>1</v>
      </c>
      <c r="K874" s="65">
        <f t="shared" si="61"/>
        <v>0</v>
      </c>
      <c r="M874" s="73">
        <f t="shared" si="62"/>
        <v>0</v>
      </c>
      <c r="AC874" t="str">
        <f t="shared" si="63"/>
        <v>Jan</v>
      </c>
    </row>
    <row r="875" spans="3:29" x14ac:dyDescent="0.35">
      <c r="C875" s="80">
        <f t="shared" si="60"/>
        <v>1</v>
      </c>
      <c r="K875" s="65">
        <f t="shared" si="61"/>
        <v>0</v>
      </c>
      <c r="M875" s="73">
        <f t="shared" si="62"/>
        <v>0</v>
      </c>
      <c r="AC875" t="str">
        <f t="shared" si="63"/>
        <v>Jan</v>
      </c>
    </row>
    <row r="876" spans="3:29" x14ac:dyDescent="0.35">
      <c r="C876" s="80">
        <f t="shared" si="60"/>
        <v>1</v>
      </c>
      <c r="K876" s="65">
        <f t="shared" si="61"/>
        <v>0</v>
      </c>
      <c r="M876" s="73">
        <f t="shared" si="62"/>
        <v>0</v>
      </c>
      <c r="AC876" t="str">
        <f t="shared" si="63"/>
        <v>Jan</v>
      </c>
    </row>
    <row r="877" spans="3:29" x14ac:dyDescent="0.35">
      <c r="C877" s="80">
        <f t="shared" si="60"/>
        <v>1</v>
      </c>
      <c r="K877" s="65">
        <f t="shared" si="61"/>
        <v>0</v>
      </c>
      <c r="M877" s="73">
        <f t="shared" si="62"/>
        <v>0</v>
      </c>
      <c r="AC877" t="str">
        <f t="shared" si="63"/>
        <v>Jan</v>
      </c>
    </row>
    <row r="878" spans="3:29" x14ac:dyDescent="0.35">
      <c r="C878" s="80">
        <f t="shared" si="60"/>
        <v>1</v>
      </c>
      <c r="K878" s="65">
        <f t="shared" si="61"/>
        <v>0</v>
      </c>
      <c r="M878" s="73">
        <f t="shared" si="62"/>
        <v>0</v>
      </c>
      <c r="AC878" t="str">
        <f t="shared" si="63"/>
        <v>Jan</v>
      </c>
    </row>
    <row r="879" spans="3:29" x14ac:dyDescent="0.35">
      <c r="C879" s="80">
        <f t="shared" si="60"/>
        <v>1</v>
      </c>
      <c r="K879" s="65">
        <f t="shared" si="61"/>
        <v>0</v>
      </c>
      <c r="M879" s="73">
        <f t="shared" si="62"/>
        <v>0</v>
      </c>
      <c r="AC879" t="str">
        <f t="shared" si="63"/>
        <v>Jan</v>
      </c>
    </row>
    <row r="880" spans="3:29" x14ac:dyDescent="0.35">
      <c r="C880" s="80">
        <f t="shared" si="60"/>
        <v>1</v>
      </c>
      <c r="K880" s="65">
        <f t="shared" si="61"/>
        <v>0</v>
      </c>
      <c r="M880" s="73">
        <f t="shared" si="62"/>
        <v>0</v>
      </c>
      <c r="AC880" t="str">
        <f t="shared" si="63"/>
        <v>Jan</v>
      </c>
    </row>
    <row r="881" spans="3:29" x14ac:dyDescent="0.35">
      <c r="C881" s="80">
        <f t="shared" si="60"/>
        <v>1</v>
      </c>
      <c r="K881" s="65">
        <f t="shared" si="61"/>
        <v>0</v>
      </c>
      <c r="M881" s="73">
        <f t="shared" si="62"/>
        <v>0</v>
      </c>
      <c r="AC881" t="str">
        <f t="shared" si="63"/>
        <v>Jan</v>
      </c>
    </row>
    <row r="882" spans="3:29" x14ac:dyDescent="0.35">
      <c r="C882" s="80">
        <f t="shared" si="60"/>
        <v>1</v>
      </c>
      <c r="K882" s="65">
        <f t="shared" si="61"/>
        <v>0</v>
      </c>
      <c r="M882" s="73">
        <f t="shared" si="62"/>
        <v>0</v>
      </c>
      <c r="AC882" t="str">
        <f t="shared" si="63"/>
        <v>Jan</v>
      </c>
    </row>
    <row r="883" spans="3:29" x14ac:dyDescent="0.35">
      <c r="C883" s="80">
        <f t="shared" si="60"/>
        <v>1</v>
      </c>
      <c r="K883" s="65">
        <f t="shared" si="61"/>
        <v>0</v>
      </c>
      <c r="M883" s="73">
        <f t="shared" si="62"/>
        <v>0</v>
      </c>
      <c r="AC883" t="str">
        <f t="shared" si="63"/>
        <v>Jan</v>
      </c>
    </row>
    <row r="884" spans="3:29" x14ac:dyDescent="0.35">
      <c r="C884" s="80">
        <f t="shared" si="60"/>
        <v>1</v>
      </c>
      <c r="K884" s="65">
        <f t="shared" si="61"/>
        <v>0</v>
      </c>
      <c r="M884" s="73">
        <f t="shared" si="62"/>
        <v>0</v>
      </c>
      <c r="AC884" t="str">
        <f t="shared" si="63"/>
        <v>Jan</v>
      </c>
    </row>
    <row r="885" spans="3:29" x14ac:dyDescent="0.35">
      <c r="C885" s="80">
        <f t="shared" si="60"/>
        <v>1</v>
      </c>
      <c r="K885" s="65">
        <f t="shared" si="61"/>
        <v>0</v>
      </c>
      <c r="M885" s="73">
        <f t="shared" si="62"/>
        <v>0</v>
      </c>
      <c r="AC885" t="str">
        <f t="shared" si="63"/>
        <v>Jan</v>
      </c>
    </row>
    <row r="886" spans="3:29" x14ac:dyDescent="0.35">
      <c r="C886" s="80">
        <f t="shared" si="60"/>
        <v>1</v>
      </c>
      <c r="K886" s="65">
        <f t="shared" si="61"/>
        <v>0</v>
      </c>
      <c r="M886" s="73">
        <f t="shared" si="62"/>
        <v>0</v>
      </c>
      <c r="AC886" t="str">
        <f t="shared" si="63"/>
        <v>Jan</v>
      </c>
    </row>
    <row r="887" spans="3:29" x14ac:dyDescent="0.35">
      <c r="C887" s="80">
        <f t="shared" si="60"/>
        <v>1</v>
      </c>
      <c r="K887" s="65">
        <f t="shared" si="61"/>
        <v>0</v>
      </c>
      <c r="M887" s="73">
        <f t="shared" si="62"/>
        <v>0</v>
      </c>
      <c r="AC887" t="str">
        <f t="shared" si="63"/>
        <v>Jan</v>
      </c>
    </row>
    <row r="888" spans="3:29" x14ac:dyDescent="0.35">
      <c r="C888" s="80">
        <f t="shared" si="60"/>
        <v>1</v>
      </c>
      <c r="K888" s="65">
        <f t="shared" si="61"/>
        <v>0</v>
      </c>
      <c r="M888" s="73">
        <f t="shared" si="62"/>
        <v>0</v>
      </c>
      <c r="AC888" t="str">
        <f t="shared" si="63"/>
        <v>Jan</v>
      </c>
    </row>
    <row r="889" spans="3:29" x14ac:dyDescent="0.35">
      <c r="C889" s="80">
        <f t="shared" si="60"/>
        <v>1</v>
      </c>
      <c r="K889" s="65">
        <f t="shared" si="61"/>
        <v>0</v>
      </c>
      <c r="M889" s="73">
        <f t="shared" si="62"/>
        <v>0</v>
      </c>
      <c r="AC889" t="str">
        <f t="shared" si="63"/>
        <v>Jan</v>
      </c>
    </row>
    <row r="890" spans="3:29" x14ac:dyDescent="0.35">
      <c r="C890" s="80">
        <f t="shared" si="60"/>
        <v>1</v>
      </c>
      <c r="K890" s="65">
        <f t="shared" si="61"/>
        <v>0</v>
      </c>
      <c r="M890" s="73">
        <f t="shared" si="62"/>
        <v>0</v>
      </c>
      <c r="AC890" t="str">
        <f t="shared" si="63"/>
        <v>Jan</v>
      </c>
    </row>
    <row r="891" spans="3:29" x14ac:dyDescent="0.35">
      <c r="C891" s="80">
        <f t="shared" si="60"/>
        <v>1</v>
      </c>
      <c r="K891" s="65">
        <f t="shared" si="61"/>
        <v>0</v>
      </c>
      <c r="M891" s="73">
        <f t="shared" si="62"/>
        <v>0</v>
      </c>
      <c r="AC891" t="str">
        <f t="shared" si="63"/>
        <v>Jan</v>
      </c>
    </row>
    <row r="892" spans="3:29" x14ac:dyDescent="0.35">
      <c r="C892" s="80">
        <f t="shared" si="60"/>
        <v>1</v>
      </c>
      <c r="K892" s="65">
        <f t="shared" si="61"/>
        <v>0</v>
      </c>
      <c r="M892" s="73">
        <f t="shared" si="62"/>
        <v>0</v>
      </c>
      <c r="AC892" t="str">
        <f t="shared" si="63"/>
        <v>Jan</v>
      </c>
    </row>
    <row r="893" spans="3:29" x14ac:dyDescent="0.35">
      <c r="C893" s="80">
        <f t="shared" si="60"/>
        <v>1</v>
      </c>
      <c r="K893" s="65">
        <f t="shared" si="61"/>
        <v>0</v>
      </c>
      <c r="M893" s="73">
        <f t="shared" si="62"/>
        <v>0</v>
      </c>
      <c r="AC893" t="str">
        <f t="shared" si="63"/>
        <v>Jan</v>
      </c>
    </row>
    <row r="894" spans="3:29" x14ac:dyDescent="0.35">
      <c r="C894" s="80">
        <f t="shared" si="60"/>
        <v>1</v>
      </c>
      <c r="K894" s="65">
        <f t="shared" si="61"/>
        <v>0</v>
      </c>
      <c r="M894" s="73">
        <f t="shared" si="62"/>
        <v>0</v>
      </c>
      <c r="AC894" t="str">
        <f t="shared" si="63"/>
        <v>Jan</v>
      </c>
    </row>
    <row r="895" spans="3:29" x14ac:dyDescent="0.35">
      <c r="C895" s="80">
        <f t="shared" si="60"/>
        <v>1</v>
      </c>
      <c r="K895" s="65">
        <f t="shared" si="61"/>
        <v>0</v>
      </c>
      <c r="M895" s="73">
        <f t="shared" si="62"/>
        <v>0</v>
      </c>
      <c r="AC895" t="str">
        <f t="shared" si="63"/>
        <v>Jan</v>
      </c>
    </row>
    <row r="896" spans="3:29" x14ac:dyDescent="0.35">
      <c r="C896" s="80">
        <f t="shared" si="60"/>
        <v>1</v>
      </c>
      <c r="K896" s="65">
        <f t="shared" si="61"/>
        <v>0</v>
      </c>
      <c r="M896" s="73">
        <f t="shared" si="62"/>
        <v>0</v>
      </c>
      <c r="AC896" t="str">
        <f t="shared" si="63"/>
        <v>Jan</v>
      </c>
    </row>
    <row r="897" spans="3:29" x14ac:dyDescent="0.35">
      <c r="C897" s="80">
        <f t="shared" si="60"/>
        <v>1</v>
      </c>
      <c r="K897" s="65">
        <f t="shared" si="61"/>
        <v>0</v>
      </c>
      <c r="M897" s="73">
        <f t="shared" si="62"/>
        <v>0</v>
      </c>
      <c r="AC897" t="str">
        <f t="shared" si="63"/>
        <v>Jan</v>
      </c>
    </row>
    <row r="898" spans="3:29" x14ac:dyDescent="0.35">
      <c r="C898" s="80">
        <f t="shared" si="60"/>
        <v>1</v>
      </c>
      <c r="K898" s="65">
        <f t="shared" si="61"/>
        <v>0</v>
      </c>
      <c r="M898" s="73">
        <f t="shared" si="62"/>
        <v>0</v>
      </c>
      <c r="AC898" t="str">
        <f t="shared" si="63"/>
        <v>Jan</v>
      </c>
    </row>
    <row r="899" spans="3:29" x14ac:dyDescent="0.35">
      <c r="C899" s="80">
        <f t="shared" si="60"/>
        <v>1</v>
      </c>
      <c r="K899" s="65">
        <f t="shared" si="61"/>
        <v>0</v>
      </c>
      <c r="M899" s="73">
        <f t="shared" si="62"/>
        <v>0</v>
      </c>
      <c r="AC899" t="str">
        <f t="shared" si="63"/>
        <v>Jan</v>
      </c>
    </row>
    <row r="900" spans="3:29" x14ac:dyDescent="0.35">
      <c r="C900" s="80">
        <f t="shared" si="60"/>
        <v>1</v>
      </c>
      <c r="K900" s="65">
        <f t="shared" si="61"/>
        <v>0</v>
      </c>
      <c r="M900" s="73">
        <f t="shared" si="62"/>
        <v>0</v>
      </c>
      <c r="AC900" t="str">
        <f t="shared" si="63"/>
        <v>Jan</v>
      </c>
    </row>
    <row r="901" spans="3:29" x14ac:dyDescent="0.35">
      <c r="C901" s="80">
        <f t="shared" si="60"/>
        <v>1</v>
      </c>
      <c r="K901" s="65">
        <f t="shared" si="61"/>
        <v>0</v>
      </c>
      <c r="M901" s="73">
        <f t="shared" si="62"/>
        <v>0</v>
      </c>
      <c r="AC901" t="str">
        <f t="shared" si="63"/>
        <v>Jan</v>
      </c>
    </row>
    <row r="902" spans="3:29" x14ac:dyDescent="0.35">
      <c r="C902" s="80">
        <f t="shared" ref="C902:C965" si="64">MONTH(B902)</f>
        <v>1</v>
      </c>
      <c r="K902" s="65">
        <f t="shared" ref="K902:K965" si="65">I902*J902</f>
        <v>0</v>
      </c>
      <c r="M902" s="73">
        <f t="shared" ref="M902:M965" si="66">K902-L902</f>
        <v>0</v>
      </c>
      <c r="AC902" t="str">
        <f t="shared" si="63"/>
        <v>Jan</v>
      </c>
    </row>
    <row r="903" spans="3:29" x14ac:dyDescent="0.35">
      <c r="C903" s="80">
        <f t="shared" si="64"/>
        <v>1</v>
      </c>
      <c r="K903" s="65">
        <f t="shared" si="65"/>
        <v>0</v>
      </c>
      <c r="M903" s="73">
        <f t="shared" si="66"/>
        <v>0</v>
      </c>
      <c r="AC903" t="str">
        <f t="shared" ref="AC903:AC966" si="67">IFERROR(INDEX(AA:AA,MATCH(C903,Z:Z,0)),"")</f>
        <v>Jan</v>
      </c>
    </row>
    <row r="904" spans="3:29" x14ac:dyDescent="0.35">
      <c r="C904" s="80">
        <f t="shared" si="64"/>
        <v>1</v>
      </c>
      <c r="K904" s="65">
        <f t="shared" si="65"/>
        <v>0</v>
      </c>
      <c r="M904" s="73">
        <f t="shared" si="66"/>
        <v>0</v>
      </c>
      <c r="AC904" t="str">
        <f t="shared" si="67"/>
        <v>Jan</v>
      </c>
    </row>
    <row r="905" spans="3:29" x14ac:dyDescent="0.35">
      <c r="C905" s="80">
        <f t="shared" si="64"/>
        <v>1</v>
      </c>
      <c r="K905" s="65">
        <f t="shared" si="65"/>
        <v>0</v>
      </c>
      <c r="M905" s="73">
        <f t="shared" si="66"/>
        <v>0</v>
      </c>
      <c r="AC905" t="str">
        <f t="shared" si="67"/>
        <v>Jan</v>
      </c>
    </row>
    <row r="906" spans="3:29" x14ac:dyDescent="0.35">
      <c r="C906" s="80">
        <f t="shared" si="64"/>
        <v>1</v>
      </c>
      <c r="K906" s="65">
        <f t="shared" si="65"/>
        <v>0</v>
      </c>
      <c r="M906" s="73">
        <f t="shared" si="66"/>
        <v>0</v>
      </c>
      <c r="AC906" t="str">
        <f t="shared" si="67"/>
        <v>Jan</v>
      </c>
    </row>
    <row r="907" spans="3:29" x14ac:dyDescent="0.35">
      <c r="C907" s="80">
        <f t="shared" si="64"/>
        <v>1</v>
      </c>
      <c r="K907" s="65">
        <f t="shared" si="65"/>
        <v>0</v>
      </c>
      <c r="M907" s="73">
        <f t="shared" si="66"/>
        <v>0</v>
      </c>
      <c r="AC907" t="str">
        <f t="shared" si="67"/>
        <v>Jan</v>
      </c>
    </row>
    <row r="908" spans="3:29" x14ac:dyDescent="0.35">
      <c r="C908" s="80">
        <f t="shared" si="64"/>
        <v>1</v>
      </c>
      <c r="K908" s="65">
        <f t="shared" si="65"/>
        <v>0</v>
      </c>
      <c r="M908" s="73">
        <f t="shared" si="66"/>
        <v>0</v>
      </c>
      <c r="AC908" t="str">
        <f t="shared" si="67"/>
        <v>Jan</v>
      </c>
    </row>
    <row r="909" spans="3:29" x14ac:dyDescent="0.35">
      <c r="C909" s="80">
        <f t="shared" si="64"/>
        <v>1</v>
      </c>
      <c r="K909" s="65">
        <f t="shared" si="65"/>
        <v>0</v>
      </c>
      <c r="M909" s="73">
        <f t="shared" si="66"/>
        <v>0</v>
      </c>
      <c r="AC909" t="str">
        <f t="shared" si="67"/>
        <v>Jan</v>
      </c>
    </row>
    <row r="910" spans="3:29" x14ac:dyDescent="0.35">
      <c r="C910" s="80">
        <f t="shared" si="64"/>
        <v>1</v>
      </c>
      <c r="K910" s="65">
        <f t="shared" si="65"/>
        <v>0</v>
      </c>
      <c r="M910" s="73">
        <f t="shared" si="66"/>
        <v>0</v>
      </c>
      <c r="AC910" t="str">
        <f t="shared" si="67"/>
        <v>Jan</v>
      </c>
    </row>
    <row r="911" spans="3:29" x14ac:dyDescent="0.35">
      <c r="C911" s="80">
        <f t="shared" si="64"/>
        <v>1</v>
      </c>
      <c r="K911" s="65">
        <f t="shared" si="65"/>
        <v>0</v>
      </c>
      <c r="M911" s="73">
        <f t="shared" si="66"/>
        <v>0</v>
      </c>
      <c r="AC911" t="str">
        <f t="shared" si="67"/>
        <v>Jan</v>
      </c>
    </row>
    <row r="912" spans="3:29" x14ac:dyDescent="0.35">
      <c r="C912" s="80">
        <f t="shared" si="64"/>
        <v>1</v>
      </c>
      <c r="K912" s="65">
        <f t="shared" si="65"/>
        <v>0</v>
      </c>
      <c r="M912" s="73">
        <f t="shared" si="66"/>
        <v>0</v>
      </c>
      <c r="AC912" t="str">
        <f t="shared" si="67"/>
        <v>Jan</v>
      </c>
    </row>
    <row r="913" spans="3:29" x14ac:dyDescent="0.35">
      <c r="C913" s="80">
        <f t="shared" si="64"/>
        <v>1</v>
      </c>
      <c r="K913" s="65">
        <f t="shared" si="65"/>
        <v>0</v>
      </c>
      <c r="M913" s="73">
        <f t="shared" si="66"/>
        <v>0</v>
      </c>
      <c r="AC913" t="str">
        <f t="shared" si="67"/>
        <v>Jan</v>
      </c>
    </row>
    <row r="914" spans="3:29" x14ac:dyDescent="0.35">
      <c r="C914" s="80">
        <f t="shared" si="64"/>
        <v>1</v>
      </c>
      <c r="K914" s="65">
        <f t="shared" si="65"/>
        <v>0</v>
      </c>
      <c r="M914" s="73">
        <f t="shared" si="66"/>
        <v>0</v>
      </c>
      <c r="AC914" t="str">
        <f t="shared" si="67"/>
        <v>Jan</v>
      </c>
    </row>
    <row r="915" spans="3:29" x14ac:dyDescent="0.35">
      <c r="C915" s="80">
        <f t="shared" si="64"/>
        <v>1</v>
      </c>
      <c r="K915" s="65">
        <f t="shared" si="65"/>
        <v>0</v>
      </c>
      <c r="M915" s="73">
        <f t="shared" si="66"/>
        <v>0</v>
      </c>
      <c r="AC915" t="str">
        <f t="shared" si="67"/>
        <v>Jan</v>
      </c>
    </row>
    <row r="916" spans="3:29" x14ac:dyDescent="0.35">
      <c r="C916" s="80">
        <f t="shared" si="64"/>
        <v>1</v>
      </c>
      <c r="K916" s="65">
        <f t="shared" si="65"/>
        <v>0</v>
      </c>
      <c r="M916" s="73">
        <f t="shared" si="66"/>
        <v>0</v>
      </c>
      <c r="AC916" t="str">
        <f t="shared" si="67"/>
        <v>Jan</v>
      </c>
    </row>
    <row r="917" spans="3:29" x14ac:dyDescent="0.35">
      <c r="C917" s="80">
        <f t="shared" si="64"/>
        <v>1</v>
      </c>
      <c r="K917" s="65">
        <f t="shared" si="65"/>
        <v>0</v>
      </c>
      <c r="M917" s="73">
        <f t="shared" si="66"/>
        <v>0</v>
      </c>
      <c r="AC917" t="str">
        <f t="shared" si="67"/>
        <v>Jan</v>
      </c>
    </row>
    <row r="918" spans="3:29" x14ac:dyDescent="0.35">
      <c r="C918" s="80">
        <f t="shared" si="64"/>
        <v>1</v>
      </c>
      <c r="K918" s="65">
        <f t="shared" si="65"/>
        <v>0</v>
      </c>
      <c r="M918" s="73">
        <f t="shared" si="66"/>
        <v>0</v>
      </c>
      <c r="AC918" t="str">
        <f t="shared" si="67"/>
        <v>Jan</v>
      </c>
    </row>
    <row r="919" spans="3:29" x14ac:dyDescent="0.35">
      <c r="C919" s="80">
        <f t="shared" si="64"/>
        <v>1</v>
      </c>
      <c r="K919" s="65">
        <f t="shared" si="65"/>
        <v>0</v>
      </c>
      <c r="M919" s="73">
        <f t="shared" si="66"/>
        <v>0</v>
      </c>
      <c r="AC919" t="str">
        <f t="shared" si="67"/>
        <v>Jan</v>
      </c>
    </row>
    <row r="920" spans="3:29" x14ac:dyDescent="0.35">
      <c r="C920" s="80">
        <f t="shared" si="64"/>
        <v>1</v>
      </c>
      <c r="K920" s="65">
        <f t="shared" si="65"/>
        <v>0</v>
      </c>
      <c r="M920" s="73">
        <f t="shared" si="66"/>
        <v>0</v>
      </c>
      <c r="AC920" t="str">
        <f t="shared" si="67"/>
        <v>Jan</v>
      </c>
    </row>
    <row r="921" spans="3:29" x14ac:dyDescent="0.35">
      <c r="C921" s="80">
        <f t="shared" si="64"/>
        <v>1</v>
      </c>
      <c r="K921" s="65">
        <f t="shared" si="65"/>
        <v>0</v>
      </c>
      <c r="M921" s="73">
        <f t="shared" si="66"/>
        <v>0</v>
      </c>
      <c r="AC921" t="str">
        <f t="shared" si="67"/>
        <v>Jan</v>
      </c>
    </row>
    <row r="922" spans="3:29" x14ac:dyDescent="0.35">
      <c r="C922" s="80">
        <f t="shared" si="64"/>
        <v>1</v>
      </c>
      <c r="K922" s="65">
        <f t="shared" si="65"/>
        <v>0</v>
      </c>
      <c r="M922" s="73">
        <f t="shared" si="66"/>
        <v>0</v>
      </c>
      <c r="AC922" t="str">
        <f t="shared" si="67"/>
        <v>Jan</v>
      </c>
    </row>
    <row r="923" spans="3:29" x14ac:dyDescent="0.35">
      <c r="C923" s="80">
        <f t="shared" si="64"/>
        <v>1</v>
      </c>
      <c r="K923" s="65">
        <f t="shared" si="65"/>
        <v>0</v>
      </c>
      <c r="M923" s="73">
        <f t="shared" si="66"/>
        <v>0</v>
      </c>
      <c r="AC923" t="str">
        <f t="shared" si="67"/>
        <v>Jan</v>
      </c>
    </row>
    <row r="924" spans="3:29" x14ac:dyDescent="0.35">
      <c r="C924" s="80">
        <f t="shared" si="64"/>
        <v>1</v>
      </c>
      <c r="K924" s="65">
        <f t="shared" si="65"/>
        <v>0</v>
      </c>
      <c r="M924" s="73">
        <f t="shared" si="66"/>
        <v>0</v>
      </c>
      <c r="AC924" t="str">
        <f t="shared" si="67"/>
        <v>Jan</v>
      </c>
    </row>
    <row r="925" spans="3:29" x14ac:dyDescent="0.35">
      <c r="C925" s="80">
        <f t="shared" si="64"/>
        <v>1</v>
      </c>
      <c r="K925" s="65">
        <f t="shared" si="65"/>
        <v>0</v>
      </c>
      <c r="M925" s="73">
        <f t="shared" si="66"/>
        <v>0</v>
      </c>
      <c r="AC925" t="str">
        <f t="shared" si="67"/>
        <v>Jan</v>
      </c>
    </row>
    <row r="926" spans="3:29" x14ac:dyDescent="0.35">
      <c r="C926" s="80">
        <f t="shared" si="64"/>
        <v>1</v>
      </c>
      <c r="K926" s="65">
        <f t="shared" si="65"/>
        <v>0</v>
      </c>
      <c r="M926" s="73">
        <f t="shared" si="66"/>
        <v>0</v>
      </c>
      <c r="AC926" t="str">
        <f t="shared" si="67"/>
        <v>Jan</v>
      </c>
    </row>
    <row r="927" spans="3:29" x14ac:dyDescent="0.35">
      <c r="C927" s="80">
        <f t="shared" si="64"/>
        <v>1</v>
      </c>
      <c r="K927" s="65">
        <f t="shared" si="65"/>
        <v>0</v>
      </c>
      <c r="M927" s="73">
        <f t="shared" si="66"/>
        <v>0</v>
      </c>
      <c r="AC927" t="str">
        <f t="shared" si="67"/>
        <v>Jan</v>
      </c>
    </row>
    <row r="928" spans="3:29" x14ac:dyDescent="0.35">
      <c r="C928" s="80">
        <f t="shared" si="64"/>
        <v>1</v>
      </c>
      <c r="K928" s="65">
        <f t="shared" si="65"/>
        <v>0</v>
      </c>
      <c r="M928" s="73">
        <f t="shared" si="66"/>
        <v>0</v>
      </c>
      <c r="AC928" t="str">
        <f t="shared" si="67"/>
        <v>Jan</v>
      </c>
    </row>
    <row r="929" spans="3:29" x14ac:dyDescent="0.35">
      <c r="C929" s="80">
        <f t="shared" si="64"/>
        <v>1</v>
      </c>
      <c r="K929" s="65">
        <f t="shared" si="65"/>
        <v>0</v>
      </c>
      <c r="M929" s="73">
        <f t="shared" si="66"/>
        <v>0</v>
      </c>
      <c r="AC929" t="str">
        <f t="shared" si="67"/>
        <v>Jan</v>
      </c>
    </row>
    <row r="930" spans="3:29" x14ac:dyDescent="0.35">
      <c r="C930" s="80">
        <f t="shared" si="64"/>
        <v>1</v>
      </c>
      <c r="K930" s="65">
        <f t="shared" si="65"/>
        <v>0</v>
      </c>
      <c r="M930" s="73">
        <f t="shared" si="66"/>
        <v>0</v>
      </c>
      <c r="AC930" t="str">
        <f t="shared" si="67"/>
        <v>Jan</v>
      </c>
    </row>
    <row r="931" spans="3:29" x14ac:dyDescent="0.35">
      <c r="C931" s="80">
        <f t="shared" si="64"/>
        <v>1</v>
      </c>
      <c r="K931" s="65">
        <f t="shared" si="65"/>
        <v>0</v>
      </c>
      <c r="M931" s="73">
        <f t="shared" si="66"/>
        <v>0</v>
      </c>
      <c r="AC931" t="str">
        <f t="shared" si="67"/>
        <v>Jan</v>
      </c>
    </row>
    <row r="932" spans="3:29" x14ac:dyDescent="0.35">
      <c r="C932" s="80">
        <f t="shared" si="64"/>
        <v>1</v>
      </c>
      <c r="K932" s="65">
        <f t="shared" si="65"/>
        <v>0</v>
      </c>
      <c r="M932" s="73">
        <f t="shared" si="66"/>
        <v>0</v>
      </c>
      <c r="AC932" t="str">
        <f t="shared" si="67"/>
        <v>Jan</v>
      </c>
    </row>
    <row r="933" spans="3:29" x14ac:dyDescent="0.35">
      <c r="C933" s="80">
        <f t="shared" si="64"/>
        <v>1</v>
      </c>
      <c r="K933" s="65">
        <f t="shared" si="65"/>
        <v>0</v>
      </c>
      <c r="M933" s="73">
        <f t="shared" si="66"/>
        <v>0</v>
      </c>
      <c r="AC933" t="str">
        <f t="shared" si="67"/>
        <v>Jan</v>
      </c>
    </row>
    <row r="934" spans="3:29" x14ac:dyDescent="0.35">
      <c r="C934" s="80">
        <f t="shared" si="64"/>
        <v>1</v>
      </c>
      <c r="K934" s="65">
        <f t="shared" si="65"/>
        <v>0</v>
      </c>
      <c r="M934" s="73">
        <f t="shared" si="66"/>
        <v>0</v>
      </c>
      <c r="AC934" t="str">
        <f t="shared" si="67"/>
        <v>Jan</v>
      </c>
    </row>
    <row r="935" spans="3:29" x14ac:dyDescent="0.35">
      <c r="C935" s="80">
        <f t="shared" si="64"/>
        <v>1</v>
      </c>
      <c r="K935" s="65">
        <f t="shared" si="65"/>
        <v>0</v>
      </c>
      <c r="M935" s="73">
        <f t="shared" si="66"/>
        <v>0</v>
      </c>
      <c r="AC935" t="str">
        <f t="shared" si="67"/>
        <v>Jan</v>
      </c>
    </row>
    <row r="936" spans="3:29" x14ac:dyDescent="0.35">
      <c r="C936" s="80">
        <f t="shared" si="64"/>
        <v>1</v>
      </c>
      <c r="K936" s="65">
        <f t="shared" si="65"/>
        <v>0</v>
      </c>
      <c r="M936" s="73">
        <f t="shared" si="66"/>
        <v>0</v>
      </c>
      <c r="AC936" t="str">
        <f t="shared" si="67"/>
        <v>Jan</v>
      </c>
    </row>
    <row r="937" spans="3:29" x14ac:dyDescent="0.35">
      <c r="C937" s="80">
        <f t="shared" si="64"/>
        <v>1</v>
      </c>
      <c r="K937" s="65">
        <f t="shared" si="65"/>
        <v>0</v>
      </c>
      <c r="M937" s="73">
        <f t="shared" si="66"/>
        <v>0</v>
      </c>
      <c r="AC937" t="str">
        <f t="shared" si="67"/>
        <v>Jan</v>
      </c>
    </row>
    <row r="938" spans="3:29" x14ac:dyDescent="0.35">
      <c r="C938" s="80">
        <f t="shared" si="64"/>
        <v>1</v>
      </c>
      <c r="K938" s="65">
        <f t="shared" si="65"/>
        <v>0</v>
      </c>
      <c r="M938" s="73">
        <f t="shared" si="66"/>
        <v>0</v>
      </c>
      <c r="AC938" t="str">
        <f t="shared" si="67"/>
        <v>Jan</v>
      </c>
    </row>
    <row r="939" spans="3:29" x14ac:dyDescent="0.35">
      <c r="C939" s="80">
        <f t="shared" si="64"/>
        <v>1</v>
      </c>
      <c r="K939" s="65">
        <f t="shared" si="65"/>
        <v>0</v>
      </c>
      <c r="M939" s="73">
        <f t="shared" si="66"/>
        <v>0</v>
      </c>
      <c r="AC939" t="str">
        <f t="shared" si="67"/>
        <v>Jan</v>
      </c>
    </row>
    <row r="940" spans="3:29" x14ac:dyDescent="0.35">
      <c r="C940" s="80">
        <f t="shared" si="64"/>
        <v>1</v>
      </c>
      <c r="K940" s="65">
        <f t="shared" si="65"/>
        <v>0</v>
      </c>
      <c r="M940" s="73">
        <f t="shared" si="66"/>
        <v>0</v>
      </c>
      <c r="AC940" t="str">
        <f t="shared" si="67"/>
        <v>Jan</v>
      </c>
    </row>
    <row r="941" spans="3:29" x14ac:dyDescent="0.35">
      <c r="C941" s="80">
        <f t="shared" si="64"/>
        <v>1</v>
      </c>
      <c r="K941" s="65">
        <f t="shared" si="65"/>
        <v>0</v>
      </c>
      <c r="M941" s="73">
        <f t="shared" si="66"/>
        <v>0</v>
      </c>
      <c r="AC941" t="str">
        <f t="shared" si="67"/>
        <v>Jan</v>
      </c>
    </row>
    <row r="942" spans="3:29" x14ac:dyDescent="0.35">
      <c r="C942" s="80">
        <f t="shared" si="64"/>
        <v>1</v>
      </c>
      <c r="K942" s="65">
        <f t="shared" si="65"/>
        <v>0</v>
      </c>
      <c r="M942" s="73">
        <f t="shared" si="66"/>
        <v>0</v>
      </c>
      <c r="AC942" t="str">
        <f t="shared" si="67"/>
        <v>Jan</v>
      </c>
    </row>
    <row r="943" spans="3:29" x14ac:dyDescent="0.35">
      <c r="C943" s="80">
        <f t="shared" si="64"/>
        <v>1</v>
      </c>
      <c r="K943" s="65">
        <f t="shared" si="65"/>
        <v>0</v>
      </c>
      <c r="M943" s="73">
        <f t="shared" si="66"/>
        <v>0</v>
      </c>
      <c r="AC943" t="str">
        <f t="shared" si="67"/>
        <v>Jan</v>
      </c>
    </row>
    <row r="944" spans="3:29" x14ac:dyDescent="0.35">
      <c r="C944" s="80">
        <f t="shared" si="64"/>
        <v>1</v>
      </c>
      <c r="K944" s="65">
        <f t="shared" si="65"/>
        <v>0</v>
      </c>
      <c r="M944" s="73">
        <f t="shared" si="66"/>
        <v>0</v>
      </c>
      <c r="AC944" t="str">
        <f t="shared" si="67"/>
        <v>Jan</v>
      </c>
    </row>
    <row r="945" spans="3:29" x14ac:dyDescent="0.35">
      <c r="C945" s="80">
        <f t="shared" si="64"/>
        <v>1</v>
      </c>
      <c r="K945" s="65">
        <f t="shared" si="65"/>
        <v>0</v>
      </c>
      <c r="M945" s="73">
        <f t="shared" si="66"/>
        <v>0</v>
      </c>
      <c r="AC945" t="str">
        <f t="shared" si="67"/>
        <v>Jan</v>
      </c>
    </row>
    <row r="946" spans="3:29" x14ac:dyDescent="0.35">
      <c r="C946" s="80">
        <f t="shared" si="64"/>
        <v>1</v>
      </c>
      <c r="K946" s="65">
        <f t="shared" si="65"/>
        <v>0</v>
      </c>
      <c r="M946" s="73">
        <f t="shared" si="66"/>
        <v>0</v>
      </c>
      <c r="AC946" t="str">
        <f t="shared" si="67"/>
        <v>Jan</v>
      </c>
    </row>
    <row r="947" spans="3:29" x14ac:dyDescent="0.35">
      <c r="C947" s="80">
        <f t="shared" si="64"/>
        <v>1</v>
      </c>
      <c r="K947" s="65">
        <f t="shared" si="65"/>
        <v>0</v>
      </c>
      <c r="M947" s="73">
        <f t="shared" si="66"/>
        <v>0</v>
      </c>
      <c r="AC947" t="str">
        <f t="shared" si="67"/>
        <v>Jan</v>
      </c>
    </row>
    <row r="948" spans="3:29" x14ac:dyDescent="0.35">
      <c r="C948" s="80">
        <f t="shared" si="64"/>
        <v>1</v>
      </c>
      <c r="K948" s="65">
        <f t="shared" si="65"/>
        <v>0</v>
      </c>
      <c r="M948" s="73">
        <f t="shared" si="66"/>
        <v>0</v>
      </c>
      <c r="AC948" t="str">
        <f t="shared" si="67"/>
        <v>Jan</v>
      </c>
    </row>
    <row r="949" spans="3:29" x14ac:dyDescent="0.35">
      <c r="C949" s="80">
        <f t="shared" si="64"/>
        <v>1</v>
      </c>
      <c r="K949" s="65">
        <f t="shared" si="65"/>
        <v>0</v>
      </c>
      <c r="M949" s="73">
        <f t="shared" si="66"/>
        <v>0</v>
      </c>
      <c r="AC949" t="str">
        <f t="shared" si="67"/>
        <v>Jan</v>
      </c>
    </row>
    <row r="950" spans="3:29" x14ac:dyDescent="0.35">
      <c r="C950" s="80">
        <f t="shared" si="64"/>
        <v>1</v>
      </c>
      <c r="K950" s="65">
        <f t="shared" si="65"/>
        <v>0</v>
      </c>
      <c r="M950" s="73">
        <f t="shared" si="66"/>
        <v>0</v>
      </c>
      <c r="AC950" t="str">
        <f t="shared" si="67"/>
        <v>Jan</v>
      </c>
    </row>
    <row r="951" spans="3:29" x14ac:dyDescent="0.35">
      <c r="C951" s="80">
        <f t="shared" si="64"/>
        <v>1</v>
      </c>
      <c r="K951" s="65">
        <f t="shared" si="65"/>
        <v>0</v>
      </c>
      <c r="M951" s="73">
        <f t="shared" si="66"/>
        <v>0</v>
      </c>
      <c r="AC951" t="str">
        <f t="shared" si="67"/>
        <v>Jan</v>
      </c>
    </row>
    <row r="952" spans="3:29" x14ac:dyDescent="0.35">
      <c r="C952" s="80">
        <f t="shared" si="64"/>
        <v>1</v>
      </c>
      <c r="K952" s="65">
        <f t="shared" si="65"/>
        <v>0</v>
      </c>
      <c r="M952" s="73">
        <f t="shared" si="66"/>
        <v>0</v>
      </c>
      <c r="AC952" t="str">
        <f t="shared" si="67"/>
        <v>Jan</v>
      </c>
    </row>
    <row r="953" spans="3:29" x14ac:dyDescent="0.35">
      <c r="C953" s="80">
        <f t="shared" si="64"/>
        <v>1</v>
      </c>
      <c r="K953" s="65">
        <f t="shared" si="65"/>
        <v>0</v>
      </c>
      <c r="M953" s="73">
        <f t="shared" si="66"/>
        <v>0</v>
      </c>
      <c r="AC953" t="str">
        <f t="shared" si="67"/>
        <v>Jan</v>
      </c>
    </row>
    <row r="954" spans="3:29" x14ac:dyDescent="0.35">
      <c r="C954" s="80">
        <f t="shared" si="64"/>
        <v>1</v>
      </c>
      <c r="K954" s="65">
        <f t="shared" si="65"/>
        <v>0</v>
      </c>
      <c r="M954" s="73">
        <f t="shared" si="66"/>
        <v>0</v>
      </c>
      <c r="AC954" t="str">
        <f t="shared" si="67"/>
        <v>Jan</v>
      </c>
    </row>
    <row r="955" spans="3:29" x14ac:dyDescent="0.35">
      <c r="C955" s="80">
        <f t="shared" si="64"/>
        <v>1</v>
      </c>
      <c r="K955" s="65">
        <f t="shared" si="65"/>
        <v>0</v>
      </c>
      <c r="M955" s="73">
        <f t="shared" si="66"/>
        <v>0</v>
      </c>
      <c r="AC955" t="str">
        <f t="shared" si="67"/>
        <v>Jan</v>
      </c>
    </row>
    <row r="956" spans="3:29" x14ac:dyDescent="0.35">
      <c r="C956" s="80">
        <f t="shared" si="64"/>
        <v>1</v>
      </c>
      <c r="K956" s="65">
        <f t="shared" si="65"/>
        <v>0</v>
      </c>
      <c r="M956" s="73">
        <f t="shared" si="66"/>
        <v>0</v>
      </c>
      <c r="AC956" t="str">
        <f t="shared" si="67"/>
        <v>Jan</v>
      </c>
    </row>
    <row r="957" spans="3:29" x14ac:dyDescent="0.35">
      <c r="C957" s="80">
        <f t="shared" si="64"/>
        <v>1</v>
      </c>
      <c r="K957" s="65">
        <f t="shared" si="65"/>
        <v>0</v>
      </c>
      <c r="M957" s="73">
        <f t="shared" si="66"/>
        <v>0</v>
      </c>
      <c r="AC957" t="str">
        <f t="shared" si="67"/>
        <v>Jan</v>
      </c>
    </row>
    <row r="958" spans="3:29" x14ac:dyDescent="0.35">
      <c r="C958" s="80">
        <f t="shared" si="64"/>
        <v>1</v>
      </c>
      <c r="K958" s="65">
        <f t="shared" si="65"/>
        <v>0</v>
      </c>
      <c r="M958" s="73">
        <f t="shared" si="66"/>
        <v>0</v>
      </c>
      <c r="AC958" t="str">
        <f t="shared" si="67"/>
        <v>Jan</v>
      </c>
    </row>
    <row r="959" spans="3:29" x14ac:dyDescent="0.35">
      <c r="C959" s="80">
        <f t="shared" si="64"/>
        <v>1</v>
      </c>
      <c r="K959" s="65">
        <f t="shared" si="65"/>
        <v>0</v>
      </c>
      <c r="M959" s="73">
        <f t="shared" si="66"/>
        <v>0</v>
      </c>
      <c r="AC959" t="str">
        <f t="shared" si="67"/>
        <v>Jan</v>
      </c>
    </row>
    <row r="960" spans="3:29" x14ac:dyDescent="0.35">
      <c r="C960" s="80">
        <f t="shared" si="64"/>
        <v>1</v>
      </c>
      <c r="K960" s="65">
        <f t="shared" si="65"/>
        <v>0</v>
      </c>
      <c r="M960" s="73">
        <f t="shared" si="66"/>
        <v>0</v>
      </c>
      <c r="AC960" t="str">
        <f t="shared" si="67"/>
        <v>Jan</v>
      </c>
    </row>
    <row r="961" spans="3:29" x14ac:dyDescent="0.35">
      <c r="C961" s="80">
        <f t="shared" si="64"/>
        <v>1</v>
      </c>
      <c r="K961" s="65">
        <f t="shared" si="65"/>
        <v>0</v>
      </c>
      <c r="M961" s="73">
        <f t="shared" si="66"/>
        <v>0</v>
      </c>
      <c r="AC961" t="str">
        <f t="shared" si="67"/>
        <v>Jan</v>
      </c>
    </row>
    <row r="962" spans="3:29" x14ac:dyDescent="0.35">
      <c r="C962" s="80">
        <f t="shared" si="64"/>
        <v>1</v>
      </c>
      <c r="K962" s="65">
        <f t="shared" si="65"/>
        <v>0</v>
      </c>
      <c r="M962" s="73">
        <f t="shared" si="66"/>
        <v>0</v>
      </c>
      <c r="AC962" t="str">
        <f t="shared" si="67"/>
        <v>Jan</v>
      </c>
    </row>
    <row r="963" spans="3:29" x14ac:dyDescent="0.35">
      <c r="C963" s="80">
        <f t="shared" si="64"/>
        <v>1</v>
      </c>
      <c r="K963" s="65">
        <f t="shared" si="65"/>
        <v>0</v>
      </c>
      <c r="M963" s="73">
        <f t="shared" si="66"/>
        <v>0</v>
      </c>
      <c r="AC963" t="str">
        <f t="shared" si="67"/>
        <v>Jan</v>
      </c>
    </row>
    <row r="964" spans="3:29" x14ac:dyDescent="0.35">
      <c r="C964" s="80">
        <f t="shared" si="64"/>
        <v>1</v>
      </c>
      <c r="K964" s="65">
        <f t="shared" si="65"/>
        <v>0</v>
      </c>
      <c r="M964" s="73">
        <f t="shared" si="66"/>
        <v>0</v>
      </c>
      <c r="AC964" t="str">
        <f t="shared" si="67"/>
        <v>Jan</v>
      </c>
    </row>
    <row r="965" spans="3:29" x14ac:dyDescent="0.35">
      <c r="C965" s="80">
        <f t="shared" si="64"/>
        <v>1</v>
      </c>
      <c r="K965" s="65">
        <f t="shared" si="65"/>
        <v>0</v>
      </c>
      <c r="M965" s="73">
        <f t="shared" si="66"/>
        <v>0</v>
      </c>
      <c r="AC965" t="str">
        <f t="shared" si="67"/>
        <v>Jan</v>
      </c>
    </row>
    <row r="966" spans="3:29" x14ac:dyDescent="0.35">
      <c r="C966" s="80">
        <f t="shared" ref="C966:C1029" si="68">MONTH(B966)</f>
        <v>1</v>
      </c>
      <c r="K966" s="65">
        <f t="shared" ref="K966:K1029" si="69">I966*J966</f>
        <v>0</v>
      </c>
      <c r="M966" s="73">
        <f t="shared" ref="M966:M1029" si="70">K966-L966</f>
        <v>0</v>
      </c>
      <c r="AC966" t="str">
        <f t="shared" si="67"/>
        <v>Jan</v>
      </c>
    </row>
    <row r="967" spans="3:29" x14ac:dyDescent="0.35">
      <c r="C967" s="80">
        <f t="shared" si="68"/>
        <v>1</v>
      </c>
      <c r="K967" s="65">
        <f t="shared" si="69"/>
        <v>0</v>
      </c>
      <c r="M967" s="73">
        <f t="shared" si="70"/>
        <v>0</v>
      </c>
      <c r="AC967" t="str">
        <f t="shared" ref="AC967:AC1030" si="71">IFERROR(INDEX(AA:AA,MATCH(C967,Z:Z,0)),"")</f>
        <v>Jan</v>
      </c>
    </row>
    <row r="968" spans="3:29" x14ac:dyDescent="0.35">
      <c r="C968" s="80">
        <f t="shared" si="68"/>
        <v>1</v>
      </c>
      <c r="K968" s="65">
        <f t="shared" si="69"/>
        <v>0</v>
      </c>
      <c r="M968" s="73">
        <f t="shared" si="70"/>
        <v>0</v>
      </c>
      <c r="AC968" t="str">
        <f t="shared" si="71"/>
        <v>Jan</v>
      </c>
    </row>
    <row r="969" spans="3:29" x14ac:dyDescent="0.35">
      <c r="C969" s="80">
        <f t="shared" si="68"/>
        <v>1</v>
      </c>
      <c r="K969" s="65">
        <f t="shared" si="69"/>
        <v>0</v>
      </c>
      <c r="M969" s="73">
        <f t="shared" si="70"/>
        <v>0</v>
      </c>
      <c r="AC969" t="str">
        <f t="shared" si="71"/>
        <v>Jan</v>
      </c>
    </row>
    <row r="970" spans="3:29" x14ac:dyDescent="0.35">
      <c r="C970" s="80">
        <f t="shared" si="68"/>
        <v>1</v>
      </c>
      <c r="K970" s="65">
        <f t="shared" si="69"/>
        <v>0</v>
      </c>
      <c r="M970" s="73">
        <f t="shared" si="70"/>
        <v>0</v>
      </c>
      <c r="AC970" t="str">
        <f t="shared" si="71"/>
        <v>Jan</v>
      </c>
    </row>
    <row r="971" spans="3:29" x14ac:dyDescent="0.35">
      <c r="C971" s="80">
        <f t="shared" si="68"/>
        <v>1</v>
      </c>
      <c r="K971" s="65">
        <f t="shared" si="69"/>
        <v>0</v>
      </c>
      <c r="M971" s="73">
        <f t="shared" si="70"/>
        <v>0</v>
      </c>
      <c r="AC971" t="str">
        <f t="shared" si="71"/>
        <v>Jan</v>
      </c>
    </row>
    <row r="972" spans="3:29" x14ac:dyDescent="0.35">
      <c r="C972" s="80">
        <f t="shared" si="68"/>
        <v>1</v>
      </c>
      <c r="K972" s="65">
        <f t="shared" si="69"/>
        <v>0</v>
      </c>
      <c r="M972" s="73">
        <f t="shared" si="70"/>
        <v>0</v>
      </c>
      <c r="AC972" t="str">
        <f t="shared" si="71"/>
        <v>Jan</v>
      </c>
    </row>
    <row r="973" spans="3:29" x14ac:dyDescent="0.35">
      <c r="C973" s="80">
        <f t="shared" si="68"/>
        <v>1</v>
      </c>
      <c r="K973" s="65">
        <f t="shared" si="69"/>
        <v>0</v>
      </c>
      <c r="M973" s="73">
        <f t="shared" si="70"/>
        <v>0</v>
      </c>
      <c r="AC973" t="str">
        <f t="shared" si="71"/>
        <v>Jan</v>
      </c>
    </row>
    <row r="974" spans="3:29" x14ac:dyDescent="0.35">
      <c r="C974" s="80">
        <f t="shared" si="68"/>
        <v>1</v>
      </c>
      <c r="K974" s="65">
        <f t="shared" si="69"/>
        <v>0</v>
      </c>
      <c r="M974" s="73">
        <f t="shared" si="70"/>
        <v>0</v>
      </c>
      <c r="AC974" t="str">
        <f t="shared" si="71"/>
        <v>Jan</v>
      </c>
    </row>
    <row r="975" spans="3:29" x14ac:dyDescent="0.35">
      <c r="C975" s="80">
        <f t="shared" si="68"/>
        <v>1</v>
      </c>
      <c r="K975" s="65">
        <f t="shared" si="69"/>
        <v>0</v>
      </c>
      <c r="M975" s="73">
        <f t="shared" si="70"/>
        <v>0</v>
      </c>
      <c r="AC975" t="str">
        <f t="shared" si="71"/>
        <v>Jan</v>
      </c>
    </row>
    <row r="976" spans="3:29" x14ac:dyDescent="0.35">
      <c r="C976" s="80">
        <f t="shared" si="68"/>
        <v>1</v>
      </c>
      <c r="K976" s="65">
        <f t="shared" si="69"/>
        <v>0</v>
      </c>
      <c r="M976" s="73">
        <f t="shared" si="70"/>
        <v>0</v>
      </c>
      <c r="AC976" t="str">
        <f t="shared" si="71"/>
        <v>Jan</v>
      </c>
    </row>
    <row r="977" spans="3:29" x14ac:dyDescent="0.35">
      <c r="C977" s="80">
        <f t="shared" si="68"/>
        <v>1</v>
      </c>
      <c r="K977" s="65">
        <f t="shared" si="69"/>
        <v>0</v>
      </c>
      <c r="M977" s="73">
        <f t="shared" si="70"/>
        <v>0</v>
      </c>
      <c r="AC977" t="str">
        <f t="shared" si="71"/>
        <v>Jan</v>
      </c>
    </row>
    <row r="978" spans="3:29" x14ac:dyDescent="0.35">
      <c r="C978" s="80">
        <f t="shared" si="68"/>
        <v>1</v>
      </c>
      <c r="K978" s="65">
        <f t="shared" si="69"/>
        <v>0</v>
      </c>
      <c r="M978" s="73">
        <f t="shared" si="70"/>
        <v>0</v>
      </c>
      <c r="AC978" t="str">
        <f t="shared" si="71"/>
        <v>Jan</v>
      </c>
    </row>
    <row r="979" spans="3:29" x14ac:dyDescent="0.35">
      <c r="C979" s="80">
        <f t="shared" si="68"/>
        <v>1</v>
      </c>
      <c r="K979" s="65">
        <f t="shared" si="69"/>
        <v>0</v>
      </c>
      <c r="M979" s="73">
        <f t="shared" si="70"/>
        <v>0</v>
      </c>
      <c r="AC979" t="str">
        <f t="shared" si="71"/>
        <v>Jan</v>
      </c>
    </row>
    <row r="980" spans="3:29" x14ac:dyDescent="0.35">
      <c r="C980" s="80">
        <f t="shared" si="68"/>
        <v>1</v>
      </c>
      <c r="K980" s="65">
        <f t="shared" si="69"/>
        <v>0</v>
      </c>
      <c r="M980" s="73">
        <f t="shared" si="70"/>
        <v>0</v>
      </c>
      <c r="AC980" t="str">
        <f t="shared" si="71"/>
        <v>Jan</v>
      </c>
    </row>
    <row r="981" spans="3:29" x14ac:dyDescent="0.35">
      <c r="C981" s="80">
        <f t="shared" si="68"/>
        <v>1</v>
      </c>
      <c r="K981" s="65">
        <f t="shared" si="69"/>
        <v>0</v>
      </c>
      <c r="M981" s="73">
        <f t="shared" si="70"/>
        <v>0</v>
      </c>
      <c r="AC981" t="str">
        <f t="shared" si="71"/>
        <v>Jan</v>
      </c>
    </row>
    <row r="982" spans="3:29" x14ac:dyDescent="0.35">
      <c r="C982" s="80">
        <f t="shared" si="68"/>
        <v>1</v>
      </c>
      <c r="K982" s="65">
        <f t="shared" si="69"/>
        <v>0</v>
      </c>
      <c r="M982" s="73">
        <f t="shared" si="70"/>
        <v>0</v>
      </c>
      <c r="AC982" t="str">
        <f t="shared" si="71"/>
        <v>Jan</v>
      </c>
    </row>
    <row r="983" spans="3:29" x14ac:dyDescent="0.35">
      <c r="C983" s="80">
        <f t="shared" si="68"/>
        <v>1</v>
      </c>
      <c r="K983" s="65">
        <f t="shared" si="69"/>
        <v>0</v>
      </c>
      <c r="M983" s="73">
        <f t="shared" si="70"/>
        <v>0</v>
      </c>
      <c r="AC983" t="str">
        <f t="shared" si="71"/>
        <v>Jan</v>
      </c>
    </row>
    <row r="984" spans="3:29" x14ac:dyDescent="0.35">
      <c r="C984" s="80">
        <f t="shared" si="68"/>
        <v>1</v>
      </c>
      <c r="K984" s="65">
        <f t="shared" si="69"/>
        <v>0</v>
      </c>
      <c r="M984" s="73">
        <f t="shared" si="70"/>
        <v>0</v>
      </c>
      <c r="AC984" t="str">
        <f t="shared" si="71"/>
        <v>Jan</v>
      </c>
    </row>
    <row r="985" spans="3:29" x14ac:dyDescent="0.35">
      <c r="C985" s="80">
        <f t="shared" si="68"/>
        <v>1</v>
      </c>
      <c r="K985" s="65">
        <f t="shared" si="69"/>
        <v>0</v>
      </c>
      <c r="M985" s="73">
        <f t="shared" si="70"/>
        <v>0</v>
      </c>
      <c r="AC985" t="str">
        <f t="shared" si="71"/>
        <v>Jan</v>
      </c>
    </row>
    <row r="986" spans="3:29" x14ac:dyDescent="0.35">
      <c r="C986" s="80">
        <f t="shared" si="68"/>
        <v>1</v>
      </c>
      <c r="K986" s="65">
        <f t="shared" si="69"/>
        <v>0</v>
      </c>
      <c r="M986" s="73">
        <f t="shared" si="70"/>
        <v>0</v>
      </c>
      <c r="AC986" t="str">
        <f t="shared" si="71"/>
        <v>Jan</v>
      </c>
    </row>
    <row r="987" spans="3:29" x14ac:dyDescent="0.35">
      <c r="C987" s="80">
        <f t="shared" si="68"/>
        <v>1</v>
      </c>
      <c r="K987" s="65">
        <f t="shared" si="69"/>
        <v>0</v>
      </c>
      <c r="M987" s="73">
        <f t="shared" si="70"/>
        <v>0</v>
      </c>
      <c r="AC987" t="str">
        <f t="shared" si="71"/>
        <v>Jan</v>
      </c>
    </row>
    <row r="988" spans="3:29" x14ac:dyDescent="0.35">
      <c r="C988" s="80">
        <f t="shared" si="68"/>
        <v>1</v>
      </c>
      <c r="K988" s="65">
        <f t="shared" si="69"/>
        <v>0</v>
      </c>
      <c r="M988" s="73">
        <f t="shared" si="70"/>
        <v>0</v>
      </c>
      <c r="AC988" t="str">
        <f t="shared" si="71"/>
        <v>Jan</v>
      </c>
    </row>
    <row r="989" spans="3:29" x14ac:dyDescent="0.35">
      <c r="C989" s="80">
        <f t="shared" si="68"/>
        <v>1</v>
      </c>
      <c r="K989" s="65">
        <f t="shared" si="69"/>
        <v>0</v>
      </c>
      <c r="M989" s="73">
        <f t="shared" si="70"/>
        <v>0</v>
      </c>
      <c r="AC989" t="str">
        <f t="shared" si="71"/>
        <v>Jan</v>
      </c>
    </row>
    <row r="990" spans="3:29" x14ac:dyDescent="0.35">
      <c r="C990" s="80">
        <f t="shared" si="68"/>
        <v>1</v>
      </c>
      <c r="K990" s="65">
        <f t="shared" si="69"/>
        <v>0</v>
      </c>
      <c r="M990" s="73">
        <f t="shared" si="70"/>
        <v>0</v>
      </c>
      <c r="AC990" t="str">
        <f t="shared" si="71"/>
        <v>Jan</v>
      </c>
    </row>
    <row r="991" spans="3:29" x14ac:dyDescent="0.35">
      <c r="C991" s="80">
        <f t="shared" si="68"/>
        <v>1</v>
      </c>
      <c r="K991" s="65">
        <f t="shared" si="69"/>
        <v>0</v>
      </c>
      <c r="M991" s="73">
        <f t="shared" si="70"/>
        <v>0</v>
      </c>
      <c r="AC991" t="str">
        <f t="shared" si="71"/>
        <v>Jan</v>
      </c>
    </row>
    <row r="992" spans="3:29" x14ac:dyDescent="0.35">
      <c r="C992" s="80">
        <f t="shared" si="68"/>
        <v>1</v>
      </c>
      <c r="K992" s="65">
        <f t="shared" si="69"/>
        <v>0</v>
      </c>
      <c r="M992" s="73">
        <f t="shared" si="70"/>
        <v>0</v>
      </c>
      <c r="AC992" t="str">
        <f t="shared" si="71"/>
        <v>Jan</v>
      </c>
    </row>
    <row r="993" spans="3:29" x14ac:dyDescent="0.35">
      <c r="C993" s="80">
        <f t="shared" si="68"/>
        <v>1</v>
      </c>
      <c r="K993" s="65">
        <f t="shared" si="69"/>
        <v>0</v>
      </c>
      <c r="M993" s="73">
        <f t="shared" si="70"/>
        <v>0</v>
      </c>
      <c r="AC993" t="str">
        <f t="shared" si="71"/>
        <v>Jan</v>
      </c>
    </row>
    <row r="994" spans="3:29" x14ac:dyDescent="0.35">
      <c r="C994" s="80">
        <f t="shared" si="68"/>
        <v>1</v>
      </c>
      <c r="K994" s="65">
        <f t="shared" si="69"/>
        <v>0</v>
      </c>
      <c r="M994" s="73">
        <f t="shared" si="70"/>
        <v>0</v>
      </c>
      <c r="AC994" t="str">
        <f t="shared" si="71"/>
        <v>Jan</v>
      </c>
    </row>
    <row r="995" spans="3:29" x14ac:dyDescent="0.35">
      <c r="C995" s="80">
        <f t="shared" si="68"/>
        <v>1</v>
      </c>
      <c r="K995" s="65">
        <f t="shared" si="69"/>
        <v>0</v>
      </c>
      <c r="M995" s="73">
        <f t="shared" si="70"/>
        <v>0</v>
      </c>
      <c r="AC995" t="str">
        <f t="shared" si="71"/>
        <v>Jan</v>
      </c>
    </row>
    <row r="996" spans="3:29" x14ac:dyDescent="0.35">
      <c r="C996" s="80">
        <f t="shared" si="68"/>
        <v>1</v>
      </c>
      <c r="K996" s="65">
        <f t="shared" si="69"/>
        <v>0</v>
      </c>
      <c r="M996" s="73">
        <f t="shared" si="70"/>
        <v>0</v>
      </c>
      <c r="AC996" t="str">
        <f t="shared" si="71"/>
        <v>Jan</v>
      </c>
    </row>
    <row r="997" spans="3:29" x14ac:dyDescent="0.35">
      <c r="C997" s="80">
        <f t="shared" si="68"/>
        <v>1</v>
      </c>
      <c r="K997" s="65">
        <f t="shared" si="69"/>
        <v>0</v>
      </c>
      <c r="M997" s="73">
        <f t="shared" si="70"/>
        <v>0</v>
      </c>
      <c r="AC997" t="str">
        <f t="shared" si="71"/>
        <v>Jan</v>
      </c>
    </row>
    <row r="998" spans="3:29" x14ac:dyDescent="0.35">
      <c r="C998" s="80">
        <f t="shared" si="68"/>
        <v>1</v>
      </c>
      <c r="K998" s="65">
        <f t="shared" si="69"/>
        <v>0</v>
      </c>
      <c r="M998" s="73">
        <f t="shared" si="70"/>
        <v>0</v>
      </c>
      <c r="AC998" t="str">
        <f t="shared" si="71"/>
        <v>Jan</v>
      </c>
    </row>
    <row r="999" spans="3:29" x14ac:dyDescent="0.35">
      <c r="C999" s="80">
        <f t="shared" si="68"/>
        <v>1</v>
      </c>
      <c r="K999" s="65">
        <f t="shared" si="69"/>
        <v>0</v>
      </c>
      <c r="M999" s="73">
        <f t="shared" si="70"/>
        <v>0</v>
      </c>
      <c r="AC999" t="str">
        <f t="shared" si="71"/>
        <v>Jan</v>
      </c>
    </row>
    <row r="1000" spans="3:29" x14ac:dyDescent="0.35">
      <c r="C1000" s="80">
        <f t="shared" si="68"/>
        <v>1</v>
      </c>
      <c r="K1000" s="65">
        <f t="shared" si="69"/>
        <v>0</v>
      </c>
      <c r="M1000" s="73">
        <f t="shared" si="70"/>
        <v>0</v>
      </c>
      <c r="AC1000" t="str">
        <f t="shared" si="71"/>
        <v>Jan</v>
      </c>
    </row>
    <row r="1001" spans="3:29" x14ac:dyDescent="0.35">
      <c r="C1001" s="80">
        <f t="shared" si="68"/>
        <v>1</v>
      </c>
      <c r="K1001" s="65">
        <f t="shared" si="69"/>
        <v>0</v>
      </c>
      <c r="M1001" s="73">
        <f t="shared" si="70"/>
        <v>0</v>
      </c>
      <c r="AC1001" t="str">
        <f t="shared" si="71"/>
        <v>Jan</v>
      </c>
    </row>
    <row r="1002" spans="3:29" x14ac:dyDescent="0.35">
      <c r="C1002" s="80">
        <f t="shared" si="68"/>
        <v>1</v>
      </c>
      <c r="K1002" s="65">
        <f t="shared" si="69"/>
        <v>0</v>
      </c>
      <c r="M1002" s="73">
        <f t="shared" si="70"/>
        <v>0</v>
      </c>
      <c r="AC1002" t="str">
        <f t="shared" si="71"/>
        <v>Jan</v>
      </c>
    </row>
    <row r="1003" spans="3:29" x14ac:dyDescent="0.35">
      <c r="C1003" s="80">
        <f t="shared" si="68"/>
        <v>1</v>
      </c>
      <c r="K1003" s="65">
        <f t="shared" si="69"/>
        <v>0</v>
      </c>
      <c r="M1003" s="73">
        <f t="shared" si="70"/>
        <v>0</v>
      </c>
      <c r="AC1003" t="str">
        <f t="shared" si="71"/>
        <v>Jan</v>
      </c>
    </row>
    <row r="1004" spans="3:29" x14ac:dyDescent="0.35">
      <c r="C1004" s="80">
        <f t="shared" si="68"/>
        <v>1</v>
      </c>
      <c r="K1004" s="65">
        <f t="shared" si="69"/>
        <v>0</v>
      </c>
      <c r="M1004" s="73">
        <f t="shared" si="70"/>
        <v>0</v>
      </c>
      <c r="AC1004" t="str">
        <f t="shared" si="71"/>
        <v>Jan</v>
      </c>
    </row>
    <row r="1005" spans="3:29" x14ac:dyDescent="0.35">
      <c r="C1005" s="80">
        <f t="shared" si="68"/>
        <v>1</v>
      </c>
      <c r="K1005" s="65">
        <f t="shared" si="69"/>
        <v>0</v>
      </c>
      <c r="M1005" s="73">
        <f t="shared" si="70"/>
        <v>0</v>
      </c>
      <c r="AC1005" t="str">
        <f t="shared" si="71"/>
        <v>Jan</v>
      </c>
    </row>
    <row r="1006" spans="3:29" x14ac:dyDescent="0.35">
      <c r="C1006" s="80">
        <f t="shared" si="68"/>
        <v>1</v>
      </c>
      <c r="K1006" s="65">
        <f t="shared" si="69"/>
        <v>0</v>
      </c>
      <c r="M1006" s="73">
        <f t="shared" si="70"/>
        <v>0</v>
      </c>
      <c r="AC1006" t="str">
        <f t="shared" si="71"/>
        <v>Jan</v>
      </c>
    </row>
    <row r="1007" spans="3:29" x14ac:dyDescent="0.35">
      <c r="C1007" s="80">
        <f t="shared" si="68"/>
        <v>1</v>
      </c>
      <c r="K1007" s="65">
        <f t="shared" si="69"/>
        <v>0</v>
      </c>
      <c r="M1007" s="73">
        <f t="shared" si="70"/>
        <v>0</v>
      </c>
      <c r="AC1007" t="str">
        <f t="shared" si="71"/>
        <v>Jan</v>
      </c>
    </row>
    <row r="1008" spans="3:29" x14ac:dyDescent="0.35">
      <c r="C1008" s="80">
        <f t="shared" si="68"/>
        <v>1</v>
      </c>
      <c r="K1008" s="65">
        <f t="shared" si="69"/>
        <v>0</v>
      </c>
      <c r="M1008" s="73">
        <f t="shared" si="70"/>
        <v>0</v>
      </c>
      <c r="AC1008" t="str">
        <f t="shared" si="71"/>
        <v>Jan</v>
      </c>
    </row>
    <row r="1009" spans="3:29" x14ac:dyDescent="0.35">
      <c r="C1009" s="80">
        <f t="shared" si="68"/>
        <v>1</v>
      </c>
      <c r="K1009" s="65">
        <f t="shared" si="69"/>
        <v>0</v>
      </c>
      <c r="M1009" s="73">
        <f t="shared" si="70"/>
        <v>0</v>
      </c>
      <c r="AC1009" t="str">
        <f t="shared" si="71"/>
        <v>Jan</v>
      </c>
    </row>
    <row r="1010" spans="3:29" x14ac:dyDescent="0.35">
      <c r="C1010" s="80">
        <f t="shared" si="68"/>
        <v>1</v>
      </c>
      <c r="K1010" s="65">
        <f t="shared" si="69"/>
        <v>0</v>
      </c>
      <c r="M1010" s="73">
        <f t="shared" si="70"/>
        <v>0</v>
      </c>
      <c r="AC1010" t="str">
        <f t="shared" si="71"/>
        <v>Jan</v>
      </c>
    </row>
    <row r="1011" spans="3:29" x14ac:dyDescent="0.35">
      <c r="C1011" s="80">
        <f t="shared" si="68"/>
        <v>1</v>
      </c>
      <c r="K1011" s="65">
        <f t="shared" si="69"/>
        <v>0</v>
      </c>
      <c r="M1011" s="73">
        <f t="shared" si="70"/>
        <v>0</v>
      </c>
      <c r="AC1011" t="str">
        <f t="shared" si="71"/>
        <v>Jan</v>
      </c>
    </row>
    <row r="1012" spans="3:29" x14ac:dyDescent="0.35">
      <c r="C1012" s="80">
        <f t="shared" si="68"/>
        <v>1</v>
      </c>
      <c r="K1012" s="65">
        <f t="shared" si="69"/>
        <v>0</v>
      </c>
      <c r="M1012" s="73">
        <f t="shared" si="70"/>
        <v>0</v>
      </c>
      <c r="AC1012" t="str">
        <f t="shared" si="71"/>
        <v>Jan</v>
      </c>
    </row>
    <row r="1013" spans="3:29" x14ac:dyDescent="0.35">
      <c r="C1013" s="80">
        <f t="shared" si="68"/>
        <v>1</v>
      </c>
      <c r="K1013" s="65">
        <f t="shared" si="69"/>
        <v>0</v>
      </c>
      <c r="M1013" s="73">
        <f t="shared" si="70"/>
        <v>0</v>
      </c>
      <c r="AC1013" t="str">
        <f t="shared" si="71"/>
        <v>Jan</v>
      </c>
    </row>
    <row r="1014" spans="3:29" x14ac:dyDescent="0.35">
      <c r="C1014" s="80">
        <f t="shared" si="68"/>
        <v>1</v>
      </c>
      <c r="K1014" s="65">
        <f t="shared" si="69"/>
        <v>0</v>
      </c>
      <c r="M1014" s="73">
        <f t="shared" si="70"/>
        <v>0</v>
      </c>
      <c r="AC1014" t="str">
        <f t="shared" si="71"/>
        <v>Jan</v>
      </c>
    </row>
    <row r="1015" spans="3:29" x14ac:dyDescent="0.35">
      <c r="C1015" s="80">
        <f t="shared" si="68"/>
        <v>1</v>
      </c>
      <c r="K1015" s="65">
        <f t="shared" si="69"/>
        <v>0</v>
      </c>
      <c r="M1015" s="73">
        <f t="shared" si="70"/>
        <v>0</v>
      </c>
      <c r="AC1015" t="str">
        <f t="shared" si="71"/>
        <v>Jan</v>
      </c>
    </row>
    <row r="1016" spans="3:29" x14ac:dyDescent="0.35">
      <c r="C1016" s="80">
        <f t="shared" si="68"/>
        <v>1</v>
      </c>
      <c r="K1016" s="65">
        <f t="shared" si="69"/>
        <v>0</v>
      </c>
      <c r="M1016" s="73">
        <f t="shared" si="70"/>
        <v>0</v>
      </c>
      <c r="AC1016" t="str">
        <f t="shared" si="71"/>
        <v>Jan</v>
      </c>
    </row>
    <row r="1017" spans="3:29" x14ac:dyDescent="0.35">
      <c r="C1017" s="80">
        <f t="shared" si="68"/>
        <v>1</v>
      </c>
      <c r="K1017" s="65">
        <f t="shared" si="69"/>
        <v>0</v>
      </c>
      <c r="M1017" s="73">
        <f t="shared" si="70"/>
        <v>0</v>
      </c>
      <c r="AC1017" t="str">
        <f t="shared" si="71"/>
        <v>Jan</v>
      </c>
    </row>
    <row r="1018" spans="3:29" x14ac:dyDescent="0.35">
      <c r="C1018" s="80">
        <f t="shared" si="68"/>
        <v>1</v>
      </c>
      <c r="K1018" s="65">
        <f t="shared" si="69"/>
        <v>0</v>
      </c>
      <c r="M1018" s="73">
        <f t="shared" si="70"/>
        <v>0</v>
      </c>
      <c r="AC1018" t="str">
        <f t="shared" si="71"/>
        <v>Jan</v>
      </c>
    </row>
    <row r="1019" spans="3:29" x14ac:dyDescent="0.35">
      <c r="C1019" s="80">
        <f t="shared" si="68"/>
        <v>1</v>
      </c>
      <c r="K1019" s="65">
        <f t="shared" si="69"/>
        <v>0</v>
      </c>
      <c r="M1019" s="73">
        <f t="shared" si="70"/>
        <v>0</v>
      </c>
      <c r="AC1019" t="str">
        <f t="shared" si="71"/>
        <v>Jan</v>
      </c>
    </row>
    <row r="1020" spans="3:29" x14ac:dyDescent="0.35">
      <c r="C1020" s="80">
        <f t="shared" si="68"/>
        <v>1</v>
      </c>
      <c r="K1020" s="65">
        <f t="shared" si="69"/>
        <v>0</v>
      </c>
      <c r="M1020" s="73">
        <f t="shared" si="70"/>
        <v>0</v>
      </c>
      <c r="AC1020" t="str">
        <f t="shared" si="71"/>
        <v>Jan</v>
      </c>
    </row>
    <row r="1021" spans="3:29" x14ac:dyDescent="0.35">
      <c r="C1021" s="80">
        <f t="shared" si="68"/>
        <v>1</v>
      </c>
      <c r="K1021" s="65">
        <f t="shared" si="69"/>
        <v>0</v>
      </c>
      <c r="M1021" s="73">
        <f t="shared" si="70"/>
        <v>0</v>
      </c>
      <c r="AC1021" t="str">
        <f t="shared" si="71"/>
        <v>Jan</v>
      </c>
    </row>
    <row r="1022" spans="3:29" x14ac:dyDescent="0.35">
      <c r="C1022" s="80">
        <f t="shared" si="68"/>
        <v>1</v>
      </c>
      <c r="K1022" s="65">
        <f t="shared" si="69"/>
        <v>0</v>
      </c>
      <c r="M1022" s="73">
        <f t="shared" si="70"/>
        <v>0</v>
      </c>
      <c r="AC1022" t="str">
        <f t="shared" si="71"/>
        <v>Jan</v>
      </c>
    </row>
    <row r="1023" spans="3:29" x14ac:dyDescent="0.35">
      <c r="C1023" s="80">
        <f t="shared" si="68"/>
        <v>1</v>
      </c>
      <c r="K1023" s="65">
        <f t="shared" si="69"/>
        <v>0</v>
      </c>
      <c r="M1023" s="73">
        <f t="shared" si="70"/>
        <v>0</v>
      </c>
      <c r="AC1023" t="str">
        <f t="shared" si="71"/>
        <v>Jan</v>
      </c>
    </row>
    <row r="1024" spans="3:29" x14ac:dyDescent="0.35">
      <c r="C1024" s="80">
        <f t="shared" si="68"/>
        <v>1</v>
      </c>
      <c r="K1024" s="65">
        <f t="shared" si="69"/>
        <v>0</v>
      </c>
      <c r="M1024" s="73">
        <f t="shared" si="70"/>
        <v>0</v>
      </c>
      <c r="AC1024" t="str">
        <f t="shared" si="71"/>
        <v>Jan</v>
      </c>
    </row>
    <row r="1025" spans="3:29" x14ac:dyDescent="0.35">
      <c r="C1025" s="80">
        <f t="shared" si="68"/>
        <v>1</v>
      </c>
      <c r="K1025" s="65">
        <f t="shared" si="69"/>
        <v>0</v>
      </c>
      <c r="M1025" s="73">
        <f t="shared" si="70"/>
        <v>0</v>
      </c>
      <c r="AC1025" t="str">
        <f t="shared" si="71"/>
        <v>Jan</v>
      </c>
    </row>
    <row r="1026" spans="3:29" x14ac:dyDescent="0.35">
      <c r="C1026" s="80">
        <f t="shared" si="68"/>
        <v>1</v>
      </c>
      <c r="K1026" s="65">
        <f t="shared" si="69"/>
        <v>0</v>
      </c>
      <c r="M1026" s="73">
        <f t="shared" si="70"/>
        <v>0</v>
      </c>
      <c r="AC1026" t="str">
        <f t="shared" si="71"/>
        <v>Jan</v>
      </c>
    </row>
    <row r="1027" spans="3:29" x14ac:dyDescent="0.35">
      <c r="C1027" s="80">
        <f t="shared" si="68"/>
        <v>1</v>
      </c>
      <c r="K1027" s="65">
        <f t="shared" si="69"/>
        <v>0</v>
      </c>
      <c r="M1027" s="73">
        <f t="shared" si="70"/>
        <v>0</v>
      </c>
      <c r="AC1027" t="str">
        <f t="shared" si="71"/>
        <v>Jan</v>
      </c>
    </row>
    <row r="1028" spans="3:29" x14ac:dyDescent="0.35">
      <c r="C1028" s="80">
        <f t="shared" si="68"/>
        <v>1</v>
      </c>
      <c r="K1028" s="65">
        <f t="shared" si="69"/>
        <v>0</v>
      </c>
      <c r="M1028" s="73">
        <f t="shared" si="70"/>
        <v>0</v>
      </c>
      <c r="AC1028" t="str">
        <f t="shared" si="71"/>
        <v>Jan</v>
      </c>
    </row>
    <row r="1029" spans="3:29" x14ac:dyDescent="0.35">
      <c r="C1029" s="80">
        <f t="shared" si="68"/>
        <v>1</v>
      </c>
      <c r="K1029" s="65">
        <f t="shared" si="69"/>
        <v>0</v>
      </c>
      <c r="M1029" s="73">
        <f t="shared" si="70"/>
        <v>0</v>
      </c>
      <c r="AC1029" t="str">
        <f t="shared" si="71"/>
        <v>Jan</v>
      </c>
    </row>
    <row r="1030" spans="3:29" x14ac:dyDescent="0.35">
      <c r="C1030" s="80">
        <f t="shared" ref="C1030:C1093" si="72">MONTH(B1030)</f>
        <v>1</v>
      </c>
      <c r="K1030" s="65">
        <f t="shared" ref="K1030:K1093" si="73">I1030*J1030</f>
        <v>0</v>
      </c>
      <c r="M1030" s="73">
        <f t="shared" ref="M1030:M1093" si="74">K1030-L1030</f>
        <v>0</v>
      </c>
      <c r="AC1030" t="str">
        <f t="shared" si="71"/>
        <v>Jan</v>
      </c>
    </row>
    <row r="1031" spans="3:29" x14ac:dyDescent="0.35">
      <c r="C1031" s="80">
        <f t="shared" si="72"/>
        <v>1</v>
      </c>
      <c r="K1031" s="65">
        <f t="shared" si="73"/>
        <v>0</v>
      </c>
      <c r="M1031" s="73">
        <f t="shared" si="74"/>
        <v>0</v>
      </c>
      <c r="AC1031" t="str">
        <f t="shared" ref="AC1031:AC1094" si="75">IFERROR(INDEX(AA:AA,MATCH(C1031,Z:Z,0)),"")</f>
        <v>Jan</v>
      </c>
    </row>
    <row r="1032" spans="3:29" x14ac:dyDescent="0.35">
      <c r="C1032" s="80">
        <f t="shared" si="72"/>
        <v>1</v>
      </c>
      <c r="K1032" s="65">
        <f t="shared" si="73"/>
        <v>0</v>
      </c>
      <c r="M1032" s="73">
        <f t="shared" si="74"/>
        <v>0</v>
      </c>
      <c r="AC1032" t="str">
        <f t="shared" si="75"/>
        <v>Jan</v>
      </c>
    </row>
    <row r="1033" spans="3:29" x14ac:dyDescent="0.35">
      <c r="C1033" s="80">
        <f t="shared" si="72"/>
        <v>1</v>
      </c>
      <c r="K1033" s="65">
        <f t="shared" si="73"/>
        <v>0</v>
      </c>
      <c r="M1033" s="73">
        <f t="shared" si="74"/>
        <v>0</v>
      </c>
      <c r="AC1033" t="str">
        <f t="shared" si="75"/>
        <v>Jan</v>
      </c>
    </row>
    <row r="1034" spans="3:29" x14ac:dyDescent="0.35">
      <c r="C1034" s="80">
        <f t="shared" si="72"/>
        <v>1</v>
      </c>
      <c r="K1034" s="65">
        <f t="shared" si="73"/>
        <v>0</v>
      </c>
      <c r="M1034" s="73">
        <f t="shared" si="74"/>
        <v>0</v>
      </c>
      <c r="AC1034" t="str">
        <f t="shared" si="75"/>
        <v>Jan</v>
      </c>
    </row>
    <row r="1035" spans="3:29" x14ac:dyDescent="0.35">
      <c r="C1035" s="80">
        <f t="shared" si="72"/>
        <v>1</v>
      </c>
      <c r="K1035" s="65">
        <f t="shared" si="73"/>
        <v>0</v>
      </c>
      <c r="M1035" s="73">
        <f t="shared" si="74"/>
        <v>0</v>
      </c>
      <c r="AC1035" t="str">
        <f t="shared" si="75"/>
        <v>Jan</v>
      </c>
    </row>
    <row r="1036" spans="3:29" x14ac:dyDescent="0.35">
      <c r="C1036" s="80">
        <f t="shared" si="72"/>
        <v>1</v>
      </c>
      <c r="K1036" s="65">
        <f t="shared" si="73"/>
        <v>0</v>
      </c>
      <c r="M1036" s="73">
        <f t="shared" si="74"/>
        <v>0</v>
      </c>
      <c r="AC1036" t="str">
        <f t="shared" si="75"/>
        <v>Jan</v>
      </c>
    </row>
    <row r="1037" spans="3:29" x14ac:dyDescent="0.35">
      <c r="C1037" s="80">
        <f t="shared" si="72"/>
        <v>1</v>
      </c>
      <c r="K1037" s="65">
        <f t="shared" si="73"/>
        <v>0</v>
      </c>
      <c r="M1037" s="73">
        <f t="shared" si="74"/>
        <v>0</v>
      </c>
      <c r="AC1037" t="str">
        <f t="shared" si="75"/>
        <v>Jan</v>
      </c>
    </row>
    <row r="1038" spans="3:29" x14ac:dyDescent="0.35">
      <c r="C1038" s="80">
        <f t="shared" si="72"/>
        <v>1</v>
      </c>
      <c r="K1038" s="65">
        <f t="shared" si="73"/>
        <v>0</v>
      </c>
      <c r="M1038" s="73">
        <f t="shared" si="74"/>
        <v>0</v>
      </c>
      <c r="AC1038" t="str">
        <f t="shared" si="75"/>
        <v>Jan</v>
      </c>
    </row>
    <row r="1039" spans="3:29" x14ac:dyDescent="0.35">
      <c r="C1039" s="80">
        <f t="shared" si="72"/>
        <v>1</v>
      </c>
      <c r="K1039" s="65">
        <f t="shared" si="73"/>
        <v>0</v>
      </c>
      <c r="M1039" s="73">
        <f t="shared" si="74"/>
        <v>0</v>
      </c>
      <c r="AC1039" t="str">
        <f t="shared" si="75"/>
        <v>Jan</v>
      </c>
    </row>
    <row r="1040" spans="3:29" x14ac:dyDescent="0.35">
      <c r="C1040" s="80">
        <f t="shared" si="72"/>
        <v>1</v>
      </c>
      <c r="K1040" s="65">
        <f t="shared" si="73"/>
        <v>0</v>
      </c>
      <c r="M1040" s="73">
        <f t="shared" si="74"/>
        <v>0</v>
      </c>
      <c r="AC1040" t="str">
        <f t="shared" si="75"/>
        <v>Jan</v>
      </c>
    </row>
    <row r="1041" spans="3:29" x14ac:dyDescent="0.35">
      <c r="C1041" s="80">
        <f t="shared" si="72"/>
        <v>1</v>
      </c>
      <c r="K1041" s="65">
        <f t="shared" si="73"/>
        <v>0</v>
      </c>
      <c r="M1041" s="73">
        <f t="shared" si="74"/>
        <v>0</v>
      </c>
      <c r="AC1041" t="str">
        <f t="shared" si="75"/>
        <v>Jan</v>
      </c>
    </row>
    <row r="1042" spans="3:29" x14ac:dyDescent="0.35">
      <c r="C1042" s="80">
        <f t="shared" si="72"/>
        <v>1</v>
      </c>
      <c r="K1042" s="65">
        <f t="shared" si="73"/>
        <v>0</v>
      </c>
      <c r="M1042" s="73">
        <f t="shared" si="74"/>
        <v>0</v>
      </c>
      <c r="AC1042" t="str">
        <f t="shared" si="75"/>
        <v>Jan</v>
      </c>
    </row>
    <row r="1043" spans="3:29" x14ac:dyDescent="0.35">
      <c r="C1043" s="80">
        <f t="shared" si="72"/>
        <v>1</v>
      </c>
      <c r="K1043" s="65">
        <f t="shared" si="73"/>
        <v>0</v>
      </c>
      <c r="M1043" s="73">
        <f t="shared" si="74"/>
        <v>0</v>
      </c>
      <c r="AC1043" t="str">
        <f t="shared" si="75"/>
        <v>Jan</v>
      </c>
    </row>
    <row r="1044" spans="3:29" x14ac:dyDescent="0.35">
      <c r="C1044" s="80">
        <f t="shared" si="72"/>
        <v>1</v>
      </c>
      <c r="K1044" s="65">
        <f t="shared" si="73"/>
        <v>0</v>
      </c>
      <c r="M1044" s="73">
        <f t="shared" si="74"/>
        <v>0</v>
      </c>
      <c r="AC1044" t="str">
        <f t="shared" si="75"/>
        <v>Jan</v>
      </c>
    </row>
    <row r="1045" spans="3:29" x14ac:dyDescent="0.35">
      <c r="C1045" s="80">
        <f t="shared" si="72"/>
        <v>1</v>
      </c>
      <c r="K1045" s="65">
        <f t="shared" si="73"/>
        <v>0</v>
      </c>
      <c r="M1045" s="73">
        <f t="shared" si="74"/>
        <v>0</v>
      </c>
      <c r="AC1045" t="str">
        <f t="shared" si="75"/>
        <v>Jan</v>
      </c>
    </row>
    <row r="1046" spans="3:29" x14ac:dyDescent="0.35">
      <c r="C1046" s="80">
        <f t="shared" si="72"/>
        <v>1</v>
      </c>
      <c r="K1046" s="65">
        <f t="shared" si="73"/>
        <v>0</v>
      </c>
      <c r="M1046" s="73">
        <f t="shared" si="74"/>
        <v>0</v>
      </c>
      <c r="AC1046" t="str">
        <f t="shared" si="75"/>
        <v>Jan</v>
      </c>
    </row>
    <row r="1047" spans="3:29" x14ac:dyDescent="0.35">
      <c r="C1047" s="80">
        <f t="shared" si="72"/>
        <v>1</v>
      </c>
      <c r="K1047" s="65">
        <f t="shared" si="73"/>
        <v>0</v>
      </c>
      <c r="M1047" s="73">
        <f t="shared" si="74"/>
        <v>0</v>
      </c>
      <c r="AC1047" t="str">
        <f t="shared" si="75"/>
        <v>Jan</v>
      </c>
    </row>
    <row r="1048" spans="3:29" x14ac:dyDescent="0.35">
      <c r="C1048" s="80">
        <f t="shared" si="72"/>
        <v>1</v>
      </c>
      <c r="K1048" s="65">
        <f t="shared" si="73"/>
        <v>0</v>
      </c>
      <c r="M1048" s="73">
        <f t="shared" si="74"/>
        <v>0</v>
      </c>
      <c r="AC1048" t="str">
        <f t="shared" si="75"/>
        <v>Jan</v>
      </c>
    </row>
    <row r="1049" spans="3:29" x14ac:dyDescent="0.35">
      <c r="C1049" s="80">
        <f t="shared" si="72"/>
        <v>1</v>
      </c>
      <c r="K1049" s="65">
        <f t="shared" si="73"/>
        <v>0</v>
      </c>
      <c r="M1049" s="73">
        <f t="shared" si="74"/>
        <v>0</v>
      </c>
      <c r="AC1049" t="str">
        <f t="shared" si="75"/>
        <v>Jan</v>
      </c>
    </row>
    <row r="1050" spans="3:29" x14ac:dyDescent="0.35">
      <c r="C1050" s="80">
        <f t="shared" si="72"/>
        <v>1</v>
      </c>
      <c r="K1050" s="65">
        <f t="shared" si="73"/>
        <v>0</v>
      </c>
      <c r="M1050" s="73">
        <f t="shared" si="74"/>
        <v>0</v>
      </c>
      <c r="AC1050" t="str">
        <f t="shared" si="75"/>
        <v>Jan</v>
      </c>
    </row>
    <row r="1051" spans="3:29" x14ac:dyDescent="0.35">
      <c r="C1051" s="80">
        <f t="shared" si="72"/>
        <v>1</v>
      </c>
      <c r="K1051" s="65">
        <f t="shared" si="73"/>
        <v>0</v>
      </c>
      <c r="M1051" s="73">
        <f t="shared" si="74"/>
        <v>0</v>
      </c>
      <c r="AC1051" t="str">
        <f t="shared" si="75"/>
        <v>Jan</v>
      </c>
    </row>
    <row r="1052" spans="3:29" x14ac:dyDescent="0.35">
      <c r="C1052" s="80">
        <f t="shared" si="72"/>
        <v>1</v>
      </c>
      <c r="K1052" s="65">
        <f t="shared" si="73"/>
        <v>0</v>
      </c>
      <c r="M1052" s="73">
        <f t="shared" si="74"/>
        <v>0</v>
      </c>
      <c r="AC1052" t="str">
        <f t="shared" si="75"/>
        <v>Jan</v>
      </c>
    </row>
    <row r="1053" spans="3:29" x14ac:dyDescent="0.35">
      <c r="C1053" s="80">
        <f t="shared" si="72"/>
        <v>1</v>
      </c>
      <c r="K1053" s="65">
        <f t="shared" si="73"/>
        <v>0</v>
      </c>
      <c r="M1053" s="73">
        <f t="shared" si="74"/>
        <v>0</v>
      </c>
      <c r="AC1053" t="str">
        <f t="shared" si="75"/>
        <v>Jan</v>
      </c>
    </row>
    <row r="1054" spans="3:29" x14ac:dyDescent="0.35">
      <c r="C1054" s="80">
        <f t="shared" si="72"/>
        <v>1</v>
      </c>
      <c r="K1054" s="65">
        <f t="shared" si="73"/>
        <v>0</v>
      </c>
      <c r="M1054" s="73">
        <f t="shared" si="74"/>
        <v>0</v>
      </c>
      <c r="AC1054" t="str">
        <f t="shared" si="75"/>
        <v>Jan</v>
      </c>
    </row>
    <row r="1055" spans="3:29" x14ac:dyDescent="0.35">
      <c r="C1055" s="80">
        <f t="shared" si="72"/>
        <v>1</v>
      </c>
      <c r="K1055" s="65">
        <f t="shared" si="73"/>
        <v>0</v>
      </c>
      <c r="M1055" s="73">
        <f t="shared" si="74"/>
        <v>0</v>
      </c>
      <c r="AC1055" t="str">
        <f t="shared" si="75"/>
        <v>Jan</v>
      </c>
    </row>
    <row r="1056" spans="3:29" x14ac:dyDescent="0.35">
      <c r="C1056" s="80">
        <f t="shared" si="72"/>
        <v>1</v>
      </c>
      <c r="K1056" s="65">
        <f t="shared" si="73"/>
        <v>0</v>
      </c>
      <c r="M1056" s="73">
        <f t="shared" si="74"/>
        <v>0</v>
      </c>
      <c r="AC1056" t="str">
        <f t="shared" si="75"/>
        <v>Jan</v>
      </c>
    </row>
    <row r="1057" spans="3:29" x14ac:dyDescent="0.35">
      <c r="C1057" s="80">
        <f t="shared" si="72"/>
        <v>1</v>
      </c>
      <c r="K1057" s="65">
        <f t="shared" si="73"/>
        <v>0</v>
      </c>
      <c r="M1057" s="73">
        <f t="shared" si="74"/>
        <v>0</v>
      </c>
      <c r="AC1057" t="str">
        <f t="shared" si="75"/>
        <v>Jan</v>
      </c>
    </row>
    <row r="1058" spans="3:29" x14ac:dyDescent="0.35">
      <c r="C1058" s="80">
        <f t="shared" si="72"/>
        <v>1</v>
      </c>
      <c r="K1058" s="65">
        <f t="shared" si="73"/>
        <v>0</v>
      </c>
      <c r="M1058" s="73">
        <f t="shared" si="74"/>
        <v>0</v>
      </c>
      <c r="AC1058" t="str">
        <f t="shared" si="75"/>
        <v>Jan</v>
      </c>
    </row>
    <row r="1059" spans="3:29" x14ac:dyDescent="0.35">
      <c r="C1059" s="80">
        <f t="shared" si="72"/>
        <v>1</v>
      </c>
      <c r="K1059" s="65">
        <f t="shared" si="73"/>
        <v>0</v>
      </c>
      <c r="M1059" s="73">
        <f t="shared" si="74"/>
        <v>0</v>
      </c>
      <c r="AC1059" t="str">
        <f t="shared" si="75"/>
        <v>Jan</v>
      </c>
    </row>
    <row r="1060" spans="3:29" x14ac:dyDescent="0.35">
      <c r="C1060" s="80">
        <f t="shared" si="72"/>
        <v>1</v>
      </c>
      <c r="K1060" s="65">
        <f t="shared" si="73"/>
        <v>0</v>
      </c>
      <c r="M1060" s="73">
        <f t="shared" si="74"/>
        <v>0</v>
      </c>
      <c r="AC1060" t="str">
        <f t="shared" si="75"/>
        <v>Jan</v>
      </c>
    </row>
    <row r="1061" spans="3:29" x14ac:dyDescent="0.35">
      <c r="C1061" s="80">
        <f t="shared" si="72"/>
        <v>1</v>
      </c>
      <c r="K1061" s="65">
        <f t="shared" si="73"/>
        <v>0</v>
      </c>
      <c r="M1061" s="73">
        <f t="shared" si="74"/>
        <v>0</v>
      </c>
      <c r="AC1061" t="str">
        <f t="shared" si="75"/>
        <v>Jan</v>
      </c>
    </row>
    <row r="1062" spans="3:29" x14ac:dyDescent="0.35">
      <c r="C1062" s="80">
        <f t="shared" si="72"/>
        <v>1</v>
      </c>
      <c r="K1062" s="65">
        <f t="shared" si="73"/>
        <v>0</v>
      </c>
      <c r="M1062" s="73">
        <f t="shared" si="74"/>
        <v>0</v>
      </c>
      <c r="AC1062" t="str">
        <f t="shared" si="75"/>
        <v>Jan</v>
      </c>
    </row>
    <row r="1063" spans="3:29" x14ac:dyDescent="0.35">
      <c r="C1063" s="80">
        <f t="shared" si="72"/>
        <v>1</v>
      </c>
      <c r="K1063" s="65">
        <f t="shared" si="73"/>
        <v>0</v>
      </c>
      <c r="M1063" s="73">
        <f t="shared" si="74"/>
        <v>0</v>
      </c>
      <c r="AC1063" t="str">
        <f t="shared" si="75"/>
        <v>Jan</v>
      </c>
    </row>
    <row r="1064" spans="3:29" x14ac:dyDescent="0.35">
      <c r="C1064" s="80">
        <f t="shared" si="72"/>
        <v>1</v>
      </c>
      <c r="K1064" s="65">
        <f t="shared" si="73"/>
        <v>0</v>
      </c>
      <c r="M1064" s="73">
        <f t="shared" si="74"/>
        <v>0</v>
      </c>
      <c r="AC1064" t="str">
        <f t="shared" si="75"/>
        <v>Jan</v>
      </c>
    </row>
    <row r="1065" spans="3:29" x14ac:dyDescent="0.35">
      <c r="C1065" s="80">
        <f t="shared" si="72"/>
        <v>1</v>
      </c>
      <c r="K1065" s="65">
        <f t="shared" si="73"/>
        <v>0</v>
      </c>
      <c r="M1065" s="73">
        <f t="shared" si="74"/>
        <v>0</v>
      </c>
      <c r="AC1065" t="str">
        <f t="shared" si="75"/>
        <v>Jan</v>
      </c>
    </row>
    <row r="1066" spans="3:29" x14ac:dyDescent="0.35">
      <c r="C1066" s="80">
        <f t="shared" si="72"/>
        <v>1</v>
      </c>
      <c r="K1066" s="65">
        <f t="shared" si="73"/>
        <v>0</v>
      </c>
      <c r="M1066" s="73">
        <f t="shared" si="74"/>
        <v>0</v>
      </c>
      <c r="AC1066" t="str">
        <f t="shared" si="75"/>
        <v>Jan</v>
      </c>
    </row>
    <row r="1067" spans="3:29" x14ac:dyDescent="0.35">
      <c r="C1067" s="80">
        <f t="shared" si="72"/>
        <v>1</v>
      </c>
      <c r="K1067" s="65">
        <f t="shared" si="73"/>
        <v>0</v>
      </c>
      <c r="M1067" s="73">
        <f t="shared" si="74"/>
        <v>0</v>
      </c>
      <c r="AC1067" t="str">
        <f t="shared" si="75"/>
        <v>Jan</v>
      </c>
    </row>
    <row r="1068" spans="3:29" x14ac:dyDescent="0.35">
      <c r="C1068" s="80">
        <f t="shared" si="72"/>
        <v>1</v>
      </c>
      <c r="K1068" s="65">
        <f t="shared" si="73"/>
        <v>0</v>
      </c>
      <c r="M1068" s="73">
        <f t="shared" si="74"/>
        <v>0</v>
      </c>
      <c r="AC1068" t="str">
        <f t="shared" si="75"/>
        <v>Jan</v>
      </c>
    </row>
    <row r="1069" spans="3:29" x14ac:dyDescent="0.35">
      <c r="C1069" s="80">
        <f t="shared" si="72"/>
        <v>1</v>
      </c>
      <c r="K1069" s="65">
        <f t="shared" si="73"/>
        <v>0</v>
      </c>
      <c r="M1069" s="73">
        <f t="shared" si="74"/>
        <v>0</v>
      </c>
      <c r="AC1069" t="str">
        <f t="shared" si="75"/>
        <v>Jan</v>
      </c>
    </row>
    <row r="1070" spans="3:29" x14ac:dyDescent="0.35">
      <c r="C1070" s="80">
        <f t="shared" si="72"/>
        <v>1</v>
      </c>
      <c r="K1070" s="65">
        <f t="shared" si="73"/>
        <v>0</v>
      </c>
      <c r="M1070" s="73">
        <f t="shared" si="74"/>
        <v>0</v>
      </c>
      <c r="AC1070" t="str">
        <f t="shared" si="75"/>
        <v>Jan</v>
      </c>
    </row>
    <row r="1071" spans="3:29" x14ac:dyDescent="0.35">
      <c r="C1071" s="80">
        <f t="shared" si="72"/>
        <v>1</v>
      </c>
      <c r="K1071" s="65">
        <f t="shared" si="73"/>
        <v>0</v>
      </c>
      <c r="M1071" s="73">
        <f t="shared" si="74"/>
        <v>0</v>
      </c>
      <c r="AC1071" t="str">
        <f t="shared" si="75"/>
        <v>Jan</v>
      </c>
    </row>
    <row r="1072" spans="3:29" x14ac:dyDescent="0.35">
      <c r="C1072" s="80">
        <f t="shared" si="72"/>
        <v>1</v>
      </c>
      <c r="K1072" s="65">
        <f t="shared" si="73"/>
        <v>0</v>
      </c>
      <c r="M1072" s="73">
        <f t="shared" si="74"/>
        <v>0</v>
      </c>
      <c r="AC1072" t="str">
        <f t="shared" si="75"/>
        <v>Jan</v>
      </c>
    </row>
    <row r="1073" spans="3:29" x14ac:dyDescent="0.35">
      <c r="C1073" s="80">
        <f t="shared" si="72"/>
        <v>1</v>
      </c>
      <c r="K1073" s="65">
        <f t="shared" si="73"/>
        <v>0</v>
      </c>
      <c r="M1073" s="73">
        <f t="shared" si="74"/>
        <v>0</v>
      </c>
      <c r="AC1073" t="str">
        <f t="shared" si="75"/>
        <v>Jan</v>
      </c>
    </row>
    <row r="1074" spans="3:29" x14ac:dyDescent="0.35">
      <c r="C1074" s="80">
        <f t="shared" si="72"/>
        <v>1</v>
      </c>
      <c r="K1074" s="65">
        <f t="shared" si="73"/>
        <v>0</v>
      </c>
      <c r="M1074" s="73">
        <f t="shared" si="74"/>
        <v>0</v>
      </c>
      <c r="AC1074" t="str">
        <f t="shared" si="75"/>
        <v>Jan</v>
      </c>
    </row>
    <row r="1075" spans="3:29" x14ac:dyDescent="0.35">
      <c r="C1075" s="80">
        <f t="shared" si="72"/>
        <v>1</v>
      </c>
      <c r="K1075" s="65">
        <f t="shared" si="73"/>
        <v>0</v>
      </c>
      <c r="M1075" s="73">
        <f t="shared" si="74"/>
        <v>0</v>
      </c>
      <c r="AC1075" t="str">
        <f t="shared" si="75"/>
        <v>Jan</v>
      </c>
    </row>
    <row r="1076" spans="3:29" x14ac:dyDescent="0.35">
      <c r="C1076" s="80">
        <f t="shared" si="72"/>
        <v>1</v>
      </c>
      <c r="K1076" s="65">
        <f t="shared" si="73"/>
        <v>0</v>
      </c>
      <c r="M1076" s="73">
        <f t="shared" si="74"/>
        <v>0</v>
      </c>
      <c r="AC1076" t="str">
        <f t="shared" si="75"/>
        <v>Jan</v>
      </c>
    </row>
    <row r="1077" spans="3:29" x14ac:dyDescent="0.35">
      <c r="C1077" s="80">
        <f t="shared" si="72"/>
        <v>1</v>
      </c>
      <c r="K1077" s="65">
        <f t="shared" si="73"/>
        <v>0</v>
      </c>
      <c r="M1077" s="73">
        <f t="shared" si="74"/>
        <v>0</v>
      </c>
      <c r="AC1077" t="str">
        <f t="shared" si="75"/>
        <v>Jan</v>
      </c>
    </row>
    <row r="1078" spans="3:29" x14ac:dyDescent="0.35">
      <c r="C1078" s="80">
        <f t="shared" si="72"/>
        <v>1</v>
      </c>
      <c r="K1078" s="65">
        <f t="shared" si="73"/>
        <v>0</v>
      </c>
      <c r="M1078" s="73">
        <f t="shared" si="74"/>
        <v>0</v>
      </c>
      <c r="AC1078" t="str">
        <f t="shared" si="75"/>
        <v>Jan</v>
      </c>
    </row>
    <row r="1079" spans="3:29" x14ac:dyDescent="0.35">
      <c r="C1079" s="80">
        <f t="shared" si="72"/>
        <v>1</v>
      </c>
      <c r="K1079" s="65">
        <f t="shared" si="73"/>
        <v>0</v>
      </c>
      <c r="M1079" s="73">
        <f t="shared" si="74"/>
        <v>0</v>
      </c>
      <c r="AC1079" t="str">
        <f t="shared" si="75"/>
        <v>Jan</v>
      </c>
    </row>
    <row r="1080" spans="3:29" x14ac:dyDescent="0.35">
      <c r="C1080" s="80">
        <f t="shared" si="72"/>
        <v>1</v>
      </c>
      <c r="K1080" s="65">
        <f t="shared" si="73"/>
        <v>0</v>
      </c>
      <c r="M1080" s="73">
        <f t="shared" si="74"/>
        <v>0</v>
      </c>
      <c r="AC1080" t="str">
        <f t="shared" si="75"/>
        <v>Jan</v>
      </c>
    </row>
    <row r="1081" spans="3:29" x14ac:dyDescent="0.35">
      <c r="C1081" s="80">
        <f t="shared" si="72"/>
        <v>1</v>
      </c>
      <c r="K1081" s="65">
        <f t="shared" si="73"/>
        <v>0</v>
      </c>
      <c r="M1081" s="73">
        <f t="shared" si="74"/>
        <v>0</v>
      </c>
      <c r="AC1081" t="str">
        <f t="shared" si="75"/>
        <v>Jan</v>
      </c>
    </row>
    <row r="1082" spans="3:29" x14ac:dyDescent="0.35">
      <c r="C1082" s="80">
        <f t="shared" si="72"/>
        <v>1</v>
      </c>
      <c r="K1082" s="65">
        <f t="shared" si="73"/>
        <v>0</v>
      </c>
      <c r="M1082" s="73">
        <f t="shared" si="74"/>
        <v>0</v>
      </c>
      <c r="AC1082" t="str">
        <f t="shared" si="75"/>
        <v>Jan</v>
      </c>
    </row>
    <row r="1083" spans="3:29" x14ac:dyDescent="0.35">
      <c r="C1083" s="80">
        <f t="shared" si="72"/>
        <v>1</v>
      </c>
      <c r="K1083" s="65">
        <f t="shared" si="73"/>
        <v>0</v>
      </c>
      <c r="M1083" s="73">
        <f t="shared" si="74"/>
        <v>0</v>
      </c>
      <c r="AC1083" t="str">
        <f t="shared" si="75"/>
        <v>Jan</v>
      </c>
    </row>
    <row r="1084" spans="3:29" x14ac:dyDescent="0.35">
      <c r="C1084" s="80">
        <f t="shared" si="72"/>
        <v>1</v>
      </c>
      <c r="K1084" s="65">
        <f t="shared" si="73"/>
        <v>0</v>
      </c>
      <c r="M1084" s="73">
        <f t="shared" si="74"/>
        <v>0</v>
      </c>
      <c r="AC1084" t="str">
        <f t="shared" si="75"/>
        <v>Jan</v>
      </c>
    </row>
    <row r="1085" spans="3:29" x14ac:dyDescent="0.35">
      <c r="C1085" s="80">
        <f t="shared" si="72"/>
        <v>1</v>
      </c>
      <c r="K1085" s="65">
        <f t="shared" si="73"/>
        <v>0</v>
      </c>
      <c r="M1085" s="73">
        <f t="shared" si="74"/>
        <v>0</v>
      </c>
      <c r="AC1085" t="str">
        <f t="shared" si="75"/>
        <v>Jan</v>
      </c>
    </row>
    <row r="1086" spans="3:29" x14ac:dyDescent="0.35">
      <c r="C1086" s="80">
        <f t="shared" si="72"/>
        <v>1</v>
      </c>
      <c r="K1086" s="65">
        <f t="shared" si="73"/>
        <v>0</v>
      </c>
      <c r="M1086" s="73">
        <f t="shared" si="74"/>
        <v>0</v>
      </c>
      <c r="AC1086" t="str">
        <f t="shared" si="75"/>
        <v>Jan</v>
      </c>
    </row>
    <row r="1087" spans="3:29" x14ac:dyDescent="0.35">
      <c r="C1087" s="80">
        <f t="shared" si="72"/>
        <v>1</v>
      </c>
      <c r="K1087" s="65">
        <f t="shared" si="73"/>
        <v>0</v>
      </c>
      <c r="M1087" s="73">
        <f t="shared" si="74"/>
        <v>0</v>
      </c>
      <c r="AC1087" t="str">
        <f t="shared" si="75"/>
        <v>Jan</v>
      </c>
    </row>
    <row r="1088" spans="3:29" x14ac:dyDescent="0.35">
      <c r="C1088" s="80">
        <f t="shared" si="72"/>
        <v>1</v>
      </c>
      <c r="K1088" s="65">
        <f t="shared" si="73"/>
        <v>0</v>
      </c>
      <c r="M1088" s="73">
        <f t="shared" si="74"/>
        <v>0</v>
      </c>
      <c r="AC1088" t="str">
        <f t="shared" si="75"/>
        <v>Jan</v>
      </c>
    </row>
    <row r="1089" spans="3:29" x14ac:dyDescent="0.35">
      <c r="C1089" s="80">
        <f t="shared" si="72"/>
        <v>1</v>
      </c>
      <c r="K1089" s="65">
        <f t="shared" si="73"/>
        <v>0</v>
      </c>
      <c r="M1089" s="73">
        <f t="shared" si="74"/>
        <v>0</v>
      </c>
      <c r="AC1089" t="str">
        <f t="shared" si="75"/>
        <v>Jan</v>
      </c>
    </row>
    <row r="1090" spans="3:29" x14ac:dyDescent="0.35">
      <c r="C1090" s="80">
        <f t="shared" si="72"/>
        <v>1</v>
      </c>
      <c r="K1090" s="65">
        <f t="shared" si="73"/>
        <v>0</v>
      </c>
      <c r="M1090" s="73">
        <f t="shared" si="74"/>
        <v>0</v>
      </c>
      <c r="AC1090" t="str">
        <f t="shared" si="75"/>
        <v>Jan</v>
      </c>
    </row>
    <row r="1091" spans="3:29" x14ac:dyDescent="0.35">
      <c r="C1091" s="80">
        <f t="shared" si="72"/>
        <v>1</v>
      </c>
      <c r="K1091" s="65">
        <f t="shared" si="73"/>
        <v>0</v>
      </c>
      <c r="M1091" s="73">
        <f t="shared" si="74"/>
        <v>0</v>
      </c>
      <c r="AC1091" t="str">
        <f t="shared" si="75"/>
        <v>Jan</v>
      </c>
    </row>
    <row r="1092" spans="3:29" x14ac:dyDescent="0.35">
      <c r="C1092" s="80">
        <f t="shared" si="72"/>
        <v>1</v>
      </c>
      <c r="K1092" s="65">
        <f t="shared" si="73"/>
        <v>0</v>
      </c>
      <c r="M1092" s="73">
        <f t="shared" si="74"/>
        <v>0</v>
      </c>
      <c r="AC1092" t="str">
        <f t="shared" si="75"/>
        <v>Jan</v>
      </c>
    </row>
    <row r="1093" spans="3:29" x14ac:dyDescent="0.35">
      <c r="C1093" s="80">
        <f t="shared" si="72"/>
        <v>1</v>
      </c>
      <c r="K1093" s="65">
        <f t="shared" si="73"/>
        <v>0</v>
      </c>
      <c r="M1093" s="73">
        <f t="shared" si="74"/>
        <v>0</v>
      </c>
      <c r="AC1093" t="str">
        <f t="shared" si="75"/>
        <v>Jan</v>
      </c>
    </row>
    <row r="1094" spans="3:29" x14ac:dyDescent="0.35">
      <c r="C1094" s="80">
        <f t="shared" ref="C1094:C1157" si="76">MONTH(B1094)</f>
        <v>1</v>
      </c>
      <c r="K1094" s="65">
        <f t="shared" ref="K1094:K1157" si="77">I1094*J1094</f>
        <v>0</v>
      </c>
      <c r="M1094" s="73">
        <f t="shared" ref="M1094:M1157" si="78">K1094-L1094</f>
        <v>0</v>
      </c>
      <c r="AC1094" t="str">
        <f t="shared" si="75"/>
        <v>Jan</v>
      </c>
    </row>
    <row r="1095" spans="3:29" x14ac:dyDescent="0.35">
      <c r="C1095" s="80">
        <f t="shared" si="76"/>
        <v>1</v>
      </c>
      <c r="K1095" s="65">
        <f t="shared" si="77"/>
        <v>0</v>
      </c>
      <c r="M1095" s="73">
        <f t="shared" si="78"/>
        <v>0</v>
      </c>
      <c r="AC1095" t="str">
        <f t="shared" ref="AC1095:AC1158" si="79">IFERROR(INDEX(AA:AA,MATCH(C1095,Z:Z,0)),"")</f>
        <v>Jan</v>
      </c>
    </row>
    <row r="1096" spans="3:29" x14ac:dyDescent="0.35">
      <c r="C1096" s="80">
        <f t="shared" si="76"/>
        <v>1</v>
      </c>
      <c r="K1096" s="65">
        <f t="shared" si="77"/>
        <v>0</v>
      </c>
      <c r="M1096" s="73">
        <f t="shared" si="78"/>
        <v>0</v>
      </c>
      <c r="AC1096" t="str">
        <f t="shared" si="79"/>
        <v>Jan</v>
      </c>
    </row>
    <row r="1097" spans="3:29" x14ac:dyDescent="0.35">
      <c r="C1097" s="80">
        <f t="shared" si="76"/>
        <v>1</v>
      </c>
      <c r="K1097" s="65">
        <f t="shared" si="77"/>
        <v>0</v>
      </c>
      <c r="M1097" s="73">
        <f t="shared" si="78"/>
        <v>0</v>
      </c>
      <c r="AC1097" t="str">
        <f t="shared" si="79"/>
        <v>Jan</v>
      </c>
    </row>
    <row r="1098" spans="3:29" x14ac:dyDescent="0.35">
      <c r="C1098" s="80">
        <f t="shared" si="76"/>
        <v>1</v>
      </c>
      <c r="K1098" s="65">
        <f t="shared" si="77"/>
        <v>0</v>
      </c>
      <c r="M1098" s="73">
        <f t="shared" si="78"/>
        <v>0</v>
      </c>
      <c r="AC1098" t="str">
        <f t="shared" si="79"/>
        <v>Jan</v>
      </c>
    </row>
    <row r="1099" spans="3:29" x14ac:dyDescent="0.35">
      <c r="C1099" s="80">
        <f t="shared" si="76"/>
        <v>1</v>
      </c>
      <c r="K1099" s="65">
        <f t="shared" si="77"/>
        <v>0</v>
      </c>
      <c r="M1099" s="73">
        <f t="shared" si="78"/>
        <v>0</v>
      </c>
      <c r="AC1099" t="str">
        <f t="shared" si="79"/>
        <v>Jan</v>
      </c>
    </row>
    <row r="1100" spans="3:29" x14ac:dyDescent="0.35">
      <c r="C1100" s="80">
        <f t="shared" si="76"/>
        <v>1</v>
      </c>
      <c r="K1100" s="65">
        <f t="shared" si="77"/>
        <v>0</v>
      </c>
      <c r="M1100" s="73">
        <f t="shared" si="78"/>
        <v>0</v>
      </c>
      <c r="AC1100" t="str">
        <f t="shared" si="79"/>
        <v>Jan</v>
      </c>
    </row>
    <row r="1101" spans="3:29" x14ac:dyDescent="0.35">
      <c r="C1101" s="80">
        <f t="shared" si="76"/>
        <v>1</v>
      </c>
      <c r="K1101" s="65">
        <f t="shared" si="77"/>
        <v>0</v>
      </c>
      <c r="M1101" s="73">
        <f t="shared" si="78"/>
        <v>0</v>
      </c>
      <c r="AC1101" t="str">
        <f t="shared" si="79"/>
        <v>Jan</v>
      </c>
    </row>
    <row r="1102" spans="3:29" x14ac:dyDescent="0.35">
      <c r="C1102" s="80">
        <f t="shared" si="76"/>
        <v>1</v>
      </c>
      <c r="K1102" s="65">
        <f t="shared" si="77"/>
        <v>0</v>
      </c>
      <c r="M1102" s="73">
        <f t="shared" si="78"/>
        <v>0</v>
      </c>
      <c r="AC1102" t="str">
        <f t="shared" si="79"/>
        <v>Jan</v>
      </c>
    </row>
    <row r="1103" spans="3:29" x14ac:dyDescent="0.35">
      <c r="C1103" s="80">
        <f t="shared" si="76"/>
        <v>1</v>
      </c>
      <c r="K1103" s="65">
        <f t="shared" si="77"/>
        <v>0</v>
      </c>
      <c r="M1103" s="73">
        <f t="shared" si="78"/>
        <v>0</v>
      </c>
      <c r="AC1103" t="str">
        <f t="shared" si="79"/>
        <v>Jan</v>
      </c>
    </row>
    <row r="1104" spans="3:29" x14ac:dyDescent="0.35">
      <c r="C1104" s="80">
        <f t="shared" si="76"/>
        <v>1</v>
      </c>
      <c r="K1104" s="65">
        <f t="shared" si="77"/>
        <v>0</v>
      </c>
      <c r="M1104" s="73">
        <f t="shared" si="78"/>
        <v>0</v>
      </c>
      <c r="AC1104" t="str">
        <f t="shared" si="79"/>
        <v>Jan</v>
      </c>
    </row>
    <row r="1105" spans="3:29" x14ac:dyDescent="0.35">
      <c r="C1105" s="80">
        <f t="shared" si="76"/>
        <v>1</v>
      </c>
      <c r="K1105" s="65">
        <f t="shared" si="77"/>
        <v>0</v>
      </c>
      <c r="M1105" s="73">
        <f t="shared" si="78"/>
        <v>0</v>
      </c>
      <c r="AC1105" t="str">
        <f t="shared" si="79"/>
        <v>Jan</v>
      </c>
    </row>
    <row r="1106" spans="3:29" x14ac:dyDescent="0.35">
      <c r="C1106" s="80">
        <f t="shared" si="76"/>
        <v>1</v>
      </c>
      <c r="K1106" s="65">
        <f t="shared" si="77"/>
        <v>0</v>
      </c>
      <c r="M1106" s="73">
        <f t="shared" si="78"/>
        <v>0</v>
      </c>
      <c r="AC1106" t="str">
        <f t="shared" si="79"/>
        <v>Jan</v>
      </c>
    </row>
    <row r="1107" spans="3:29" x14ac:dyDescent="0.35">
      <c r="C1107" s="80">
        <f t="shared" si="76"/>
        <v>1</v>
      </c>
      <c r="K1107" s="65">
        <f t="shared" si="77"/>
        <v>0</v>
      </c>
      <c r="M1107" s="73">
        <f t="shared" si="78"/>
        <v>0</v>
      </c>
      <c r="AC1107" t="str">
        <f t="shared" si="79"/>
        <v>Jan</v>
      </c>
    </row>
    <row r="1108" spans="3:29" x14ac:dyDescent="0.35">
      <c r="C1108" s="80">
        <f t="shared" si="76"/>
        <v>1</v>
      </c>
      <c r="K1108" s="65">
        <f t="shared" si="77"/>
        <v>0</v>
      </c>
      <c r="M1108" s="73">
        <f t="shared" si="78"/>
        <v>0</v>
      </c>
      <c r="AC1108" t="str">
        <f t="shared" si="79"/>
        <v>Jan</v>
      </c>
    </row>
    <row r="1109" spans="3:29" x14ac:dyDescent="0.35">
      <c r="C1109" s="80">
        <f t="shared" si="76"/>
        <v>1</v>
      </c>
      <c r="K1109" s="65">
        <f t="shared" si="77"/>
        <v>0</v>
      </c>
      <c r="M1109" s="73">
        <f t="shared" si="78"/>
        <v>0</v>
      </c>
      <c r="AC1109" t="str">
        <f t="shared" si="79"/>
        <v>Jan</v>
      </c>
    </row>
    <row r="1110" spans="3:29" x14ac:dyDescent="0.35">
      <c r="C1110" s="80">
        <f t="shared" si="76"/>
        <v>1</v>
      </c>
      <c r="K1110" s="65">
        <f t="shared" si="77"/>
        <v>0</v>
      </c>
      <c r="M1110" s="73">
        <f t="shared" si="78"/>
        <v>0</v>
      </c>
      <c r="AC1110" t="str">
        <f t="shared" si="79"/>
        <v>Jan</v>
      </c>
    </row>
    <row r="1111" spans="3:29" x14ac:dyDescent="0.35">
      <c r="C1111" s="80">
        <f t="shared" si="76"/>
        <v>1</v>
      </c>
      <c r="K1111" s="65">
        <f t="shared" si="77"/>
        <v>0</v>
      </c>
      <c r="M1111" s="73">
        <f t="shared" si="78"/>
        <v>0</v>
      </c>
      <c r="AC1111" t="str">
        <f t="shared" si="79"/>
        <v>Jan</v>
      </c>
    </row>
    <row r="1112" spans="3:29" x14ac:dyDescent="0.35">
      <c r="C1112" s="80">
        <f t="shared" si="76"/>
        <v>1</v>
      </c>
      <c r="K1112" s="65">
        <f t="shared" si="77"/>
        <v>0</v>
      </c>
      <c r="M1112" s="73">
        <f t="shared" si="78"/>
        <v>0</v>
      </c>
      <c r="AC1112" t="str">
        <f t="shared" si="79"/>
        <v>Jan</v>
      </c>
    </row>
    <row r="1113" spans="3:29" x14ac:dyDescent="0.35">
      <c r="C1113" s="80">
        <f t="shared" si="76"/>
        <v>1</v>
      </c>
      <c r="K1113" s="65">
        <f t="shared" si="77"/>
        <v>0</v>
      </c>
      <c r="M1113" s="73">
        <f t="shared" si="78"/>
        <v>0</v>
      </c>
      <c r="AC1113" t="str">
        <f t="shared" si="79"/>
        <v>Jan</v>
      </c>
    </row>
    <row r="1114" spans="3:29" x14ac:dyDescent="0.35">
      <c r="C1114" s="80">
        <f t="shared" si="76"/>
        <v>1</v>
      </c>
      <c r="K1114" s="65">
        <f t="shared" si="77"/>
        <v>0</v>
      </c>
      <c r="M1114" s="73">
        <f t="shared" si="78"/>
        <v>0</v>
      </c>
      <c r="AC1114" t="str">
        <f t="shared" si="79"/>
        <v>Jan</v>
      </c>
    </row>
    <row r="1115" spans="3:29" x14ac:dyDescent="0.35">
      <c r="C1115" s="80">
        <f t="shared" si="76"/>
        <v>1</v>
      </c>
      <c r="K1115" s="65">
        <f t="shared" si="77"/>
        <v>0</v>
      </c>
      <c r="M1115" s="73">
        <f t="shared" si="78"/>
        <v>0</v>
      </c>
      <c r="AC1115" t="str">
        <f t="shared" si="79"/>
        <v>Jan</v>
      </c>
    </row>
    <row r="1116" spans="3:29" x14ac:dyDescent="0.35">
      <c r="C1116" s="80">
        <f t="shared" si="76"/>
        <v>1</v>
      </c>
      <c r="K1116" s="65">
        <f t="shared" si="77"/>
        <v>0</v>
      </c>
      <c r="M1116" s="73">
        <f t="shared" si="78"/>
        <v>0</v>
      </c>
      <c r="AC1116" t="str">
        <f t="shared" si="79"/>
        <v>Jan</v>
      </c>
    </row>
    <row r="1117" spans="3:29" x14ac:dyDescent="0.35">
      <c r="C1117" s="80">
        <f t="shared" si="76"/>
        <v>1</v>
      </c>
      <c r="K1117" s="65">
        <f t="shared" si="77"/>
        <v>0</v>
      </c>
      <c r="M1117" s="73">
        <f t="shared" si="78"/>
        <v>0</v>
      </c>
      <c r="AC1117" t="str">
        <f t="shared" si="79"/>
        <v>Jan</v>
      </c>
    </row>
    <row r="1118" spans="3:29" x14ac:dyDescent="0.35">
      <c r="C1118" s="80">
        <f t="shared" si="76"/>
        <v>1</v>
      </c>
      <c r="K1118" s="65">
        <f t="shared" si="77"/>
        <v>0</v>
      </c>
      <c r="M1118" s="73">
        <f t="shared" si="78"/>
        <v>0</v>
      </c>
      <c r="AC1118" t="str">
        <f t="shared" si="79"/>
        <v>Jan</v>
      </c>
    </row>
    <row r="1119" spans="3:29" x14ac:dyDescent="0.35">
      <c r="C1119" s="80">
        <f t="shared" si="76"/>
        <v>1</v>
      </c>
      <c r="K1119" s="65">
        <f t="shared" si="77"/>
        <v>0</v>
      </c>
      <c r="M1119" s="73">
        <f t="shared" si="78"/>
        <v>0</v>
      </c>
      <c r="AC1119" t="str">
        <f t="shared" si="79"/>
        <v>Jan</v>
      </c>
    </row>
    <row r="1120" spans="3:29" x14ac:dyDescent="0.35">
      <c r="C1120" s="80">
        <f t="shared" si="76"/>
        <v>1</v>
      </c>
      <c r="K1120" s="65">
        <f t="shared" si="77"/>
        <v>0</v>
      </c>
      <c r="M1120" s="73">
        <f t="shared" si="78"/>
        <v>0</v>
      </c>
      <c r="AC1120" t="str">
        <f t="shared" si="79"/>
        <v>Jan</v>
      </c>
    </row>
    <row r="1121" spans="3:29" x14ac:dyDescent="0.35">
      <c r="C1121" s="80">
        <f t="shared" si="76"/>
        <v>1</v>
      </c>
      <c r="K1121" s="65">
        <f t="shared" si="77"/>
        <v>0</v>
      </c>
      <c r="M1121" s="73">
        <f t="shared" si="78"/>
        <v>0</v>
      </c>
      <c r="AC1121" t="str">
        <f t="shared" si="79"/>
        <v>Jan</v>
      </c>
    </row>
    <row r="1122" spans="3:29" x14ac:dyDescent="0.35">
      <c r="C1122" s="80">
        <f t="shared" si="76"/>
        <v>1</v>
      </c>
      <c r="K1122" s="65">
        <f t="shared" si="77"/>
        <v>0</v>
      </c>
      <c r="M1122" s="73">
        <f t="shared" si="78"/>
        <v>0</v>
      </c>
      <c r="AC1122" t="str">
        <f t="shared" si="79"/>
        <v>Jan</v>
      </c>
    </row>
    <row r="1123" spans="3:29" x14ac:dyDescent="0.35">
      <c r="C1123" s="80">
        <f t="shared" si="76"/>
        <v>1</v>
      </c>
      <c r="K1123" s="65">
        <f t="shared" si="77"/>
        <v>0</v>
      </c>
      <c r="M1123" s="73">
        <f t="shared" si="78"/>
        <v>0</v>
      </c>
      <c r="AC1123" t="str">
        <f t="shared" si="79"/>
        <v>Jan</v>
      </c>
    </row>
    <row r="1124" spans="3:29" x14ac:dyDescent="0.35">
      <c r="C1124" s="80">
        <f t="shared" si="76"/>
        <v>1</v>
      </c>
      <c r="K1124" s="65">
        <f t="shared" si="77"/>
        <v>0</v>
      </c>
      <c r="M1124" s="73">
        <f t="shared" si="78"/>
        <v>0</v>
      </c>
      <c r="AC1124" t="str">
        <f t="shared" si="79"/>
        <v>Jan</v>
      </c>
    </row>
    <row r="1125" spans="3:29" x14ac:dyDescent="0.35">
      <c r="C1125" s="80">
        <f t="shared" si="76"/>
        <v>1</v>
      </c>
      <c r="K1125" s="65">
        <f t="shared" si="77"/>
        <v>0</v>
      </c>
      <c r="M1125" s="73">
        <f t="shared" si="78"/>
        <v>0</v>
      </c>
      <c r="AC1125" t="str">
        <f t="shared" si="79"/>
        <v>Jan</v>
      </c>
    </row>
    <row r="1126" spans="3:29" x14ac:dyDescent="0.35">
      <c r="C1126" s="80">
        <f t="shared" si="76"/>
        <v>1</v>
      </c>
      <c r="K1126" s="65">
        <f t="shared" si="77"/>
        <v>0</v>
      </c>
      <c r="M1126" s="73">
        <f t="shared" si="78"/>
        <v>0</v>
      </c>
      <c r="AC1126" t="str">
        <f t="shared" si="79"/>
        <v>Jan</v>
      </c>
    </row>
    <row r="1127" spans="3:29" x14ac:dyDescent="0.35">
      <c r="C1127" s="80">
        <f t="shared" si="76"/>
        <v>1</v>
      </c>
      <c r="K1127" s="65">
        <f t="shared" si="77"/>
        <v>0</v>
      </c>
      <c r="M1127" s="73">
        <f t="shared" si="78"/>
        <v>0</v>
      </c>
      <c r="AC1127" t="str">
        <f t="shared" si="79"/>
        <v>Jan</v>
      </c>
    </row>
    <row r="1128" spans="3:29" x14ac:dyDescent="0.35">
      <c r="C1128" s="80">
        <f t="shared" si="76"/>
        <v>1</v>
      </c>
      <c r="K1128" s="65">
        <f t="shared" si="77"/>
        <v>0</v>
      </c>
      <c r="M1128" s="73">
        <f t="shared" si="78"/>
        <v>0</v>
      </c>
      <c r="AC1128" t="str">
        <f t="shared" si="79"/>
        <v>Jan</v>
      </c>
    </row>
    <row r="1129" spans="3:29" x14ac:dyDescent="0.35">
      <c r="C1129" s="80">
        <f t="shared" si="76"/>
        <v>1</v>
      </c>
      <c r="K1129" s="65">
        <f t="shared" si="77"/>
        <v>0</v>
      </c>
      <c r="M1129" s="73">
        <f t="shared" si="78"/>
        <v>0</v>
      </c>
      <c r="AC1129" t="str">
        <f t="shared" si="79"/>
        <v>Jan</v>
      </c>
    </row>
    <row r="1130" spans="3:29" x14ac:dyDescent="0.35">
      <c r="C1130" s="80">
        <f t="shared" si="76"/>
        <v>1</v>
      </c>
      <c r="K1130" s="65">
        <f t="shared" si="77"/>
        <v>0</v>
      </c>
      <c r="M1130" s="73">
        <f t="shared" si="78"/>
        <v>0</v>
      </c>
      <c r="AC1130" t="str">
        <f t="shared" si="79"/>
        <v>Jan</v>
      </c>
    </row>
    <row r="1131" spans="3:29" x14ac:dyDescent="0.35">
      <c r="C1131" s="80">
        <f t="shared" si="76"/>
        <v>1</v>
      </c>
      <c r="K1131" s="65">
        <f t="shared" si="77"/>
        <v>0</v>
      </c>
      <c r="M1131" s="73">
        <f t="shared" si="78"/>
        <v>0</v>
      </c>
      <c r="AC1131" t="str">
        <f t="shared" si="79"/>
        <v>Jan</v>
      </c>
    </row>
    <row r="1132" spans="3:29" x14ac:dyDescent="0.35">
      <c r="C1132" s="80">
        <f t="shared" si="76"/>
        <v>1</v>
      </c>
      <c r="K1132" s="65">
        <f t="shared" si="77"/>
        <v>0</v>
      </c>
      <c r="M1132" s="73">
        <f t="shared" si="78"/>
        <v>0</v>
      </c>
      <c r="AC1132" t="str">
        <f t="shared" si="79"/>
        <v>Jan</v>
      </c>
    </row>
    <row r="1133" spans="3:29" x14ac:dyDescent="0.35">
      <c r="C1133" s="80">
        <f t="shared" si="76"/>
        <v>1</v>
      </c>
      <c r="K1133" s="65">
        <f t="shared" si="77"/>
        <v>0</v>
      </c>
      <c r="M1133" s="73">
        <f t="shared" si="78"/>
        <v>0</v>
      </c>
      <c r="AC1133" t="str">
        <f t="shared" si="79"/>
        <v>Jan</v>
      </c>
    </row>
    <row r="1134" spans="3:29" x14ac:dyDescent="0.35">
      <c r="C1134" s="80">
        <f t="shared" si="76"/>
        <v>1</v>
      </c>
      <c r="K1134" s="65">
        <f t="shared" si="77"/>
        <v>0</v>
      </c>
      <c r="M1134" s="73">
        <f t="shared" si="78"/>
        <v>0</v>
      </c>
      <c r="AC1134" t="str">
        <f t="shared" si="79"/>
        <v>Jan</v>
      </c>
    </row>
    <row r="1135" spans="3:29" x14ac:dyDescent="0.35">
      <c r="C1135" s="80">
        <f t="shared" si="76"/>
        <v>1</v>
      </c>
      <c r="K1135" s="65">
        <f t="shared" si="77"/>
        <v>0</v>
      </c>
      <c r="M1135" s="73">
        <f t="shared" si="78"/>
        <v>0</v>
      </c>
      <c r="AC1135" t="str">
        <f t="shared" si="79"/>
        <v>Jan</v>
      </c>
    </row>
    <row r="1136" spans="3:29" x14ac:dyDescent="0.35">
      <c r="C1136" s="80">
        <f t="shared" si="76"/>
        <v>1</v>
      </c>
      <c r="K1136" s="65">
        <f t="shared" si="77"/>
        <v>0</v>
      </c>
      <c r="M1136" s="73">
        <f t="shared" si="78"/>
        <v>0</v>
      </c>
      <c r="AC1136" t="str">
        <f t="shared" si="79"/>
        <v>Jan</v>
      </c>
    </row>
    <row r="1137" spans="3:29" x14ac:dyDescent="0.35">
      <c r="C1137" s="80">
        <f t="shared" si="76"/>
        <v>1</v>
      </c>
      <c r="K1137" s="65">
        <f t="shared" si="77"/>
        <v>0</v>
      </c>
      <c r="M1137" s="73">
        <f t="shared" si="78"/>
        <v>0</v>
      </c>
      <c r="AC1137" t="str">
        <f t="shared" si="79"/>
        <v>Jan</v>
      </c>
    </row>
    <row r="1138" spans="3:29" x14ac:dyDescent="0.35">
      <c r="C1138" s="80">
        <f t="shared" si="76"/>
        <v>1</v>
      </c>
      <c r="K1138" s="65">
        <f t="shared" si="77"/>
        <v>0</v>
      </c>
      <c r="M1138" s="73">
        <f t="shared" si="78"/>
        <v>0</v>
      </c>
      <c r="AC1138" t="str">
        <f t="shared" si="79"/>
        <v>Jan</v>
      </c>
    </row>
    <row r="1139" spans="3:29" x14ac:dyDescent="0.35">
      <c r="C1139" s="80">
        <f t="shared" si="76"/>
        <v>1</v>
      </c>
      <c r="K1139" s="65">
        <f t="shared" si="77"/>
        <v>0</v>
      </c>
      <c r="M1139" s="73">
        <f t="shared" si="78"/>
        <v>0</v>
      </c>
      <c r="AC1139" t="str">
        <f t="shared" si="79"/>
        <v>Jan</v>
      </c>
    </row>
    <row r="1140" spans="3:29" x14ac:dyDescent="0.35">
      <c r="C1140" s="80">
        <f t="shared" si="76"/>
        <v>1</v>
      </c>
      <c r="K1140" s="65">
        <f t="shared" si="77"/>
        <v>0</v>
      </c>
      <c r="M1140" s="73">
        <f t="shared" si="78"/>
        <v>0</v>
      </c>
      <c r="AC1140" t="str">
        <f t="shared" si="79"/>
        <v>Jan</v>
      </c>
    </row>
    <row r="1141" spans="3:29" x14ac:dyDescent="0.35">
      <c r="C1141" s="80">
        <f t="shared" si="76"/>
        <v>1</v>
      </c>
      <c r="K1141" s="65">
        <f t="shared" si="77"/>
        <v>0</v>
      </c>
      <c r="M1141" s="73">
        <f t="shared" si="78"/>
        <v>0</v>
      </c>
      <c r="AC1141" t="str">
        <f t="shared" si="79"/>
        <v>Jan</v>
      </c>
    </row>
    <row r="1142" spans="3:29" x14ac:dyDescent="0.35">
      <c r="C1142" s="80">
        <f t="shared" si="76"/>
        <v>1</v>
      </c>
      <c r="K1142" s="65">
        <f t="shared" si="77"/>
        <v>0</v>
      </c>
      <c r="M1142" s="73">
        <f t="shared" si="78"/>
        <v>0</v>
      </c>
      <c r="AC1142" t="str">
        <f t="shared" si="79"/>
        <v>Jan</v>
      </c>
    </row>
    <row r="1143" spans="3:29" x14ac:dyDescent="0.35">
      <c r="C1143" s="80">
        <f t="shared" si="76"/>
        <v>1</v>
      </c>
      <c r="K1143" s="65">
        <f t="shared" si="77"/>
        <v>0</v>
      </c>
      <c r="M1143" s="73">
        <f t="shared" si="78"/>
        <v>0</v>
      </c>
      <c r="AC1143" t="str">
        <f t="shared" si="79"/>
        <v>Jan</v>
      </c>
    </row>
    <row r="1144" spans="3:29" x14ac:dyDescent="0.35">
      <c r="C1144" s="80">
        <f t="shared" si="76"/>
        <v>1</v>
      </c>
      <c r="K1144" s="65">
        <f t="shared" si="77"/>
        <v>0</v>
      </c>
      <c r="M1144" s="73">
        <f t="shared" si="78"/>
        <v>0</v>
      </c>
      <c r="AC1144" t="str">
        <f t="shared" si="79"/>
        <v>Jan</v>
      </c>
    </row>
    <row r="1145" spans="3:29" x14ac:dyDescent="0.35">
      <c r="C1145" s="80">
        <f t="shared" si="76"/>
        <v>1</v>
      </c>
      <c r="K1145" s="65">
        <f t="shared" si="77"/>
        <v>0</v>
      </c>
      <c r="M1145" s="73">
        <f t="shared" si="78"/>
        <v>0</v>
      </c>
      <c r="AC1145" t="str">
        <f t="shared" si="79"/>
        <v>Jan</v>
      </c>
    </row>
    <row r="1146" spans="3:29" x14ac:dyDescent="0.35">
      <c r="C1146" s="80">
        <f t="shared" si="76"/>
        <v>1</v>
      </c>
      <c r="K1146" s="65">
        <f t="shared" si="77"/>
        <v>0</v>
      </c>
      <c r="M1146" s="73">
        <f t="shared" si="78"/>
        <v>0</v>
      </c>
      <c r="AC1146" t="str">
        <f t="shared" si="79"/>
        <v>Jan</v>
      </c>
    </row>
    <row r="1147" spans="3:29" x14ac:dyDescent="0.35">
      <c r="C1147" s="80">
        <f t="shared" si="76"/>
        <v>1</v>
      </c>
      <c r="K1147" s="65">
        <f t="shared" si="77"/>
        <v>0</v>
      </c>
      <c r="M1147" s="73">
        <f t="shared" si="78"/>
        <v>0</v>
      </c>
      <c r="AC1147" t="str">
        <f t="shared" si="79"/>
        <v>Jan</v>
      </c>
    </row>
    <row r="1148" spans="3:29" x14ac:dyDescent="0.35">
      <c r="C1148" s="80">
        <f t="shared" si="76"/>
        <v>1</v>
      </c>
      <c r="K1148" s="65">
        <f t="shared" si="77"/>
        <v>0</v>
      </c>
      <c r="M1148" s="73">
        <f t="shared" si="78"/>
        <v>0</v>
      </c>
      <c r="AC1148" t="str">
        <f t="shared" si="79"/>
        <v>Jan</v>
      </c>
    </row>
    <row r="1149" spans="3:29" x14ac:dyDescent="0.35">
      <c r="C1149" s="80">
        <f t="shared" si="76"/>
        <v>1</v>
      </c>
      <c r="K1149" s="65">
        <f t="shared" si="77"/>
        <v>0</v>
      </c>
      <c r="M1149" s="73">
        <f t="shared" si="78"/>
        <v>0</v>
      </c>
      <c r="AC1149" t="str">
        <f t="shared" si="79"/>
        <v>Jan</v>
      </c>
    </row>
    <row r="1150" spans="3:29" x14ac:dyDescent="0.35">
      <c r="C1150" s="80">
        <f t="shared" si="76"/>
        <v>1</v>
      </c>
      <c r="K1150" s="65">
        <f t="shared" si="77"/>
        <v>0</v>
      </c>
      <c r="M1150" s="73">
        <f t="shared" si="78"/>
        <v>0</v>
      </c>
      <c r="AC1150" t="str">
        <f t="shared" si="79"/>
        <v>Jan</v>
      </c>
    </row>
    <row r="1151" spans="3:29" x14ac:dyDescent="0.35">
      <c r="C1151" s="80">
        <f t="shared" si="76"/>
        <v>1</v>
      </c>
      <c r="K1151" s="65">
        <f t="shared" si="77"/>
        <v>0</v>
      </c>
      <c r="M1151" s="73">
        <f t="shared" si="78"/>
        <v>0</v>
      </c>
      <c r="AC1151" t="str">
        <f t="shared" si="79"/>
        <v>Jan</v>
      </c>
    </row>
    <row r="1152" spans="3:29" x14ac:dyDescent="0.35">
      <c r="C1152" s="80">
        <f t="shared" si="76"/>
        <v>1</v>
      </c>
      <c r="K1152" s="65">
        <f t="shared" si="77"/>
        <v>0</v>
      </c>
      <c r="M1152" s="73">
        <f t="shared" si="78"/>
        <v>0</v>
      </c>
      <c r="AC1152" t="str">
        <f t="shared" si="79"/>
        <v>Jan</v>
      </c>
    </row>
    <row r="1153" spans="3:29" x14ac:dyDescent="0.35">
      <c r="C1153" s="80">
        <f t="shared" si="76"/>
        <v>1</v>
      </c>
      <c r="K1153" s="65">
        <f t="shared" si="77"/>
        <v>0</v>
      </c>
      <c r="M1153" s="73">
        <f t="shared" si="78"/>
        <v>0</v>
      </c>
      <c r="AC1153" t="str">
        <f t="shared" si="79"/>
        <v>Jan</v>
      </c>
    </row>
    <row r="1154" spans="3:29" x14ac:dyDescent="0.35">
      <c r="C1154" s="80">
        <f t="shared" si="76"/>
        <v>1</v>
      </c>
      <c r="K1154" s="65">
        <f t="shared" si="77"/>
        <v>0</v>
      </c>
      <c r="M1154" s="73">
        <f t="shared" si="78"/>
        <v>0</v>
      </c>
      <c r="AC1154" t="str">
        <f t="shared" si="79"/>
        <v>Jan</v>
      </c>
    </row>
    <row r="1155" spans="3:29" x14ac:dyDescent="0.35">
      <c r="C1155" s="80">
        <f t="shared" si="76"/>
        <v>1</v>
      </c>
      <c r="K1155" s="65">
        <f t="shared" si="77"/>
        <v>0</v>
      </c>
      <c r="M1155" s="73">
        <f t="shared" si="78"/>
        <v>0</v>
      </c>
      <c r="AC1155" t="str">
        <f t="shared" si="79"/>
        <v>Jan</v>
      </c>
    </row>
    <row r="1156" spans="3:29" x14ac:dyDescent="0.35">
      <c r="C1156" s="80">
        <f t="shared" si="76"/>
        <v>1</v>
      </c>
      <c r="K1156" s="65">
        <f t="shared" si="77"/>
        <v>0</v>
      </c>
      <c r="M1156" s="73">
        <f t="shared" si="78"/>
        <v>0</v>
      </c>
      <c r="AC1156" t="str">
        <f t="shared" si="79"/>
        <v>Jan</v>
      </c>
    </row>
    <row r="1157" spans="3:29" x14ac:dyDescent="0.35">
      <c r="C1157" s="80">
        <f t="shared" si="76"/>
        <v>1</v>
      </c>
      <c r="K1157" s="65">
        <f t="shared" si="77"/>
        <v>0</v>
      </c>
      <c r="M1157" s="73">
        <f t="shared" si="78"/>
        <v>0</v>
      </c>
      <c r="AC1157" t="str">
        <f t="shared" si="79"/>
        <v>Jan</v>
      </c>
    </row>
    <row r="1158" spans="3:29" x14ac:dyDescent="0.35">
      <c r="C1158" s="80">
        <f t="shared" ref="C1158:C1221" si="80">MONTH(B1158)</f>
        <v>1</v>
      </c>
      <c r="K1158" s="65">
        <f t="shared" ref="K1158:K1221" si="81">I1158*J1158</f>
        <v>0</v>
      </c>
      <c r="M1158" s="73">
        <f t="shared" ref="M1158:M1221" si="82">K1158-L1158</f>
        <v>0</v>
      </c>
      <c r="AC1158" t="str">
        <f t="shared" si="79"/>
        <v>Jan</v>
      </c>
    </row>
    <row r="1159" spans="3:29" x14ac:dyDescent="0.35">
      <c r="C1159" s="80">
        <f t="shared" si="80"/>
        <v>1</v>
      </c>
      <c r="K1159" s="65">
        <f t="shared" si="81"/>
        <v>0</v>
      </c>
      <c r="M1159" s="73">
        <f t="shared" si="82"/>
        <v>0</v>
      </c>
      <c r="AC1159" t="str">
        <f t="shared" ref="AC1159:AC1222" si="83">IFERROR(INDEX(AA:AA,MATCH(C1159,Z:Z,0)),"")</f>
        <v>Jan</v>
      </c>
    </row>
    <row r="1160" spans="3:29" x14ac:dyDescent="0.35">
      <c r="C1160" s="80">
        <f t="shared" si="80"/>
        <v>1</v>
      </c>
      <c r="K1160" s="65">
        <f t="shared" si="81"/>
        <v>0</v>
      </c>
      <c r="M1160" s="73">
        <f t="shared" si="82"/>
        <v>0</v>
      </c>
      <c r="AC1160" t="str">
        <f t="shared" si="83"/>
        <v>Jan</v>
      </c>
    </row>
    <row r="1161" spans="3:29" x14ac:dyDescent="0.35">
      <c r="C1161" s="80">
        <f t="shared" si="80"/>
        <v>1</v>
      </c>
      <c r="K1161" s="65">
        <f t="shared" si="81"/>
        <v>0</v>
      </c>
      <c r="M1161" s="73">
        <f t="shared" si="82"/>
        <v>0</v>
      </c>
      <c r="AC1161" t="str">
        <f t="shared" si="83"/>
        <v>Jan</v>
      </c>
    </row>
    <row r="1162" spans="3:29" x14ac:dyDescent="0.35">
      <c r="C1162" s="80">
        <f t="shared" si="80"/>
        <v>1</v>
      </c>
      <c r="K1162" s="65">
        <f t="shared" si="81"/>
        <v>0</v>
      </c>
      <c r="M1162" s="73">
        <f t="shared" si="82"/>
        <v>0</v>
      </c>
      <c r="AC1162" t="str">
        <f t="shared" si="83"/>
        <v>Jan</v>
      </c>
    </row>
    <row r="1163" spans="3:29" x14ac:dyDescent="0.35">
      <c r="C1163" s="80">
        <f t="shared" si="80"/>
        <v>1</v>
      </c>
      <c r="K1163" s="65">
        <f t="shared" si="81"/>
        <v>0</v>
      </c>
      <c r="M1163" s="73">
        <f t="shared" si="82"/>
        <v>0</v>
      </c>
      <c r="AC1163" t="str">
        <f t="shared" si="83"/>
        <v>Jan</v>
      </c>
    </row>
    <row r="1164" spans="3:29" x14ac:dyDescent="0.35">
      <c r="C1164" s="80">
        <f t="shared" si="80"/>
        <v>1</v>
      </c>
      <c r="K1164" s="65">
        <f t="shared" si="81"/>
        <v>0</v>
      </c>
      <c r="M1164" s="73">
        <f t="shared" si="82"/>
        <v>0</v>
      </c>
      <c r="AC1164" t="str">
        <f t="shared" si="83"/>
        <v>Jan</v>
      </c>
    </row>
    <row r="1165" spans="3:29" x14ac:dyDescent="0.35">
      <c r="C1165" s="80">
        <f t="shared" si="80"/>
        <v>1</v>
      </c>
      <c r="K1165" s="65">
        <f t="shared" si="81"/>
        <v>0</v>
      </c>
      <c r="M1165" s="73">
        <f t="shared" si="82"/>
        <v>0</v>
      </c>
      <c r="AC1165" t="str">
        <f t="shared" si="83"/>
        <v>Jan</v>
      </c>
    </row>
    <row r="1166" spans="3:29" x14ac:dyDescent="0.35">
      <c r="C1166" s="80">
        <f t="shared" si="80"/>
        <v>1</v>
      </c>
      <c r="K1166" s="65">
        <f t="shared" si="81"/>
        <v>0</v>
      </c>
      <c r="M1166" s="73">
        <f t="shared" si="82"/>
        <v>0</v>
      </c>
      <c r="AC1166" t="str">
        <f t="shared" si="83"/>
        <v>Jan</v>
      </c>
    </row>
    <row r="1167" spans="3:29" x14ac:dyDescent="0.35">
      <c r="C1167" s="80">
        <f t="shared" si="80"/>
        <v>1</v>
      </c>
      <c r="K1167" s="65">
        <f t="shared" si="81"/>
        <v>0</v>
      </c>
      <c r="M1167" s="73">
        <f t="shared" si="82"/>
        <v>0</v>
      </c>
      <c r="AC1167" t="str">
        <f t="shared" si="83"/>
        <v>Jan</v>
      </c>
    </row>
    <row r="1168" spans="3:29" x14ac:dyDescent="0.35">
      <c r="C1168" s="80">
        <f t="shared" si="80"/>
        <v>1</v>
      </c>
      <c r="K1168" s="65">
        <f t="shared" si="81"/>
        <v>0</v>
      </c>
      <c r="M1168" s="73">
        <f t="shared" si="82"/>
        <v>0</v>
      </c>
      <c r="AC1168" t="str">
        <f t="shared" si="83"/>
        <v>Jan</v>
      </c>
    </row>
    <row r="1169" spans="3:29" x14ac:dyDescent="0.35">
      <c r="C1169" s="80">
        <f t="shared" si="80"/>
        <v>1</v>
      </c>
      <c r="K1169" s="65">
        <f t="shared" si="81"/>
        <v>0</v>
      </c>
      <c r="M1169" s="73">
        <f t="shared" si="82"/>
        <v>0</v>
      </c>
      <c r="AC1169" t="str">
        <f t="shared" si="83"/>
        <v>Jan</v>
      </c>
    </row>
    <row r="1170" spans="3:29" x14ac:dyDescent="0.35">
      <c r="C1170" s="80">
        <f t="shared" si="80"/>
        <v>1</v>
      </c>
      <c r="K1170" s="65">
        <f t="shared" si="81"/>
        <v>0</v>
      </c>
      <c r="M1170" s="73">
        <f t="shared" si="82"/>
        <v>0</v>
      </c>
      <c r="AC1170" t="str">
        <f t="shared" si="83"/>
        <v>Jan</v>
      </c>
    </row>
    <row r="1171" spans="3:29" x14ac:dyDescent="0.35">
      <c r="C1171" s="80">
        <f t="shared" si="80"/>
        <v>1</v>
      </c>
      <c r="K1171" s="65">
        <f t="shared" si="81"/>
        <v>0</v>
      </c>
      <c r="M1171" s="73">
        <f t="shared" si="82"/>
        <v>0</v>
      </c>
      <c r="AC1171" t="str">
        <f t="shared" si="83"/>
        <v>Jan</v>
      </c>
    </row>
    <row r="1172" spans="3:29" x14ac:dyDescent="0.35">
      <c r="C1172" s="80">
        <f t="shared" si="80"/>
        <v>1</v>
      </c>
      <c r="K1172" s="65">
        <f t="shared" si="81"/>
        <v>0</v>
      </c>
      <c r="M1172" s="73">
        <f t="shared" si="82"/>
        <v>0</v>
      </c>
      <c r="AC1172" t="str">
        <f t="shared" si="83"/>
        <v>Jan</v>
      </c>
    </row>
    <row r="1173" spans="3:29" x14ac:dyDescent="0.35">
      <c r="C1173" s="80">
        <f t="shared" si="80"/>
        <v>1</v>
      </c>
      <c r="K1173" s="65">
        <f t="shared" si="81"/>
        <v>0</v>
      </c>
      <c r="M1173" s="73">
        <f t="shared" si="82"/>
        <v>0</v>
      </c>
      <c r="AC1173" t="str">
        <f t="shared" si="83"/>
        <v>Jan</v>
      </c>
    </row>
    <row r="1174" spans="3:29" x14ac:dyDescent="0.35">
      <c r="C1174" s="80">
        <f t="shared" si="80"/>
        <v>1</v>
      </c>
      <c r="K1174" s="65">
        <f t="shared" si="81"/>
        <v>0</v>
      </c>
      <c r="M1174" s="73">
        <f t="shared" si="82"/>
        <v>0</v>
      </c>
      <c r="AC1174" t="str">
        <f t="shared" si="83"/>
        <v>Jan</v>
      </c>
    </row>
    <row r="1175" spans="3:29" x14ac:dyDescent="0.35">
      <c r="C1175" s="80">
        <f t="shared" si="80"/>
        <v>1</v>
      </c>
      <c r="K1175" s="65">
        <f t="shared" si="81"/>
        <v>0</v>
      </c>
      <c r="M1175" s="73">
        <f t="shared" si="82"/>
        <v>0</v>
      </c>
      <c r="AC1175" t="str">
        <f t="shared" si="83"/>
        <v>Jan</v>
      </c>
    </row>
    <row r="1176" spans="3:29" x14ac:dyDescent="0.35">
      <c r="C1176" s="80">
        <f t="shared" si="80"/>
        <v>1</v>
      </c>
      <c r="K1176" s="65">
        <f t="shared" si="81"/>
        <v>0</v>
      </c>
      <c r="M1176" s="73">
        <f t="shared" si="82"/>
        <v>0</v>
      </c>
      <c r="AC1176" t="str">
        <f t="shared" si="83"/>
        <v>Jan</v>
      </c>
    </row>
    <row r="1177" spans="3:29" x14ac:dyDescent="0.35">
      <c r="C1177" s="80">
        <f t="shared" si="80"/>
        <v>1</v>
      </c>
      <c r="K1177" s="65">
        <f t="shared" si="81"/>
        <v>0</v>
      </c>
      <c r="M1177" s="73">
        <f t="shared" si="82"/>
        <v>0</v>
      </c>
      <c r="AC1177" t="str">
        <f t="shared" si="83"/>
        <v>Jan</v>
      </c>
    </row>
    <row r="1178" spans="3:29" x14ac:dyDescent="0.35">
      <c r="C1178" s="80">
        <f t="shared" si="80"/>
        <v>1</v>
      </c>
      <c r="K1178" s="65">
        <f t="shared" si="81"/>
        <v>0</v>
      </c>
      <c r="M1178" s="73">
        <f t="shared" si="82"/>
        <v>0</v>
      </c>
      <c r="AC1178" t="str">
        <f t="shared" si="83"/>
        <v>Jan</v>
      </c>
    </row>
    <row r="1179" spans="3:29" x14ac:dyDescent="0.35">
      <c r="C1179" s="80">
        <f t="shared" si="80"/>
        <v>1</v>
      </c>
      <c r="K1179" s="65">
        <f t="shared" si="81"/>
        <v>0</v>
      </c>
      <c r="M1179" s="73">
        <f t="shared" si="82"/>
        <v>0</v>
      </c>
      <c r="AC1179" t="str">
        <f t="shared" si="83"/>
        <v>Jan</v>
      </c>
    </row>
    <row r="1180" spans="3:29" x14ac:dyDescent="0.35">
      <c r="C1180" s="80">
        <f t="shared" si="80"/>
        <v>1</v>
      </c>
      <c r="K1180" s="65">
        <f t="shared" si="81"/>
        <v>0</v>
      </c>
      <c r="M1180" s="73">
        <f t="shared" si="82"/>
        <v>0</v>
      </c>
      <c r="AC1180" t="str">
        <f t="shared" si="83"/>
        <v>Jan</v>
      </c>
    </row>
    <row r="1181" spans="3:29" x14ac:dyDescent="0.35">
      <c r="C1181" s="80">
        <f t="shared" si="80"/>
        <v>1</v>
      </c>
      <c r="K1181" s="65">
        <f t="shared" si="81"/>
        <v>0</v>
      </c>
      <c r="M1181" s="73">
        <f t="shared" si="82"/>
        <v>0</v>
      </c>
      <c r="AC1181" t="str">
        <f t="shared" si="83"/>
        <v>Jan</v>
      </c>
    </row>
    <row r="1182" spans="3:29" x14ac:dyDescent="0.35">
      <c r="C1182" s="80">
        <f t="shared" si="80"/>
        <v>1</v>
      </c>
      <c r="K1182" s="65">
        <f t="shared" si="81"/>
        <v>0</v>
      </c>
      <c r="M1182" s="73">
        <f t="shared" si="82"/>
        <v>0</v>
      </c>
      <c r="AC1182" t="str">
        <f t="shared" si="83"/>
        <v>Jan</v>
      </c>
    </row>
    <row r="1183" spans="3:29" x14ac:dyDescent="0.35">
      <c r="C1183" s="80">
        <f t="shared" si="80"/>
        <v>1</v>
      </c>
      <c r="K1183" s="65">
        <f t="shared" si="81"/>
        <v>0</v>
      </c>
      <c r="M1183" s="73">
        <f t="shared" si="82"/>
        <v>0</v>
      </c>
      <c r="AC1183" t="str">
        <f t="shared" si="83"/>
        <v>Jan</v>
      </c>
    </row>
    <row r="1184" spans="3:29" x14ac:dyDescent="0.35">
      <c r="C1184" s="80">
        <f t="shared" si="80"/>
        <v>1</v>
      </c>
      <c r="K1184" s="65">
        <f t="shared" si="81"/>
        <v>0</v>
      </c>
      <c r="M1184" s="73">
        <f t="shared" si="82"/>
        <v>0</v>
      </c>
      <c r="AC1184" t="str">
        <f t="shared" si="83"/>
        <v>Jan</v>
      </c>
    </row>
    <row r="1185" spans="3:29" x14ac:dyDescent="0.35">
      <c r="C1185" s="80">
        <f t="shared" si="80"/>
        <v>1</v>
      </c>
      <c r="K1185" s="65">
        <f t="shared" si="81"/>
        <v>0</v>
      </c>
      <c r="M1185" s="73">
        <f t="shared" si="82"/>
        <v>0</v>
      </c>
      <c r="AC1185" t="str">
        <f t="shared" si="83"/>
        <v>Jan</v>
      </c>
    </row>
    <row r="1186" spans="3:29" x14ac:dyDescent="0.35">
      <c r="C1186" s="80">
        <f t="shared" si="80"/>
        <v>1</v>
      </c>
      <c r="K1186" s="65">
        <f t="shared" si="81"/>
        <v>0</v>
      </c>
      <c r="M1186" s="73">
        <f t="shared" si="82"/>
        <v>0</v>
      </c>
      <c r="AC1186" t="str">
        <f t="shared" si="83"/>
        <v>Jan</v>
      </c>
    </row>
    <row r="1187" spans="3:29" x14ac:dyDescent="0.35">
      <c r="C1187" s="80">
        <f t="shared" si="80"/>
        <v>1</v>
      </c>
      <c r="K1187" s="65">
        <f t="shared" si="81"/>
        <v>0</v>
      </c>
      <c r="M1187" s="73">
        <f t="shared" si="82"/>
        <v>0</v>
      </c>
      <c r="AC1187" t="str">
        <f t="shared" si="83"/>
        <v>Jan</v>
      </c>
    </row>
    <row r="1188" spans="3:29" x14ac:dyDescent="0.35">
      <c r="C1188" s="80">
        <f t="shared" si="80"/>
        <v>1</v>
      </c>
      <c r="K1188" s="65">
        <f t="shared" si="81"/>
        <v>0</v>
      </c>
      <c r="M1188" s="73">
        <f t="shared" si="82"/>
        <v>0</v>
      </c>
      <c r="AC1188" t="str">
        <f t="shared" si="83"/>
        <v>Jan</v>
      </c>
    </row>
    <row r="1189" spans="3:29" x14ac:dyDescent="0.35">
      <c r="C1189" s="80">
        <f t="shared" si="80"/>
        <v>1</v>
      </c>
      <c r="K1189" s="65">
        <f t="shared" si="81"/>
        <v>0</v>
      </c>
      <c r="M1189" s="73">
        <f t="shared" si="82"/>
        <v>0</v>
      </c>
      <c r="AC1189" t="str">
        <f t="shared" si="83"/>
        <v>Jan</v>
      </c>
    </row>
    <row r="1190" spans="3:29" x14ac:dyDescent="0.35">
      <c r="C1190" s="80">
        <f t="shared" si="80"/>
        <v>1</v>
      </c>
      <c r="K1190" s="65">
        <f t="shared" si="81"/>
        <v>0</v>
      </c>
      <c r="M1190" s="73">
        <f t="shared" si="82"/>
        <v>0</v>
      </c>
      <c r="AC1190" t="str">
        <f t="shared" si="83"/>
        <v>Jan</v>
      </c>
    </row>
    <row r="1191" spans="3:29" x14ac:dyDescent="0.35">
      <c r="C1191" s="80">
        <f t="shared" si="80"/>
        <v>1</v>
      </c>
      <c r="K1191" s="65">
        <f t="shared" si="81"/>
        <v>0</v>
      </c>
      <c r="M1191" s="73">
        <f t="shared" si="82"/>
        <v>0</v>
      </c>
      <c r="AC1191" t="str">
        <f t="shared" si="83"/>
        <v>Jan</v>
      </c>
    </row>
    <row r="1192" spans="3:29" x14ac:dyDescent="0.35">
      <c r="C1192" s="80">
        <f t="shared" si="80"/>
        <v>1</v>
      </c>
      <c r="K1192" s="65">
        <f t="shared" si="81"/>
        <v>0</v>
      </c>
      <c r="M1192" s="73">
        <f t="shared" si="82"/>
        <v>0</v>
      </c>
      <c r="AC1192" t="str">
        <f t="shared" si="83"/>
        <v>Jan</v>
      </c>
    </row>
    <row r="1193" spans="3:29" x14ac:dyDescent="0.35">
      <c r="C1193" s="80">
        <f t="shared" si="80"/>
        <v>1</v>
      </c>
      <c r="K1193" s="65">
        <f t="shared" si="81"/>
        <v>0</v>
      </c>
      <c r="M1193" s="73">
        <f t="shared" si="82"/>
        <v>0</v>
      </c>
      <c r="AC1193" t="str">
        <f t="shared" si="83"/>
        <v>Jan</v>
      </c>
    </row>
    <row r="1194" spans="3:29" x14ac:dyDescent="0.35">
      <c r="C1194" s="80">
        <f t="shared" si="80"/>
        <v>1</v>
      </c>
      <c r="K1194" s="65">
        <f t="shared" si="81"/>
        <v>0</v>
      </c>
      <c r="M1194" s="73">
        <f t="shared" si="82"/>
        <v>0</v>
      </c>
      <c r="AC1194" t="str">
        <f t="shared" si="83"/>
        <v>Jan</v>
      </c>
    </row>
    <row r="1195" spans="3:29" x14ac:dyDescent="0.35">
      <c r="C1195" s="80">
        <f t="shared" si="80"/>
        <v>1</v>
      </c>
      <c r="K1195" s="65">
        <f t="shared" si="81"/>
        <v>0</v>
      </c>
      <c r="M1195" s="73">
        <f t="shared" si="82"/>
        <v>0</v>
      </c>
      <c r="AC1195" t="str">
        <f t="shared" si="83"/>
        <v>Jan</v>
      </c>
    </row>
    <row r="1196" spans="3:29" x14ac:dyDescent="0.35">
      <c r="C1196" s="80">
        <f t="shared" si="80"/>
        <v>1</v>
      </c>
      <c r="K1196" s="65">
        <f t="shared" si="81"/>
        <v>0</v>
      </c>
      <c r="M1196" s="73">
        <f t="shared" si="82"/>
        <v>0</v>
      </c>
      <c r="AC1196" t="str">
        <f t="shared" si="83"/>
        <v>Jan</v>
      </c>
    </row>
    <row r="1197" spans="3:29" x14ac:dyDescent="0.35">
      <c r="C1197" s="80">
        <f t="shared" si="80"/>
        <v>1</v>
      </c>
      <c r="K1197" s="65">
        <f t="shared" si="81"/>
        <v>0</v>
      </c>
      <c r="M1197" s="73">
        <f t="shared" si="82"/>
        <v>0</v>
      </c>
      <c r="AC1197" t="str">
        <f t="shared" si="83"/>
        <v>Jan</v>
      </c>
    </row>
    <row r="1198" spans="3:29" x14ac:dyDescent="0.35">
      <c r="C1198" s="80">
        <f t="shared" si="80"/>
        <v>1</v>
      </c>
      <c r="K1198" s="65">
        <f t="shared" si="81"/>
        <v>0</v>
      </c>
      <c r="M1198" s="73">
        <f t="shared" si="82"/>
        <v>0</v>
      </c>
      <c r="AC1198" t="str">
        <f t="shared" si="83"/>
        <v>Jan</v>
      </c>
    </row>
    <row r="1199" spans="3:29" x14ac:dyDescent="0.35">
      <c r="C1199" s="80">
        <f t="shared" si="80"/>
        <v>1</v>
      </c>
      <c r="K1199" s="65">
        <f t="shared" si="81"/>
        <v>0</v>
      </c>
      <c r="M1199" s="73">
        <f t="shared" si="82"/>
        <v>0</v>
      </c>
      <c r="AC1199" t="str">
        <f t="shared" si="83"/>
        <v>Jan</v>
      </c>
    </row>
    <row r="1200" spans="3:29" x14ac:dyDescent="0.35">
      <c r="C1200" s="80">
        <f t="shared" si="80"/>
        <v>1</v>
      </c>
      <c r="K1200" s="65">
        <f t="shared" si="81"/>
        <v>0</v>
      </c>
      <c r="M1200" s="73">
        <f t="shared" si="82"/>
        <v>0</v>
      </c>
      <c r="AC1200" t="str">
        <f t="shared" si="83"/>
        <v>Jan</v>
      </c>
    </row>
    <row r="1201" spans="3:29" x14ac:dyDescent="0.35">
      <c r="C1201" s="80">
        <f t="shared" si="80"/>
        <v>1</v>
      </c>
      <c r="K1201" s="65">
        <f t="shared" si="81"/>
        <v>0</v>
      </c>
      <c r="M1201" s="73">
        <f t="shared" si="82"/>
        <v>0</v>
      </c>
      <c r="AC1201" t="str">
        <f t="shared" si="83"/>
        <v>Jan</v>
      </c>
    </row>
    <row r="1202" spans="3:29" x14ac:dyDescent="0.35">
      <c r="C1202" s="80">
        <f t="shared" si="80"/>
        <v>1</v>
      </c>
      <c r="K1202" s="65">
        <f t="shared" si="81"/>
        <v>0</v>
      </c>
      <c r="M1202" s="73">
        <f t="shared" si="82"/>
        <v>0</v>
      </c>
      <c r="AC1202" t="str">
        <f t="shared" si="83"/>
        <v>Jan</v>
      </c>
    </row>
    <row r="1203" spans="3:29" x14ac:dyDescent="0.35">
      <c r="C1203" s="80">
        <f t="shared" si="80"/>
        <v>1</v>
      </c>
      <c r="K1203" s="65">
        <f t="shared" si="81"/>
        <v>0</v>
      </c>
      <c r="M1203" s="73">
        <f t="shared" si="82"/>
        <v>0</v>
      </c>
      <c r="AC1203" t="str">
        <f t="shared" si="83"/>
        <v>Jan</v>
      </c>
    </row>
    <row r="1204" spans="3:29" x14ac:dyDescent="0.35">
      <c r="C1204" s="80">
        <f t="shared" si="80"/>
        <v>1</v>
      </c>
      <c r="K1204" s="65">
        <f t="shared" si="81"/>
        <v>0</v>
      </c>
      <c r="M1204" s="73">
        <f t="shared" si="82"/>
        <v>0</v>
      </c>
      <c r="AC1204" t="str">
        <f t="shared" si="83"/>
        <v>Jan</v>
      </c>
    </row>
    <row r="1205" spans="3:29" x14ac:dyDescent="0.35">
      <c r="C1205" s="80">
        <f t="shared" si="80"/>
        <v>1</v>
      </c>
      <c r="K1205" s="65">
        <f t="shared" si="81"/>
        <v>0</v>
      </c>
      <c r="M1205" s="73">
        <f t="shared" si="82"/>
        <v>0</v>
      </c>
      <c r="AC1205" t="str">
        <f t="shared" si="83"/>
        <v>Jan</v>
      </c>
    </row>
    <row r="1206" spans="3:29" x14ac:dyDescent="0.35">
      <c r="C1206" s="80">
        <f t="shared" si="80"/>
        <v>1</v>
      </c>
      <c r="K1206" s="65">
        <f t="shared" si="81"/>
        <v>0</v>
      </c>
      <c r="M1206" s="73">
        <f t="shared" si="82"/>
        <v>0</v>
      </c>
      <c r="AC1206" t="str">
        <f t="shared" si="83"/>
        <v>Jan</v>
      </c>
    </row>
    <row r="1207" spans="3:29" x14ac:dyDescent="0.35">
      <c r="C1207" s="80">
        <f t="shared" si="80"/>
        <v>1</v>
      </c>
      <c r="K1207" s="65">
        <f t="shared" si="81"/>
        <v>0</v>
      </c>
      <c r="M1207" s="73">
        <f t="shared" si="82"/>
        <v>0</v>
      </c>
      <c r="AC1207" t="str">
        <f t="shared" si="83"/>
        <v>Jan</v>
      </c>
    </row>
    <row r="1208" spans="3:29" x14ac:dyDescent="0.35">
      <c r="C1208" s="80">
        <f t="shared" si="80"/>
        <v>1</v>
      </c>
      <c r="K1208" s="65">
        <f t="shared" si="81"/>
        <v>0</v>
      </c>
      <c r="M1208" s="73">
        <f t="shared" si="82"/>
        <v>0</v>
      </c>
      <c r="AC1208" t="str">
        <f t="shared" si="83"/>
        <v>Jan</v>
      </c>
    </row>
    <row r="1209" spans="3:29" x14ac:dyDescent="0.35">
      <c r="C1209" s="80">
        <f t="shared" si="80"/>
        <v>1</v>
      </c>
      <c r="K1209" s="65">
        <f t="shared" si="81"/>
        <v>0</v>
      </c>
      <c r="M1209" s="73">
        <f t="shared" si="82"/>
        <v>0</v>
      </c>
      <c r="AC1209" t="str">
        <f t="shared" si="83"/>
        <v>Jan</v>
      </c>
    </row>
    <row r="1210" spans="3:29" x14ac:dyDescent="0.35">
      <c r="C1210" s="80">
        <f t="shared" si="80"/>
        <v>1</v>
      </c>
      <c r="K1210" s="65">
        <f t="shared" si="81"/>
        <v>0</v>
      </c>
      <c r="M1210" s="73">
        <f t="shared" si="82"/>
        <v>0</v>
      </c>
      <c r="AC1210" t="str">
        <f t="shared" si="83"/>
        <v>Jan</v>
      </c>
    </row>
    <row r="1211" spans="3:29" x14ac:dyDescent="0.35">
      <c r="C1211" s="80">
        <f t="shared" si="80"/>
        <v>1</v>
      </c>
      <c r="K1211" s="65">
        <f t="shared" si="81"/>
        <v>0</v>
      </c>
      <c r="M1211" s="73">
        <f t="shared" si="82"/>
        <v>0</v>
      </c>
      <c r="AC1211" t="str">
        <f t="shared" si="83"/>
        <v>Jan</v>
      </c>
    </row>
    <row r="1212" spans="3:29" x14ac:dyDescent="0.35">
      <c r="C1212" s="80">
        <f t="shared" si="80"/>
        <v>1</v>
      </c>
      <c r="K1212" s="65">
        <f t="shared" si="81"/>
        <v>0</v>
      </c>
      <c r="M1212" s="73">
        <f t="shared" si="82"/>
        <v>0</v>
      </c>
      <c r="AC1212" t="str">
        <f t="shared" si="83"/>
        <v>Jan</v>
      </c>
    </row>
    <row r="1213" spans="3:29" x14ac:dyDescent="0.35">
      <c r="C1213" s="80">
        <f t="shared" si="80"/>
        <v>1</v>
      </c>
      <c r="K1213" s="65">
        <f t="shared" si="81"/>
        <v>0</v>
      </c>
      <c r="M1213" s="73">
        <f t="shared" si="82"/>
        <v>0</v>
      </c>
      <c r="AC1213" t="str">
        <f t="shared" si="83"/>
        <v>Jan</v>
      </c>
    </row>
    <row r="1214" spans="3:29" x14ac:dyDescent="0.35">
      <c r="C1214" s="80">
        <f t="shared" si="80"/>
        <v>1</v>
      </c>
      <c r="K1214" s="65">
        <f t="shared" si="81"/>
        <v>0</v>
      </c>
      <c r="M1214" s="73">
        <f t="shared" si="82"/>
        <v>0</v>
      </c>
      <c r="AC1214" t="str">
        <f t="shared" si="83"/>
        <v>Jan</v>
      </c>
    </row>
    <row r="1215" spans="3:29" x14ac:dyDescent="0.35">
      <c r="C1215" s="80">
        <f t="shared" si="80"/>
        <v>1</v>
      </c>
      <c r="K1215" s="65">
        <f t="shared" si="81"/>
        <v>0</v>
      </c>
      <c r="M1215" s="73">
        <f t="shared" si="82"/>
        <v>0</v>
      </c>
      <c r="AC1215" t="str">
        <f t="shared" si="83"/>
        <v>Jan</v>
      </c>
    </row>
    <row r="1216" spans="3:29" x14ac:dyDescent="0.35">
      <c r="C1216" s="80">
        <f t="shared" si="80"/>
        <v>1</v>
      </c>
      <c r="K1216" s="65">
        <f t="shared" si="81"/>
        <v>0</v>
      </c>
      <c r="M1216" s="73">
        <f t="shared" si="82"/>
        <v>0</v>
      </c>
      <c r="AC1216" t="str">
        <f t="shared" si="83"/>
        <v>Jan</v>
      </c>
    </row>
    <row r="1217" spans="3:29" x14ac:dyDescent="0.35">
      <c r="C1217" s="80">
        <f t="shared" si="80"/>
        <v>1</v>
      </c>
      <c r="K1217" s="65">
        <f t="shared" si="81"/>
        <v>0</v>
      </c>
      <c r="M1217" s="73">
        <f t="shared" si="82"/>
        <v>0</v>
      </c>
      <c r="AC1217" t="str">
        <f t="shared" si="83"/>
        <v>Jan</v>
      </c>
    </row>
    <row r="1218" spans="3:29" x14ac:dyDescent="0.35">
      <c r="C1218" s="80">
        <f t="shared" si="80"/>
        <v>1</v>
      </c>
      <c r="K1218" s="65">
        <f t="shared" si="81"/>
        <v>0</v>
      </c>
      <c r="M1218" s="73">
        <f t="shared" si="82"/>
        <v>0</v>
      </c>
      <c r="AC1218" t="str">
        <f t="shared" si="83"/>
        <v>Jan</v>
      </c>
    </row>
    <row r="1219" spans="3:29" x14ac:dyDescent="0.35">
      <c r="C1219" s="80">
        <f t="shared" si="80"/>
        <v>1</v>
      </c>
      <c r="K1219" s="65">
        <f t="shared" si="81"/>
        <v>0</v>
      </c>
      <c r="M1219" s="73">
        <f t="shared" si="82"/>
        <v>0</v>
      </c>
      <c r="AC1219" t="str">
        <f t="shared" si="83"/>
        <v>Jan</v>
      </c>
    </row>
    <row r="1220" spans="3:29" x14ac:dyDescent="0.35">
      <c r="C1220" s="80">
        <f t="shared" si="80"/>
        <v>1</v>
      </c>
      <c r="K1220" s="65">
        <f t="shared" si="81"/>
        <v>0</v>
      </c>
      <c r="M1220" s="73">
        <f t="shared" si="82"/>
        <v>0</v>
      </c>
      <c r="AC1220" t="str">
        <f t="shared" si="83"/>
        <v>Jan</v>
      </c>
    </row>
    <row r="1221" spans="3:29" x14ac:dyDescent="0.35">
      <c r="C1221" s="80">
        <f t="shared" si="80"/>
        <v>1</v>
      </c>
      <c r="K1221" s="65">
        <f t="shared" si="81"/>
        <v>0</v>
      </c>
      <c r="M1221" s="73">
        <f t="shared" si="82"/>
        <v>0</v>
      </c>
      <c r="AC1221" t="str">
        <f t="shared" si="83"/>
        <v>Jan</v>
      </c>
    </row>
    <row r="1222" spans="3:29" x14ac:dyDescent="0.35">
      <c r="C1222" s="80">
        <f t="shared" ref="C1222:C1285" si="84">MONTH(B1222)</f>
        <v>1</v>
      </c>
      <c r="K1222" s="65">
        <f t="shared" ref="K1222:K1285" si="85">I1222*J1222</f>
        <v>0</v>
      </c>
      <c r="M1222" s="73">
        <f t="shared" ref="M1222:M1285" si="86">K1222-L1222</f>
        <v>0</v>
      </c>
      <c r="AC1222" t="str">
        <f t="shared" si="83"/>
        <v>Jan</v>
      </c>
    </row>
    <row r="1223" spans="3:29" x14ac:dyDescent="0.35">
      <c r="C1223" s="80">
        <f t="shared" si="84"/>
        <v>1</v>
      </c>
      <c r="K1223" s="65">
        <f t="shared" si="85"/>
        <v>0</v>
      </c>
      <c r="M1223" s="73">
        <f t="shared" si="86"/>
        <v>0</v>
      </c>
      <c r="AC1223" t="str">
        <f t="shared" ref="AC1223:AC1286" si="87">IFERROR(INDEX(AA:AA,MATCH(C1223,Z:Z,0)),"")</f>
        <v>Jan</v>
      </c>
    </row>
    <row r="1224" spans="3:29" x14ac:dyDescent="0.35">
      <c r="C1224" s="80">
        <f t="shared" si="84"/>
        <v>1</v>
      </c>
      <c r="K1224" s="65">
        <f t="shared" si="85"/>
        <v>0</v>
      </c>
      <c r="M1224" s="73">
        <f t="shared" si="86"/>
        <v>0</v>
      </c>
      <c r="AC1224" t="str">
        <f t="shared" si="87"/>
        <v>Jan</v>
      </c>
    </row>
    <row r="1225" spans="3:29" x14ac:dyDescent="0.35">
      <c r="C1225" s="80">
        <f t="shared" si="84"/>
        <v>1</v>
      </c>
      <c r="K1225" s="65">
        <f t="shared" si="85"/>
        <v>0</v>
      </c>
      <c r="M1225" s="73">
        <f t="shared" si="86"/>
        <v>0</v>
      </c>
      <c r="AC1225" t="str">
        <f t="shared" si="87"/>
        <v>Jan</v>
      </c>
    </row>
    <row r="1226" spans="3:29" x14ac:dyDescent="0.35">
      <c r="C1226" s="80">
        <f t="shared" si="84"/>
        <v>1</v>
      </c>
      <c r="K1226" s="65">
        <f t="shared" si="85"/>
        <v>0</v>
      </c>
      <c r="M1226" s="73">
        <f t="shared" si="86"/>
        <v>0</v>
      </c>
      <c r="AC1226" t="str">
        <f t="shared" si="87"/>
        <v>Jan</v>
      </c>
    </row>
    <row r="1227" spans="3:29" x14ac:dyDescent="0.35">
      <c r="C1227" s="80">
        <f t="shared" si="84"/>
        <v>1</v>
      </c>
      <c r="K1227" s="65">
        <f t="shared" si="85"/>
        <v>0</v>
      </c>
      <c r="M1227" s="73">
        <f t="shared" si="86"/>
        <v>0</v>
      </c>
      <c r="AC1227" t="str">
        <f t="shared" si="87"/>
        <v>Jan</v>
      </c>
    </row>
    <row r="1228" spans="3:29" x14ac:dyDescent="0.35">
      <c r="C1228" s="80">
        <f t="shared" si="84"/>
        <v>1</v>
      </c>
      <c r="K1228" s="65">
        <f t="shared" si="85"/>
        <v>0</v>
      </c>
      <c r="M1228" s="73">
        <f t="shared" si="86"/>
        <v>0</v>
      </c>
      <c r="AC1228" t="str">
        <f t="shared" si="87"/>
        <v>Jan</v>
      </c>
    </row>
    <row r="1229" spans="3:29" x14ac:dyDescent="0.35">
      <c r="C1229" s="80">
        <f t="shared" si="84"/>
        <v>1</v>
      </c>
      <c r="K1229" s="65">
        <f t="shared" si="85"/>
        <v>0</v>
      </c>
      <c r="M1229" s="73">
        <f t="shared" si="86"/>
        <v>0</v>
      </c>
      <c r="AC1229" t="str">
        <f t="shared" si="87"/>
        <v>Jan</v>
      </c>
    </row>
    <row r="1230" spans="3:29" x14ac:dyDescent="0.35">
      <c r="C1230" s="80">
        <f t="shared" si="84"/>
        <v>1</v>
      </c>
      <c r="K1230" s="65">
        <f t="shared" si="85"/>
        <v>0</v>
      </c>
      <c r="M1230" s="73">
        <f t="shared" si="86"/>
        <v>0</v>
      </c>
      <c r="AC1230" t="str">
        <f t="shared" si="87"/>
        <v>Jan</v>
      </c>
    </row>
    <row r="1231" spans="3:29" x14ac:dyDescent="0.35">
      <c r="C1231" s="80">
        <f t="shared" si="84"/>
        <v>1</v>
      </c>
      <c r="K1231" s="65">
        <f t="shared" si="85"/>
        <v>0</v>
      </c>
      <c r="M1231" s="73">
        <f t="shared" si="86"/>
        <v>0</v>
      </c>
      <c r="AC1231" t="str">
        <f t="shared" si="87"/>
        <v>Jan</v>
      </c>
    </row>
    <row r="1232" spans="3:29" x14ac:dyDescent="0.35">
      <c r="C1232" s="80">
        <f t="shared" si="84"/>
        <v>1</v>
      </c>
      <c r="K1232" s="65">
        <f t="shared" si="85"/>
        <v>0</v>
      </c>
      <c r="M1232" s="73">
        <f t="shared" si="86"/>
        <v>0</v>
      </c>
      <c r="AC1232" t="str">
        <f t="shared" si="87"/>
        <v>Jan</v>
      </c>
    </row>
    <row r="1233" spans="3:29" x14ac:dyDescent="0.35">
      <c r="C1233" s="80">
        <f t="shared" si="84"/>
        <v>1</v>
      </c>
      <c r="K1233" s="65">
        <f t="shared" si="85"/>
        <v>0</v>
      </c>
      <c r="M1233" s="73">
        <f t="shared" si="86"/>
        <v>0</v>
      </c>
      <c r="AC1233" t="str">
        <f t="shared" si="87"/>
        <v>Jan</v>
      </c>
    </row>
    <row r="1234" spans="3:29" x14ac:dyDescent="0.35">
      <c r="C1234" s="80">
        <f t="shared" si="84"/>
        <v>1</v>
      </c>
      <c r="K1234" s="65">
        <f t="shared" si="85"/>
        <v>0</v>
      </c>
      <c r="M1234" s="73">
        <f t="shared" si="86"/>
        <v>0</v>
      </c>
      <c r="AC1234" t="str">
        <f t="shared" si="87"/>
        <v>Jan</v>
      </c>
    </row>
    <row r="1235" spans="3:29" x14ac:dyDescent="0.35">
      <c r="C1235" s="80">
        <f t="shared" si="84"/>
        <v>1</v>
      </c>
      <c r="K1235" s="65">
        <f t="shared" si="85"/>
        <v>0</v>
      </c>
      <c r="M1235" s="73">
        <f t="shared" si="86"/>
        <v>0</v>
      </c>
      <c r="AC1235" t="str">
        <f t="shared" si="87"/>
        <v>Jan</v>
      </c>
    </row>
    <row r="1236" spans="3:29" x14ac:dyDescent="0.35">
      <c r="C1236" s="80">
        <f t="shared" si="84"/>
        <v>1</v>
      </c>
      <c r="K1236" s="65">
        <f t="shared" si="85"/>
        <v>0</v>
      </c>
      <c r="M1236" s="73">
        <f t="shared" si="86"/>
        <v>0</v>
      </c>
      <c r="AC1236" t="str">
        <f t="shared" si="87"/>
        <v>Jan</v>
      </c>
    </row>
    <row r="1237" spans="3:29" x14ac:dyDescent="0.35">
      <c r="C1237" s="80">
        <f t="shared" si="84"/>
        <v>1</v>
      </c>
      <c r="K1237" s="65">
        <f t="shared" si="85"/>
        <v>0</v>
      </c>
      <c r="M1237" s="73">
        <f t="shared" si="86"/>
        <v>0</v>
      </c>
      <c r="AC1237" t="str">
        <f t="shared" si="87"/>
        <v>Jan</v>
      </c>
    </row>
    <row r="1238" spans="3:29" x14ac:dyDescent="0.35">
      <c r="C1238" s="80">
        <f t="shared" si="84"/>
        <v>1</v>
      </c>
      <c r="K1238" s="65">
        <f t="shared" si="85"/>
        <v>0</v>
      </c>
      <c r="M1238" s="73">
        <f t="shared" si="86"/>
        <v>0</v>
      </c>
      <c r="AC1238" t="str">
        <f t="shared" si="87"/>
        <v>Jan</v>
      </c>
    </row>
    <row r="1239" spans="3:29" x14ac:dyDescent="0.35">
      <c r="C1239" s="80">
        <f t="shared" si="84"/>
        <v>1</v>
      </c>
      <c r="K1239" s="65">
        <f t="shared" si="85"/>
        <v>0</v>
      </c>
      <c r="M1239" s="73">
        <f t="shared" si="86"/>
        <v>0</v>
      </c>
      <c r="AC1239" t="str">
        <f t="shared" si="87"/>
        <v>Jan</v>
      </c>
    </row>
    <row r="1240" spans="3:29" x14ac:dyDescent="0.35">
      <c r="C1240" s="80">
        <f t="shared" si="84"/>
        <v>1</v>
      </c>
      <c r="K1240" s="65">
        <f t="shared" si="85"/>
        <v>0</v>
      </c>
      <c r="M1240" s="73">
        <f t="shared" si="86"/>
        <v>0</v>
      </c>
      <c r="AC1240" t="str">
        <f t="shared" si="87"/>
        <v>Jan</v>
      </c>
    </row>
    <row r="1241" spans="3:29" x14ac:dyDescent="0.35">
      <c r="C1241" s="80">
        <f t="shared" si="84"/>
        <v>1</v>
      </c>
      <c r="K1241" s="65">
        <f t="shared" si="85"/>
        <v>0</v>
      </c>
      <c r="M1241" s="73">
        <f t="shared" si="86"/>
        <v>0</v>
      </c>
      <c r="AC1241" t="str">
        <f t="shared" si="87"/>
        <v>Jan</v>
      </c>
    </row>
    <row r="1242" spans="3:29" x14ac:dyDescent="0.35">
      <c r="C1242" s="80">
        <f t="shared" si="84"/>
        <v>1</v>
      </c>
      <c r="K1242" s="65">
        <f t="shared" si="85"/>
        <v>0</v>
      </c>
      <c r="M1242" s="73">
        <f t="shared" si="86"/>
        <v>0</v>
      </c>
      <c r="AC1242" t="str">
        <f t="shared" si="87"/>
        <v>Jan</v>
      </c>
    </row>
    <row r="1243" spans="3:29" x14ac:dyDescent="0.35">
      <c r="C1243" s="80">
        <f t="shared" si="84"/>
        <v>1</v>
      </c>
      <c r="K1243" s="65">
        <f t="shared" si="85"/>
        <v>0</v>
      </c>
      <c r="M1243" s="73">
        <f t="shared" si="86"/>
        <v>0</v>
      </c>
      <c r="AC1243" t="str">
        <f t="shared" si="87"/>
        <v>Jan</v>
      </c>
    </row>
    <row r="1244" spans="3:29" x14ac:dyDescent="0.35">
      <c r="C1244" s="80">
        <f t="shared" si="84"/>
        <v>1</v>
      </c>
      <c r="K1244" s="65">
        <f t="shared" si="85"/>
        <v>0</v>
      </c>
      <c r="M1244" s="73">
        <f t="shared" si="86"/>
        <v>0</v>
      </c>
      <c r="AC1244" t="str">
        <f t="shared" si="87"/>
        <v>Jan</v>
      </c>
    </row>
    <row r="1245" spans="3:29" x14ac:dyDescent="0.35">
      <c r="C1245" s="80">
        <f t="shared" si="84"/>
        <v>1</v>
      </c>
      <c r="K1245" s="65">
        <f t="shared" si="85"/>
        <v>0</v>
      </c>
      <c r="M1245" s="73">
        <f t="shared" si="86"/>
        <v>0</v>
      </c>
      <c r="AC1245" t="str">
        <f t="shared" si="87"/>
        <v>Jan</v>
      </c>
    </row>
    <row r="1246" spans="3:29" x14ac:dyDescent="0.35">
      <c r="C1246" s="80">
        <f t="shared" si="84"/>
        <v>1</v>
      </c>
      <c r="K1246" s="65">
        <f t="shared" si="85"/>
        <v>0</v>
      </c>
      <c r="M1246" s="73">
        <f t="shared" si="86"/>
        <v>0</v>
      </c>
      <c r="AC1246" t="str">
        <f t="shared" si="87"/>
        <v>Jan</v>
      </c>
    </row>
    <row r="1247" spans="3:29" x14ac:dyDescent="0.35">
      <c r="C1247" s="80">
        <f t="shared" si="84"/>
        <v>1</v>
      </c>
      <c r="K1247" s="65">
        <f t="shared" si="85"/>
        <v>0</v>
      </c>
      <c r="M1247" s="73">
        <f t="shared" si="86"/>
        <v>0</v>
      </c>
      <c r="AC1247" t="str">
        <f t="shared" si="87"/>
        <v>Jan</v>
      </c>
    </row>
    <row r="1248" spans="3:29" x14ac:dyDescent="0.35">
      <c r="C1248" s="80">
        <f t="shared" si="84"/>
        <v>1</v>
      </c>
      <c r="K1248" s="65">
        <f t="shared" si="85"/>
        <v>0</v>
      </c>
      <c r="M1248" s="73">
        <f t="shared" si="86"/>
        <v>0</v>
      </c>
      <c r="AC1248" t="str">
        <f t="shared" si="87"/>
        <v>Jan</v>
      </c>
    </row>
    <row r="1249" spans="3:29" x14ac:dyDescent="0.35">
      <c r="C1249" s="80">
        <f t="shared" si="84"/>
        <v>1</v>
      </c>
      <c r="K1249" s="65">
        <f t="shared" si="85"/>
        <v>0</v>
      </c>
      <c r="M1249" s="73">
        <f t="shared" si="86"/>
        <v>0</v>
      </c>
      <c r="AC1249" t="str">
        <f t="shared" si="87"/>
        <v>Jan</v>
      </c>
    </row>
    <row r="1250" spans="3:29" x14ac:dyDescent="0.35">
      <c r="C1250" s="80">
        <f t="shared" si="84"/>
        <v>1</v>
      </c>
      <c r="K1250" s="65">
        <f t="shared" si="85"/>
        <v>0</v>
      </c>
      <c r="M1250" s="73">
        <f t="shared" si="86"/>
        <v>0</v>
      </c>
      <c r="AC1250" t="str">
        <f t="shared" si="87"/>
        <v>Jan</v>
      </c>
    </row>
    <row r="1251" spans="3:29" x14ac:dyDescent="0.35">
      <c r="C1251" s="80">
        <f t="shared" si="84"/>
        <v>1</v>
      </c>
      <c r="K1251" s="65">
        <f t="shared" si="85"/>
        <v>0</v>
      </c>
      <c r="M1251" s="73">
        <f t="shared" si="86"/>
        <v>0</v>
      </c>
      <c r="AC1251" t="str">
        <f t="shared" si="87"/>
        <v>Jan</v>
      </c>
    </row>
    <row r="1252" spans="3:29" x14ac:dyDescent="0.35">
      <c r="C1252" s="80">
        <f t="shared" si="84"/>
        <v>1</v>
      </c>
      <c r="K1252" s="65">
        <f t="shared" si="85"/>
        <v>0</v>
      </c>
      <c r="M1252" s="73">
        <f t="shared" si="86"/>
        <v>0</v>
      </c>
      <c r="AC1252" t="str">
        <f t="shared" si="87"/>
        <v>Jan</v>
      </c>
    </row>
    <row r="1253" spans="3:29" x14ac:dyDescent="0.35">
      <c r="C1253" s="80">
        <f t="shared" si="84"/>
        <v>1</v>
      </c>
      <c r="K1253" s="65">
        <f t="shared" si="85"/>
        <v>0</v>
      </c>
      <c r="M1253" s="73">
        <f t="shared" si="86"/>
        <v>0</v>
      </c>
      <c r="AC1253" t="str">
        <f t="shared" si="87"/>
        <v>Jan</v>
      </c>
    </row>
    <row r="1254" spans="3:29" x14ac:dyDescent="0.35">
      <c r="C1254" s="80">
        <f t="shared" si="84"/>
        <v>1</v>
      </c>
      <c r="K1254" s="65">
        <f t="shared" si="85"/>
        <v>0</v>
      </c>
      <c r="M1254" s="73">
        <f t="shared" si="86"/>
        <v>0</v>
      </c>
      <c r="AC1254" t="str">
        <f t="shared" si="87"/>
        <v>Jan</v>
      </c>
    </row>
    <row r="1255" spans="3:29" x14ac:dyDescent="0.35">
      <c r="C1255" s="80">
        <f t="shared" si="84"/>
        <v>1</v>
      </c>
      <c r="K1255" s="65">
        <f t="shared" si="85"/>
        <v>0</v>
      </c>
      <c r="M1255" s="73">
        <f t="shared" si="86"/>
        <v>0</v>
      </c>
      <c r="AC1255" t="str">
        <f t="shared" si="87"/>
        <v>Jan</v>
      </c>
    </row>
    <row r="1256" spans="3:29" x14ac:dyDescent="0.35">
      <c r="C1256" s="80">
        <f t="shared" si="84"/>
        <v>1</v>
      </c>
      <c r="K1256" s="65">
        <f t="shared" si="85"/>
        <v>0</v>
      </c>
      <c r="M1256" s="73">
        <f t="shared" si="86"/>
        <v>0</v>
      </c>
      <c r="AC1256" t="str">
        <f t="shared" si="87"/>
        <v>Jan</v>
      </c>
    </row>
    <row r="1257" spans="3:29" x14ac:dyDescent="0.35">
      <c r="C1257" s="80">
        <f t="shared" si="84"/>
        <v>1</v>
      </c>
      <c r="K1257" s="65">
        <f t="shared" si="85"/>
        <v>0</v>
      </c>
      <c r="M1257" s="73">
        <f t="shared" si="86"/>
        <v>0</v>
      </c>
      <c r="AC1257" t="str">
        <f t="shared" si="87"/>
        <v>Jan</v>
      </c>
    </row>
    <row r="1258" spans="3:29" x14ac:dyDescent="0.35">
      <c r="C1258" s="80">
        <f t="shared" si="84"/>
        <v>1</v>
      </c>
      <c r="K1258" s="65">
        <f t="shared" si="85"/>
        <v>0</v>
      </c>
      <c r="M1258" s="73">
        <f t="shared" si="86"/>
        <v>0</v>
      </c>
      <c r="AC1258" t="str">
        <f t="shared" si="87"/>
        <v>Jan</v>
      </c>
    </row>
    <row r="1259" spans="3:29" x14ac:dyDescent="0.35">
      <c r="C1259" s="80">
        <f t="shared" si="84"/>
        <v>1</v>
      </c>
      <c r="K1259" s="65">
        <f t="shared" si="85"/>
        <v>0</v>
      </c>
      <c r="M1259" s="73">
        <f t="shared" si="86"/>
        <v>0</v>
      </c>
      <c r="AC1259" t="str">
        <f t="shared" si="87"/>
        <v>Jan</v>
      </c>
    </row>
    <row r="1260" spans="3:29" x14ac:dyDescent="0.35">
      <c r="C1260" s="80">
        <f t="shared" si="84"/>
        <v>1</v>
      </c>
      <c r="K1260" s="65">
        <f t="shared" si="85"/>
        <v>0</v>
      </c>
      <c r="M1260" s="73">
        <f t="shared" si="86"/>
        <v>0</v>
      </c>
      <c r="AC1260" t="str">
        <f t="shared" si="87"/>
        <v>Jan</v>
      </c>
    </row>
    <row r="1261" spans="3:29" x14ac:dyDescent="0.35">
      <c r="C1261" s="80">
        <f t="shared" si="84"/>
        <v>1</v>
      </c>
      <c r="K1261" s="65">
        <f t="shared" si="85"/>
        <v>0</v>
      </c>
      <c r="M1261" s="73">
        <f t="shared" si="86"/>
        <v>0</v>
      </c>
      <c r="AC1261" t="str">
        <f t="shared" si="87"/>
        <v>Jan</v>
      </c>
    </row>
    <row r="1262" spans="3:29" x14ac:dyDescent="0.35">
      <c r="C1262" s="80">
        <f t="shared" si="84"/>
        <v>1</v>
      </c>
      <c r="K1262" s="65">
        <f t="shared" si="85"/>
        <v>0</v>
      </c>
      <c r="M1262" s="73">
        <f t="shared" si="86"/>
        <v>0</v>
      </c>
      <c r="AC1262" t="str">
        <f t="shared" si="87"/>
        <v>Jan</v>
      </c>
    </row>
    <row r="1263" spans="3:29" x14ac:dyDescent="0.35">
      <c r="C1263" s="80">
        <f t="shared" si="84"/>
        <v>1</v>
      </c>
      <c r="K1263" s="65">
        <f t="shared" si="85"/>
        <v>0</v>
      </c>
      <c r="M1263" s="73">
        <f t="shared" si="86"/>
        <v>0</v>
      </c>
      <c r="AC1263" t="str">
        <f t="shared" si="87"/>
        <v>Jan</v>
      </c>
    </row>
    <row r="1264" spans="3:29" x14ac:dyDescent="0.35">
      <c r="C1264" s="80">
        <f t="shared" si="84"/>
        <v>1</v>
      </c>
      <c r="K1264" s="65">
        <f t="shared" si="85"/>
        <v>0</v>
      </c>
      <c r="M1264" s="73">
        <f t="shared" si="86"/>
        <v>0</v>
      </c>
      <c r="AC1264" t="str">
        <f t="shared" si="87"/>
        <v>Jan</v>
      </c>
    </row>
    <row r="1265" spans="3:29" x14ac:dyDescent="0.35">
      <c r="C1265" s="80">
        <f t="shared" si="84"/>
        <v>1</v>
      </c>
      <c r="K1265" s="65">
        <f t="shared" si="85"/>
        <v>0</v>
      </c>
      <c r="M1265" s="73">
        <f t="shared" si="86"/>
        <v>0</v>
      </c>
      <c r="AC1265" t="str">
        <f t="shared" si="87"/>
        <v>Jan</v>
      </c>
    </row>
    <row r="1266" spans="3:29" x14ac:dyDescent="0.35">
      <c r="C1266" s="80">
        <f t="shared" si="84"/>
        <v>1</v>
      </c>
      <c r="K1266" s="65">
        <f t="shared" si="85"/>
        <v>0</v>
      </c>
      <c r="M1266" s="73">
        <f t="shared" si="86"/>
        <v>0</v>
      </c>
      <c r="AC1266" t="str">
        <f t="shared" si="87"/>
        <v>Jan</v>
      </c>
    </row>
    <row r="1267" spans="3:29" x14ac:dyDescent="0.35">
      <c r="C1267" s="80">
        <f t="shared" si="84"/>
        <v>1</v>
      </c>
      <c r="K1267" s="65">
        <f t="shared" si="85"/>
        <v>0</v>
      </c>
      <c r="M1267" s="73">
        <f t="shared" si="86"/>
        <v>0</v>
      </c>
      <c r="AC1267" t="str">
        <f t="shared" si="87"/>
        <v>Jan</v>
      </c>
    </row>
    <row r="1268" spans="3:29" x14ac:dyDescent="0.35">
      <c r="C1268" s="80">
        <f t="shared" si="84"/>
        <v>1</v>
      </c>
      <c r="K1268" s="65">
        <f t="shared" si="85"/>
        <v>0</v>
      </c>
      <c r="M1268" s="73">
        <f t="shared" si="86"/>
        <v>0</v>
      </c>
      <c r="AC1268" t="str">
        <f t="shared" si="87"/>
        <v>Jan</v>
      </c>
    </row>
    <row r="1269" spans="3:29" x14ac:dyDescent="0.35">
      <c r="C1269" s="80">
        <f t="shared" si="84"/>
        <v>1</v>
      </c>
      <c r="K1269" s="65">
        <f t="shared" si="85"/>
        <v>0</v>
      </c>
      <c r="M1269" s="73">
        <f t="shared" si="86"/>
        <v>0</v>
      </c>
      <c r="AC1269" t="str">
        <f t="shared" si="87"/>
        <v>Jan</v>
      </c>
    </row>
    <row r="1270" spans="3:29" x14ac:dyDescent="0.35">
      <c r="C1270" s="80">
        <f t="shared" si="84"/>
        <v>1</v>
      </c>
      <c r="K1270" s="65">
        <f t="shared" si="85"/>
        <v>0</v>
      </c>
      <c r="M1270" s="73">
        <f t="shared" si="86"/>
        <v>0</v>
      </c>
      <c r="AC1270" t="str">
        <f t="shared" si="87"/>
        <v>Jan</v>
      </c>
    </row>
    <row r="1271" spans="3:29" x14ac:dyDescent="0.35">
      <c r="C1271" s="80">
        <f t="shared" si="84"/>
        <v>1</v>
      </c>
      <c r="K1271" s="65">
        <f t="shared" si="85"/>
        <v>0</v>
      </c>
      <c r="M1271" s="73">
        <f t="shared" si="86"/>
        <v>0</v>
      </c>
      <c r="AC1271" t="str">
        <f t="shared" si="87"/>
        <v>Jan</v>
      </c>
    </row>
    <row r="1272" spans="3:29" x14ac:dyDescent="0.35">
      <c r="C1272" s="80">
        <f t="shared" si="84"/>
        <v>1</v>
      </c>
      <c r="K1272" s="65">
        <f t="shared" si="85"/>
        <v>0</v>
      </c>
      <c r="M1272" s="73">
        <f t="shared" si="86"/>
        <v>0</v>
      </c>
      <c r="AC1272" t="str">
        <f t="shared" si="87"/>
        <v>Jan</v>
      </c>
    </row>
    <row r="1273" spans="3:29" x14ac:dyDescent="0.35">
      <c r="C1273" s="80">
        <f t="shared" si="84"/>
        <v>1</v>
      </c>
      <c r="K1273" s="65">
        <f t="shared" si="85"/>
        <v>0</v>
      </c>
      <c r="M1273" s="73">
        <f t="shared" si="86"/>
        <v>0</v>
      </c>
      <c r="AC1273" t="str">
        <f t="shared" si="87"/>
        <v>Jan</v>
      </c>
    </row>
    <row r="1274" spans="3:29" x14ac:dyDescent="0.35">
      <c r="C1274" s="80">
        <f t="shared" si="84"/>
        <v>1</v>
      </c>
      <c r="K1274" s="65">
        <f t="shared" si="85"/>
        <v>0</v>
      </c>
      <c r="M1274" s="73">
        <f t="shared" si="86"/>
        <v>0</v>
      </c>
      <c r="AC1274" t="str">
        <f t="shared" si="87"/>
        <v>Jan</v>
      </c>
    </row>
    <row r="1275" spans="3:29" x14ac:dyDescent="0.35">
      <c r="C1275" s="80">
        <f t="shared" si="84"/>
        <v>1</v>
      </c>
      <c r="K1275" s="65">
        <f t="shared" si="85"/>
        <v>0</v>
      </c>
      <c r="M1275" s="73">
        <f t="shared" si="86"/>
        <v>0</v>
      </c>
      <c r="AC1275" t="str">
        <f t="shared" si="87"/>
        <v>Jan</v>
      </c>
    </row>
    <row r="1276" spans="3:29" x14ac:dyDescent="0.35">
      <c r="C1276" s="80">
        <f t="shared" si="84"/>
        <v>1</v>
      </c>
      <c r="K1276" s="65">
        <f t="shared" si="85"/>
        <v>0</v>
      </c>
      <c r="M1276" s="73">
        <f t="shared" si="86"/>
        <v>0</v>
      </c>
      <c r="AC1276" t="str">
        <f t="shared" si="87"/>
        <v>Jan</v>
      </c>
    </row>
    <row r="1277" spans="3:29" x14ac:dyDescent="0.35">
      <c r="C1277" s="80">
        <f t="shared" si="84"/>
        <v>1</v>
      </c>
      <c r="K1277" s="65">
        <f t="shared" si="85"/>
        <v>0</v>
      </c>
      <c r="M1277" s="73">
        <f t="shared" si="86"/>
        <v>0</v>
      </c>
      <c r="AC1277" t="str">
        <f t="shared" si="87"/>
        <v>Jan</v>
      </c>
    </row>
    <row r="1278" spans="3:29" x14ac:dyDescent="0.35">
      <c r="C1278" s="80">
        <f t="shared" si="84"/>
        <v>1</v>
      </c>
      <c r="K1278" s="65">
        <f t="shared" si="85"/>
        <v>0</v>
      </c>
      <c r="M1278" s="73">
        <f t="shared" si="86"/>
        <v>0</v>
      </c>
      <c r="AC1278" t="str">
        <f t="shared" si="87"/>
        <v>Jan</v>
      </c>
    </row>
    <row r="1279" spans="3:29" x14ac:dyDescent="0.35">
      <c r="C1279" s="80">
        <f t="shared" si="84"/>
        <v>1</v>
      </c>
      <c r="K1279" s="65">
        <f t="shared" si="85"/>
        <v>0</v>
      </c>
      <c r="M1279" s="73">
        <f t="shared" si="86"/>
        <v>0</v>
      </c>
      <c r="AC1279" t="str">
        <f t="shared" si="87"/>
        <v>Jan</v>
      </c>
    </row>
    <row r="1280" spans="3:29" x14ac:dyDescent="0.35">
      <c r="C1280" s="80">
        <f t="shared" si="84"/>
        <v>1</v>
      </c>
      <c r="K1280" s="65">
        <f t="shared" si="85"/>
        <v>0</v>
      </c>
      <c r="M1280" s="73">
        <f t="shared" si="86"/>
        <v>0</v>
      </c>
      <c r="AC1280" t="str">
        <f t="shared" si="87"/>
        <v>Jan</v>
      </c>
    </row>
    <row r="1281" spans="3:29" x14ac:dyDescent="0.35">
      <c r="C1281" s="80">
        <f t="shared" si="84"/>
        <v>1</v>
      </c>
      <c r="K1281" s="65">
        <f t="shared" si="85"/>
        <v>0</v>
      </c>
      <c r="M1281" s="73">
        <f t="shared" si="86"/>
        <v>0</v>
      </c>
      <c r="AC1281" t="str">
        <f t="shared" si="87"/>
        <v>Jan</v>
      </c>
    </row>
    <row r="1282" spans="3:29" x14ac:dyDescent="0.35">
      <c r="C1282" s="80">
        <f t="shared" si="84"/>
        <v>1</v>
      </c>
      <c r="K1282" s="65">
        <f t="shared" si="85"/>
        <v>0</v>
      </c>
      <c r="M1282" s="73">
        <f t="shared" si="86"/>
        <v>0</v>
      </c>
      <c r="AC1282" t="str">
        <f t="shared" si="87"/>
        <v>Jan</v>
      </c>
    </row>
    <row r="1283" spans="3:29" x14ac:dyDescent="0.35">
      <c r="C1283" s="80">
        <f t="shared" si="84"/>
        <v>1</v>
      </c>
      <c r="K1283" s="65">
        <f t="shared" si="85"/>
        <v>0</v>
      </c>
      <c r="M1283" s="73">
        <f t="shared" si="86"/>
        <v>0</v>
      </c>
      <c r="AC1283" t="str">
        <f t="shared" si="87"/>
        <v>Jan</v>
      </c>
    </row>
    <row r="1284" spans="3:29" x14ac:dyDescent="0.35">
      <c r="C1284" s="80">
        <f t="shared" si="84"/>
        <v>1</v>
      </c>
      <c r="K1284" s="65">
        <f t="shared" si="85"/>
        <v>0</v>
      </c>
      <c r="M1284" s="73">
        <f t="shared" si="86"/>
        <v>0</v>
      </c>
      <c r="AC1284" t="str">
        <f t="shared" si="87"/>
        <v>Jan</v>
      </c>
    </row>
    <row r="1285" spans="3:29" x14ac:dyDescent="0.35">
      <c r="C1285" s="80">
        <f t="shared" si="84"/>
        <v>1</v>
      </c>
      <c r="K1285" s="65">
        <f t="shared" si="85"/>
        <v>0</v>
      </c>
      <c r="M1285" s="73">
        <f t="shared" si="86"/>
        <v>0</v>
      </c>
      <c r="AC1285" t="str">
        <f t="shared" si="87"/>
        <v>Jan</v>
      </c>
    </row>
    <row r="1286" spans="3:29" x14ac:dyDescent="0.35">
      <c r="C1286" s="80">
        <f t="shared" ref="C1286:C1349" si="88">MONTH(B1286)</f>
        <v>1</v>
      </c>
      <c r="K1286" s="65">
        <f t="shared" ref="K1286:K1349" si="89">I1286*J1286</f>
        <v>0</v>
      </c>
      <c r="M1286" s="73">
        <f t="shared" ref="M1286:M1349" si="90">K1286-L1286</f>
        <v>0</v>
      </c>
      <c r="AC1286" t="str">
        <f t="shared" si="87"/>
        <v>Jan</v>
      </c>
    </row>
    <row r="1287" spans="3:29" x14ac:dyDescent="0.35">
      <c r="C1287" s="80">
        <f t="shared" si="88"/>
        <v>1</v>
      </c>
      <c r="K1287" s="65">
        <f t="shared" si="89"/>
        <v>0</v>
      </c>
      <c r="M1287" s="73">
        <f t="shared" si="90"/>
        <v>0</v>
      </c>
      <c r="AC1287" t="str">
        <f t="shared" ref="AC1287:AC1350" si="91">IFERROR(INDEX(AA:AA,MATCH(C1287,Z:Z,0)),"")</f>
        <v>Jan</v>
      </c>
    </row>
    <row r="1288" spans="3:29" x14ac:dyDescent="0.35">
      <c r="C1288" s="80">
        <f t="shared" si="88"/>
        <v>1</v>
      </c>
      <c r="K1288" s="65">
        <f t="shared" si="89"/>
        <v>0</v>
      </c>
      <c r="M1288" s="73">
        <f t="shared" si="90"/>
        <v>0</v>
      </c>
      <c r="AC1288" t="str">
        <f t="shared" si="91"/>
        <v>Jan</v>
      </c>
    </row>
    <row r="1289" spans="3:29" x14ac:dyDescent="0.35">
      <c r="C1289" s="80">
        <f t="shared" si="88"/>
        <v>1</v>
      </c>
      <c r="K1289" s="65">
        <f t="shared" si="89"/>
        <v>0</v>
      </c>
      <c r="M1289" s="73">
        <f t="shared" si="90"/>
        <v>0</v>
      </c>
      <c r="AC1289" t="str">
        <f t="shared" si="91"/>
        <v>Jan</v>
      </c>
    </row>
    <row r="1290" spans="3:29" x14ac:dyDescent="0.35">
      <c r="C1290" s="80">
        <f t="shared" si="88"/>
        <v>1</v>
      </c>
      <c r="K1290" s="65">
        <f t="shared" si="89"/>
        <v>0</v>
      </c>
      <c r="M1290" s="73">
        <f t="shared" si="90"/>
        <v>0</v>
      </c>
      <c r="AC1290" t="str">
        <f t="shared" si="91"/>
        <v>Jan</v>
      </c>
    </row>
    <row r="1291" spans="3:29" x14ac:dyDescent="0.35">
      <c r="C1291" s="80">
        <f t="shared" si="88"/>
        <v>1</v>
      </c>
      <c r="K1291" s="65">
        <f t="shared" si="89"/>
        <v>0</v>
      </c>
      <c r="M1291" s="73">
        <f t="shared" si="90"/>
        <v>0</v>
      </c>
      <c r="AC1291" t="str">
        <f t="shared" si="91"/>
        <v>Jan</v>
      </c>
    </row>
    <row r="1292" spans="3:29" x14ac:dyDescent="0.35">
      <c r="C1292" s="80">
        <f t="shared" si="88"/>
        <v>1</v>
      </c>
      <c r="K1292" s="65">
        <f t="shared" si="89"/>
        <v>0</v>
      </c>
      <c r="M1292" s="73">
        <f t="shared" si="90"/>
        <v>0</v>
      </c>
      <c r="AC1292" t="str">
        <f t="shared" si="91"/>
        <v>Jan</v>
      </c>
    </row>
    <row r="1293" spans="3:29" x14ac:dyDescent="0.35">
      <c r="C1293" s="80">
        <f t="shared" si="88"/>
        <v>1</v>
      </c>
      <c r="K1293" s="65">
        <f t="shared" si="89"/>
        <v>0</v>
      </c>
      <c r="M1293" s="73">
        <f t="shared" si="90"/>
        <v>0</v>
      </c>
      <c r="AC1293" t="str">
        <f t="shared" si="91"/>
        <v>Jan</v>
      </c>
    </row>
    <row r="1294" spans="3:29" x14ac:dyDescent="0.35">
      <c r="C1294" s="80">
        <f t="shared" si="88"/>
        <v>1</v>
      </c>
      <c r="K1294" s="65">
        <f t="shared" si="89"/>
        <v>0</v>
      </c>
      <c r="M1294" s="73">
        <f t="shared" si="90"/>
        <v>0</v>
      </c>
      <c r="AC1294" t="str">
        <f t="shared" si="91"/>
        <v>Jan</v>
      </c>
    </row>
    <row r="1295" spans="3:29" x14ac:dyDescent="0.35">
      <c r="C1295" s="80">
        <f t="shared" si="88"/>
        <v>1</v>
      </c>
      <c r="K1295" s="65">
        <f t="shared" si="89"/>
        <v>0</v>
      </c>
      <c r="M1295" s="73">
        <f t="shared" si="90"/>
        <v>0</v>
      </c>
      <c r="AC1295" t="str">
        <f t="shared" si="91"/>
        <v>Jan</v>
      </c>
    </row>
    <row r="1296" spans="3:29" x14ac:dyDescent="0.35">
      <c r="C1296" s="80">
        <f t="shared" si="88"/>
        <v>1</v>
      </c>
      <c r="K1296" s="65">
        <f t="shared" si="89"/>
        <v>0</v>
      </c>
      <c r="M1296" s="73">
        <f t="shared" si="90"/>
        <v>0</v>
      </c>
      <c r="AC1296" t="str">
        <f t="shared" si="91"/>
        <v>Jan</v>
      </c>
    </row>
    <row r="1297" spans="3:29" x14ac:dyDescent="0.35">
      <c r="C1297" s="80">
        <f t="shared" si="88"/>
        <v>1</v>
      </c>
      <c r="K1297" s="65">
        <f t="shared" si="89"/>
        <v>0</v>
      </c>
      <c r="M1297" s="73">
        <f t="shared" si="90"/>
        <v>0</v>
      </c>
      <c r="AC1297" t="str">
        <f t="shared" si="91"/>
        <v>Jan</v>
      </c>
    </row>
    <row r="1298" spans="3:29" x14ac:dyDescent="0.35">
      <c r="C1298" s="80">
        <f t="shared" si="88"/>
        <v>1</v>
      </c>
      <c r="K1298" s="65">
        <f t="shared" si="89"/>
        <v>0</v>
      </c>
      <c r="M1298" s="73">
        <f t="shared" si="90"/>
        <v>0</v>
      </c>
      <c r="AC1298" t="str">
        <f t="shared" si="91"/>
        <v>Jan</v>
      </c>
    </row>
    <row r="1299" spans="3:29" x14ac:dyDescent="0.35">
      <c r="C1299" s="80">
        <f t="shared" si="88"/>
        <v>1</v>
      </c>
      <c r="K1299" s="65">
        <f t="shared" si="89"/>
        <v>0</v>
      </c>
      <c r="M1299" s="73">
        <f t="shared" si="90"/>
        <v>0</v>
      </c>
      <c r="AC1299" t="str">
        <f t="shared" si="91"/>
        <v>Jan</v>
      </c>
    </row>
    <row r="1300" spans="3:29" x14ac:dyDescent="0.35">
      <c r="C1300" s="80">
        <f t="shared" si="88"/>
        <v>1</v>
      </c>
      <c r="K1300" s="65">
        <f t="shared" si="89"/>
        <v>0</v>
      </c>
      <c r="M1300" s="73">
        <f t="shared" si="90"/>
        <v>0</v>
      </c>
      <c r="AC1300" t="str">
        <f t="shared" si="91"/>
        <v>Jan</v>
      </c>
    </row>
    <row r="1301" spans="3:29" x14ac:dyDescent="0.35">
      <c r="C1301" s="80">
        <f t="shared" si="88"/>
        <v>1</v>
      </c>
      <c r="K1301" s="65">
        <f t="shared" si="89"/>
        <v>0</v>
      </c>
      <c r="M1301" s="73">
        <f t="shared" si="90"/>
        <v>0</v>
      </c>
      <c r="AC1301" t="str">
        <f t="shared" si="91"/>
        <v>Jan</v>
      </c>
    </row>
    <row r="1302" spans="3:29" x14ac:dyDescent="0.35">
      <c r="C1302" s="80">
        <f t="shared" si="88"/>
        <v>1</v>
      </c>
      <c r="K1302" s="65">
        <f t="shared" si="89"/>
        <v>0</v>
      </c>
      <c r="M1302" s="73">
        <f t="shared" si="90"/>
        <v>0</v>
      </c>
      <c r="AC1302" t="str">
        <f t="shared" si="91"/>
        <v>Jan</v>
      </c>
    </row>
    <row r="1303" spans="3:29" x14ac:dyDescent="0.35">
      <c r="C1303" s="80">
        <f t="shared" si="88"/>
        <v>1</v>
      </c>
      <c r="K1303" s="65">
        <f t="shared" si="89"/>
        <v>0</v>
      </c>
      <c r="M1303" s="73">
        <f t="shared" si="90"/>
        <v>0</v>
      </c>
      <c r="AC1303" t="str">
        <f t="shared" si="91"/>
        <v>Jan</v>
      </c>
    </row>
    <row r="1304" spans="3:29" x14ac:dyDescent="0.35">
      <c r="C1304" s="80">
        <f t="shared" si="88"/>
        <v>1</v>
      </c>
      <c r="K1304" s="65">
        <f t="shared" si="89"/>
        <v>0</v>
      </c>
      <c r="M1304" s="73">
        <f t="shared" si="90"/>
        <v>0</v>
      </c>
      <c r="AC1304" t="str">
        <f t="shared" si="91"/>
        <v>Jan</v>
      </c>
    </row>
    <row r="1305" spans="3:29" x14ac:dyDescent="0.35">
      <c r="C1305" s="80">
        <f t="shared" si="88"/>
        <v>1</v>
      </c>
      <c r="K1305" s="65">
        <f t="shared" si="89"/>
        <v>0</v>
      </c>
      <c r="M1305" s="73">
        <f t="shared" si="90"/>
        <v>0</v>
      </c>
      <c r="AC1305" t="str">
        <f t="shared" si="91"/>
        <v>Jan</v>
      </c>
    </row>
    <row r="1306" spans="3:29" x14ac:dyDescent="0.35">
      <c r="C1306" s="80">
        <f t="shared" si="88"/>
        <v>1</v>
      </c>
      <c r="K1306" s="65">
        <f t="shared" si="89"/>
        <v>0</v>
      </c>
      <c r="M1306" s="73">
        <f t="shared" si="90"/>
        <v>0</v>
      </c>
      <c r="AC1306" t="str">
        <f t="shared" si="91"/>
        <v>Jan</v>
      </c>
    </row>
    <row r="1307" spans="3:29" x14ac:dyDescent="0.35">
      <c r="C1307" s="80">
        <f t="shared" si="88"/>
        <v>1</v>
      </c>
      <c r="K1307" s="65">
        <f t="shared" si="89"/>
        <v>0</v>
      </c>
      <c r="M1307" s="73">
        <f t="shared" si="90"/>
        <v>0</v>
      </c>
      <c r="AC1307" t="str">
        <f t="shared" si="91"/>
        <v>Jan</v>
      </c>
    </row>
    <row r="1308" spans="3:29" x14ac:dyDescent="0.35">
      <c r="C1308" s="80">
        <f t="shared" si="88"/>
        <v>1</v>
      </c>
      <c r="K1308" s="65">
        <f t="shared" si="89"/>
        <v>0</v>
      </c>
      <c r="M1308" s="73">
        <f t="shared" si="90"/>
        <v>0</v>
      </c>
      <c r="AC1308" t="str">
        <f t="shared" si="91"/>
        <v>Jan</v>
      </c>
    </row>
    <row r="1309" spans="3:29" x14ac:dyDescent="0.35">
      <c r="C1309" s="80">
        <f t="shared" si="88"/>
        <v>1</v>
      </c>
      <c r="K1309" s="65">
        <f t="shared" si="89"/>
        <v>0</v>
      </c>
      <c r="M1309" s="73">
        <f t="shared" si="90"/>
        <v>0</v>
      </c>
      <c r="AC1309" t="str">
        <f t="shared" si="91"/>
        <v>Jan</v>
      </c>
    </row>
    <row r="1310" spans="3:29" x14ac:dyDescent="0.35">
      <c r="C1310" s="80">
        <f t="shared" si="88"/>
        <v>1</v>
      </c>
      <c r="K1310" s="65">
        <f t="shared" si="89"/>
        <v>0</v>
      </c>
      <c r="M1310" s="73">
        <f t="shared" si="90"/>
        <v>0</v>
      </c>
      <c r="AC1310" t="str">
        <f t="shared" si="91"/>
        <v>Jan</v>
      </c>
    </row>
    <row r="1311" spans="3:29" x14ac:dyDescent="0.35">
      <c r="C1311" s="80">
        <f t="shared" si="88"/>
        <v>1</v>
      </c>
      <c r="K1311" s="65">
        <f t="shared" si="89"/>
        <v>0</v>
      </c>
      <c r="M1311" s="73">
        <f t="shared" si="90"/>
        <v>0</v>
      </c>
      <c r="AC1311" t="str">
        <f t="shared" si="91"/>
        <v>Jan</v>
      </c>
    </row>
    <row r="1312" spans="3:29" x14ac:dyDescent="0.35">
      <c r="C1312" s="80">
        <f t="shared" si="88"/>
        <v>1</v>
      </c>
      <c r="K1312" s="65">
        <f t="shared" si="89"/>
        <v>0</v>
      </c>
      <c r="M1312" s="73">
        <f t="shared" si="90"/>
        <v>0</v>
      </c>
      <c r="AC1312" t="str">
        <f t="shared" si="91"/>
        <v>Jan</v>
      </c>
    </row>
    <row r="1313" spans="3:29" x14ac:dyDescent="0.35">
      <c r="C1313" s="80">
        <f t="shared" si="88"/>
        <v>1</v>
      </c>
      <c r="K1313" s="65">
        <f t="shared" si="89"/>
        <v>0</v>
      </c>
      <c r="M1313" s="73">
        <f t="shared" si="90"/>
        <v>0</v>
      </c>
      <c r="AC1313" t="str">
        <f t="shared" si="91"/>
        <v>Jan</v>
      </c>
    </row>
    <row r="1314" spans="3:29" x14ac:dyDescent="0.35">
      <c r="C1314" s="80">
        <f t="shared" si="88"/>
        <v>1</v>
      </c>
      <c r="K1314" s="65">
        <f t="shared" si="89"/>
        <v>0</v>
      </c>
      <c r="M1314" s="73">
        <f t="shared" si="90"/>
        <v>0</v>
      </c>
      <c r="AC1314" t="str">
        <f t="shared" si="91"/>
        <v>Jan</v>
      </c>
    </row>
    <row r="1315" spans="3:29" x14ac:dyDescent="0.35">
      <c r="C1315" s="80">
        <f t="shared" si="88"/>
        <v>1</v>
      </c>
      <c r="K1315" s="65">
        <f t="shared" si="89"/>
        <v>0</v>
      </c>
      <c r="M1315" s="73">
        <f t="shared" si="90"/>
        <v>0</v>
      </c>
      <c r="AC1315" t="str">
        <f t="shared" si="91"/>
        <v>Jan</v>
      </c>
    </row>
    <row r="1316" spans="3:29" x14ac:dyDescent="0.35">
      <c r="C1316" s="80">
        <f t="shared" si="88"/>
        <v>1</v>
      </c>
      <c r="K1316" s="65">
        <f t="shared" si="89"/>
        <v>0</v>
      </c>
      <c r="M1316" s="73">
        <f t="shared" si="90"/>
        <v>0</v>
      </c>
      <c r="AC1316" t="str">
        <f t="shared" si="91"/>
        <v>Jan</v>
      </c>
    </row>
    <row r="1317" spans="3:29" x14ac:dyDescent="0.35">
      <c r="C1317" s="80">
        <f t="shared" si="88"/>
        <v>1</v>
      </c>
      <c r="K1317" s="65">
        <f t="shared" si="89"/>
        <v>0</v>
      </c>
      <c r="M1317" s="73">
        <f t="shared" si="90"/>
        <v>0</v>
      </c>
      <c r="AC1317" t="str">
        <f t="shared" si="91"/>
        <v>Jan</v>
      </c>
    </row>
    <row r="1318" spans="3:29" x14ac:dyDescent="0.35">
      <c r="C1318" s="80">
        <f t="shared" si="88"/>
        <v>1</v>
      </c>
      <c r="K1318" s="65">
        <f t="shared" si="89"/>
        <v>0</v>
      </c>
      <c r="M1318" s="73">
        <f t="shared" si="90"/>
        <v>0</v>
      </c>
      <c r="AC1318" t="str">
        <f t="shared" si="91"/>
        <v>Jan</v>
      </c>
    </row>
    <row r="1319" spans="3:29" x14ac:dyDescent="0.35">
      <c r="C1319" s="80">
        <f t="shared" si="88"/>
        <v>1</v>
      </c>
      <c r="K1319" s="65">
        <f t="shared" si="89"/>
        <v>0</v>
      </c>
      <c r="M1319" s="73">
        <f t="shared" si="90"/>
        <v>0</v>
      </c>
      <c r="AC1319" t="str">
        <f t="shared" si="91"/>
        <v>Jan</v>
      </c>
    </row>
    <row r="1320" spans="3:29" x14ac:dyDescent="0.35">
      <c r="C1320" s="80">
        <f t="shared" si="88"/>
        <v>1</v>
      </c>
      <c r="K1320" s="65">
        <f t="shared" si="89"/>
        <v>0</v>
      </c>
      <c r="M1320" s="73">
        <f t="shared" si="90"/>
        <v>0</v>
      </c>
      <c r="AC1320" t="str">
        <f t="shared" si="91"/>
        <v>Jan</v>
      </c>
    </row>
    <row r="1321" spans="3:29" x14ac:dyDescent="0.35">
      <c r="C1321" s="80">
        <f t="shared" si="88"/>
        <v>1</v>
      </c>
      <c r="K1321" s="65">
        <f t="shared" si="89"/>
        <v>0</v>
      </c>
      <c r="M1321" s="73">
        <f t="shared" si="90"/>
        <v>0</v>
      </c>
      <c r="AC1321" t="str">
        <f t="shared" si="91"/>
        <v>Jan</v>
      </c>
    </row>
    <row r="1322" spans="3:29" x14ac:dyDescent="0.35">
      <c r="C1322" s="80">
        <f t="shared" si="88"/>
        <v>1</v>
      </c>
      <c r="K1322" s="65">
        <f t="shared" si="89"/>
        <v>0</v>
      </c>
      <c r="M1322" s="73">
        <f t="shared" si="90"/>
        <v>0</v>
      </c>
      <c r="AC1322" t="str">
        <f t="shared" si="91"/>
        <v>Jan</v>
      </c>
    </row>
    <row r="1323" spans="3:29" x14ac:dyDescent="0.35">
      <c r="C1323" s="80">
        <f t="shared" si="88"/>
        <v>1</v>
      </c>
      <c r="K1323" s="65">
        <f t="shared" si="89"/>
        <v>0</v>
      </c>
      <c r="M1323" s="73">
        <f t="shared" si="90"/>
        <v>0</v>
      </c>
      <c r="AC1323" t="str">
        <f t="shared" si="91"/>
        <v>Jan</v>
      </c>
    </row>
    <row r="1324" spans="3:29" x14ac:dyDescent="0.35">
      <c r="C1324" s="80">
        <f t="shared" si="88"/>
        <v>1</v>
      </c>
      <c r="K1324" s="65">
        <f t="shared" si="89"/>
        <v>0</v>
      </c>
      <c r="M1324" s="73">
        <f t="shared" si="90"/>
        <v>0</v>
      </c>
      <c r="AC1324" t="str">
        <f t="shared" si="91"/>
        <v>Jan</v>
      </c>
    </row>
    <row r="1325" spans="3:29" x14ac:dyDescent="0.35">
      <c r="C1325" s="80">
        <f t="shared" si="88"/>
        <v>1</v>
      </c>
      <c r="K1325" s="65">
        <f t="shared" si="89"/>
        <v>0</v>
      </c>
      <c r="M1325" s="73">
        <f t="shared" si="90"/>
        <v>0</v>
      </c>
      <c r="AC1325" t="str">
        <f t="shared" si="91"/>
        <v>Jan</v>
      </c>
    </row>
    <row r="1326" spans="3:29" x14ac:dyDescent="0.35">
      <c r="C1326" s="80">
        <f t="shared" si="88"/>
        <v>1</v>
      </c>
      <c r="K1326" s="65">
        <f t="shared" si="89"/>
        <v>0</v>
      </c>
      <c r="M1326" s="73">
        <f t="shared" si="90"/>
        <v>0</v>
      </c>
      <c r="AC1326" t="str">
        <f t="shared" si="91"/>
        <v>Jan</v>
      </c>
    </row>
    <row r="1327" spans="3:29" x14ac:dyDescent="0.35">
      <c r="C1327" s="80">
        <f t="shared" si="88"/>
        <v>1</v>
      </c>
      <c r="K1327" s="65">
        <f t="shared" si="89"/>
        <v>0</v>
      </c>
      <c r="M1327" s="73">
        <f t="shared" si="90"/>
        <v>0</v>
      </c>
      <c r="AC1327" t="str">
        <f t="shared" si="91"/>
        <v>Jan</v>
      </c>
    </row>
    <row r="1328" spans="3:29" x14ac:dyDescent="0.35">
      <c r="C1328" s="80">
        <f t="shared" si="88"/>
        <v>1</v>
      </c>
      <c r="K1328" s="65">
        <f t="shared" si="89"/>
        <v>0</v>
      </c>
      <c r="M1328" s="73">
        <f t="shared" si="90"/>
        <v>0</v>
      </c>
      <c r="AC1328" t="str">
        <f t="shared" si="91"/>
        <v>Jan</v>
      </c>
    </row>
    <row r="1329" spans="3:29" x14ac:dyDescent="0.35">
      <c r="C1329" s="80">
        <f t="shared" si="88"/>
        <v>1</v>
      </c>
      <c r="K1329" s="65">
        <f t="shared" si="89"/>
        <v>0</v>
      </c>
      <c r="M1329" s="73">
        <f t="shared" si="90"/>
        <v>0</v>
      </c>
      <c r="AC1329" t="str">
        <f t="shared" si="91"/>
        <v>Jan</v>
      </c>
    </row>
    <row r="1330" spans="3:29" x14ac:dyDescent="0.35">
      <c r="C1330" s="80">
        <f t="shared" si="88"/>
        <v>1</v>
      </c>
      <c r="K1330" s="65">
        <f t="shared" si="89"/>
        <v>0</v>
      </c>
      <c r="M1330" s="73">
        <f t="shared" si="90"/>
        <v>0</v>
      </c>
      <c r="AC1330" t="str">
        <f t="shared" si="91"/>
        <v>Jan</v>
      </c>
    </row>
    <row r="1331" spans="3:29" x14ac:dyDescent="0.35">
      <c r="C1331" s="80">
        <f t="shared" si="88"/>
        <v>1</v>
      </c>
      <c r="K1331" s="65">
        <f t="shared" si="89"/>
        <v>0</v>
      </c>
      <c r="M1331" s="73">
        <f t="shared" si="90"/>
        <v>0</v>
      </c>
      <c r="AC1331" t="str">
        <f t="shared" si="91"/>
        <v>Jan</v>
      </c>
    </row>
    <row r="1332" spans="3:29" x14ac:dyDescent="0.35">
      <c r="C1332" s="80">
        <f t="shared" si="88"/>
        <v>1</v>
      </c>
      <c r="K1332" s="65">
        <f t="shared" si="89"/>
        <v>0</v>
      </c>
      <c r="M1332" s="73">
        <f t="shared" si="90"/>
        <v>0</v>
      </c>
      <c r="AC1332" t="str">
        <f t="shared" si="91"/>
        <v>Jan</v>
      </c>
    </row>
    <row r="1333" spans="3:29" x14ac:dyDescent="0.35">
      <c r="C1333" s="80">
        <f t="shared" si="88"/>
        <v>1</v>
      </c>
      <c r="K1333" s="65">
        <f t="shared" si="89"/>
        <v>0</v>
      </c>
      <c r="M1333" s="73">
        <f t="shared" si="90"/>
        <v>0</v>
      </c>
      <c r="AC1333" t="str">
        <f t="shared" si="91"/>
        <v>Jan</v>
      </c>
    </row>
    <row r="1334" spans="3:29" x14ac:dyDescent="0.35">
      <c r="C1334" s="80">
        <f t="shared" si="88"/>
        <v>1</v>
      </c>
      <c r="K1334" s="65">
        <f t="shared" si="89"/>
        <v>0</v>
      </c>
      <c r="M1334" s="73">
        <f t="shared" si="90"/>
        <v>0</v>
      </c>
      <c r="AC1334" t="str">
        <f t="shared" si="91"/>
        <v>Jan</v>
      </c>
    </row>
    <row r="1335" spans="3:29" x14ac:dyDescent="0.35">
      <c r="C1335" s="80">
        <f t="shared" si="88"/>
        <v>1</v>
      </c>
      <c r="K1335" s="65">
        <f t="shared" si="89"/>
        <v>0</v>
      </c>
      <c r="M1335" s="73">
        <f t="shared" si="90"/>
        <v>0</v>
      </c>
      <c r="AC1335" t="str">
        <f t="shared" si="91"/>
        <v>Jan</v>
      </c>
    </row>
    <row r="1336" spans="3:29" x14ac:dyDescent="0.35">
      <c r="C1336" s="80">
        <f t="shared" si="88"/>
        <v>1</v>
      </c>
      <c r="K1336" s="65">
        <f t="shared" si="89"/>
        <v>0</v>
      </c>
      <c r="M1336" s="73">
        <f t="shared" si="90"/>
        <v>0</v>
      </c>
      <c r="AC1336" t="str">
        <f t="shared" si="91"/>
        <v>Jan</v>
      </c>
    </row>
    <row r="1337" spans="3:29" x14ac:dyDescent="0.35">
      <c r="C1337" s="80">
        <f t="shared" si="88"/>
        <v>1</v>
      </c>
      <c r="K1337" s="65">
        <f t="shared" si="89"/>
        <v>0</v>
      </c>
      <c r="M1337" s="73">
        <f t="shared" si="90"/>
        <v>0</v>
      </c>
      <c r="AC1337" t="str">
        <f t="shared" si="91"/>
        <v>Jan</v>
      </c>
    </row>
    <row r="1338" spans="3:29" x14ac:dyDescent="0.35">
      <c r="C1338" s="80">
        <f t="shared" si="88"/>
        <v>1</v>
      </c>
      <c r="K1338" s="65">
        <f t="shared" si="89"/>
        <v>0</v>
      </c>
      <c r="M1338" s="73">
        <f t="shared" si="90"/>
        <v>0</v>
      </c>
      <c r="AC1338" t="str">
        <f t="shared" si="91"/>
        <v>Jan</v>
      </c>
    </row>
    <row r="1339" spans="3:29" x14ac:dyDescent="0.35">
      <c r="C1339" s="80">
        <f t="shared" si="88"/>
        <v>1</v>
      </c>
      <c r="K1339" s="65">
        <f t="shared" si="89"/>
        <v>0</v>
      </c>
      <c r="M1339" s="73">
        <f t="shared" si="90"/>
        <v>0</v>
      </c>
      <c r="AC1339" t="str">
        <f t="shared" si="91"/>
        <v>Jan</v>
      </c>
    </row>
    <row r="1340" spans="3:29" x14ac:dyDescent="0.35">
      <c r="C1340" s="80">
        <f t="shared" si="88"/>
        <v>1</v>
      </c>
      <c r="K1340" s="65">
        <f t="shared" si="89"/>
        <v>0</v>
      </c>
      <c r="M1340" s="73">
        <f t="shared" si="90"/>
        <v>0</v>
      </c>
      <c r="AC1340" t="str">
        <f t="shared" si="91"/>
        <v>Jan</v>
      </c>
    </row>
    <row r="1341" spans="3:29" x14ac:dyDescent="0.35">
      <c r="C1341" s="80">
        <f t="shared" si="88"/>
        <v>1</v>
      </c>
      <c r="K1341" s="65">
        <f t="shared" si="89"/>
        <v>0</v>
      </c>
      <c r="M1341" s="73">
        <f t="shared" si="90"/>
        <v>0</v>
      </c>
      <c r="AC1341" t="str">
        <f t="shared" si="91"/>
        <v>Jan</v>
      </c>
    </row>
    <row r="1342" spans="3:29" x14ac:dyDescent="0.35">
      <c r="C1342" s="80">
        <f t="shared" si="88"/>
        <v>1</v>
      </c>
      <c r="K1342" s="65">
        <f t="shared" si="89"/>
        <v>0</v>
      </c>
      <c r="M1342" s="73">
        <f t="shared" si="90"/>
        <v>0</v>
      </c>
      <c r="AC1342" t="str">
        <f t="shared" si="91"/>
        <v>Jan</v>
      </c>
    </row>
    <row r="1343" spans="3:29" x14ac:dyDescent="0.35">
      <c r="C1343" s="80">
        <f t="shared" si="88"/>
        <v>1</v>
      </c>
      <c r="K1343" s="65">
        <f t="shared" si="89"/>
        <v>0</v>
      </c>
      <c r="M1343" s="73">
        <f t="shared" si="90"/>
        <v>0</v>
      </c>
      <c r="AC1343" t="str">
        <f t="shared" si="91"/>
        <v>Jan</v>
      </c>
    </row>
    <row r="1344" spans="3:29" x14ac:dyDescent="0.35">
      <c r="C1344" s="80">
        <f t="shared" si="88"/>
        <v>1</v>
      </c>
      <c r="K1344" s="65">
        <f t="shared" si="89"/>
        <v>0</v>
      </c>
      <c r="M1344" s="73">
        <f t="shared" si="90"/>
        <v>0</v>
      </c>
      <c r="AC1344" t="str">
        <f t="shared" si="91"/>
        <v>Jan</v>
      </c>
    </row>
    <row r="1345" spans="3:29" x14ac:dyDescent="0.35">
      <c r="C1345" s="80">
        <f t="shared" si="88"/>
        <v>1</v>
      </c>
      <c r="K1345" s="65">
        <f t="shared" si="89"/>
        <v>0</v>
      </c>
      <c r="M1345" s="73">
        <f t="shared" si="90"/>
        <v>0</v>
      </c>
      <c r="AC1345" t="str">
        <f t="shared" si="91"/>
        <v>Jan</v>
      </c>
    </row>
    <row r="1346" spans="3:29" x14ac:dyDescent="0.35">
      <c r="C1346" s="80">
        <f t="shared" si="88"/>
        <v>1</v>
      </c>
      <c r="K1346" s="65">
        <f t="shared" si="89"/>
        <v>0</v>
      </c>
      <c r="M1346" s="73">
        <f t="shared" si="90"/>
        <v>0</v>
      </c>
      <c r="AC1346" t="str">
        <f t="shared" si="91"/>
        <v>Jan</v>
      </c>
    </row>
    <row r="1347" spans="3:29" x14ac:dyDescent="0.35">
      <c r="C1347" s="80">
        <f t="shared" si="88"/>
        <v>1</v>
      </c>
      <c r="K1347" s="65">
        <f t="shared" si="89"/>
        <v>0</v>
      </c>
      <c r="M1347" s="73">
        <f t="shared" si="90"/>
        <v>0</v>
      </c>
      <c r="AC1347" t="str">
        <f t="shared" si="91"/>
        <v>Jan</v>
      </c>
    </row>
    <row r="1348" spans="3:29" x14ac:dyDescent="0.35">
      <c r="C1348" s="80">
        <f t="shared" si="88"/>
        <v>1</v>
      </c>
      <c r="K1348" s="65">
        <f t="shared" si="89"/>
        <v>0</v>
      </c>
      <c r="M1348" s="73">
        <f t="shared" si="90"/>
        <v>0</v>
      </c>
      <c r="AC1348" t="str">
        <f t="shared" si="91"/>
        <v>Jan</v>
      </c>
    </row>
    <row r="1349" spans="3:29" x14ac:dyDescent="0.35">
      <c r="C1349" s="80">
        <f t="shared" si="88"/>
        <v>1</v>
      </c>
      <c r="K1349" s="65">
        <f t="shared" si="89"/>
        <v>0</v>
      </c>
      <c r="M1349" s="73">
        <f t="shared" si="90"/>
        <v>0</v>
      </c>
      <c r="AC1349" t="str">
        <f t="shared" si="91"/>
        <v>Jan</v>
      </c>
    </row>
    <row r="1350" spans="3:29" x14ac:dyDescent="0.35">
      <c r="C1350" s="80">
        <f t="shared" ref="C1350:C1413" si="92">MONTH(B1350)</f>
        <v>1</v>
      </c>
      <c r="K1350" s="65">
        <f t="shared" ref="K1350:K1413" si="93">I1350*J1350</f>
        <v>0</v>
      </c>
      <c r="M1350" s="73">
        <f t="shared" ref="M1350:M1413" si="94">K1350-L1350</f>
        <v>0</v>
      </c>
      <c r="AC1350" t="str">
        <f t="shared" si="91"/>
        <v>Jan</v>
      </c>
    </row>
    <row r="1351" spans="3:29" x14ac:dyDescent="0.35">
      <c r="C1351" s="80">
        <f t="shared" si="92"/>
        <v>1</v>
      </c>
      <c r="K1351" s="65">
        <f t="shared" si="93"/>
        <v>0</v>
      </c>
      <c r="M1351" s="73">
        <f t="shared" si="94"/>
        <v>0</v>
      </c>
      <c r="AC1351" t="str">
        <f t="shared" ref="AC1351:AC1414" si="95">IFERROR(INDEX(AA:AA,MATCH(C1351,Z:Z,0)),"")</f>
        <v>Jan</v>
      </c>
    </row>
    <row r="1352" spans="3:29" x14ac:dyDescent="0.35">
      <c r="C1352" s="80">
        <f t="shared" si="92"/>
        <v>1</v>
      </c>
      <c r="K1352" s="65">
        <f t="shared" si="93"/>
        <v>0</v>
      </c>
      <c r="M1352" s="73">
        <f t="shared" si="94"/>
        <v>0</v>
      </c>
      <c r="AC1352" t="str">
        <f t="shared" si="95"/>
        <v>Jan</v>
      </c>
    </row>
    <row r="1353" spans="3:29" x14ac:dyDescent="0.35">
      <c r="C1353" s="80">
        <f t="shared" si="92"/>
        <v>1</v>
      </c>
      <c r="K1353" s="65">
        <f t="shared" si="93"/>
        <v>0</v>
      </c>
      <c r="M1353" s="73">
        <f t="shared" si="94"/>
        <v>0</v>
      </c>
      <c r="AC1353" t="str">
        <f t="shared" si="95"/>
        <v>Jan</v>
      </c>
    </row>
    <row r="1354" spans="3:29" x14ac:dyDescent="0.35">
      <c r="C1354" s="80">
        <f t="shared" si="92"/>
        <v>1</v>
      </c>
      <c r="K1354" s="65">
        <f t="shared" si="93"/>
        <v>0</v>
      </c>
      <c r="M1354" s="73">
        <f t="shared" si="94"/>
        <v>0</v>
      </c>
      <c r="AC1354" t="str">
        <f t="shared" si="95"/>
        <v>Jan</v>
      </c>
    </row>
    <row r="1355" spans="3:29" x14ac:dyDescent="0.35">
      <c r="C1355" s="80">
        <f t="shared" si="92"/>
        <v>1</v>
      </c>
      <c r="K1355" s="65">
        <f t="shared" si="93"/>
        <v>0</v>
      </c>
      <c r="M1355" s="73">
        <f t="shared" si="94"/>
        <v>0</v>
      </c>
      <c r="AC1355" t="str">
        <f t="shared" si="95"/>
        <v>Jan</v>
      </c>
    </row>
    <row r="1356" spans="3:29" x14ac:dyDescent="0.35">
      <c r="C1356" s="80">
        <f t="shared" si="92"/>
        <v>1</v>
      </c>
      <c r="K1356" s="65">
        <f t="shared" si="93"/>
        <v>0</v>
      </c>
      <c r="M1356" s="73">
        <f t="shared" si="94"/>
        <v>0</v>
      </c>
      <c r="AC1356" t="str">
        <f t="shared" si="95"/>
        <v>Jan</v>
      </c>
    </row>
    <row r="1357" spans="3:29" x14ac:dyDescent="0.35">
      <c r="C1357" s="80">
        <f t="shared" si="92"/>
        <v>1</v>
      </c>
      <c r="K1357" s="65">
        <f t="shared" si="93"/>
        <v>0</v>
      </c>
      <c r="M1357" s="73">
        <f t="shared" si="94"/>
        <v>0</v>
      </c>
      <c r="AC1357" t="str">
        <f t="shared" si="95"/>
        <v>Jan</v>
      </c>
    </row>
    <row r="1358" spans="3:29" x14ac:dyDescent="0.35">
      <c r="C1358" s="80">
        <f t="shared" si="92"/>
        <v>1</v>
      </c>
      <c r="K1358" s="65">
        <f t="shared" si="93"/>
        <v>0</v>
      </c>
      <c r="M1358" s="73">
        <f t="shared" si="94"/>
        <v>0</v>
      </c>
      <c r="AC1358" t="str">
        <f t="shared" si="95"/>
        <v>Jan</v>
      </c>
    </row>
    <row r="1359" spans="3:29" x14ac:dyDescent="0.35">
      <c r="C1359" s="80">
        <f t="shared" si="92"/>
        <v>1</v>
      </c>
      <c r="K1359" s="65">
        <f t="shared" si="93"/>
        <v>0</v>
      </c>
      <c r="M1359" s="73">
        <f t="shared" si="94"/>
        <v>0</v>
      </c>
      <c r="AC1359" t="str">
        <f t="shared" si="95"/>
        <v>Jan</v>
      </c>
    </row>
    <row r="1360" spans="3:29" x14ac:dyDescent="0.35">
      <c r="C1360" s="80">
        <f t="shared" si="92"/>
        <v>1</v>
      </c>
      <c r="K1360" s="65">
        <f t="shared" si="93"/>
        <v>0</v>
      </c>
      <c r="M1360" s="73">
        <f t="shared" si="94"/>
        <v>0</v>
      </c>
      <c r="AC1360" t="str">
        <f t="shared" si="95"/>
        <v>Jan</v>
      </c>
    </row>
    <row r="1361" spans="3:29" x14ac:dyDescent="0.35">
      <c r="C1361" s="80">
        <f t="shared" si="92"/>
        <v>1</v>
      </c>
      <c r="K1361" s="65">
        <f t="shared" si="93"/>
        <v>0</v>
      </c>
      <c r="M1361" s="73">
        <f t="shared" si="94"/>
        <v>0</v>
      </c>
      <c r="AC1361" t="str">
        <f t="shared" si="95"/>
        <v>Jan</v>
      </c>
    </row>
    <row r="1362" spans="3:29" x14ac:dyDescent="0.35">
      <c r="C1362" s="80">
        <f t="shared" si="92"/>
        <v>1</v>
      </c>
      <c r="K1362" s="65">
        <f t="shared" si="93"/>
        <v>0</v>
      </c>
      <c r="M1362" s="73">
        <f t="shared" si="94"/>
        <v>0</v>
      </c>
      <c r="AC1362" t="str">
        <f t="shared" si="95"/>
        <v>Jan</v>
      </c>
    </row>
    <row r="1363" spans="3:29" x14ac:dyDescent="0.35">
      <c r="C1363" s="80">
        <f t="shared" si="92"/>
        <v>1</v>
      </c>
      <c r="K1363" s="65">
        <f t="shared" si="93"/>
        <v>0</v>
      </c>
      <c r="M1363" s="73">
        <f t="shared" si="94"/>
        <v>0</v>
      </c>
      <c r="AC1363" t="str">
        <f t="shared" si="95"/>
        <v>Jan</v>
      </c>
    </row>
    <row r="1364" spans="3:29" x14ac:dyDescent="0.35">
      <c r="C1364" s="80">
        <f t="shared" si="92"/>
        <v>1</v>
      </c>
      <c r="K1364" s="65">
        <f t="shared" si="93"/>
        <v>0</v>
      </c>
      <c r="M1364" s="73">
        <f t="shared" si="94"/>
        <v>0</v>
      </c>
      <c r="AC1364" t="str">
        <f t="shared" si="95"/>
        <v>Jan</v>
      </c>
    </row>
    <row r="1365" spans="3:29" x14ac:dyDescent="0.35">
      <c r="C1365" s="80">
        <f t="shared" si="92"/>
        <v>1</v>
      </c>
      <c r="K1365" s="65">
        <f t="shared" si="93"/>
        <v>0</v>
      </c>
      <c r="M1365" s="73">
        <f t="shared" si="94"/>
        <v>0</v>
      </c>
      <c r="AC1365" t="str">
        <f t="shared" si="95"/>
        <v>Jan</v>
      </c>
    </row>
    <row r="1366" spans="3:29" x14ac:dyDescent="0.35">
      <c r="C1366" s="80">
        <f t="shared" si="92"/>
        <v>1</v>
      </c>
      <c r="K1366" s="65">
        <f t="shared" si="93"/>
        <v>0</v>
      </c>
      <c r="M1366" s="73">
        <f t="shared" si="94"/>
        <v>0</v>
      </c>
      <c r="AC1366" t="str">
        <f t="shared" si="95"/>
        <v>Jan</v>
      </c>
    </row>
    <row r="1367" spans="3:29" x14ac:dyDescent="0.35">
      <c r="C1367" s="80">
        <f t="shared" si="92"/>
        <v>1</v>
      </c>
      <c r="K1367" s="65">
        <f t="shared" si="93"/>
        <v>0</v>
      </c>
      <c r="M1367" s="73">
        <f t="shared" si="94"/>
        <v>0</v>
      </c>
      <c r="AC1367" t="str">
        <f t="shared" si="95"/>
        <v>Jan</v>
      </c>
    </row>
    <row r="1368" spans="3:29" x14ac:dyDescent="0.35">
      <c r="C1368" s="80">
        <f t="shared" si="92"/>
        <v>1</v>
      </c>
      <c r="K1368" s="65">
        <f t="shared" si="93"/>
        <v>0</v>
      </c>
      <c r="M1368" s="73">
        <f t="shared" si="94"/>
        <v>0</v>
      </c>
      <c r="AC1368" t="str">
        <f t="shared" si="95"/>
        <v>Jan</v>
      </c>
    </row>
    <row r="1369" spans="3:29" x14ac:dyDescent="0.35">
      <c r="C1369" s="80">
        <f t="shared" si="92"/>
        <v>1</v>
      </c>
      <c r="K1369" s="65">
        <f t="shared" si="93"/>
        <v>0</v>
      </c>
      <c r="M1369" s="73">
        <f t="shared" si="94"/>
        <v>0</v>
      </c>
      <c r="AC1369" t="str">
        <f t="shared" si="95"/>
        <v>Jan</v>
      </c>
    </row>
    <row r="1370" spans="3:29" x14ac:dyDescent="0.35">
      <c r="C1370" s="80">
        <f t="shared" si="92"/>
        <v>1</v>
      </c>
      <c r="K1370" s="65">
        <f t="shared" si="93"/>
        <v>0</v>
      </c>
      <c r="M1370" s="73">
        <f t="shared" si="94"/>
        <v>0</v>
      </c>
      <c r="AC1370" t="str">
        <f t="shared" si="95"/>
        <v>Jan</v>
      </c>
    </row>
    <row r="1371" spans="3:29" x14ac:dyDescent="0.35">
      <c r="C1371" s="80">
        <f t="shared" si="92"/>
        <v>1</v>
      </c>
      <c r="K1371" s="65">
        <f t="shared" si="93"/>
        <v>0</v>
      </c>
      <c r="M1371" s="73">
        <f t="shared" si="94"/>
        <v>0</v>
      </c>
      <c r="AC1371" t="str">
        <f t="shared" si="95"/>
        <v>Jan</v>
      </c>
    </row>
    <row r="1372" spans="3:29" x14ac:dyDescent="0.35">
      <c r="C1372" s="80">
        <f t="shared" si="92"/>
        <v>1</v>
      </c>
      <c r="K1372" s="65">
        <f t="shared" si="93"/>
        <v>0</v>
      </c>
      <c r="M1372" s="73">
        <f t="shared" si="94"/>
        <v>0</v>
      </c>
      <c r="AC1372" t="str">
        <f t="shared" si="95"/>
        <v>Jan</v>
      </c>
    </row>
    <row r="1373" spans="3:29" x14ac:dyDescent="0.35">
      <c r="C1373" s="80">
        <f t="shared" si="92"/>
        <v>1</v>
      </c>
      <c r="K1373" s="65">
        <f t="shared" si="93"/>
        <v>0</v>
      </c>
      <c r="M1373" s="73">
        <f t="shared" si="94"/>
        <v>0</v>
      </c>
      <c r="AC1373" t="str">
        <f t="shared" si="95"/>
        <v>Jan</v>
      </c>
    </row>
    <row r="1374" spans="3:29" x14ac:dyDescent="0.35">
      <c r="C1374" s="80">
        <f t="shared" si="92"/>
        <v>1</v>
      </c>
      <c r="K1374" s="65">
        <f t="shared" si="93"/>
        <v>0</v>
      </c>
      <c r="M1374" s="73">
        <f t="shared" si="94"/>
        <v>0</v>
      </c>
      <c r="AC1374" t="str">
        <f t="shared" si="95"/>
        <v>Jan</v>
      </c>
    </row>
    <row r="1375" spans="3:29" x14ac:dyDescent="0.35">
      <c r="C1375" s="80">
        <f t="shared" si="92"/>
        <v>1</v>
      </c>
      <c r="K1375" s="65">
        <f t="shared" si="93"/>
        <v>0</v>
      </c>
      <c r="M1375" s="73">
        <f t="shared" si="94"/>
        <v>0</v>
      </c>
      <c r="AC1375" t="str">
        <f t="shared" si="95"/>
        <v>Jan</v>
      </c>
    </row>
    <row r="1376" spans="3:29" x14ac:dyDescent="0.35">
      <c r="C1376" s="80">
        <f t="shared" si="92"/>
        <v>1</v>
      </c>
      <c r="K1376" s="65">
        <f t="shared" si="93"/>
        <v>0</v>
      </c>
      <c r="M1376" s="73">
        <f t="shared" si="94"/>
        <v>0</v>
      </c>
      <c r="AC1376" t="str">
        <f t="shared" si="95"/>
        <v>Jan</v>
      </c>
    </row>
    <row r="1377" spans="3:29" x14ac:dyDescent="0.35">
      <c r="C1377" s="80">
        <f t="shared" si="92"/>
        <v>1</v>
      </c>
      <c r="K1377" s="65">
        <f t="shared" si="93"/>
        <v>0</v>
      </c>
      <c r="M1377" s="73">
        <f t="shared" si="94"/>
        <v>0</v>
      </c>
      <c r="AC1377" t="str">
        <f t="shared" si="95"/>
        <v>Jan</v>
      </c>
    </row>
    <row r="1378" spans="3:29" x14ac:dyDescent="0.35">
      <c r="C1378" s="80">
        <f t="shared" si="92"/>
        <v>1</v>
      </c>
      <c r="K1378" s="65">
        <f t="shared" si="93"/>
        <v>0</v>
      </c>
      <c r="M1378" s="73">
        <f t="shared" si="94"/>
        <v>0</v>
      </c>
      <c r="AC1378" t="str">
        <f t="shared" si="95"/>
        <v>Jan</v>
      </c>
    </row>
    <row r="1379" spans="3:29" x14ac:dyDescent="0.35">
      <c r="C1379" s="80">
        <f t="shared" si="92"/>
        <v>1</v>
      </c>
      <c r="K1379" s="65">
        <f t="shared" si="93"/>
        <v>0</v>
      </c>
      <c r="M1379" s="73">
        <f t="shared" si="94"/>
        <v>0</v>
      </c>
      <c r="AC1379" t="str">
        <f t="shared" si="95"/>
        <v>Jan</v>
      </c>
    </row>
    <row r="1380" spans="3:29" x14ac:dyDescent="0.35">
      <c r="C1380" s="80">
        <f t="shared" si="92"/>
        <v>1</v>
      </c>
      <c r="K1380" s="65">
        <f t="shared" si="93"/>
        <v>0</v>
      </c>
      <c r="M1380" s="73">
        <f t="shared" si="94"/>
        <v>0</v>
      </c>
      <c r="AC1380" t="str">
        <f t="shared" si="95"/>
        <v>Jan</v>
      </c>
    </row>
    <row r="1381" spans="3:29" x14ac:dyDescent="0.35">
      <c r="C1381" s="80">
        <f t="shared" si="92"/>
        <v>1</v>
      </c>
      <c r="K1381" s="65">
        <f t="shared" si="93"/>
        <v>0</v>
      </c>
      <c r="M1381" s="73">
        <f t="shared" si="94"/>
        <v>0</v>
      </c>
      <c r="AC1381" t="str">
        <f t="shared" si="95"/>
        <v>Jan</v>
      </c>
    </row>
    <row r="1382" spans="3:29" x14ac:dyDescent="0.35">
      <c r="C1382" s="80">
        <f t="shared" si="92"/>
        <v>1</v>
      </c>
      <c r="K1382" s="65">
        <f t="shared" si="93"/>
        <v>0</v>
      </c>
      <c r="M1382" s="73">
        <f t="shared" si="94"/>
        <v>0</v>
      </c>
      <c r="AC1382" t="str">
        <f t="shared" si="95"/>
        <v>Jan</v>
      </c>
    </row>
    <row r="1383" spans="3:29" x14ac:dyDescent="0.35">
      <c r="C1383" s="80">
        <f t="shared" si="92"/>
        <v>1</v>
      </c>
      <c r="K1383" s="65">
        <f t="shared" si="93"/>
        <v>0</v>
      </c>
      <c r="M1383" s="73">
        <f t="shared" si="94"/>
        <v>0</v>
      </c>
      <c r="AC1383" t="str">
        <f t="shared" si="95"/>
        <v>Jan</v>
      </c>
    </row>
    <row r="1384" spans="3:29" x14ac:dyDescent="0.35">
      <c r="C1384" s="80">
        <f t="shared" si="92"/>
        <v>1</v>
      </c>
      <c r="K1384" s="65">
        <f t="shared" si="93"/>
        <v>0</v>
      </c>
      <c r="M1384" s="73">
        <f t="shared" si="94"/>
        <v>0</v>
      </c>
      <c r="AC1384" t="str">
        <f t="shared" si="95"/>
        <v>Jan</v>
      </c>
    </row>
    <row r="1385" spans="3:29" x14ac:dyDescent="0.35">
      <c r="C1385" s="80">
        <f t="shared" si="92"/>
        <v>1</v>
      </c>
      <c r="K1385" s="65">
        <f t="shared" si="93"/>
        <v>0</v>
      </c>
      <c r="M1385" s="73">
        <f t="shared" si="94"/>
        <v>0</v>
      </c>
      <c r="AC1385" t="str">
        <f t="shared" si="95"/>
        <v>Jan</v>
      </c>
    </row>
    <row r="1386" spans="3:29" x14ac:dyDescent="0.35">
      <c r="C1386" s="80">
        <f t="shared" si="92"/>
        <v>1</v>
      </c>
      <c r="K1386" s="65">
        <f t="shared" si="93"/>
        <v>0</v>
      </c>
      <c r="M1386" s="73">
        <f t="shared" si="94"/>
        <v>0</v>
      </c>
      <c r="AC1386" t="str">
        <f t="shared" si="95"/>
        <v>Jan</v>
      </c>
    </row>
    <row r="1387" spans="3:29" x14ac:dyDescent="0.35">
      <c r="C1387" s="80">
        <f t="shared" si="92"/>
        <v>1</v>
      </c>
      <c r="K1387" s="65">
        <f t="shared" si="93"/>
        <v>0</v>
      </c>
      <c r="M1387" s="73">
        <f t="shared" si="94"/>
        <v>0</v>
      </c>
      <c r="AC1387" t="str">
        <f t="shared" si="95"/>
        <v>Jan</v>
      </c>
    </row>
    <row r="1388" spans="3:29" x14ac:dyDescent="0.35">
      <c r="C1388" s="80">
        <f t="shared" si="92"/>
        <v>1</v>
      </c>
      <c r="K1388" s="65">
        <f t="shared" si="93"/>
        <v>0</v>
      </c>
      <c r="M1388" s="73">
        <f t="shared" si="94"/>
        <v>0</v>
      </c>
      <c r="AC1388" t="str">
        <f t="shared" si="95"/>
        <v>Jan</v>
      </c>
    </row>
    <row r="1389" spans="3:29" x14ac:dyDescent="0.35">
      <c r="C1389" s="80">
        <f t="shared" si="92"/>
        <v>1</v>
      </c>
      <c r="K1389" s="65">
        <f t="shared" si="93"/>
        <v>0</v>
      </c>
      <c r="M1389" s="73">
        <f t="shared" si="94"/>
        <v>0</v>
      </c>
      <c r="AC1389" t="str">
        <f t="shared" si="95"/>
        <v>Jan</v>
      </c>
    </row>
    <row r="1390" spans="3:29" x14ac:dyDescent="0.35">
      <c r="C1390" s="80">
        <f t="shared" si="92"/>
        <v>1</v>
      </c>
      <c r="K1390" s="65">
        <f t="shared" si="93"/>
        <v>0</v>
      </c>
      <c r="M1390" s="73">
        <f t="shared" si="94"/>
        <v>0</v>
      </c>
      <c r="AC1390" t="str">
        <f t="shared" si="95"/>
        <v>Jan</v>
      </c>
    </row>
    <row r="1391" spans="3:29" x14ac:dyDescent="0.35">
      <c r="C1391" s="80">
        <f t="shared" si="92"/>
        <v>1</v>
      </c>
      <c r="K1391" s="65">
        <f t="shared" si="93"/>
        <v>0</v>
      </c>
      <c r="M1391" s="73">
        <f t="shared" si="94"/>
        <v>0</v>
      </c>
      <c r="AC1391" t="str">
        <f t="shared" si="95"/>
        <v>Jan</v>
      </c>
    </row>
    <row r="1392" spans="3:29" x14ac:dyDescent="0.35">
      <c r="C1392" s="80">
        <f t="shared" si="92"/>
        <v>1</v>
      </c>
      <c r="K1392" s="65">
        <f t="shared" si="93"/>
        <v>0</v>
      </c>
      <c r="M1392" s="73">
        <f t="shared" si="94"/>
        <v>0</v>
      </c>
      <c r="AC1392" t="str">
        <f t="shared" si="95"/>
        <v>Jan</v>
      </c>
    </row>
    <row r="1393" spans="3:29" x14ac:dyDescent="0.35">
      <c r="C1393" s="80">
        <f t="shared" si="92"/>
        <v>1</v>
      </c>
      <c r="K1393" s="65">
        <f t="shared" si="93"/>
        <v>0</v>
      </c>
      <c r="M1393" s="73">
        <f t="shared" si="94"/>
        <v>0</v>
      </c>
      <c r="AC1393" t="str">
        <f t="shared" si="95"/>
        <v>Jan</v>
      </c>
    </row>
    <row r="1394" spans="3:29" x14ac:dyDescent="0.35">
      <c r="C1394" s="80">
        <f t="shared" si="92"/>
        <v>1</v>
      </c>
      <c r="K1394" s="65">
        <f t="shared" si="93"/>
        <v>0</v>
      </c>
      <c r="M1394" s="73">
        <f t="shared" si="94"/>
        <v>0</v>
      </c>
      <c r="AC1394" t="str">
        <f t="shared" si="95"/>
        <v>Jan</v>
      </c>
    </row>
    <row r="1395" spans="3:29" x14ac:dyDescent="0.35">
      <c r="C1395" s="80">
        <f t="shared" si="92"/>
        <v>1</v>
      </c>
      <c r="K1395" s="65">
        <f t="shared" si="93"/>
        <v>0</v>
      </c>
      <c r="M1395" s="73">
        <f t="shared" si="94"/>
        <v>0</v>
      </c>
      <c r="AC1395" t="str">
        <f t="shared" si="95"/>
        <v>Jan</v>
      </c>
    </row>
    <row r="1396" spans="3:29" x14ac:dyDescent="0.35">
      <c r="C1396" s="80">
        <f t="shared" si="92"/>
        <v>1</v>
      </c>
      <c r="K1396" s="65">
        <f t="shared" si="93"/>
        <v>0</v>
      </c>
      <c r="M1396" s="73">
        <f t="shared" si="94"/>
        <v>0</v>
      </c>
      <c r="AC1396" t="str">
        <f t="shared" si="95"/>
        <v>Jan</v>
      </c>
    </row>
    <row r="1397" spans="3:29" x14ac:dyDescent="0.35">
      <c r="C1397" s="80">
        <f t="shared" si="92"/>
        <v>1</v>
      </c>
      <c r="K1397" s="65">
        <f t="shared" si="93"/>
        <v>0</v>
      </c>
      <c r="M1397" s="73">
        <f t="shared" si="94"/>
        <v>0</v>
      </c>
      <c r="AC1397" t="str">
        <f t="shared" si="95"/>
        <v>Jan</v>
      </c>
    </row>
    <row r="1398" spans="3:29" x14ac:dyDescent="0.35">
      <c r="C1398" s="80">
        <f t="shared" si="92"/>
        <v>1</v>
      </c>
      <c r="K1398" s="65">
        <f t="shared" si="93"/>
        <v>0</v>
      </c>
      <c r="M1398" s="73">
        <f t="shared" si="94"/>
        <v>0</v>
      </c>
      <c r="AC1398" t="str">
        <f t="shared" si="95"/>
        <v>Jan</v>
      </c>
    </row>
    <row r="1399" spans="3:29" x14ac:dyDescent="0.35">
      <c r="C1399" s="80">
        <f t="shared" si="92"/>
        <v>1</v>
      </c>
      <c r="K1399" s="65">
        <f t="shared" si="93"/>
        <v>0</v>
      </c>
      <c r="M1399" s="73">
        <f t="shared" si="94"/>
        <v>0</v>
      </c>
      <c r="AC1399" t="str">
        <f t="shared" si="95"/>
        <v>Jan</v>
      </c>
    </row>
    <row r="1400" spans="3:29" x14ac:dyDescent="0.35">
      <c r="C1400" s="80">
        <f t="shared" si="92"/>
        <v>1</v>
      </c>
      <c r="K1400" s="65">
        <f t="shared" si="93"/>
        <v>0</v>
      </c>
      <c r="M1400" s="73">
        <f t="shared" si="94"/>
        <v>0</v>
      </c>
      <c r="AC1400" t="str">
        <f t="shared" si="95"/>
        <v>Jan</v>
      </c>
    </row>
    <row r="1401" spans="3:29" x14ac:dyDescent="0.35">
      <c r="C1401" s="80">
        <f t="shared" si="92"/>
        <v>1</v>
      </c>
      <c r="K1401" s="65">
        <f t="shared" si="93"/>
        <v>0</v>
      </c>
      <c r="M1401" s="73">
        <f t="shared" si="94"/>
        <v>0</v>
      </c>
      <c r="AC1401" t="str">
        <f t="shared" si="95"/>
        <v>Jan</v>
      </c>
    </row>
    <row r="1402" spans="3:29" x14ac:dyDescent="0.35">
      <c r="C1402" s="80">
        <f t="shared" si="92"/>
        <v>1</v>
      </c>
      <c r="K1402" s="65">
        <f t="shared" si="93"/>
        <v>0</v>
      </c>
      <c r="M1402" s="73">
        <f t="shared" si="94"/>
        <v>0</v>
      </c>
      <c r="AC1402" t="str">
        <f t="shared" si="95"/>
        <v>Jan</v>
      </c>
    </row>
    <row r="1403" spans="3:29" x14ac:dyDescent="0.35">
      <c r="C1403" s="80">
        <f t="shared" si="92"/>
        <v>1</v>
      </c>
      <c r="K1403" s="65">
        <f t="shared" si="93"/>
        <v>0</v>
      </c>
      <c r="M1403" s="73">
        <f t="shared" si="94"/>
        <v>0</v>
      </c>
      <c r="AC1403" t="str">
        <f t="shared" si="95"/>
        <v>Jan</v>
      </c>
    </row>
    <row r="1404" spans="3:29" x14ac:dyDescent="0.35">
      <c r="C1404" s="80">
        <f t="shared" si="92"/>
        <v>1</v>
      </c>
      <c r="K1404" s="65">
        <f t="shared" si="93"/>
        <v>0</v>
      </c>
      <c r="M1404" s="73">
        <f t="shared" si="94"/>
        <v>0</v>
      </c>
      <c r="AC1404" t="str">
        <f t="shared" si="95"/>
        <v>Jan</v>
      </c>
    </row>
    <row r="1405" spans="3:29" x14ac:dyDescent="0.35">
      <c r="C1405" s="80">
        <f t="shared" si="92"/>
        <v>1</v>
      </c>
      <c r="K1405" s="65">
        <f t="shared" si="93"/>
        <v>0</v>
      </c>
      <c r="M1405" s="73">
        <f t="shared" si="94"/>
        <v>0</v>
      </c>
      <c r="AC1405" t="str">
        <f t="shared" si="95"/>
        <v>Jan</v>
      </c>
    </row>
    <row r="1406" spans="3:29" x14ac:dyDescent="0.35">
      <c r="C1406" s="80">
        <f t="shared" si="92"/>
        <v>1</v>
      </c>
      <c r="K1406" s="65">
        <f t="shared" si="93"/>
        <v>0</v>
      </c>
      <c r="M1406" s="73">
        <f t="shared" si="94"/>
        <v>0</v>
      </c>
      <c r="AC1406" t="str">
        <f t="shared" si="95"/>
        <v>Jan</v>
      </c>
    </row>
    <row r="1407" spans="3:29" x14ac:dyDescent="0.35">
      <c r="C1407" s="80">
        <f t="shared" si="92"/>
        <v>1</v>
      </c>
      <c r="K1407" s="65">
        <f t="shared" si="93"/>
        <v>0</v>
      </c>
      <c r="M1407" s="73">
        <f t="shared" si="94"/>
        <v>0</v>
      </c>
      <c r="AC1407" t="str">
        <f t="shared" si="95"/>
        <v>Jan</v>
      </c>
    </row>
    <row r="1408" spans="3:29" x14ac:dyDescent="0.35">
      <c r="C1408" s="80">
        <f t="shared" si="92"/>
        <v>1</v>
      </c>
      <c r="K1408" s="65">
        <f t="shared" si="93"/>
        <v>0</v>
      </c>
      <c r="M1408" s="73">
        <f t="shared" si="94"/>
        <v>0</v>
      </c>
      <c r="AC1408" t="str">
        <f t="shared" si="95"/>
        <v>Jan</v>
      </c>
    </row>
    <row r="1409" spans="3:29" x14ac:dyDescent="0.35">
      <c r="C1409" s="80">
        <f t="shared" si="92"/>
        <v>1</v>
      </c>
      <c r="K1409" s="65">
        <f t="shared" si="93"/>
        <v>0</v>
      </c>
      <c r="M1409" s="73">
        <f t="shared" si="94"/>
        <v>0</v>
      </c>
      <c r="AC1409" t="str">
        <f t="shared" si="95"/>
        <v>Jan</v>
      </c>
    </row>
    <row r="1410" spans="3:29" x14ac:dyDescent="0.35">
      <c r="C1410" s="80">
        <f t="shared" si="92"/>
        <v>1</v>
      </c>
      <c r="K1410" s="65">
        <f t="shared" si="93"/>
        <v>0</v>
      </c>
      <c r="M1410" s="73">
        <f t="shared" si="94"/>
        <v>0</v>
      </c>
      <c r="AC1410" t="str">
        <f t="shared" si="95"/>
        <v>Jan</v>
      </c>
    </row>
    <row r="1411" spans="3:29" x14ac:dyDescent="0.35">
      <c r="C1411" s="80">
        <f t="shared" si="92"/>
        <v>1</v>
      </c>
      <c r="K1411" s="65">
        <f t="shared" si="93"/>
        <v>0</v>
      </c>
      <c r="M1411" s="73">
        <f t="shared" si="94"/>
        <v>0</v>
      </c>
      <c r="AC1411" t="str">
        <f t="shared" si="95"/>
        <v>Jan</v>
      </c>
    </row>
    <row r="1412" spans="3:29" x14ac:dyDescent="0.35">
      <c r="C1412" s="80">
        <f t="shared" si="92"/>
        <v>1</v>
      </c>
      <c r="K1412" s="65">
        <f t="shared" si="93"/>
        <v>0</v>
      </c>
      <c r="M1412" s="73">
        <f t="shared" si="94"/>
        <v>0</v>
      </c>
      <c r="AC1412" t="str">
        <f t="shared" si="95"/>
        <v>Jan</v>
      </c>
    </row>
    <row r="1413" spans="3:29" x14ac:dyDescent="0.35">
      <c r="C1413" s="80">
        <f t="shared" si="92"/>
        <v>1</v>
      </c>
      <c r="K1413" s="65">
        <f t="shared" si="93"/>
        <v>0</v>
      </c>
      <c r="M1413" s="73">
        <f t="shared" si="94"/>
        <v>0</v>
      </c>
      <c r="AC1413" t="str">
        <f t="shared" si="95"/>
        <v>Jan</v>
      </c>
    </row>
    <row r="1414" spans="3:29" x14ac:dyDescent="0.35">
      <c r="C1414" s="80">
        <f t="shared" ref="C1414:C1477" si="96">MONTH(B1414)</f>
        <v>1</v>
      </c>
      <c r="K1414" s="65">
        <f t="shared" ref="K1414:K1477" si="97">I1414*J1414</f>
        <v>0</v>
      </c>
      <c r="M1414" s="73">
        <f t="shared" ref="M1414:M1477" si="98">K1414-L1414</f>
        <v>0</v>
      </c>
      <c r="AC1414" t="str">
        <f t="shared" si="95"/>
        <v>Jan</v>
      </c>
    </row>
    <row r="1415" spans="3:29" x14ac:dyDescent="0.35">
      <c r="C1415" s="80">
        <f t="shared" si="96"/>
        <v>1</v>
      </c>
      <c r="K1415" s="65">
        <f t="shared" si="97"/>
        <v>0</v>
      </c>
      <c r="M1415" s="73">
        <f t="shared" si="98"/>
        <v>0</v>
      </c>
      <c r="AC1415" t="str">
        <f t="shared" ref="AC1415:AC1478" si="99">IFERROR(INDEX(AA:AA,MATCH(C1415,Z:Z,0)),"")</f>
        <v>Jan</v>
      </c>
    </row>
    <row r="1416" spans="3:29" x14ac:dyDescent="0.35">
      <c r="C1416" s="80">
        <f t="shared" si="96"/>
        <v>1</v>
      </c>
      <c r="K1416" s="65">
        <f t="shared" si="97"/>
        <v>0</v>
      </c>
      <c r="M1416" s="73">
        <f t="shared" si="98"/>
        <v>0</v>
      </c>
      <c r="AC1416" t="str">
        <f t="shared" si="99"/>
        <v>Jan</v>
      </c>
    </row>
    <row r="1417" spans="3:29" x14ac:dyDescent="0.35">
      <c r="C1417" s="80">
        <f t="shared" si="96"/>
        <v>1</v>
      </c>
      <c r="K1417" s="65">
        <f t="shared" si="97"/>
        <v>0</v>
      </c>
      <c r="M1417" s="73">
        <f t="shared" si="98"/>
        <v>0</v>
      </c>
      <c r="AC1417" t="str">
        <f t="shared" si="99"/>
        <v>Jan</v>
      </c>
    </row>
    <row r="1418" spans="3:29" x14ac:dyDescent="0.35">
      <c r="C1418" s="80">
        <f t="shared" si="96"/>
        <v>1</v>
      </c>
      <c r="K1418" s="65">
        <f t="shared" si="97"/>
        <v>0</v>
      </c>
      <c r="M1418" s="73">
        <f t="shared" si="98"/>
        <v>0</v>
      </c>
      <c r="AC1418" t="str">
        <f t="shared" si="99"/>
        <v>Jan</v>
      </c>
    </row>
    <row r="1419" spans="3:29" x14ac:dyDescent="0.35">
      <c r="C1419" s="80">
        <f t="shared" si="96"/>
        <v>1</v>
      </c>
      <c r="K1419" s="65">
        <f t="shared" si="97"/>
        <v>0</v>
      </c>
      <c r="M1419" s="73">
        <f t="shared" si="98"/>
        <v>0</v>
      </c>
      <c r="AC1419" t="str">
        <f t="shared" si="99"/>
        <v>Jan</v>
      </c>
    </row>
    <row r="1420" spans="3:29" x14ac:dyDescent="0.35">
      <c r="C1420" s="80">
        <f t="shared" si="96"/>
        <v>1</v>
      </c>
      <c r="K1420" s="65">
        <f t="shared" si="97"/>
        <v>0</v>
      </c>
      <c r="M1420" s="73">
        <f t="shared" si="98"/>
        <v>0</v>
      </c>
      <c r="AC1420" t="str">
        <f t="shared" si="99"/>
        <v>Jan</v>
      </c>
    </row>
    <row r="1421" spans="3:29" x14ac:dyDescent="0.35">
      <c r="C1421" s="80">
        <f t="shared" si="96"/>
        <v>1</v>
      </c>
      <c r="K1421" s="65">
        <f t="shared" si="97"/>
        <v>0</v>
      </c>
      <c r="M1421" s="73">
        <f t="shared" si="98"/>
        <v>0</v>
      </c>
      <c r="AC1421" t="str">
        <f t="shared" si="99"/>
        <v>Jan</v>
      </c>
    </row>
    <row r="1422" spans="3:29" x14ac:dyDescent="0.35">
      <c r="C1422" s="80">
        <f t="shared" si="96"/>
        <v>1</v>
      </c>
      <c r="K1422" s="65">
        <f t="shared" si="97"/>
        <v>0</v>
      </c>
      <c r="M1422" s="73">
        <f t="shared" si="98"/>
        <v>0</v>
      </c>
      <c r="AC1422" t="str">
        <f t="shared" si="99"/>
        <v>Jan</v>
      </c>
    </row>
    <row r="1423" spans="3:29" x14ac:dyDescent="0.35">
      <c r="C1423" s="80">
        <f t="shared" si="96"/>
        <v>1</v>
      </c>
      <c r="K1423" s="65">
        <f t="shared" si="97"/>
        <v>0</v>
      </c>
      <c r="M1423" s="73">
        <f t="shared" si="98"/>
        <v>0</v>
      </c>
      <c r="AC1423" t="str">
        <f t="shared" si="99"/>
        <v>Jan</v>
      </c>
    </row>
    <row r="1424" spans="3:29" x14ac:dyDescent="0.35">
      <c r="C1424" s="80">
        <f t="shared" si="96"/>
        <v>1</v>
      </c>
      <c r="K1424" s="65">
        <f t="shared" si="97"/>
        <v>0</v>
      </c>
      <c r="M1424" s="73">
        <f t="shared" si="98"/>
        <v>0</v>
      </c>
      <c r="AC1424" t="str">
        <f t="shared" si="99"/>
        <v>Jan</v>
      </c>
    </row>
    <row r="1425" spans="3:29" x14ac:dyDescent="0.35">
      <c r="C1425" s="80">
        <f t="shared" si="96"/>
        <v>1</v>
      </c>
      <c r="K1425" s="65">
        <f t="shared" si="97"/>
        <v>0</v>
      </c>
      <c r="M1425" s="73">
        <f t="shared" si="98"/>
        <v>0</v>
      </c>
      <c r="AC1425" t="str">
        <f t="shared" si="99"/>
        <v>Jan</v>
      </c>
    </row>
    <row r="1426" spans="3:29" x14ac:dyDescent="0.35">
      <c r="C1426" s="80">
        <f t="shared" si="96"/>
        <v>1</v>
      </c>
      <c r="K1426" s="65">
        <f t="shared" si="97"/>
        <v>0</v>
      </c>
      <c r="M1426" s="73">
        <f t="shared" si="98"/>
        <v>0</v>
      </c>
      <c r="AC1426" t="str">
        <f t="shared" si="99"/>
        <v>Jan</v>
      </c>
    </row>
    <row r="1427" spans="3:29" x14ac:dyDescent="0.35">
      <c r="C1427" s="80">
        <f t="shared" si="96"/>
        <v>1</v>
      </c>
      <c r="K1427" s="65">
        <f t="shared" si="97"/>
        <v>0</v>
      </c>
      <c r="M1427" s="73">
        <f t="shared" si="98"/>
        <v>0</v>
      </c>
      <c r="AC1427" t="str">
        <f t="shared" si="99"/>
        <v>Jan</v>
      </c>
    </row>
    <row r="1428" spans="3:29" x14ac:dyDescent="0.35">
      <c r="C1428" s="80">
        <f t="shared" si="96"/>
        <v>1</v>
      </c>
      <c r="K1428" s="65">
        <f t="shared" si="97"/>
        <v>0</v>
      </c>
      <c r="M1428" s="73">
        <f t="shared" si="98"/>
        <v>0</v>
      </c>
      <c r="AC1428" t="str">
        <f t="shared" si="99"/>
        <v>Jan</v>
      </c>
    </row>
    <row r="1429" spans="3:29" x14ac:dyDescent="0.35">
      <c r="C1429" s="80">
        <f t="shared" si="96"/>
        <v>1</v>
      </c>
      <c r="K1429" s="65">
        <f t="shared" si="97"/>
        <v>0</v>
      </c>
      <c r="M1429" s="73">
        <f t="shared" si="98"/>
        <v>0</v>
      </c>
      <c r="AC1429" t="str">
        <f t="shared" si="99"/>
        <v>Jan</v>
      </c>
    </row>
    <row r="1430" spans="3:29" x14ac:dyDescent="0.35">
      <c r="C1430" s="80">
        <f t="shared" si="96"/>
        <v>1</v>
      </c>
      <c r="K1430" s="65">
        <f t="shared" si="97"/>
        <v>0</v>
      </c>
      <c r="M1430" s="73">
        <f t="shared" si="98"/>
        <v>0</v>
      </c>
      <c r="AC1430" t="str">
        <f t="shared" si="99"/>
        <v>Jan</v>
      </c>
    </row>
    <row r="1431" spans="3:29" x14ac:dyDescent="0.35">
      <c r="C1431" s="80">
        <f t="shared" si="96"/>
        <v>1</v>
      </c>
      <c r="K1431" s="65">
        <f t="shared" si="97"/>
        <v>0</v>
      </c>
      <c r="M1431" s="73">
        <f t="shared" si="98"/>
        <v>0</v>
      </c>
      <c r="AC1431" t="str">
        <f t="shared" si="99"/>
        <v>Jan</v>
      </c>
    </row>
    <row r="1432" spans="3:29" x14ac:dyDescent="0.35">
      <c r="C1432" s="80">
        <f t="shared" si="96"/>
        <v>1</v>
      </c>
      <c r="K1432" s="65">
        <f t="shared" si="97"/>
        <v>0</v>
      </c>
      <c r="M1432" s="73">
        <f t="shared" si="98"/>
        <v>0</v>
      </c>
      <c r="AC1432" t="str">
        <f t="shared" si="99"/>
        <v>Jan</v>
      </c>
    </row>
    <row r="1433" spans="3:29" x14ac:dyDescent="0.35">
      <c r="C1433" s="80">
        <f t="shared" si="96"/>
        <v>1</v>
      </c>
      <c r="K1433" s="65">
        <f t="shared" si="97"/>
        <v>0</v>
      </c>
      <c r="M1433" s="73">
        <f t="shared" si="98"/>
        <v>0</v>
      </c>
      <c r="AC1433" t="str">
        <f t="shared" si="99"/>
        <v>Jan</v>
      </c>
    </row>
    <row r="1434" spans="3:29" x14ac:dyDescent="0.35">
      <c r="C1434" s="80">
        <f t="shared" si="96"/>
        <v>1</v>
      </c>
      <c r="K1434" s="65">
        <f t="shared" si="97"/>
        <v>0</v>
      </c>
      <c r="M1434" s="73">
        <f t="shared" si="98"/>
        <v>0</v>
      </c>
      <c r="AC1434" t="str">
        <f t="shared" si="99"/>
        <v>Jan</v>
      </c>
    </row>
    <row r="1435" spans="3:29" x14ac:dyDescent="0.35">
      <c r="C1435" s="80">
        <f t="shared" si="96"/>
        <v>1</v>
      </c>
      <c r="K1435" s="65">
        <f t="shared" si="97"/>
        <v>0</v>
      </c>
      <c r="M1435" s="73">
        <f t="shared" si="98"/>
        <v>0</v>
      </c>
      <c r="AC1435" t="str">
        <f t="shared" si="99"/>
        <v>Jan</v>
      </c>
    </row>
    <row r="1436" spans="3:29" x14ac:dyDescent="0.35">
      <c r="C1436" s="80">
        <f t="shared" si="96"/>
        <v>1</v>
      </c>
      <c r="K1436" s="65">
        <f t="shared" si="97"/>
        <v>0</v>
      </c>
      <c r="M1436" s="73">
        <f t="shared" si="98"/>
        <v>0</v>
      </c>
      <c r="AC1436" t="str">
        <f t="shared" si="99"/>
        <v>Jan</v>
      </c>
    </row>
    <row r="1437" spans="3:29" x14ac:dyDescent="0.35">
      <c r="C1437" s="80">
        <f t="shared" si="96"/>
        <v>1</v>
      </c>
      <c r="K1437" s="65">
        <f t="shared" si="97"/>
        <v>0</v>
      </c>
      <c r="M1437" s="73">
        <f t="shared" si="98"/>
        <v>0</v>
      </c>
      <c r="AC1437" t="str">
        <f t="shared" si="99"/>
        <v>Jan</v>
      </c>
    </row>
    <row r="1438" spans="3:29" x14ac:dyDescent="0.35">
      <c r="C1438" s="80">
        <f t="shared" si="96"/>
        <v>1</v>
      </c>
      <c r="K1438" s="65">
        <f t="shared" si="97"/>
        <v>0</v>
      </c>
      <c r="M1438" s="73">
        <f t="shared" si="98"/>
        <v>0</v>
      </c>
      <c r="AC1438" t="str">
        <f t="shared" si="99"/>
        <v>Jan</v>
      </c>
    </row>
    <row r="1439" spans="3:29" x14ac:dyDescent="0.35">
      <c r="C1439" s="80">
        <f t="shared" si="96"/>
        <v>1</v>
      </c>
      <c r="K1439" s="65">
        <f t="shared" si="97"/>
        <v>0</v>
      </c>
      <c r="M1439" s="73">
        <f t="shared" si="98"/>
        <v>0</v>
      </c>
      <c r="AC1439" t="str">
        <f t="shared" si="99"/>
        <v>Jan</v>
      </c>
    </row>
    <row r="1440" spans="3:29" x14ac:dyDescent="0.35">
      <c r="C1440" s="80">
        <f t="shared" si="96"/>
        <v>1</v>
      </c>
      <c r="K1440" s="65">
        <f t="shared" si="97"/>
        <v>0</v>
      </c>
      <c r="M1440" s="73">
        <f t="shared" si="98"/>
        <v>0</v>
      </c>
      <c r="AC1440" t="str">
        <f t="shared" si="99"/>
        <v>Jan</v>
      </c>
    </row>
    <row r="1441" spans="3:29" x14ac:dyDescent="0.35">
      <c r="C1441" s="80">
        <f t="shared" si="96"/>
        <v>1</v>
      </c>
      <c r="K1441" s="65">
        <f t="shared" si="97"/>
        <v>0</v>
      </c>
      <c r="M1441" s="73">
        <f t="shared" si="98"/>
        <v>0</v>
      </c>
      <c r="AC1441" t="str">
        <f t="shared" si="99"/>
        <v>Jan</v>
      </c>
    </row>
    <row r="1442" spans="3:29" x14ac:dyDescent="0.35">
      <c r="C1442" s="80">
        <f t="shared" si="96"/>
        <v>1</v>
      </c>
      <c r="K1442" s="65">
        <f t="shared" si="97"/>
        <v>0</v>
      </c>
      <c r="M1442" s="73">
        <f t="shared" si="98"/>
        <v>0</v>
      </c>
      <c r="AC1442" t="str">
        <f t="shared" si="99"/>
        <v>Jan</v>
      </c>
    </row>
    <row r="1443" spans="3:29" x14ac:dyDescent="0.35">
      <c r="C1443" s="80">
        <f t="shared" si="96"/>
        <v>1</v>
      </c>
      <c r="K1443" s="65">
        <f t="shared" si="97"/>
        <v>0</v>
      </c>
      <c r="M1443" s="73">
        <f t="shared" si="98"/>
        <v>0</v>
      </c>
      <c r="AC1443" t="str">
        <f t="shared" si="99"/>
        <v>Jan</v>
      </c>
    </row>
    <row r="1444" spans="3:29" x14ac:dyDescent="0.35">
      <c r="C1444" s="80">
        <f t="shared" si="96"/>
        <v>1</v>
      </c>
      <c r="K1444" s="65">
        <f t="shared" si="97"/>
        <v>0</v>
      </c>
      <c r="M1444" s="73">
        <f t="shared" si="98"/>
        <v>0</v>
      </c>
      <c r="AC1444" t="str">
        <f t="shared" si="99"/>
        <v>Jan</v>
      </c>
    </row>
    <row r="1445" spans="3:29" x14ac:dyDescent="0.35">
      <c r="C1445" s="80">
        <f t="shared" si="96"/>
        <v>1</v>
      </c>
      <c r="K1445" s="65">
        <f t="shared" si="97"/>
        <v>0</v>
      </c>
      <c r="M1445" s="73">
        <f t="shared" si="98"/>
        <v>0</v>
      </c>
      <c r="AC1445" t="str">
        <f t="shared" si="99"/>
        <v>Jan</v>
      </c>
    </row>
    <row r="1446" spans="3:29" x14ac:dyDescent="0.35">
      <c r="C1446" s="80">
        <f t="shared" si="96"/>
        <v>1</v>
      </c>
      <c r="K1446" s="65">
        <f t="shared" si="97"/>
        <v>0</v>
      </c>
      <c r="M1446" s="73">
        <f t="shared" si="98"/>
        <v>0</v>
      </c>
      <c r="AC1446" t="str">
        <f t="shared" si="99"/>
        <v>Jan</v>
      </c>
    </row>
    <row r="1447" spans="3:29" x14ac:dyDescent="0.35">
      <c r="C1447" s="80">
        <f t="shared" si="96"/>
        <v>1</v>
      </c>
      <c r="K1447" s="65">
        <f t="shared" si="97"/>
        <v>0</v>
      </c>
      <c r="M1447" s="73">
        <f t="shared" si="98"/>
        <v>0</v>
      </c>
      <c r="AC1447" t="str">
        <f t="shared" si="99"/>
        <v>Jan</v>
      </c>
    </row>
    <row r="1448" spans="3:29" x14ac:dyDescent="0.35">
      <c r="C1448" s="80">
        <f t="shared" si="96"/>
        <v>1</v>
      </c>
      <c r="K1448" s="65">
        <f t="shared" si="97"/>
        <v>0</v>
      </c>
      <c r="M1448" s="73">
        <f t="shared" si="98"/>
        <v>0</v>
      </c>
      <c r="AC1448" t="str">
        <f t="shared" si="99"/>
        <v>Jan</v>
      </c>
    </row>
    <row r="1449" spans="3:29" x14ac:dyDescent="0.35">
      <c r="C1449" s="80">
        <f t="shared" si="96"/>
        <v>1</v>
      </c>
      <c r="K1449" s="65">
        <f t="shared" si="97"/>
        <v>0</v>
      </c>
      <c r="M1449" s="73">
        <f t="shared" si="98"/>
        <v>0</v>
      </c>
      <c r="AC1449" t="str">
        <f t="shared" si="99"/>
        <v>Jan</v>
      </c>
    </row>
    <row r="1450" spans="3:29" x14ac:dyDescent="0.35">
      <c r="C1450" s="80">
        <f t="shared" si="96"/>
        <v>1</v>
      </c>
      <c r="K1450" s="65">
        <f t="shared" si="97"/>
        <v>0</v>
      </c>
      <c r="M1450" s="73">
        <f t="shared" si="98"/>
        <v>0</v>
      </c>
      <c r="AC1450" t="str">
        <f t="shared" si="99"/>
        <v>Jan</v>
      </c>
    </row>
    <row r="1451" spans="3:29" x14ac:dyDescent="0.35">
      <c r="C1451" s="80">
        <f t="shared" si="96"/>
        <v>1</v>
      </c>
      <c r="K1451" s="65">
        <f t="shared" si="97"/>
        <v>0</v>
      </c>
      <c r="M1451" s="73">
        <f t="shared" si="98"/>
        <v>0</v>
      </c>
      <c r="AC1451" t="str">
        <f t="shared" si="99"/>
        <v>Jan</v>
      </c>
    </row>
    <row r="1452" spans="3:29" x14ac:dyDescent="0.35">
      <c r="C1452" s="80">
        <f t="shared" si="96"/>
        <v>1</v>
      </c>
      <c r="K1452" s="65">
        <f t="shared" si="97"/>
        <v>0</v>
      </c>
      <c r="M1452" s="73">
        <f t="shared" si="98"/>
        <v>0</v>
      </c>
      <c r="AC1452" t="str">
        <f t="shared" si="99"/>
        <v>Jan</v>
      </c>
    </row>
    <row r="1453" spans="3:29" x14ac:dyDescent="0.35">
      <c r="C1453" s="80">
        <f t="shared" si="96"/>
        <v>1</v>
      </c>
      <c r="K1453" s="65">
        <f t="shared" si="97"/>
        <v>0</v>
      </c>
      <c r="M1453" s="73">
        <f t="shared" si="98"/>
        <v>0</v>
      </c>
      <c r="AC1453" t="str">
        <f t="shared" si="99"/>
        <v>Jan</v>
      </c>
    </row>
    <row r="1454" spans="3:29" x14ac:dyDescent="0.35">
      <c r="C1454" s="80">
        <f t="shared" si="96"/>
        <v>1</v>
      </c>
      <c r="K1454" s="65">
        <f t="shared" si="97"/>
        <v>0</v>
      </c>
      <c r="M1454" s="73">
        <f t="shared" si="98"/>
        <v>0</v>
      </c>
      <c r="AC1454" t="str">
        <f t="shared" si="99"/>
        <v>Jan</v>
      </c>
    </row>
    <row r="1455" spans="3:29" x14ac:dyDescent="0.35">
      <c r="C1455" s="80">
        <f t="shared" si="96"/>
        <v>1</v>
      </c>
      <c r="K1455" s="65">
        <f t="shared" si="97"/>
        <v>0</v>
      </c>
      <c r="M1455" s="73">
        <f t="shared" si="98"/>
        <v>0</v>
      </c>
      <c r="AC1455" t="str">
        <f t="shared" si="99"/>
        <v>Jan</v>
      </c>
    </row>
    <row r="1456" spans="3:29" x14ac:dyDescent="0.35">
      <c r="C1456" s="80">
        <f t="shared" si="96"/>
        <v>1</v>
      </c>
      <c r="K1456" s="65">
        <f t="shared" si="97"/>
        <v>0</v>
      </c>
      <c r="M1456" s="73">
        <f t="shared" si="98"/>
        <v>0</v>
      </c>
      <c r="AC1456" t="str">
        <f t="shared" si="99"/>
        <v>Jan</v>
      </c>
    </row>
    <row r="1457" spans="3:29" x14ac:dyDescent="0.35">
      <c r="C1457" s="80">
        <f t="shared" si="96"/>
        <v>1</v>
      </c>
      <c r="K1457" s="65">
        <f t="shared" si="97"/>
        <v>0</v>
      </c>
      <c r="M1457" s="73">
        <f t="shared" si="98"/>
        <v>0</v>
      </c>
      <c r="AC1457" t="str">
        <f t="shared" si="99"/>
        <v>Jan</v>
      </c>
    </row>
    <row r="1458" spans="3:29" x14ac:dyDescent="0.35">
      <c r="C1458" s="80">
        <f t="shared" si="96"/>
        <v>1</v>
      </c>
      <c r="K1458" s="65">
        <f t="shared" si="97"/>
        <v>0</v>
      </c>
      <c r="M1458" s="73">
        <f t="shared" si="98"/>
        <v>0</v>
      </c>
      <c r="AC1458" t="str">
        <f t="shared" si="99"/>
        <v>Jan</v>
      </c>
    </row>
    <row r="1459" spans="3:29" x14ac:dyDescent="0.35">
      <c r="C1459" s="80">
        <f t="shared" si="96"/>
        <v>1</v>
      </c>
      <c r="K1459" s="65">
        <f t="shared" si="97"/>
        <v>0</v>
      </c>
      <c r="M1459" s="73">
        <f t="shared" si="98"/>
        <v>0</v>
      </c>
      <c r="AC1459" t="str">
        <f t="shared" si="99"/>
        <v>Jan</v>
      </c>
    </row>
    <row r="1460" spans="3:29" x14ac:dyDescent="0.35">
      <c r="C1460" s="80">
        <f t="shared" si="96"/>
        <v>1</v>
      </c>
      <c r="K1460" s="65">
        <f t="shared" si="97"/>
        <v>0</v>
      </c>
      <c r="M1460" s="73">
        <f t="shared" si="98"/>
        <v>0</v>
      </c>
      <c r="AC1460" t="str">
        <f t="shared" si="99"/>
        <v>Jan</v>
      </c>
    </row>
    <row r="1461" spans="3:29" x14ac:dyDescent="0.35">
      <c r="C1461" s="80">
        <f t="shared" si="96"/>
        <v>1</v>
      </c>
      <c r="K1461" s="65">
        <f t="shared" si="97"/>
        <v>0</v>
      </c>
      <c r="M1461" s="73">
        <f t="shared" si="98"/>
        <v>0</v>
      </c>
      <c r="AC1461" t="str">
        <f t="shared" si="99"/>
        <v>Jan</v>
      </c>
    </row>
    <row r="1462" spans="3:29" x14ac:dyDescent="0.35">
      <c r="C1462" s="80">
        <f t="shared" si="96"/>
        <v>1</v>
      </c>
      <c r="K1462" s="65">
        <f t="shared" si="97"/>
        <v>0</v>
      </c>
      <c r="M1462" s="73">
        <f t="shared" si="98"/>
        <v>0</v>
      </c>
      <c r="AC1462" t="str">
        <f t="shared" si="99"/>
        <v>Jan</v>
      </c>
    </row>
    <row r="1463" spans="3:29" x14ac:dyDescent="0.35">
      <c r="C1463" s="80">
        <f t="shared" si="96"/>
        <v>1</v>
      </c>
      <c r="K1463" s="65">
        <f t="shared" si="97"/>
        <v>0</v>
      </c>
      <c r="M1463" s="73">
        <f t="shared" si="98"/>
        <v>0</v>
      </c>
      <c r="AC1463" t="str">
        <f t="shared" si="99"/>
        <v>Jan</v>
      </c>
    </row>
    <row r="1464" spans="3:29" x14ac:dyDescent="0.35">
      <c r="C1464" s="80">
        <f t="shared" si="96"/>
        <v>1</v>
      </c>
      <c r="K1464" s="65">
        <f t="shared" si="97"/>
        <v>0</v>
      </c>
      <c r="M1464" s="73">
        <f t="shared" si="98"/>
        <v>0</v>
      </c>
      <c r="AC1464" t="str">
        <f t="shared" si="99"/>
        <v>Jan</v>
      </c>
    </row>
    <row r="1465" spans="3:29" x14ac:dyDescent="0.35">
      <c r="C1465" s="80">
        <f t="shared" si="96"/>
        <v>1</v>
      </c>
      <c r="K1465" s="65">
        <f t="shared" si="97"/>
        <v>0</v>
      </c>
      <c r="M1465" s="73">
        <f t="shared" si="98"/>
        <v>0</v>
      </c>
      <c r="AC1465" t="str">
        <f t="shared" si="99"/>
        <v>Jan</v>
      </c>
    </row>
    <row r="1466" spans="3:29" x14ac:dyDescent="0.35">
      <c r="C1466" s="80">
        <f t="shared" si="96"/>
        <v>1</v>
      </c>
      <c r="K1466" s="65">
        <f t="shared" si="97"/>
        <v>0</v>
      </c>
      <c r="M1466" s="73">
        <f t="shared" si="98"/>
        <v>0</v>
      </c>
      <c r="AC1466" t="str">
        <f t="shared" si="99"/>
        <v>Jan</v>
      </c>
    </row>
    <row r="1467" spans="3:29" x14ac:dyDescent="0.35">
      <c r="C1467" s="80">
        <f t="shared" si="96"/>
        <v>1</v>
      </c>
      <c r="K1467" s="65">
        <f t="shared" si="97"/>
        <v>0</v>
      </c>
      <c r="M1467" s="73">
        <f t="shared" si="98"/>
        <v>0</v>
      </c>
      <c r="AC1467" t="str">
        <f t="shared" si="99"/>
        <v>Jan</v>
      </c>
    </row>
    <row r="1468" spans="3:29" x14ac:dyDescent="0.35">
      <c r="C1468" s="80">
        <f t="shared" si="96"/>
        <v>1</v>
      </c>
      <c r="K1468" s="65">
        <f t="shared" si="97"/>
        <v>0</v>
      </c>
      <c r="M1468" s="73">
        <f t="shared" si="98"/>
        <v>0</v>
      </c>
      <c r="AC1468" t="str">
        <f t="shared" si="99"/>
        <v>Jan</v>
      </c>
    </row>
    <row r="1469" spans="3:29" x14ac:dyDescent="0.35">
      <c r="C1469" s="80">
        <f t="shared" si="96"/>
        <v>1</v>
      </c>
      <c r="K1469" s="65">
        <f t="shared" si="97"/>
        <v>0</v>
      </c>
      <c r="M1469" s="73">
        <f t="shared" si="98"/>
        <v>0</v>
      </c>
      <c r="AC1469" t="str">
        <f t="shared" si="99"/>
        <v>Jan</v>
      </c>
    </row>
    <row r="1470" spans="3:29" x14ac:dyDescent="0.35">
      <c r="C1470" s="80">
        <f t="shared" si="96"/>
        <v>1</v>
      </c>
      <c r="K1470" s="65">
        <f t="shared" si="97"/>
        <v>0</v>
      </c>
      <c r="M1470" s="73">
        <f t="shared" si="98"/>
        <v>0</v>
      </c>
      <c r="AC1470" t="str">
        <f t="shared" si="99"/>
        <v>Jan</v>
      </c>
    </row>
    <row r="1471" spans="3:29" x14ac:dyDescent="0.35">
      <c r="C1471" s="80">
        <f t="shared" si="96"/>
        <v>1</v>
      </c>
      <c r="K1471" s="65">
        <f t="shared" si="97"/>
        <v>0</v>
      </c>
      <c r="M1471" s="73">
        <f t="shared" si="98"/>
        <v>0</v>
      </c>
      <c r="AC1471" t="str">
        <f t="shared" si="99"/>
        <v>Jan</v>
      </c>
    </row>
    <row r="1472" spans="3:29" x14ac:dyDescent="0.35">
      <c r="C1472" s="80">
        <f t="shared" si="96"/>
        <v>1</v>
      </c>
      <c r="K1472" s="65">
        <f t="shared" si="97"/>
        <v>0</v>
      </c>
      <c r="M1472" s="73">
        <f t="shared" si="98"/>
        <v>0</v>
      </c>
      <c r="AC1472" t="str">
        <f t="shared" si="99"/>
        <v>Jan</v>
      </c>
    </row>
    <row r="1473" spans="3:29" x14ac:dyDescent="0.35">
      <c r="C1473" s="80">
        <f t="shared" si="96"/>
        <v>1</v>
      </c>
      <c r="K1473" s="65">
        <f t="shared" si="97"/>
        <v>0</v>
      </c>
      <c r="M1473" s="73">
        <f t="shared" si="98"/>
        <v>0</v>
      </c>
      <c r="AC1473" t="str">
        <f t="shared" si="99"/>
        <v>Jan</v>
      </c>
    </row>
    <row r="1474" spans="3:29" x14ac:dyDescent="0.35">
      <c r="C1474" s="80">
        <f t="shared" si="96"/>
        <v>1</v>
      </c>
      <c r="K1474" s="65">
        <f t="shared" si="97"/>
        <v>0</v>
      </c>
      <c r="M1474" s="73">
        <f t="shared" si="98"/>
        <v>0</v>
      </c>
      <c r="AC1474" t="str">
        <f t="shared" si="99"/>
        <v>Jan</v>
      </c>
    </row>
    <row r="1475" spans="3:29" x14ac:dyDescent="0.35">
      <c r="C1475" s="80">
        <f t="shared" si="96"/>
        <v>1</v>
      </c>
      <c r="K1475" s="65">
        <f t="shared" si="97"/>
        <v>0</v>
      </c>
      <c r="M1475" s="73">
        <f t="shared" si="98"/>
        <v>0</v>
      </c>
      <c r="AC1475" t="str">
        <f t="shared" si="99"/>
        <v>Jan</v>
      </c>
    </row>
    <row r="1476" spans="3:29" x14ac:dyDescent="0.35">
      <c r="C1476" s="80">
        <f t="shared" si="96"/>
        <v>1</v>
      </c>
      <c r="K1476" s="65">
        <f t="shared" si="97"/>
        <v>0</v>
      </c>
      <c r="M1476" s="73">
        <f t="shared" si="98"/>
        <v>0</v>
      </c>
      <c r="AC1476" t="str">
        <f t="shared" si="99"/>
        <v>Jan</v>
      </c>
    </row>
    <row r="1477" spans="3:29" x14ac:dyDescent="0.35">
      <c r="C1477" s="80">
        <f t="shared" si="96"/>
        <v>1</v>
      </c>
      <c r="K1477" s="65">
        <f t="shared" si="97"/>
        <v>0</v>
      </c>
      <c r="M1477" s="73">
        <f t="shared" si="98"/>
        <v>0</v>
      </c>
      <c r="AC1477" t="str">
        <f t="shared" si="99"/>
        <v>Jan</v>
      </c>
    </row>
    <row r="1478" spans="3:29" x14ac:dyDescent="0.35">
      <c r="C1478" s="80">
        <f t="shared" ref="C1478:C1541" si="100">MONTH(B1478)</f>
        <v>1</v>
      </c>
      <c r="K1478" s="65">
        <f t="shared" ref="K1478:K1541" si="101">I1478*J1478</f>
        <v>0</v>
      </c>
      <c r="M1478" s="73">
        <f t="shared" ref="M1478:M1541" si="102">K1478-L1478</f>
        <v>0</v>
      </c>
      <c r="AC1478" t="str">
        <f t="shared" si="99"/>
        <v>Jan</v>
      </c>
    </row>
    <row r="1479" spans="3:29" x14ac:dyDescent="0.35">
      <c r="C1479" s="80">
        <f t="shared" si="100"/>
        <v>1</v>
      </c>
      <c r="K1479" s="65">
        <f t="shared" si="101"/>
        <v>0</v>
      </c>
      <c r="M1479" s="73">
        <f t="shared" si="102"/>
        <v>0</v>
      </c>
      <c r="AC1479" t="str">
        <f t="shared" ref="AC1479:AC1542" si="103">IFERROR(INDEX(AA:AA,MATCH(C1479,Z:Z,0)),"")</f>
        <v>Jan</v>
      </c>
    </row>
    <row r="1480" spans="3:29" x14ac:dyDescent="0.35">
      <c r="C1480" s="80">
        <f t="shared" si="100"/>
        <v>1</v>
      </c>
      <c r="K1480" s="65">
        <f t="shared" si="101"/>
        <v>0</v>
      </c>
      <c r="M1480" s="73">
        <f t="shared" si="102"/>
        <v>0</v>
      </c>
      <c r="AC1480" t="str">
        <f t="shared" si="103"/>
        <v>Jan</v>
      </c>
    </row>
    <row r="1481" spans="3:29" x14ac:dyDescent="0.35">
      <c r="C1481" s="80">
        <f t="shared" si="100"/>
        <v>1</v>
      </c>
      <c r="K1481" s="65">
        <f t="shared" si="101"/>
        <v>0</v>
      </c>
      <c r="M1481" s="73">
        <f t="shared" si="102"/>
        <v>0</v>
      </c>
      <c r="AC1481" t="str">
        <f t="shared" si="103"/>
        <v>Jan</v>
      </c>
    </row>
    <row r="1482" spans="3:29" x14ac:dyDescent="0.35">
      <c r="C1482" s="80">
        <f t="shared" si="100"/>
        <v>1</v>
      </c>
      <c r="K1482" s="65">
        <f t="shared" si="101"/>
        <v>0</v>
      </c>
      <c r="M1482" s="73">
        <f t="shared" si="102"/>
        <v>0</v>
      </c>
      <c r="AC1482" t="str">
        <f t="shared" si="103"/>
        <v>Jan</v>
      </c>
    </row>
    <row r="1483" spans="3:29" x14ac:dyDescent="0.35">
      <c r="C1483" s="80">
        <f t="shared" si="100"/>
        <v>1</v>
      </c>
      <c r="K1483" s="65">
        <f t="shared" si="101"/>
        <v>0</v>
      </c>
      <c r="M1483" s="73">
        <f t="shared" si="102"/>
        <v>0</v>
      </c>
      <c r="AC1483" t="str">
        <f t="shared" si="103"/>
        <v>Jan</v>
      </c>
    </row>
    <row r="1484" spans="3:29" x14ac:dyDescent="0.35">
      <c r="C1484" s="80">
        <f t="shared" si="100"/>
        <v>1</v>
      </c>
      <c r="K1484" s="65">
        <f t="shared" si="101"/>
        <v>0</v>
      </c>
      <c r="M1484" s="73">
        <f t="shared" si="102"/>
        <v>0</v>
      </c>
      <c r="AC1484" t="str">
        <f t="shared" si="103"/>
        <v>Jan</v>
      </c>
    </row>
    <row r="1485" spans="3:29" x14ac:dyDescent="0.35">
      <c r="C1485" s="80">
        <f t="shared" si="100"/>
        <v>1</v>
      </c>
      <c r="K1485" s="65">
        <f t="shared" si="101"/>
        <v>0</v>
      </c>
      <c r="M1485" s="73">
        <f t="shared" si="102"/>
        <v>0</v>
      </c>
      <c r="AC1485" t="str">
        <f t="shared" si="103"/>
        <v>Jan</v>
      </c>
    </row>
    <row r="1486" spans="3:29" x14ac:dyDescent="0.35">
      <c r="C1486" s="80">
        <f t="shared" si="100"/>
        <v>1</v>
      </c>
      <c r="K1486" s="65">
        <f t="shared" si="101"/>
        <v>0</v>
      </c>
      <c r="M1486" s="73">
        <f t="shared" si="102"/>
        <v>0</v>
      </c>
      <c r="AC1486" t="str">
        <f t="shared" si="103"/>
        <v>Jan</v>
      </c>
    </row>
    <row r="1487" spans="3:29" x14ac:dyDescent="0.35">
      <c r="C1487" s="80">
        <f t="shared" si="100"/>
        <v>1</v>
      </c>
      <c r="K1487" s="65">
        <f t="shared" si="101"/>
        <v>0</v>
      </c>
      <c r="M1487" s="73">
        <f t="shared" si="102"/>
        <v>0</v>
      </c>
      <c r="AC1487" t="str">
        <f t="shared" si="103"/>
        <v>Jan</v>
      </c>
    </row>
    <row r="1488" spans="3:29" x14ac:dyDescent="0.35">
      <c r="C1488" s="80">
        <f t="shared" si="100"/>
        <v>1</v>
      </c>
      <c r="K1488" s="65">
        <f t="shared" si="101"/>
        <v>0</v>
      </c>
      <c r="M1488" s="73">
        <f t="shared" si="102"/>
        <v>0</v>
      </c>
      <c r="AC1488" t="str">
        <f t="shared" si="103"/>
        <v>Jan</v>
      </c>
    </row>
    <row r="1489" spans="3:29" x14ac:dyDescent="0.35">
      <c r="C1489" s="80">
        <f t="shared" si="100"/>
        <v>1</v>
      </c>
      <c r="K1489" s="65">
        <f t="shared" si="101"/>
        <v>0</v>
      </c>
      <c r="M1489" s="73">
        <f t="shared" si="102"/>
        <v>0</v>
      </c>
      <c r="AC1489" t="str">
        <f t="shared" si="103"/>
        <v>Jan</v>
      </c>
    </row>
    <row r="1490" spans="3:29" x14ac:dyDescent="0.35">
      <c r="C1490" s="80">
        <f t="shared" si="100"/>
        <v>1</v>
      </c>
      <c r="K1490" s="65">
        <f t="shared" si="101"/>
        <v>0</v>
      </c>
      <c r="M1490" s="73">
        <f t="shared" si="102"/>
        <v>0</v>
      </c>
      <c r="AC1490" t="str">
        <f t="shared" si="103"/>
        <v>Jan</v>
      </c>
    </row>
    <row r="1491" spans="3:29" x14ac:dyDescent="0.35">
      <c r="C1491" s="80">
        <f t="shared" si="100"/>
        <v>1</v>
      </c>
      <c r="K1491" s="65">
        <f t="shared" si="101"/>
        <v>0</v>
      </c>
      <c r="M1491" s="73">
        <f t="shared" si="102"/>
        <v>0</v>
      </c>
      <c r="AC1491" t="str">
        <f t="shared" si="103"/>
        <v>Jan</v>
      </c>
    </row>
    <row r="1492" spans="3:29" x14ac:dyDescent="0.35">
      <c r="C1492" s="80">
        <f t="shared" si="100"/>
        <v>1</v>
      </c>
      <c r="K1492" s="65">
        <f t="shared" si="101"/>
        <v>0</v>
      </c>
      <c r="M1492" s="73">
        <f t="shared" si="102"/>
        <v>0</v>
      </c>
      <c r="AC1492" t="str">
        <f t="shared" si="103"/>
        <v>Jan</v>
      </c>
    </row>
    <row r="1493" spans="3:29" x14ac:dyDescent="0.35">
      <c r="C1493" s="80">
        <f t="shared" si="100"/>
        <v>1</v>
      </c>
      <c r="K1493" s="65">
        <f t="shared" si="101"/>
        <v>0</v>
      </c>
      <c r="M1493" s="73">
        <f t="shared" si="102"/>
        <v>0</v>
      </c>
      <c r="AC1493" t="str">
        <f t="shared" si="103"/>
        <v>Jan</v>
      </c>
    </row>
    <row r="1494" spans="3:29" x14ac:dyDescent="0.35">
      <c r="C1494" s="80">
        <f t="shared" si="100"/>
        <v>1</v>
      </c>
      <c r="K1494" s="65">
        <f t="shared" si="101"/>
        <v>0</v>
      </c>
      <c r="M1494" s="73">
        <f t="shared" si="102"/>
        <v>0</v>
      </c>
      <c r="AC1494" t="str">
        <f t="shared" si="103"/>
        <v>Jan</v>
      </c>
    </row>
    <row r="1495" spans="3:29" x14ac:dyDescent="0.35">
      <c r="C1495" s="80">
        <f t="shared" si="100"/>
        <v>1</v>
      </c>
      <c r="K1495" s="65">
        <f t="shared" si="101"/>
        <v>0</v>
      </c>
      <c r="M1495" s="73">
        <f t="shared" si="102"/>
        <v>0</v>
      </c>
      <c r="AC1495" t="str">
        <f t="shared" si="103"/>
        <v>Jan</v>
      </c>
    </row>
    <row r="1496" spans="3:29" x14ac:dyDescent="0.35">
      <c r="C1496" s="80">
        <f t="shared" si="100"/>
        <v>1</v>
      </c>
      <c r="K1496" s="65">
        <f t="shared" si="101"/>
        <v>0</v>
      </c>
      <c r="M1496" s="73">
        <f t="shared" si="102"/>
        <v>0</v>
      </c>
      <c r="AC1496" t="str">
        <f t="shared" si="103"/>
        <v>Jan</v>
      </c>
    </row>
    <row r="1497" spans="3:29" x14ac:dyDescent="0.35">
      <c r="C1497" s="80">
        <f t="shared" si="100"/>
        <v>1</v>
      </c>
      <c r="K1497" s="65">
        <f t="shared" si="101"/>
        <v>0</v>
      </c>
      <c r="M1497" s="73">
        <f t="shared" si="102"/>
        <v>0</v>
      </c>
      <c r="AC1497" t="str">
        <f t="shared" si="103"/>
        <v>Jan</v>
      </c>
    </row>
    <row r="1498" spans="3:29" x14ac:dyDescent="0.35">
      <c r="C1498" s="80">
        <f t="shared" si="100"/>
        <v>1</v>
      </c>
      <c r="K1498" s="65">
        <f t="shared" si="101"/>
        <v>0</v>
      </c>
      <c r="M1498" s="73">
        <f t="shared" si="102"/>
        <v>0</v>
      </c>
      <c r="AC1498" t="str">
        <f t="shared" si="103"/>
        <v>Jan</v>
      </c>
    </row>
    <row r="1499" spans="3:29" x14ac:dyDescent="0.35">
      <c r="C1499" s="80">
        <f t="shared" si="100"/>
        <v>1</v>
      </c>
      <c r="K1499" s="65">
        <f t="shared" si="101"/>
        <v>0</v>
      </c>
      <c r="M1499" s="73">
        <f t="shared" si="102"/>
        <v>0</v>
      </c>
      <c r="AC1499" t="str">
        <f t="shared" si="103"/>
        <v>Jan</v>
      </c>
    </row>
    <row r="1500" spans="3:29" x14ac:dyDescent="0.35">
      <c r="C1500" s="80">
        <f t="shared" si="100"/>
        <v>1</v>
      </c>
      <c r="K1500" s="65">
        <f t="shared" si="101"/>
        <v>0</v>
      </c>
      <c r="M1500" s="73">
        <f t="shared" si="102"/>
        <v>0</v>
      </c>
      <c r="AC1500" t="str">
        <f t="shared" si="103"/>
        <v>Jan</v>
      </c>
    </row>
    <row r="1501" spans="3:29" x14ac:dyDescent="0.35">
      <c r="C1501" s="80">
        <f t="shared" si="100"/>
        <v>1</v>
      </c>
      <c r="K1501" s="65">
        <f t="shared" si="101"/>
        <v>0</v>
      </c>
      <c r="M1501" s="73">
        <f t="shared" si="102"/>
        <v>0</v>
      </c>
      <c r="AC1501" t="str">
        <f t="shared" si="103"/>
        <v>Jan</v>
      </c>
    </row>
    <row r="1502" spans="3:29" x14ac:dyDescent="0.35">
      <c r="C1502" s="80">
        <f t="shared" si="100"/>
        <v>1</v>
      </c>
      <c r="K1502" s="65">
        <f t="shared" si="101"/>
        <v>0</v>
      </c>
      <c r="M1502" s="73">
        <f t="shared" si="102"/>
        <v>0</v>
      </c>
      <c r="AC1502" t="str">
        <f t="shared" si="103"/>
        <v>Jan</v>
      </c>
    </row>
    <row r="1503" spans="3:29" x14ac:dyDescent="0.35">
      <c r="C1503" s="80">
        <f t="shared" si="100"/>
        <v>1</v>
      </c>
      <c r="K1503" s="65">
        <f t="shared" si="101"/>
        <v>0</v>
      </c>
      <c r="M1503" s="73">
        <f t="shared" si="102"/>
        <v>0</v>
      </c>
      <c r="AC1503" t="str">
        <f t="shared" si="103"/>
        <v>Jan</v>
      </c>
    </row>
    <row r="1504" spans="3:29" x14ac:dyDescent="0.35">
      <c r="C1504" s="80">
        <f t="shared" si="100"/>
        <v>1</v>
      </c>
      <c r="K1504" s="65">
        <f t="shared" si="101"/>
        <v>0</v>
      </c>
      <c r="M1504" s="73">
        <f t="shared" si="102"/>
        <v>0</v>
      </c>
      <c r="AC1504" t="str">
        <f t="shared" si="103"/>
        <v>Jan</v>
      </c>
    </row>
    <row r="1505" spans="3:29" x14ac:dyDescent="0.35">
      <c r="C1505" s="80">
        <f t="shared" si="100"/>
        <v>1</v>
      </c>
      <c r="K1505" s="65">
        <f t="shared" si="101"/>
        <v>0</v>
      </c>
      <c r="M1505" s="73">
        <f t="shared" si="102"/>
        <v>0</v>
      </c>
      <c r="AC1505" t="str">
        <f t="shared" si="103"/>
        <v>Jan</v>
      </c>
    </row>
    <row r="1506" spans="3:29" x14ac:dyDescent="0.35">
      <c r="C1506" s="80">
        <f t="shared" si="100"/>
        <v>1</v>
      </c>
      <c r="K1506" s="65">
        <f t="shared" si="101"/>
        <v>0</v>
      </c>
      <c r="M1506" s="73">
        <f t="shared" si="102"/>
        <v>0</v>
      </c>
      <c r="AC1506" t="str">
        <f t="shared" si="103"/>
        <v>Jan</v>
      </c>
    </row>
    <row r="1507" spans="3:29" x14ac:dyDescent="0.35">
      <c r="C1507" s="80">
        <f t="shared" si="100"/>
        <v>1</v>
      </c>
      <c r="K1507" s="65">
        <f t="shared" si="101"/>
        <v>0</v>
      </c>
      <c r="M1507" s="73">
        <f t="shared" si="102"/>
        <v>0</v>
      </c>
      <c r="AC1507" t="str">
        <f t="shared" si="103"/>
        <v>Jan</v>
      </c>
    </row>
    <row r="1508" spans="3:29" x14ac:dyDescent="0.35">
      <c r="C1508" s="80">
        <f t="shared" si="100"/>
        <v>1</v>
      </c>
      <c r="K1508" s="65">
        <f t="shared" si="101"/>
        <v>0</v>
      </c>
      <c r="M1508" s="73">
        <f t="shared" si="102"/>
        <v>0</v>
      </c>
      <c r="AC1508" t="str">
        <f t="shared" si="103"/>
        <v>Jan</v>
      </c>
    </row>
    <row r="1509" spans="3:29" x14ac:dyDescent="0.35">
      <c r="C1509" s="80">
        <f t="shared" si="100"/>
        <v>1</v>
      </c>
      <c r="K1509" s="65">
        <f t="shared" si="101"/>
        <v>0</v>
      </c>
      <c r="M1509" s="73">
        <f t="shared" si="102"/>
        <v>0</v>
      </c>
      <c r="AC1509" t="str">
        <f t="shared" si="103"/>
        <v>Jan</v>
      </c>
    </row>
    <row r="1510" spans="3:29" x14ac:dyDescent="0.35">
      <c r="C1510" s="80">
        <f t="shared" si="100"/>
        <v>1</v>
      </c>
      <c r="K1510" s="65">
        <f t="shared" si="101"/>
        <v>0</v>
      </c>
      <c r="M1510" s="73">
        <f t="shared" si="102"/>
        <v>0</v>
      </c>
      <c r="AC1510" t="str">
        <f t="shared" si="103"/>
        <v>Jan</v>
      </c>
    </row>
    <row r="1511" spans="3:29" x14ac:dyDescent="0.35">
      <c r="C1511" s="80">
        <f t="shared" si="100"/>
        <v>1</v>
      </c>
      <c r="K1511" s="65">
        <f t="shared" si="101"/>
        <v>0</v>
      </c>
      <c r="M1511" s="73">
        <f t="shared" si="102"/>
        <v>0</v>
      </c>
      <c r="AC1511" t="str">
        <f t="shared" si="103"/>
        <v>Jan</v>
      </c>
    </row>
    <row r="1512" spans="3:29" x14ac:dyDescent="0.35">
      <c r="C1512" s="80">
        <f t="shared" si="100"/>
        <v>1</v>
      </c>
      <c r="K1512" s="65">
        <f t="shared" si="101"/>
        <v>0</v>
      </c>
      <c r="M1512" s="73">
        <f t="shared" si="102"/>
        <v>0</v>
      </c>
      <c r="AC1512" t="str">
        <f t="shared" si="103"/>
        <v>Jan</v>
      </c>
    </row>
    <row r="1513" spans="3:29" x14ac:dyDescent="0.35">
      <c r="C1513" s="80">
        <f t="shared" si="100"/>
        <v>1</v>
      </c>
      <c r="K1513" s="65">
        <f t="shared" si="101"/>
        <v>0</v>
      </c>
      <c r="M1513" s="73">
        <f t="shared" si="102"/>
        <v>0</v>
      </c>
      <c r="AC1513" t="str">
        <f t="shared" si="103"/>
        <v>Jan</v>
      </c>
    </row>
    <row r="1514" spans="3:29" x14ac:dyDescent="0.35">
      <c r="C1514" s="80">
        <f t="shared" si="100"/>
        <v>1</v>
      </c>
      <c r="K1514" s="65">
        <f t="shared" si="101"/>
        <v>0</v>
      </c>
      <c r="M1514" s="73">
        <f t="shared" si="102"/>
        <v>0</v>
      </c>
      <c r="AC1514" t="str">
        <f t="shared" si="103"/>
        <v>Jan</v>
      </c>
    </row>
    <row r="1515" spans="3:29" x14ac:dyDescent="0.35">
      <c r="C1515" s="80">
        <f t="shared" si="100"/>
        <v>1</v>
      </c>
      <c r="K1515" s="65">
        <f t="shared" si="101"/>
        <v>0</v>
      </c>
      <c r="M1515" s="73">
        <f t="shared" si="102"/>
        <v>0</v>
      </c>
      <c r="AC1515" t="str">
        <f t="shared" si="103"/>
        <v>Jan</v>
      </c>
    </row>
    <row r="1516" spans="3:29" x14ac:dyDescent="0.35">
      <c r="C1516" s="80">
        <f t="shared" si="100"/>
        <v>1</v>
      </c>
      <c r="K1516" s="65">
        <f t="shared" si="101"/>
        <v>0</v>
      </c>
      <c r="M1516" s="73">
        <f t="shared" si="102"/>
        <v>0</v>
      </c>
      <c r="AC1516" t="str">
        <f t="shared" si="103"/>
        <v>Jan</v>
      </c>
    </row>
    <row r="1517" spans="3:29" x14ac:dyDescent="0.35">
      <c r="C1517" s="80">
        <f t="shared" si="100"/>
        <v>1</v>
      </c>
      <c r="K1517" s="65">
        <f t="shared" si="101"/>
        <v>0</v>
      </c>
      <c r="M1517" s="73">
        <f t="shared" si="102"/>
        <v>0</v>
      </c>
      <c r="AC1517" t="str">
        <f t="shared" si="103"/>
        <v>Jan</v>
      </c>
    </row>
    <row r="1518" spans="3:29" x14ac:dyDescent="0.35">
      <c r="C1518" s="80">
        <f t="shared" si="100"/>
        <v>1</v>
      </c>
      <c r="K1518" s="65">
        <f t="shared" si="101"/>
        <v>0</v>
      </c>
      <c r="M1518" s="73">
        <f t="shared" si="102"/>
        <v>0</v>
      </c>
      <c r="AC1518" t="str">
        <f t="shared" si="103"/>
        <v>Jan</v>
      </c>
    </row>
    <row r="1519" spans="3:29" x14ac:dyDescent="0.35">
      <c r="C1519" s="80">
        <f t="shared" si="100"/>
        <v>1</v>
      </c>
      <c r="K1519" s="65">
        <f t="shared" si="101"/>
        <v>0</v>
      </c>
      <c r="M1519" s="73">
        <f t="shared" si="102"/>
        <v>0</v>
      </c>
      <c r="AC1519" t="str">
        <f t="shared" si="103"/>
        <v>Jan</v>
      </c>
    </row>
    <row r="1520" spans="3:29" x14ac:dyDescent="0.35">
      <c r="C1520" s="80">
        <f t="shared" si="100"/>
        <v>1</v>
      </c>
      <c r="K1520" s="65">
        <f t="shared" si="101"/>
        <v>0</v>
      </c>
      <c r="M1520" s="73">
        <f t="shared" si="102"/>
        <v>0</v>
      </c>
      <c r="AC1520" t="str">
        <f t="shared" si="103"/>
        <v>Jan</v>
      </c>
    </row>
    <row r="1521" spans="3:29" x14ac:dyDescent="0.35">
      <c r="C1521" s="80">
        <f t="shared" si="100"/>
        <v>1</v>
      </c>
      <c r="K1521" s="65">
        <f t="shared" si="101"/>
        <v>0</v>
      </c>
      <c r="M1521" s="73">
        <f t="shared" si="102"/>
        <v>0</v>
      </c>
      <c r="AC1521" t="str">
        <f t="shared" si="103"/>
        <v>Jan</v>
      </c>
    </row>
    <row r="1522" spans="3:29" x14ac:dyDescent="0.35">
      <c r="C1522" s="80">
        <f t="shared" si="100"/>
        <v>1</v>
      </c>
      <c r="K1522" s="65">
        <f t="shared" si="101"/>
        <v>0</v>
      </c>
      <c r="M1522" s="73">
        <f t="shared" si="102"/>
        <v>0</v>
      </c>
      <c r="AC1522" t="str">
        <f t="shared" si="103"/>
        <v>Jan</v>
      </c>
    </row>
    <row r="1523" spans="3:29" x14ac:dyDescent="0.35">
      <c r="C1523" s="80">
        <f t="shared" si="100"/>
        <v>1</v>
      </c>
      <c r="K1523" s="65">
        <f t="shared" si="101"/>
        <v>0</v>
      </c>
      <c r="M1523" s="73">
        <f t="shared" si="102"/>
        <v>0</v>
      </c>
      <c r="AC1523" t="str">
        <f t="shared" si="103"/>
        <v>Jan</v>
      </c>
    </row>
    <row r="1524" spans="3:29" x14ac:dyDescent="0.35">
      <c r="C1524" s="80">
        <f t="shared" si="100"/>
        <v>1</v>
      </c>
      <c r="K1524" s="65">
        <f t="shared" si="101"/>
        <v>0</v>
      </c>
      <c r="M1524" s="73">
        <f t="shared" si="102"/>
        <v>0</v>
      </c>
      <c r="AC1524" t="str">
        <f t="shared" si="103"/>
        <v>Jan</v>
      </c>
    </row>
    <row r="1525" spans="3:29" x14ac:dyDescent="0.35">
      <c r="C1525" s="80">
        <f t="shared" si="100"/>
        <v>1</v>
      </c>
      <c r="K1525" s="65">
        <f t="shared" si="101"/>
        <v>0</v>
      </c>
      <c r="M1525" s="73">
        <f t="shared" si="102"/>
        <v>0</v>
      </c>
      <c r="AC1525" t="str">
        <f t="shared" si="103"/>
        <v>Jan</v>
      </c>
    </row>
    <row r="1526" spans="3:29" x14ac:dyDescent="0.35">
      <c r="C1526" s="80">
        <f t="shared" si="100"/>
        <v>1</v>
      </c>
      <c r="K1526" s="65">
        <f t="shared" si="101"/>
        <v>0</v>
      </c>
      <c r="M1526" s="73">
        <f t="shared" si="102"/>
        <v>0</v>
      </c>
      <c r="AC1526" t="str">
        <f t="shared" si="103"/>
        <v>Jan</v>
      </c>
    </row>
    <row r="1527" spans="3:29" x14ac:dyDescent="0.35">
      <c r="C1527" s="80">
        <f t="shared" si="100"/>
        <v>1</v>
      </c>
      <c r="K1527" s="65">
        <f t="shared" si="101"/>
        <v>0</v>
      </c>
      <c r="M1527" s="73">
        <f t="shared" si="102"/>
        <v>0</v>
      </c>
      <c r="AC1527" t="str">
        <f t="shared" si="103"/>
        <v>Jan</v>
      </c>
    </row>
    <row r="1528" spans="3:29" x14ac:dyDescent="0.35">
      <c r="C1528" s="80">
        <f t="shared" si="100"/>
        <v>1</v>
      </c>
      <c r="K1528" s="65">
        <f t="shared" si="101"/>
        <v>0</v>
      </c>
      <c r="M1528" s="73">
        <f t="shared" si="102"/>
        <v>0</v>
      </c>
      <c r="AC1528" t="str">
        <f t="shared" si="103"/>
        <v>Jan</v>
      </c>
    </row>
    <row r="1529" spans="3:29" x14ac:dyDescent="0.35">
      <c r="C1529" s="80">
        <f t="shared" si="100"/>
        <v>1</v>
      </c>
      <c r="K1529" s="65">
        <f t="shared" si="101"/>
        <v>0</v>
      </c>
      <c r="M1529" s="73">
        <f t="shared" si="102"/>
        <v>0</v>
      </c>
      <c r="AC1529" t="str">
        <f t="shared" si="103"/>
        <v>Jan</v>
      </c>
    </row>
    <row r="1530" spans="3:29" x14ac:dyDescent="0.35">
      <c r="C1530" s="80">
        <f t="shared" si="100"/>
        <v>1</v>
      </c>
      <c r="K1530" s="65">
        <f t="shared" si="101"/>
        <v>0</v>
      </c>
      <c r="M1530" s="73">
        <f t="shared" si="102"/>
        <v>0</v>
      </c>
      <c r="AC1530" t="str">
        <f t="shared" si="103"/>
        <v>Jan</v>
      </c>
    </row>
    <row r="1531" spans="3:29" x14ac:dyDescent="0.35">
      <c r="C1531" s="80">
        <f t="shared" si="100"/>
        <v>1</v>
      </c>
      <c r="K1531" s="65">
        <f t="shared" si="101"/>
        <v>0</v>
      </c>
      <c r="M1531" s="73">
        <f t="shared" si="102"/>
        <v>0</v>
      </c>
      <c r="AC1531" t="str">
        <f t="shared" si="103"/>
        <v>Jan</v>
      </c>
    </row>
    <row r="1532" spans="3:29" x14ac:dyDescent="0.35">
      <c r="C1532" s="80">
        <f t="shared" si="100"/>
        <v>1</v>
      </c>
      <c r="K1532" s="65">
        <f t="shared" si="101"/>
        <v>0</v>
      </c>
      <c r="M1532" s="73">
        <f t="shared" si="102"/>
        <v>0</v>
      </c>
      <c r="AC1532" t="str">
        <f t="shared" si="103"/>
        <v>Jan</v>
      </c>
    </row>
    <row r="1533" spans="3:29" x14ac:dyDescent="0.35">
      <c r="C1533" s="80">
        <f t="shared" si="100"/>
        <v>1</v>
      </c>
      <c r="K1533" s="65">
        <f t="shared" si="101"/>
        <v>0</v>
      </c>
      <c r="M1533" s="73">
        <f t="shared" si="102"/>
        <v>0</v>
      </c>
      <c r="AC1533" t="str">
        <f t="shared" si="103"/>
        <v>Jan</v>
      </c>
    </row>
    <row r="1534" spans="3:29" x14ac:dyDescent="0.35">
      <c r="C1534" s="80">
        <f t="shared" si="100"/>
        <v>1</v>
      </c>
      <c r="K1534" s="65">
        <f t="shared" si="101"/>
        <v>0</v>
      </c>
      <c r="M1534" s="73">
        <f t="shared" si="102"/>
        <v>0</v>
      </c>
      <c r="AC1534" t="str">
        <f t="shared" si="103"/>
        <v>Jan</v>
      </c>
    </row>
    <row r="1535" spans="3:29" x14ac:dyDescent="0.35">
      <c r="C1535" s="80">
        <f t="shared" si="100"/>
        <v>1</v>
      </c>
      <c r="K1535" s="65">
        <f t="shared" si="101"/>
        <v>0</v>
      </c>
      <c r="M1535" s="73">
        <f t="shared" si="102"/>
        <v>0</v>
      </c>
      <c r="AC1535" t="str">
        <f t="shared" si="103"/>
        <v>Jan</v>
      </c>
    </row>
    <row r="1536" spans="3:29" x14ac:dyDescent="0.35">
      <c r="C1536" s="80">
        <f t="shared" si="100"/>
        <v>1</v>
      </c>
      <c r="K1536" s="65">
        <f t="shared" si="101"/>
        <v>0</v>
      </c>
      <c r="M1536" s="73">
        <f t="shared" si="102"/>
        <v>0</v>
      </c>
      <c r="AC1536" t="str">
        <f t="shared" si="103"/>
        <v>Jan</v>
      </c>
    </row>
    <row r="1537" spans="3:29" x14ac:dyDescent="0.35">
      <c r="C1537" s="80">
        <f t="shared" si="100"/>
        <v>1</v>
      </c>
      <c r="K1537" s="65">
        <f t="shared" si="101"/>
        <v>0</v>
      </c>
      <c r="M1537" s="73">
        <f t="shared" si="102"/>
        <v>0</v>
      </c>
      <c r="AC1537" t="str">
        <f t="shared" si="103"/>
        <v>Jan</v>
      </c>
    </row>
    <row r="1538" spans="3:29" x14ac:dyDescent="0.35">
      <c r="C1538" s="80">
        <f t="shared" si="100"/>
        <v>1</v>
      </c>
      <c r="K1538" s="65">
        <f t="shared" si="101"/>
        <v>0</v>
      </c>
      <c r="M1538" s="73">
        <f t="shared" si="102"/>
        <v>0</v>
      </c>
      <c r="AC1538" t="str">
        <f t="shared" si="103"/>
        <v>Jan</v>
      </c>
    </row>
    <row r="1539" spans="3:29" x14ac:dyDescent="0.35">
      <c r="C1539" s="80">
        <f t="shared" si="100"/>
        <v>1</v>
      </c>
      <c r="K1539" s="65">
        <f t="shared" si="101"/>
        <v>0</v>
      </c>
      <c r="M1539" s="73">
        <f t="shared" si="102"/>
        <v>0</v>
      </c>
      <c r="AC1539" t="str">
        <f t="shared" si="103"/>
        <v>Jan</v>
      </c>
    </row>
    <row r="1540" spans="3:29" x14ac:dyDescent="0.35">
      <c r="C1540" s="80">
        <f t="shared" si="100"/>
        <v>1</v>
      </c>
      <c r="K1540" s="65">
        <f t="shared" si="101"/>
        <v>0</v>
      </c>
      <c r="M1540" s="73">
        <f t="shared" si="102"/>
        <v>0</v>
      </c>
      <c r="AC1540" t="str">
        <f t="shared" si="103"/>
        <v>Jan</v>
      </c>
    </row>
    <row r="1541" spans="3:29" x14ac:dyDescent="0.35">
      <c r="C1541" s="80">
        <f t="shared" si="100"/>
        <v>1</v>
      </c>
      <c r="K1541" s="65">
        <f t="shared" si="101"/>
        <v>0</v>
      </c>
      <c r="M1541" s="73">
        <f t="shared" si="102"/>
        <v>0</v>
      </c>
      <c r="AC1541" t="str">
        <f t="shared" si="103"/>
        <v>Jan</v>
      </c>
    </row>
    <row r="1542" spans="3:29" x14ac:dyDescent="0.35">
      <c r="C1542" s="80">
        <f t="shared" ref="C1542:C1605" si="104">MONTH(B1542)</f>
        <v>1</v>
      </c>
      <c r="K1542" s="65">
        <f t="shared" ref="K1542:K1605" si="105">I1542*J1542</f>
        <v>0</v>
      </c>
      <c r="M1542" s="73">
        <f t="shared" ref="M1542:M1605" si="106">K1542-L1542</f>
        <v>0</v>
      </c>
      <c r="AC1542" t="str">
        <f t="shared" si="103"/>
        <v>Jan</v>
      </c>
    </row>
    <row r="1543" spans="3:29" x14ac:dyDescent="0.35">
      <c r="C1543" s="80">
        <f t="shared" si="104"/>
        <v>1</v>
      </c>
      <c r="K1543" s="65">
        <f t="shared" si="105"/>
        <v>0</v>
      </c>
      <c r="M1543" s="73">
        <f t="shared" si="106"/>
        <v>0</v>
      </c>
      <c r="AC1543" t="str">
        <f t="shared" ref="AC1543:AC1606" si="107">IFERROR(INDEX(AA:AA,MATCH(C1543,Z:Z,0)),"")</f>
        <v>Jan</v>
      </c>
    </row>
    <row r="1544" spans="3:29" x14ac:dyDescent="0.35">
      <c r="C1544" s="80">
        <f t="shared" si="104"/>
        <v>1</v>
      </c>
      <c r="K1544" s="65">
        <f t="shared" si="105"/>
        <v>0</v>
      </c>
      <c r="M1544" s="73">
        <f t="shared" si="106"/>
        <v>0</v>
      </c>
      <c r="AC1544" t="str">
        <f t="shared" si="107"/>
        <v>Jan</v>
      </c>
    </row>
    <row r="1545" spans="3:29" x14ac:dyDescent="0.35">
      <c r="C1545" s="80">
        <f t="shared" si="104"/>
        <v>1</v>
      </c>
      <c r="K1545" s="65">
        <f t="shared" si="105"/>
        <v>0</v>
      </c>
      <c r="M1545" s="73">
        <f t="shared" si="106"/>
        <v>0</v>
      </c>
      <c r="AC1545" t="str">
        <f t="shared" si="107"/>
        <v>Jan</v>
      </c>
    </row>
    <row r="1546" spans="3:29" x14ac:dyDescent="0.35">
      <c r="C1546" s="80">
        <f t="shared" si="104"/>
        <v>1</v>
      </c>
      <c r="K1546" s="65">
        <f t="shared" si="105"/>
        <v>0</v>
      </c>
      <c r="M1546" s="73">
        <f t="shared" si="106"/>
        <v>0</v>
      </c>
      <c r="AC1546" t="str">
        <f t="shared" si="107"/>
        <v>Jan</v>
      </c>
    </row>
    <row r="1547" spans="3:29" x14ac:dyDescent="0.35">
      <c r="C1547" s="80">
        <f t="shared" si="104"/>
        <v>1</v>
      </c>
      <c r="K1547" s="65">
        <f t="shared" si="105"/>
        <v>0</v>
      </c>
      <c r="M1547" s="73">
        <f t="shared" si="106"/>
        <v>0</v>
      </c>
      <c r="AC1547" t="str">
        <f t="shared" si="107"/>
        <v>Jan</v>
      </c>
    </row>
    <row r="1548" spans="3:29" x14ac:dyDescent="0.35">
      <c r="C1548" s="80">
        <f t="shared" si="104"/>
        <v>1</v>
      </c>
      <c r="K1548" s="65">
        <f t="shared" si="105"/>
        <v>0</v>
      </c>
      <c r="M1548" s="73">
        <f t="shared" si="106"/>
        <v>0</v>
      </c>
      <c r="AC1548" t="str">
        <f t="shared" si="107"/>
        <v>Jan</v>
      </c>
    </row>
    <row r="1549" spans="3:29" x14ac:dyDescent="0.35">
      <c r="C1549" s="80">
        <f t="shared" si="104"/>
        <v>1</v>
      </c>
      <c r="K1549" s="65">
        <f t="shared" si="105"/>
        <v>0</v>
      </c>
      <c r="M1549" s="73">
        <f t="shared" si="106"/>
        <v>0</v>
      </c>
      <c r="AC1549" t="str">
        <f t="shared" si="107"/>
        <v>Jan</v>
      </c>
    </row>
    <row r="1550" spans="3:29" x14ac:dyDescent="0.35">
      <c r="C1550" s="80">
        <f t="shared" si="104"/>
        <v>1</v>
      </c>
      <c r="K1550" s="65">
        <f t="shared" si="105"/>
        <v>0</v>
      </c>
      <c r="M1550" s="73">
        <f t="shared" si="106"/>
        <v>0</v>
      </c>
      <c r="AC1550" t="str">
        <f t="shared" si="107"/>
        <v>Jan</v>
      </c>
    </row>
    <row r="1551" spans="3:29" x14ac:dyDescent="0.35">
      <c r="C1551" s="80">
        <f t="shared" si="104"/>
        <v>1</v>
      </c>
      <c r="K1551" s="65">
        <f t="shared" si="105"/>
        <v>0</v>
      </c>
      <c r="M1551" s="73">
        <f t="shared" si="106"/>
        <v>0</v>
      </c>
      <c r="AC1551" t="str">
        <f t="shared" si="107"/>
        <v>Jan</v>
      </c>
    </row>
    <row r="1552" spans="3:29" x14ac:dyDescent="0.35">
      <c r="C1552" s="80">
        <f t="shared" si="104"/>
        <v>1</v>
      </c>
      <c r="K1552" s="65">
        <f t="shared" si="105"/>
        <v>0</v>
      </c>
      <c r="M1552" s="73">
        <f t="shared" si="106"/>
        <v>0</v>
      </c>
      <c r="AC1552" t="str">
        <f t="shared" si="107"/>
        <v>Jan</v>
      </c>
    </row>
    <row r="1553" spans="3:29" x14ac:dyDescent="0.35">
      <c r="C1553" s="80">
        <f t="shared" si="104"/>
        <v>1</v>
      </c>
      <c r="K1553" s="65">
        <f t="shared" si="105"/>
        <v>0</v>
      </c>
      <c r="M1553" s="73">
        <f t="shared" si="106"/>
        <v>0</v>
      </c>
      <c r="AC1553" t="str">
        <f t="shared" si="107"/>
        <v>Jan</v>
      </c>
    </row>
    <row r="1554" spans="3:29" x14ac:dyDescent="0.35">
      <c r="C1554" s="80">
        <f t="shared" si="104"/>
        <v>1</v>
      </c>
      <c r="K1554" s="65">
        <f t="shared" si="105"/>
        <v>0</v>
      </c>
      <c r="M1554" s="73">
        <f t="shared" si="106"/>
        <v>0</v>
      </c>
      <c r="AC1554" t="str">
        <f t="shared" si="107"/>
        <v>Jan</v>
      </c>
    </row>
    <row r="1555" spans="3:29" x14ac:dyDescent="0.35">
      <c r="C1555" s="80">
        <f t="shared" si="104"/>
        <v>1</v>
      </c>
      <c r="K1555" s="65">
        <f t="shared" si="105"/>
        <v>0</v>
      </c>
      <c r="M1555" s="73">
        <f t="shared" si="106"/>
        <v>0</v>
      </c>
      <c r="AC1555" t="str">
        <f t="shared" si="107"/>
        <v>Jan</v>
      </c>
    </row>
    <row r="1556" spans="3:29" x14ac:dyDescent="0.35">
      <c r="C1556" s="80">
        <f t="shared" si="104"/>
        <v>1</v>
      </c>
      <c r="K1556" s="65">
        <f t="shared" si="105"/>
        <v>0</v>
      </c>
      <c r="M1556" s="73">
        <f t="shared" si="106"/>
        <v>0</v>
      </c>
      <c r="AC1556" t="str">
        <f t="shared" si="107"/>
        <v>Jan</v>
      </c>
    </row>
    <row r="1557" spans="3:29" x14ac:dyDescent="0.35">
      <c r="C1557" s="80">
        <f t="shared" si="104"/>
        <v>1</v>
      </c>
      <c r="K1557" s="65">
        <f t="shared" si="105"/>
        <v>0</v>
      </c>
      <c r="M1557" s="73">
        <f t="shared" si="106"/>
        <v>0</v>
      </c>
      <c r="AC1557" t="str">
        <f t="shared" si="107"/>
        <v>Jan</v>
      </c>
    </row>
    <row r="1558" spans="3:29" x14ac:dyDescent="0.35">
      <c r="C1558" s="80">
        <f t="shared" si="104"/>
        <v>1</v>
      </c>
      <c r="K1558" s="65">
        <f t="shared" si="105"/>
        <v>0</v>
      </c>
      <c r="M1558" s="73">
        <f t="shared" si="106"/>
        <v>0</v>
      </c>
      <c r="AC1558" t="str">
        <f t="shared" si="107"/>
        <v>Jan</v>
      </c>
    </row>
    <row r="1559" spans="3:29" x14ac:dyDescent="0.35">
      <c r="C1559" s="80">
        <f t="shared" si="104"/>
        <v>1</v>
      </c>
      <c r="K1559" s="65">
        <f t="shared" si="105"/>
        <v>0</v>
      </c>
      <c r="M1559" s="73">
        <f t="shared" si="106"/>
        <v>0</v>
      </c>
      <c r="AC1559" t="str">
        <f t="shared" si="107"/>
        <v>Jan</v>
      </c>
    </row>
    <row r="1560" spans="3:29" x14ac:dyDescent="0.35">
      <c r="C1560" s="80">
        <f t="shared" si="104"/>
        <v>1</v>
      </c>
      <c r="K1560" s="65">
        <f t="shared" si="105"/>
        <v>0</v>
      </c>
      <c r="M1560" s="73">
        <f t="shared" si="106"/>
        <v>0</v>
      </c>
      <c r="AC1560" t="str">
        <f t="shared" si="107"/>
        <v>Jan</v>
      </c>
    </row>
    <row r="1561" spans="3:29" x14ac:dyDescent="0.35">
      <c r="C1561" s="80">
        <f t="shared" si="104"/>
        <v>1</v>
      </c>
      <c r="K1561" s="65">
        <f t="shared" si="105"/>
        <v>0</v>
      </c>
      <c r="M1561" s="73">
        <f t="shared" si="106"/>
        <v>0</v>
      </c>
      <c r="AC1561" t="str">
        <f t="shared" si="107"/>
        <v>Jan</v>
      </c>
    </row>
    <row r="1562" spans="3:29" x14ac:dyDescent="0.35">
      <c r="C1562" s="80">
        <f t="shared" si="104"/>
        <v>1</v>
      </c>
      <c r="K1562" s="65">
        <f t="shared" si="105"/>
        <v>0</v>
      </c>
      <c r="M1562" s="73">
        <f t="shared" si="106"/>
        <v>0</v>
      </c>
      <c r="AC1562" t="str">
        <f t="shared" si="107"/>
        <v>Jan</v>
      </c>
    </row>
    <row r="1563" spans="3:29" x14ac:dyDescent="0.35">
      <c r="C1563" s="80">
        <f t="shared" si="104"/>
        <v>1</v>
      </c>
      <c r="K1563" s="65">
        <f t="shared" si="105"/>
        <v>0</v>
      </c>
      <c r="M1563" s="73">
        <f t="shared" si="106"/>
        <v>0</v>
      </c>
      <c r="AC1563" t="str">
        <f t="shared" si="107"/>
        <v>Jan</v>
      </c>
    </row>
    <row r="1564" spans="3:29" x14ac:dyDescent="0.35">
      <c r="C1564" s="80">
        <f t="shared" si="104"/>
        <v>1</v>
      </c>
      <c r="K1564" s="65">
        <f t="shared" si="105"/>
        <v>0</v>
      </c>
      <c r="M1564" s="73">
        <f t="shared" si="106"/>
        <v>0</v>
      </c>
      <c r="AC1564" t="str">
        <f t="shared" si="107"/>
        <v>Jan</v>
      </c>
    </row>
    <row r="1565" spans="3:29" x14ac:dyDescent="0.35">
      <c r="C1565" s="80">
        <f t="shared" si="104"/>
        <v>1</v>
      </c>
      <c r="K1565" s="65">
        <f t="shared" si="105"/>
        <v>0</v>
      </c>
      <c r="M1565" s="73">
        <f t="shared" si="106"/>
        <v>0</v>
      </c>
      <c r="AC1565" t="str">
        <f t="shared" si="107"/>
        <v>Jan</v>
      </c>
    </row>
    <row r="1566" spans="3:29" x14ac:dyDescent="0.35">
      <c r="C1566" s="80">
        <f t="shared" si="104"/>
        <v>1</v>
      </c>
      <c r="K1566" s="65">
        <f t="shared" si="105"/>
        <v>0</v>
      </c>
      <c r="M1566" s="73">
        <f t="shared" si="106"/>
        <v>0</v>
      </c>
      <c r="AC1566" t="str">
        <f t="shared" si="107"/>
        <v>Jan</v>
      </c>
    </row>
    <row r="1567" spans="3:29" x14ac:dyDescent="0.35">
      <c r="C1567" s="80">
        <f t="shared" si="104"/>
        <v>1</v>
      </c>
      <c r="K1567" s="65">
        <f t="shared" si="105"/>
        <v>0</v>
      </c>
      <c r="M1567" s="73">
        <f t="shared" si="106"/>
        <v>0</v>
      </c>
      <c r="AC1567" t="str">
        <f t="shared" si="107"/>
        <v>Jan</v>
      </c>
    </row>
    <row r="1568" spans="3:29" x14ac:dyDescent="0.35">
      <c r="C1568" s="80">
        <f t="shared" si="104"/>
        <v>1</v>
      </c>
      <c r="K1568" s="65">
        <f t="shared" si="105"/>
        <v>0</v>
      </c>
      <c r="M1568" s="73">
        <f t="shared" si="106"/>
        <v>0</v>
      </c>
      <c r="AC1568" t="str">
        <f t="shared" si="107"/>
        <v>Jan</v>
      </c>
    </row>
    <row r="1569" spans="3:29" x14ac:dyDescent="0.35">
      <c r="C1569" s="80">
        <f t="shared" si="104"/>
        <v>1</v>
      </c>
      <c r="K1569" s="65">
        <f t="shared" si="105"/>
        <v>0</v>
      </c>
      <c r="M1569" s="73">
        <f t="shared" si="106"/>
        <v>0</v>
      </c>
      <c r="AC1569" t="str">
        <f t="shared" si="107"/>
        <v>Jan</v>
      </c>
    </row>
    <row r="1570" spans="3:29" x14ac:dyDescent="0.35">
      <c r="C1570" s="80">
        <f t="shared" si="104"/>
        <v>1</v>
      </c>
      <c r="K1570" s="65">
        <f t="shared" si="105"/>
        <v>0</v>
      </c>
      <c r="M1570" s="73">
        <f t="shared" si="106"/>
        <v>0</v>
      </c>
      <c r="AC1570" t="str">
        <f t="shared" si="107"/>
        <v>Jan</v>
      </c>
    </row>
    <row r="1571" spans="3:29" x14ac:dyDescent="0.35">
      <c r="C1571" s="80">
        <f t="shared" si="104"/>
        <v>1</v>
      </c>
      <c r="K1571" s="65">
        <f t="shared" si="105"/>
        <v>0</v>
      </c>
      <c r="M1571" s="73">
        <f t="shared" si="106"/>
        <v>0</v>
      </c>
      <c r="AC1571" t="str">
        <f t="shared" si="107"/>
        <v>Jan</v>
      </c>
    </row>
    <row r="1572" spans="3:29" x14ac:dyDescent="0.35">
      <c r="C1572" s="80">
        <f t="shared" si="104"/>
        <v>1</v>
      </c>
      <c r="K1572" s="65">
        <f t="shared" si="105"/>
        <v>0</v>
      </c>
      <c r="M1572" s="73">
        <f t="shared" si="106"/>
        <v>0</v>
      </c>
      <c r="AC1572" t="str">
        <f t="shared" si="107"/>
        <v>Jan</v>
      </c>
    </row>
    <row r="1573" spans="3:29" x14ac:dyDescent="0.35">
      <c r="C1573" s="80">
        <f t="shared" si="104"/>
        <v>1</v>
      </c>
      <c r="K1573" s="65">
        <f t="shared" si="105"/>
        <v>0</v>
      </c>
      <c r="M1573" s="73">
        <f t="shared" si="106"/>
        <v>0</v>
      </c>
      <c r="AC1573" t="str">
        <f t="shared" si="107"/>
        <v>Jan</v>
      </c>
    </row>
    <row r="1574" spans="3:29" x14ac:dyDescent="0.35">
      <c r="C1574" s="80">
        <f t="shared" si="104"/>
        <v>1</v>
      </c>
      <c r="K1574" s="65">
        <f t="shared" si="105"/>
        <v>0</v>
      </c>
      <c r="M1574" s="73">
        <f t="shared" si="106"/>
        <v>0</v>
      </c>
      <c r="AC1574" t="str">
        <f t="shared" si="107"/>
        <v>Jan</v>
      </c>
    </row>
    <row r="1575" spans="3:29" x14ac:dyDescent="0.35">
      <c r="C1575" s="80">
        <f t="shared" si="104"/>
        <v>1</v>
      </c>
      <c r="K1575" s="65">
        <f t="shared" si="105"/>
        <v>0</v>
      </c>
      <c r="M1575" s="73">
        <f t="shared" si="106"/>
        <v>0</v>
      </c>
      <c r="AC1575" t="str">
        <f t="shared" si="107"/>
        <v>Jan</v>
      </c>
    </row>
    <row r="1576" spans="3:29" x14ac:dyDescent="0.35">
      <c r="C1576" s="80">
        <f t="shared" si="104"/>
        <v>1</v>
      </c>
      <c r="K1576" s="65">
        <f t="shared" si="105"/>
        <v>0</v>
      </c>
      <c r="M1576" s="73">
        <f t="shared" si="106"/>
        <v>0</v>
      </c>
      <c r="AC1576" t="str">
        <f t="shared" si="107"/>
        <v>Jan</v>
      </c>
    </row>
    <row r="1577" spans="3:29" x14ac:dyDescent="0.35">
      <c r="C1577" s="80">
        <f t="shared" si="104"/>
        <v>1</v>
      </c>
      <c r="K1577" s="65">
        <f t="shared" si="105"/>
        <v>0</v>
      </c>
      <c r="M1577" s="73">
        <f t="shared" si="106"/>
        <v>0</v>
      </c>
      <c r="AC1577" t="str">
        <f t="shared" si="107"/>
        <v>Jan</v>
      </c>
    </row>
    <row r="1578" spans="3:29" x14ac:dyDescent="0.35">
      <c r="C1578" s="80">
        <f t="shared" si="104"/>
        <v>1</v>
      </c>
      <c r="K1578" s="65">
        <f t="shared" si="105"/>
        <v>0</v>
      </c>
      <c r="M1578" s="73">
        <f t="shared" si="106"/>
        <v>0</v>
      </c>
      <c r="AC1578" t="str">
        <f t="shared" si="107"/>
        <v>Jan</v>
      </c>
    </row>
    <row r="1579" spans="3:29" x14ac:dyDescent="0.35">
      <c r="C1579" s="80">
        <f t="shared" si="104"/>
        <v>1</v>
      </c>
      <c r="K1579" s="65">
        <f t="shared" si="105"/>
        <v>0</v>
      </c>
      <c r="M1579" s="73">
        <f t="shared" si="106"/>
        <v>0</v>
      </c>
      <c r="AC1579" t="str">
        <f t="shared" si="107"/>
        <v>Jan</v>
      </c>
    </row>
    <row r="1580" spans="3:29" x14ac:dyDescent="0.35">
      <c r="C1580" s="80">
        <f t="shared" si="104"/>
        <v>1</v>
      </c>
      <c r="K1580" s="65">
        <f t="shared" si="105"/>
        <v>0</v>
      </c>
      <c r="M1580" s="73">
        <f t="shared" si="106"/>
        <v>0</v>
      </c>
      <c r="AC1580" t="str">
        <f t="shared" si="107"/>
        <v>Jan</v>
      </c>
    </row>
    <row r="1581" spans="3:29" x14ac:dyDescent="0.35">
      <c r="C1581" s="80">
        <f t="shared" si="104"/>
        <v>1</v>
      </c>
      <c r="K1581" s="65">
        <f t="shared" si="105"/>
        <v>0</v>
      </c>
      <c r="M1581" s="73">
        <f t="shared" si="106"/>
        <v>0</v>
      </c>
      <c r="AC1581" t="str">
        <f t="shared" si="107"/>
        <v>Jan</v>
      </c>
    </row>
    <row r="1582" spans="3:29" x14ac:dyDescent="0.35">
      <c r="C1582" s="80">
        <f t="shared" si="104"/>
        <v>1</v>
      </c>
      <c r="K1582" s="65">
        <f t="shared" si="105"/>
        <v>0</v>
      </c>
      <c r="M1582" s="73">
        <f t="shared" si="106"/>
        <v>0</v>
      </c>
      <c r="AC1582" t="str">
        <f t="shared" si="107"/>
        <v>Jan</v>
      </c>
    </row>
    <row r="1583" spans="3:29" x14ac:dyDescent="0.35">
      <c r="C1583" s="80">
        <f t="shared" si="104"/>
        <v>1</v>
      </c>
      <c r="K1583" s="65">
        <f t="shared" si="105"/>
        <v>0</v>
      </c>
      <c r="M1583" s="73">
        <f t="shared" si="106"/>
        <v>0</v>
      </c>
      <c r="AC1583" t="str">
        <f t="shared" si="107"/>
        <v>Jan</v>
      </c>
    </row>
    <row r="1584" spans="3:29" x14ac:dyDescent="0.35">
      <c r="C1584" s="80">
        <f t="shared" si="104"/>
        <v>1</v>
      </c>
      <c r="K1584" s="65">
        <f t="shared" si="105"/>
        <v>0</v>
      </c>
      <c r="M1584" s="73">
        <f t="shared" si="106"/>
        <v>0</v>
      </c>
      <c r="AC1584" t="str">
        <f t="shared" si="107"/>
        <v>Jan</v>
      </c>
    </row>
    <row r="1585" spans="3:29" x14ac:dyDescent="0.35">
      <c r="C1585" s="80">
        <f t="shared" si="104"/>
        <v>1</v>
      </c>
      <c r="K1585" s="65">
        <f t="shared" si="105"/>
        <v>0</v>
      </c>
      <c r="M1585" s="73">
        <f t="shared" si="106"/>
        <v>0</v>
      </c>
      <c r="AC1585" t="str">
        <f t="shared" si="107"/>
        <v>Jan</v>
      </c>
    </row>
    <row r="1586" spans="3:29" x14ac:dyDescent="0.35">
      <c r="C1586" s="80">
        <f t="shared" si="104"/>
        <v>1</v>
      </c>
      <c r="K1586" s="65">
        <f t="shared" si="105"/>
        <v>0</v>
      </c>
      <c r="M1586" s="73">
        <f t="shared" si="106"/>
        <v>0</v>
      </c>
      <c r="AC1586" t="str">
        <f t="shared" si="107"/>
        <v>Jan</v>
      </c>
    </row>
    <row r="1587" spans="3:29" x14ac:dyDescent="0.35">
      <c r="C1587" s="80">
        <f t="shared" si="104"/>
        <v>1</v>
      </c>
      <c r="K1587" s="65">
        <f t="shared" si="105"/>
        <v>0</v>
      </c>
      <c r="M1587" s="73">
        <f t="shared" si="106"/>
        <v>0</v>
      </c>
      <c r="AC1587" t="str">
        <f t="shared" si="107"/>
        <v>Jan</v>
      </c>
    </row>
    <row r="1588" spans="3:29" x14ac:dyDescent="0.35">
      <c r="C1588" s="80">
        <f t="shared" si="104"/>
        <v>1</v>
      </c>
      <c r="K1588" s="65">
        <f t="shared" si="105"/>
        <v>0</v>
      </c>
      <c r="M1588" s="73">
        <f t="shared" si="106"/>
        <v>0</v>
      </c>
      <c r="AC1588" t="str">
        <f t="shared" si="107"/>
        <v>Jan</v>
      </c>
    </row>
    <row r="1589" spans="3:29" x14ac:dyDescent="0.35">
      <c r="C1589" s="80">
        <f t="shared" si="104"/>
        <v>1</v>
      </c>
      <c r="K1589" s="65">
        <f t="shared" si="105"/>
        <v>0</v>
      </c>
      <c r="M1589" s="73">
        <f t="shared" si="106"/>
        <v>0</v>
      </c>
      <c r="AC1589" t="str">
        <f t="shared" si="107"/>
        <v>Jan</v>
      </c>
    </row>
    <row r="1590" spans="3:29" x14ac:dyDescent="0.35">
      <c r="C1590" s="80">
        <f t="shared" si="104"/>
        <v>1</v>
      </c>
      <c r="K1590" s="65">
        <f t="shared" si="105"/>
        <v>0</v>
      </c>
      <c r="M1590" s="73">
        <f t="shared" si="106"/>
        <v>0</v>
      </c>
      <c r="AC1590" t="str">
        <f t="shared" si="107"/>
        <v>Jan</v>
      </c>
    </row>
    <row r="1591" spans="3:29" x14ac:dyDescent="0.35">
      <c r="C1591" s="80">
        <f t="shared" si="104"/>
        <v>1</v>
      </c>
      <c r="K1591" s="65">
        <f t="shared" si="105"/>
        <v>0</v>
      </c>
      <c r="M1591" s="73">
        <f t="shared" si="106"/>
        <v>0</v>
      </c>
      <c r="AC1591" t="str">
        <f t="shared" si="107"/>
        <v>Jan</v>
      </c>
    </row>
    <row r="1592" spans="3:29" x14ac:dyDescent="0.35">
      <c r="C1592" s="80">
        <f t="shared" si="104"/>
        <v>1</v>
      </c>
      <c r="K1592" s="65">
        <f t="shared" si="105"/>
        <v>0</v>
      </c>
      <c r="M1592" s="73">
        <f t="shared" si="106"/>
        <v>0</v>
      </c>
      <c r="AC1592" t="str">
        <f t="shared" si="107"/>
        <v>Jan</v>
      </c>
    </row>
    <row r="1593" spans="3:29" x14ac:dyDescent="0.35">
      <c r="C1593" s="80">
        <f t="shared" si="104"/>
        <v>1</v>
      </c>
      <c r="K1593" s="65">
        <f t="shared" si="105"/>
        <v>0</v>
      </c>
      <c r="M1593" s="73">
        <f t="shared" si="106"/>
        <v>0</v>
      </c>
      <c r="AC1593" t="str">
        <f t="shared" si="107"/>
        <v>Jan</v>
      </c>
    </row>
    <row r="1594" spans="3:29" x14ac:dyDescent="0.35">
      <c r="C1594" s="80">
        <f t="shared" si="104"/>
        <v>1</v>
      </c>
      <c r="K1594" s="65">
        <f t="shared" si="105"/>
        <v>0</v>
      </c>
      <c r="M1594" s="73">
        <f t="shared" si="106"/>
        <v>0</v>
      </c>
      <c r="AC1594" t="str">
        <f t="shared" si="107"/>
        <v>Jan</v>
      </c>
    </row>
    <row r="1595" spans="3:29" x14ac:dyDescent="0.35">
      <c r="C1595" s="80">
        <f t="shared" si="104"/>
        <v>1</v>
      </c>
      <c r="K1595" s="65">
        <f t="shared" si="105"/>
        <v>0</v>
      </c>
      <c r="M1595" s="73">
        <f t="shared" si="106"/>
        <v>0</v>
      </c>
      <c r="AC1595" t="str">
        <f t="shared" si="107"/>
        <v>Jan</v>
      </c>
    </row>
    <row r="1596" spans="3:29" x14ac:dyDescent="0.35">
      <c r="C1596" s="80">
        <f t="shared" si="104"/>
        <v>1</v>
      </c>
      <c r="K1596" s="65">
        <f t="shared" si="105"/>
        <v>0</v>
      </c>
      <c r="M1596" s="73">
        <f t="shared" si="106"/>
        <v>0</v>
      </c>
      <c r="AC1596" t="str">
        <f t="shared" si="107"/>
        <v>Jan</v>
      </c>
    </row>
    <row r="1597" spans="3:29" x14ac:dyDescent="0.35">
      <c r="C1597" s="80">
        <f t="shared" si="104"/>
        <v>1</v>
      </c>
      <c r="K1597" s="65">
        <f t="shared" si="105"/>
        <v>0</v>
      </c>
      <c r="M1597" s="73">
        <f t="shared" si="106"/>
        <v>0</v>
      </c>
      <c r="AC1597" t="str">
        <f t="shared" si="107"/>
        <v>Jan</v>
      </c>
    </row>
    <row r="1598" spans="3:29" x14ac:dyDescent="0.35">
      <c r="C1598" s="80">
        <f t="shared" si="104"/>
        <v>1</v>
      </c>
      <c r="K1598" s="65">
        <f t="shared" si="105"/>
        <v>0</v>
      </c>
      <c r="M1598" s="73">
        <f t="shared" si="106"/>
        <v>0</v>
      </c>
      <c r="AC1598" t="str">
        <f t="shared" si="107"/>
        <v>Jan</v>
      </c>
    </row>
    <row r="1599" spans="3:29" x14ac:dyDescent="0.35">
      <c r="C1599" s="80">
        <f t="shared" si="104"/>
        <v>1</v>
      </c>
      <c r="K1599" s="65">
        <f t="shared" si="105"/>
        <v>0</v>
      </c>
      <c r="M1599" s="73">
        <f t="shared" si="106"/>
        <v>0</v>
      </c>
      <c r="AC1599" t="str">
        <f t="shared" si="107"/>
        <v>Jan</v>
      </c>
    </row>
    <row r="1600" spans="3:29" x14ac:dyDescent="0.35">
      <c r="C1600" s="80">
        <f t="shared" si="104"/>
        <v>1</v>
      </c>
      <c r="K1600" s="65">
        <f t="shared" si="105"/>
        <v>0</v>
      </c>
      <c r="M1600" s="73">
        <f t="shared" si="106"/>
        <v>0</v>
      </c>
      <c r="AC1600" t="str">
        <f t="shared" si="107"/>
        <v>Jan</v>
      </c>
    </row>
    <row r="1601" spans="3:29" x14ac:dyDescent="0.35">
      <c r="C1601" s="80">
        <f t="shared" si="104"/>
        <v>1</v>
      </c>
      <c r="K1601" s="65">
        <f t="shared" si="105"/>
        <v>0</v>
      </c>
      <c r="M1601" s="73">
        <f t="shared" si="106"/>
        <v>0</v>
      </c>
      <c r="AC1601" t="str">
        <f t="shared" si="107"/>
        <v>Jan</v>
      </c>
    </row>
    <row r="1602" spans="3:29" x14ac:dyDescent="0.35">
      <c r="C1602" s="80">
        <f t="shared" si="104"/>
        <v>1</v>
      </c>
      <c r="K1602" s="65">
        <f t="shared" si="105"/>
        <v>0</v>
      </c>
      <c r="M1602" s="73">
        <f t="shared" si="106"/>
        <v>0</v>
      </c>
      <c r="AC1602" t="str">
        <f t="shared" si="107"/>
        <v>Jan</v>
      </c>
    </row>
    <row r="1603" spans="3:29" x14ac:dyDescent="0.35">
      <c r="C1603" s="80">
        <f t="shared" si="104"/>
        <v>1</v>
      </c>
      <c r="K1603" s="65">
        <f t="shared" si="105"/>
        <v>0</v>
      </c>
      <c r="M1603" s="73">
        <f t="shared" si="106"/>
        <v>0</v>
      </c>
      <c r="AC1603" t="str">
        <f t="shared" si="107"/>
        <v>Jan</v>
      </c>
    </row>
    <row r="1604" spans="3:29" x14ac:dyDescent="0.35">
      <c r="C1604" s="80">
        <f t="shared" si="104"/>
        <v>1</v>
      </c>
      <c r="K1604" s="65">
        <f t="shared" si="105"/>
        <v>0</v>
      </c>
      <c r="M1604" s="73">
        <f t="shared" si="106"/>
        <v>0</v>
      </c>
      <c r="AC1604" t="str">
        <f t="shared" si="107"/>
        <v>Jan</v>
      </c>
    </row>
    <row r="1605" spans="3:29" x14ac:dyDescent="0.35">
      <c r="C1605" s="80">
        <f t="shared" si="104"/>
        <v>1</v>
      </c>
      <c r="K1605" s="65">
        <f t="shared" si="105"/>
        <v>0</v>
      </c>
      <c r="M1605" s="73">
        <f t="shared" si="106"/>
        <v>0</v>
      </c>
      <c r="AC1605" t="str">
        <f t="shared" si="107"/>
        <v>Jan</v>
      </c>
    </row>
    <row r="1606" spans="3:29" x14ac:dyDescent="0.35">
      <c r="C1606" s="80">
        <f t="shared" ref="C1606:C1669" si="108">MONTH(B1606)</f>
        <v>1</v>
      </c>
      <c r="K1606" s="65">
        <f t="shared" ref="K1606:K1669" si="109">I1606*J1606</f>
        <v>0</v>
      </c>
      <c r="M1606" s="73">
        <f t="shared" ref="M1606:M1669" si="110">K1606-L1606</f>
        <v>0</v>
      </c>
      <c r="AC1606" t="str">
        <f t="shared" si="107"/>
        <v>Jan</v>
      </c>
    </row>
    <row r="1607" spans="3:29" x14ac:dyDescent="0.35">
      <c r="C1607" s="80">
        <f t="shared" si="108"/>
        <v>1</v>
      </c>
      <c r="K1607" s="65">
        <f t="shared" si="109"/>
        <v>0</v>
      </c>
      <c r="M1607" s="73">
        <f t="shared" si="110"/>
        <v>0</v>
      </c>
      <c r="AC1607" t="str">
        <f t="shared" ref="AC1607:AC1670" si="111">IFERROR(INDEX(AA:AA,MATCH(C1607,Z:Z,0)),"")</f>
        <v>Jan</v>
      </c>
    </row>
    <row r="1608" spans="3:29" x14ac:dyDescent="0.35">
      <c r="C1608" s="80">
        <f t="shared" si="108"/>
        <v>1</v>
      </c>
      <c r="K1608" s="65">
        <f t="shared" si="109"/>
        <v>0</v>
      </c>
      <c r="M1608" s="73">
        <f t="shared" si="110"/>
        <v>0</v>
      </c>
      <c r="AC1608" t="str">
        <f t="shared" si="111"/>
        <v>Jan</v>
      </c>
    </row>
    <row r="1609" spans="3:29" x14ac:dyDescent="0.35">
      <c r="C1609" s="80">
        <f t="shared" si="108"/>
        <v>1</v>
      </c>
      <c r="K1609" s="65">
        <f t="shared" si="109"/>
        <v>0</v>
      </c>
      <c r="M1609" s="73">
        <f t="shared" si="110"/>
        <v>0</v>
      </c>
      <c r="AC1609" t="str">
        <f t="shared" si="111"/>
        <v>Jan</v>
      </c>
    </row>
    <row r="1610" spans="3:29" x14ac:dyDescent="0.35">
      <c r="C1610" s="80">
        <f t="shared" si="108"/>
        <v>1</v>
      </c>
      <c r="K1610" s="65">
        <f t="shared" si="109"/>
        <v>0</v>
      </c>
      <c r="M1610" s="73">
        <f t="shared" si="110"/>
        <v>0</v>
      </c>
      <c r="AC1610" t="str">
        <f t="shared" si="111"/>
        <v>Jan</v>
      </c>
    </row>
    <row r="1611" spans="3:29" x14ac:dyDescent="0.35">
      <c r="C1611" s="80">
        <f t="shared" si="108"/>
        <v>1</v>
      </c>
      <c r="K1611" s="65">
        <f t="shared" si="109"/>
        <v>0</v>
      </c>
      <c r="M1611" s="73">
        <f t="shared" si="110"/>
        <v>0</v>
      </c>
      <c r="AC1611" t="str">
        <f t="shared" si="111"/>
        <v>Jan</v>
      </c>
    </row>
    <row r="1612" spans="3:29" x14ac:dyDescent="0.35">
      <c r="C1612" s="80">
        <f t="shared" si="108"/>
        <v>1</v>
      </c>
      <c r="K1612" s="65">
        <f t="shared" si="109"/>
        <v>0</v>
      </c>
      <c r="M1612" s="73">
        <f t="shared" si="110"/>
        <v>0</v>
      </c>
      <c r="AC1612" t="str">
        <f t="shared" si="111"/>
        <v>Jan</v>
      </c>
    </row>
    <row r="1613" spans="3:29" x14ac:dyDescent="0.35">
      <c r="C1613" s="80">
        <f t="shared" si="108"/>
        <v>1</v>
      </c>
      <c r="K1613" s="65">
        <f t="shared" si="109"/>
        <v>0</v>
      </c>
      <c r="M1613" s="73">
        <f t="shared" si="110"/>
        <v>0</v>
      </c>
      <c r="AC1613" t="str">
        <f t="shared" si="111"/>
        <v>Jan</v>
      </c>
    </row>
    <row r="1614" spans="3:29" x14ac:dyDescent="0.35">
      <c r="C1614" s="80">
        <f t="shared" si="108"/>
        <v>1</v>
      </c>
      <c r="K1614" s="65">
        <f t="shared" si="109"/>
        <v>0</v>
      </c>
      <c r="M1614" s="73">
        <f t="shared" si="110"/>
        <v>0</v>
      </c>
      <c r="AC1614" t="str">
        <f t="shared" si="111"/>
        <v>Jan</v>
      </c>
    </row>
    <row r="1615" spans="3:29" x14ac:dyDescent="0.35">
      <c r="C1615" s="80">
        <f t="shared" si="108"/>
        <v>1</v>
      </c>
      <c r="K1615" s="65">
        <f t="shared" si="109"/>
        <v>0</v>
      </c>
      <c r="M1615" s="73">
        <f t="shared" si="110"/>
        <v>0</v>
      </c>
      <c r="AC1615" t="str">
        <f t="shared" si="111"/>
        <v>Jan</v>
      </c>
    </row>
    <row r="1616" spans="3:29" x14ac:dyDescent="0.35">
      <c r="C1616" s="80">
        <f t="shared" si="108"/>
        <v>1</v>
      </c>
      <c r="K1616" s="65">
        <f t="shared" si="109"/>
        <v>0</v>
      </c>
      <c r="M1616" s="73">
        <f t="shared" si="110"/>
        <v>0</v>
      </c>
      <c r="AC1616" t="str">
        <f t="shared" si="111"/>
        <v>Jan</v>
      </c>
    </row>
    <row r="1617" spans="3:29" x14ac:dyDescent="0.35">
      <c r="C1617" s="80">
        <f t="shared" si="108"/>
        <v>1</v>
      </c>
      <c r="K1617" s="65">
        <f t="shared" si="109"/>
        <v>0</v>
      </c>
      <c r="M1617" s="73">
        <f t="shared" si="110"/>
        <v>0</v>
      </c>
      <c r="AC1617" t="str">
        <f t="shared" si="111"/>
        <v>Jan</v>
      </c>
    </row>
    <row r="1618" spans="3:29" x14ac:dyDescent="0.35">
      <c r="C1618" s="80">
        <f t="shared" si="108"/>
        <v>1</v>
      </c>
      <c r="K1618" s="65">
        <f t="shared" si="109"/>
        <v>0</v>
      </c>
      <c r="M1618" s="73">
        <f t="shared" si="110"/>
        <v>0</v>
      </c>
      <c r="AC1618" t="str">
        <f t="shared" si="111"/>
        <v>Jan</v>
      </c>
    </row>
    <row r="1619" spans="3:29" x14ac:dyDescent="0.35">
      <c r="C1619" s="80">
        <f t="shared" si="108"/>
        <v>1</v>
      </c>
      <c r="K1619" s="65">
        <f t="shared" si="109"/>
        <v>0</v>
      </c>
      <c r="M1619" s="73">
        <f t="shared" si="110"/>
        <v>0</v>
      </c>
      <c r="AC1619" t="str">
        <f t="shared" si="111"/>
        <v>Jan</v>
      </c>
    </row>
    <row r="1620" spans="3:29" x14ac:dyDescent="0.35">
      <c r="C1620" s="80">
        <f t="shared" si="108"/>
        <v>1</v>
      </c>
      <c r="K1620" s="65">
        <f t="shared" si="109"/>
        <v>0</v>
      </c>
      <c r="M1620" s="73">
        <f t="shared" si="110"/>
        <v>0</v>
      </c>
      <c r="AC1620" t="str">
        <f t="shared" si="111"/>
        <v>Jan</v>
      </c>
    </row>
    <row r="1621" spans="3:29" x14ac:dyDescent="0.35">
      <c r="C1621" s="80">
        <f t="shared" si="108"/>
        <v>1</v>
      </c>
      <c r="K1621" s="65">
        <f t="shared" si="109"/>
        <v>0</v>
      </c>
      <c r="M1621" s="73">
        <f t="shared" si="110"/>
        <v>0</v>
      </c>
      <c r="AC1621" t="str">
        <f t="shared" si="111"/>
        <v>Jan</v>
      </c>
    </row>
    <row r="1622" spans="3:29" x14ac:dyDescent="0.35">
      <c r="C1622" s="80">
        <f t="shared" si="108"/>
        <v>1</v>
      </c>
      <c r="K1622" s="65">
        <f t="shared" si="109"/>
        <v>0</v>
      </c>
      <c r="M1622" s="73">
        <f t="shared" si="110"/>
        <v>0</v>
      </c>
      <c r="AC1622" t="str">
        <f t="shared" si="111"/>
        <v>Jan</v>
      </c>
    </row>
    <row r="1623" spans="3:29" x14ac:dyDescent="0.35">
      <c r="C1623" s="80">
        <f t="shared" si="108"/>
        <v>1</v>
      </c>
      <c r="K1623" s="65">
        <f t="shared" si="109"/>
        <v>0</v>
      </c>
      <c r="M1623" s="73">
        <f t="shared" si="110"/>
        <v>0</v>
      </c>
      <c r="AC1623" t="str">
        <f t="shared" si="111"/>
        <v>Jan</v>
      </c>
    </row>
    <row r="1624" spans="3:29" x14ac:dyDescent="0.35">
      <c r="C1624" s="80">
        <f t="shared" si="108"/>
        <v>1</v>
      </c>
      <c r="K1624" s="65">
        <f t="shared" si="109"/>
        <v>0</v>
      </c>
      <c r="M1624" s="73">
        <f t="shared" si="110"/>
        <v>0</v>
      </c>
      <c r="AC1624" t="str">
        <f t="shared" si="111"/>
        <v>Jan</v>
      </c>
    </row>
    <row r="1625" spans="3:29" x14ac:dyDescent="0.35">
      <c r="C1625" s="80">
        <f t="shared" si="108"/>
        <v>1</v>
      </c>
      <c r="K1625" s="65">
        <f t="shared" si="109"/>
        <v>0</v>
      </c>
      <c r="M1625" s="73">
        <f t="shared" si="110"/>
        <v>0</v>
      </c>
      <c r="AC1625" t="str">
        <f t="shared" si="111"/>
        <v>Jan</v>
      </c>
    </row>
    <row r="1626" spans="3:29" x14ac:dyDescent="0.35">
      <c r="C1626" s="80">
        <f t="shared" si="108"/>
        <v>1</v>
      </c>
      <c r="K1626" s="65">
        <f t="shared" si="109"/>
        <v>0</v>
      </c>
      <c r="M1626" s="73">
        <f t="shared" si="110"/>
        <v>0</v>
      </c>
      <c r="AC1626" t="str">
        <f t="shared" si="111"/>
        <v>Jan</v>
      </c>
    </row>
    <row r="1627" spans="3:29" x14ac:dyDescent="0.35">
      <c r="C1627" s="80">
        <f t="shared" si="108"/>
        <v>1</v>
      </c>
      <c r="K1627" s="65">
        <f t="shared" si="109"/>
        <v>0</v>
      </c>
      <c r="M1627" s="73">
        <f t="shared" si="110"/>
        <v>0</v>
      </c>
      <c r="AC1627" t="str">
        <f t="shared" si="111"/>
        <v>Jan</v>
      </c>
    </row>
    <row r="1628" spans="3:29" x14ac:dyDescent="0.35">
      <c r="C1628" s="80">
        <f t="shared" si="108"/>
        <v>1</v>
      </c>
      <c r="K1628" s="65">
        <f t="shared" si="109"/>
        <v>0</v>
      </c>
      <c r="M1628" s="73">
        <f t="shared" si="110"/>
        <v>0</v>
      </c>
      <c r="AC1628" t="str">
        <f t="shared" si="111"/>
        <v>Jan</v>
      </c>
    </row>
    <row r="1629" spans="3:29" x14ac:dyDescent="0.35">
      <c r="C1629" s="80">
        <f t="shared" si="108"/>
        <v>1</v>
      </c>
      <c r="K1629" s="65">
        <f t="shared" si="109"/>
        <v>0</v>
      </c>
      <c r="M1629" s="73">
        <f t="shared" si="110"/>
        <v>0</v>
      </c>
      <c r="AC1629" t="str">
        <f t="shared" si="111"/>
        <v>Jan</v>
      </c>
    </row>
    <row r="1630" spans="3:29" x14ac:dyDescent="0.35">
      <c r="C1630" s="80">
        <f t="shared" si="108"/>
        <v>1</v>
      </c>
      <c r="K1630" s="65">
        <f t="shared" si="109"/>
        <v>0</v>
      </c>
      <c r="M1630" s="73">
        <f t="shared" si="110"/>
        <v>0</v>
      </c>
      <c r="AC1630" t="str">
        <f t="shared" si="111"/>
        <v>Jan</v>
      </c>
    </row>
    <row r="1631" spans="3:29" x14ac:dyDescent="0.35">
      <c r="C1631" s="80">
        <f t="shared" si="108"/>
        <v>1</v>
      </c>
      <c r="K1631" s="65">
        <f t="shared" si="109"/>
        <v>0</v>
      </c>
      <c r="M1631" s="73">
        <f t="shared" si="110"/>
        <v>0</v>
      </c>
      <c r="AC1631" t="str">
        <f t="shared" si="111"/>
        <v>Jan</v>
      </c>
    </row>
    <row r="1632" spans="3:29" x14ac:dyDescent="0.35">
      <c r="C1632" s="80">
        <f t="shared" si="108"/>
        <v>1</v>
      </c>
      <c r="K1632" s="65">
        <f t="shared" si="109"/>
        <v>0</v>
      </c>
      <c r="M1632" s="73">
        <f t="shared" si="110"/>
        <v>0</v>
      </c>
      <c r="AC1632" t="str">
        <f t="shared" si="111"/>
        <v>Jan</v>
      </c>
    </row>
    <row r="1633" spans="3:29" x14ac:dyDescent="0.35">
      <c r="C1633" s="80">
        <f t="shared" si="108"/>
        <v>1</v>
      </c>
      <c r="K1633" s="65">
        <f t="shared" si="109"/>
        <v>0</v>
      </c>
      <c r="M1633" s="73">
        <f t="shared" si="110"/>
        <v>0</v>
      </c>
      <c r="AC1633" t="str">
        <f t="shared" si="111"/>
        <v>Jan</v>
      </c>
    </row>
    <row r="1634" spans="3:29" x14ac:dyDescent="0.35">
      <c r="C1634" s="80">
        <f t="shared" si="108"/>
        <v>1</v>
      </c>
      <c r="K1634" s="65">
        <f t="shared" si="109"/>
        <v>0</v>
      </c>
      <c r="M1634" s="73">
        <f t="shared" si="110"/>
        <v>0</v>
      </c>
      <c r="AC1634" t="str">
        <f t="shared" si="111"/>
        <v>Jan</v>
      </c>
    </row>
    <row r="1635" spans="3:29" x14ac:dyDescent="0.35">
      <c r="C1635" s="80">
        <f t="shared" si="108"/>
        <v>1</v>
      </c>
      <c r="K1635" s="65">
        <f t="shared" si="109"/>
        <v>0</v>
      </c>
      <c r="M1635" s="73">
        <f t="shared" si="110"/>
        <v>0</v>
      </c>
      <c r="AC1635" t="str">
        <f t="shared" si="111"/>
        <v>Jan</v>
      </c>
    </row>
    <row r="1636" spans="3:29" x14ac:dyDescent="0.35">
      <c r="C1636" s="80">
        <f t="shared" si="108"/>
        <v>1</v>
      </c>
      <c r="K1636" s="65">
        <f t="shared" si="109"/>
        <v>0</v>
      </c>
      <c r="M1636" s="73">
        <f t="shared" si="110"/>
        <v>0</v>
      </c>
      <c r="AC1636" t="str">
        <f t="shared" si="111"/>
        <v>Jan</v>
      </c>
    </row>
    <row r="1637" spans="3:29" x14ac:dyDescent="0.35">
      <c r="C1637" s="80">
        <f t="shared" si="108"/>
        <v>1</v>
      </c>
      <c r="K1637" s="65">
        <f t="shared" si="109"/>
        <v>0</v>
      </c>
      <c r="M1637" s="73">
        <f t="shared" si="110"/>
        <v>0</v>
      </c>
      <c r="AC1637" t="str">
        <f t="shared" si="111"/>
        <v>Jan</v>
      </c>
    </row>
    <row r="1638" spans="3:29" x14ac:dyDescent="0.35">
      <c r="C1638" s="80">
        <f t="shared" si="108"/>
        <v>1</v>
      </c>
      <c r="K1638" s="65">
        <f t="shared" si="109"/>
        <v>0</v>
      </c>
      <c r="M1638" s="73">
        <f t="shared" si="110"/>
        <v>0</v>
      </c>
      <c r="AC1638" t="str">
        <f t="shared" si="111"/>
        <v>Jan</v>
      </c>
    </row>
    <row r="1639" spans="3:29" x14ac:dyDescent="0.35">
      <c r="C1639" s="80">
        <f t="shared" si="108"/>
        <v>1</v>
      </c>
      <c r="K1639" s="65">
        <f t="shared" si="109"/>
        <v>0</v>
      </c>
      <c r="M1639" s="73">
        <f t="shared" si="110"/>
        <v>0</v>
      </c>
      <c r="AC1639" t="str">
        <f t="shared" si="111"/>
        <v>Jan</v>
      </c>
    </row>
    <row r="1640" spans="3:29" x14ac:dyDescent="0.35">
      <c r="C1640" s="80">
        <f t="shared" si="108"/>
        <v>1</v>
      </c>
      <c r="K1640" s="65">
        <f t="shared" si="109"/>
        <v>0</v>
      </c>
      <c r="M1640" s="73">
        <f t="shared" si="110"/>
        <v>0</v>
      </c>
      <c r="AC1640" t="str">
        <f t="shared" si="111"/>
        <v>Jan</v>
      </c>
    </row>
    <row r="1641" spans="3:29" x14ac:dyDescent="0.35">
      <c r="C1641" s="80">
        <f t="shared" si="108"/>
        <v>1</v>
      </c>
      <c r="K1641" s="65">
        <f t="shared" si="109"/>
        <v>0</v>
      </c>
      <c r="M1641" s="73">
        <f t="shared" si="110"/>
        <v>0</v>
      </c>
      <c r="AC1641" t="str">
        <f t="shared" si="111"/>
        <v>Jan</v>
      </c>
    </row>
    <row r="1642" spans="3:29" x14ac:dyDescent="0.35">
      <c r="C1642" s="80">
        <f t="shared" si="108"/>
        <v>1</v>
      </c>
      <c r="K1642" s="65">
        <f t="shared" si="109"/>
        <v>0</v>
      </c>
      <c r="M1642" s="73">
        <f t="shared" si="110"/>
        <v>0</v>
      </c>
      <c r="AC1642" t="str">
        <f t="shared" si="111"/>
        <v>Jan</v>
      </c>
    </row>
    <row r="1643" spans="3:29" x14ac:dyDescent="0.35">
      <c r="C1643" s="80">
        <f t="shared" si="108"/>
        <v>1</v>
      </c>
      <c r="K1643" s="65">
        <f t="shared" si="109"/>
        <v>0</v>
      </c>
      <c r="M1643" s="73">
        <f t="shared" si="110"/>
        <v>0</v>
      </c>
      <c r="AC1643" t="str">
        <f t="shared" si="111"/>
        <v>Jan</v>
      </c>
    </row>
    <row r="1644" spans="3:29" x14ac:dyDescent="0.35">
      <c r="C1644" s="80">
        <f t="shared" si="108"/>
        <v>1</v>
      </c>
      <c r="K1644" s="65">
        <f t="shared" si="109"/>
        <v>0</v>
      </c>
      <c r="M1644" s="73">
        <f t="shared" si="110"/>
        <v>0</v>
      </c>
      <c r="AC1644" t="str">
        <f t="shared" si="111"/>
        <v>Jan</v>
      </c>
    </row>
    <row r="1645" spans="3:29" x14ac:dyDescent="0.35">
      <c r="C1645" s="80">
        <f t="shared" si="108"/>
        <v>1</v>
      </c>
      <c r="K1645" s="65">
        <f t="shared" si="109"/>
        <v>0</v>
      </c>
      <c r="M1645" s="73">
        <f t="shared" si="110"/>
        <v>0</v>
      </c>
      <c r="AC1645" t="str">
        <f t="shared" si="111"/>
        <v>Jan</v>
      </c>
    </row>
    <row r="1646" spans="3:29" x14ac:dyDescent="0.35">
      <c r="C1646" s="80">
        <f t="shared" si="108"/>
        <v>1</v>
      </c>
      <c r="K1646" s="65">
        <f t="shared" si="109"/>
        <v>0</v>
      </c>
      <c r="M1646" s="73">
        <f t="shared" si="110"/>
        <v>0</v>
      </c>
      <c r="AC1646" t="str">
        <f t="shared" si="111"/>
        <v>Jan</v>
      </c>
    </row>
    <row r="1647" spans="3:29" x14ac:dyDescent="0.35">
      <c r="C1647" s="80">
        <f t="shared" si="108"/>
        <v>1</v>
      </c>
      <c r="K1647" s="65">
        <f t="shared" si="109"/>
        <v>0</v>
      </c>
      <c r="M1647" s="73">
        <f t="shared" si="110"/>
        <v>0</v>
      </c>
      <c r="AC1647" t="str">
        <f t="shared" si="111"/>
        <v>Jan</v>
      </c>
    </row>
    <row r="1648" spans="3:29" x14ac:dyDescent="0.35">
      <c r="C1648" s="80">
        <f t="shared" si="108"/>
        <v>1</v>
      </c>
      <c r="K1648" s="65">
        <f t="shared" si="109"/>
        <v>0</v>
      </c>
      <c r="M1648" s="73">
        <f t="shared" si="110"/>
        <v>0</v>
      </c>
      <c r="AC1648" t="str">
        <f t="shared" si="111"/>
        <v>Jan</v>
      </c>
    </row>
    <row r="1649" spans="3:29" x14ac:dyDescent="0.35">
      <c r="C1649" s="80">
        <f t="shared" si="108"/>
        <v>1</v>
      </c>
      <c r="K1649" s="65">
        <f t="shared" si="109"/>
        <v>0</v>
      </c>
      <c r="M1649" s="73">
        <f t="shared" si="110"/>
        <v>0</v>
      </c>
      <c r="AC1649" t="str">
        <f t="shared" si="111"/>
        <v>Jan</v>
      </c>
    </row>
    <row r="1650" spans="3:29" x14ac:dyDescent="0.35">
      <c r="C1650" s="80">
        <f t="shared" si="108"/>
        <v>1</v>
      </c>
      <c r="K1650" s="65">
        <f t="shared" si="109"/>
        <v>0</v>
      </c>
      <c r="M1650" s="73">
        <f t="shared" si="110"/>
        <v>0</v>
      </c>
      <c r="AC1650" t="str">
        <f t="shared" si="111"/>
        <v>Jan</v>
      </c>
    </row>
    <row r="1651" spans="3:29" x14ac:dyDescent="0.35">
      <c r="C1651" s="80">
        <f t="shared" si="108"/>
        <v>1</v>
      </c>
      <c r="K1651" s="65">
        <f t="shared" si="109"/>
        <v>0</v>
      </c>
      <c r="M1651" s="73">
        <f t="shared" si="110"/>
        <v>0</v>
      </c>
      <c r="AC1651" t="str">
        <f t="shared" si="111"/>
        <v>Jan</v>
      </c>
    </row>
    <row r="1652" spans="3:29" x14ac:dyDescent="0.35">
      <c r="C1652" s="80">
        <f t="shared" si="108"/>
        <v>1</v>
      </c>
      <c r="K1652" s="65">
        <f t="shared" si="109"/>
        <v>0</v>
      </c>
      <c r="M1652" s="73">
        <f t="shared" si="110"/>
        <v>0</v>
      </c>
      <c r="AC1652" t="str">
        <f t="shared" si="111"/>
        <v>Jan</v>
      </c>
    </row>
    <row r="1653" spans="3:29" x14ac:dyDescent="0.35">
      <c r="C1653" s="80">
        <f t="shared" si="108"/>
        <v>1</v>
      </c>
      <c r="K1653" s="65">
        <f t="shared" si="109"/>
        <v>0</v>
      </c>
      <c r="M1653" s="73">
        <f t="shared" si="110"/>
        <v>0</v>
      </c>
      <c r="AC1653" t="str">
        <f t="shared" si="111"/>
        <v>Jan</v>
      </c>
    </row>
    <row r="1654" spans="3:29" x14ac:dyDescent="0.35">
      <c r="C1654" s="80">
        <f t="shared" si="108"/>
        <v>1</v>
      </c>
      <c r="K1654" s="65">
        <f t="shared" si="109"/>
        <v>0</v>
      </c>
      <c r="M1654" s="73">
        <f t="shared" si="110"/>
        <v>0</v>
      </c>
      <c r="AC1654" t="str">
        <f t="shared" si="111"/>
        <v>Jan</v>
      </c>
    </row>
    <row r="1655" spans="3:29" x14ac:dyDescent="0.35">
      <c r="C1655" s="80">
        <f t="shared" si="108"/>
        <v>1</v>
      </c>
      <c r="K1655" s="65">
        <f t="shared" si="109"/>
        <v>0</v>
      </c>
      <c r="M1655" s="73">
        <f t="shared" si="110"/>
        <v>0</v>
      </c>
      <c r="AC1655" t="str">
        <f t="shared" si="111"/>
        <v>Jan</v>
      </c>
    </row>
    <row r="1656" spans="3:29" x14ac:dyDescent="0.35">
      <c r="C1656" s="80">
        <f t="shared" si="108"/>
        <v>1</v>
      </c>
      <c r="K1656" s="65">
        <f t="shared" si="109"/>
        <v>0</v>
      </c>
      <c r="M1656" s="73">
        <f t="shared" si="110"/>
        <v>0</v>
      </c>
      <c r="AC1656" t="str">
        <f t="shared" si="111"/>
        <v>Jan</v>
      </c>
    </row>
    <row r="1657" spans="3:29" x14ac:dyDescent="0.35">
      <c r="C1657" s="80">
        <f t="shared" si="108"/>
        <v>1</v>
      </c>
      <c r="K1657" s="65">
        <f t="shared" si="109"/>
        <v>0</v>
      </c>
      <c r="M1657" s="73">
        <f t="shared" si="110"/>
        <v>0</v>
      </c>
      <c r="AC1657" t="str">
        <f t="shared" si="111"/>
        <v>Jan</v>
      </c>
    </row>
    <row r="1658" spans="3:29" x14ac:dyDescent="0.35">
      <c r="C1658" s="80">
        <f t="shared" si="108"/>
        <v>1</v>
      </c>
      <c r="K1658" s="65">
        <f t="shared" si="109"/>
        <v>0</v>
      </c>
      <c r="M1658" s="73">
        <f t="shared" si="110"/>
        <v>0</v>
      </c>
      <c r="AC1658" t="str">
        <f t="shared" si="111"/>
        <v>Jan</v>
      </c>
    </row>
    <row r="1659" spans="3:29" x14ac:dyDescent="0.35">
      <c r="C1659" s="80">
        <f t="shared" si="108"/>
        <v>1</v>
      </c>
      <c r="K1659" s="65">
        <f t="shared" si="109"/>
        <v>0</v>
      </c>
      <c r="M1659" s="73">
        <f t="shared" si="110"/>
        <v>0</v>
      </c>
      <c r="AC1659" t="str">
        <f t="shared" si="111"/>
        <v>Jan</v>
      </c>
    </row>
    <row r="1660" spans="3:29" x14ac:dyDescent="0.35">
      <c r="C1660" s="80">
        <f t="shared" si="108"/>
        <v>1</v>
      </c>
      <c r="K1660" s="65">
        <f t="shared" si="109"/>
        <v>0</v>
      </c>
      <c r="M1660" s="73">
        <f t="shared" si="110"/>
        <v>0</v>
      </c>
      <c r="AC1660" t="str">
        <f t="shared" si="111"/>
        <v>Jan</v>
      </c>
    </row>
    <row r="1661" spans="3:29" x14ac:dyDescent="0.35">
      <c r="C1661" s="80">
        <f t="shared" si="108"/>
        <v>1</v>
      </c>
      <c r="K1661" s="65">
        <f t="shared" si="109"/>
        <v>0</v>
      </c>
      <c r="M1661" s="73">
        <f t="shared" si="110"/>
        <v>0</v>
      </c>
      <c r="AC1661" t="str">
        <f t="shared" si="111"/>
        <v>Jan</v>
      </c>
    </row>
    <row r="1662" spans="3:29" x14ac:dyDescent="0.35">
      <c r="C1662" s="80">
        <f t="shared" si="108"/>
        <v>1</v>
      </c>
      <c r="K1662" s="65">
        <f t="shared" si="109"/>
        <v>0</v>
      </c>
      <c r="M1662" s="73">
        <f t="shared" si="110"/>
        <v>0</v>
      </c>
      <c r="AC1662" t="str">
        <f t="shared" si="111"/>
        <v>Jan</v>
      </c>
    </row>
    <row r="1663" spans="3:29" x14ac:dyDescent="0.35">
      <c r="C1663" s="80">
        <f t="shared" si="108"/>
        <v>1</v>
      </c>
      <c r="K1663" s="65">
        <f t="shared" si="109"/>
        <v>0</v>
      </c>
      <c r="M1663" s="73">
        <f t="shared" si="110"/>
        <v>0</v>
      </c>
      <c r="AC1663" t="str">
        <f t="shared" si="111"/>
        <v>Jan</v>
      </c>
    </row>
    <row r="1664" spans="3:29" x14ac:dyDescent="0.35">
      <c r="C1664" s="80">
        <f t="shared" si="108"/>
        <v>1</v>
      </c>
      <c r="K1664" s="65">
        <f t="shared" si="109"/>
        <v>0</v>
      </c>
      <c r="M1664" s="73">
        <f t="shared" si="110"/>
        <v>0</v>
      </c>
      <c r="AC1664" t="str">
        <f t="shared" si="111"/>
        <v>Jan</v>
      </c>
    </row>
    <row r="1665" spans="3:29" x14ac:dyDescent="0.35">
      <c r="C1665" s="80">
        <f t="shared" si="108"/>
        <v>1</v>
      </c>
      <c r="K1665" s="65">
        <f t="shared" si="109"/>
        <v>0</v>
      </c>
      <c r="M1665" s="73">
        <f t="shared" si="110"/>
        <v>0</v>
      </c>
      <c r="AC1665" t="str">
        <f t="shared" si="111"/>
        <v>Jan</v>
      </c>
    </row>
    <row r="1666" spans="3:29" x14ac:dyDescent="0.35">
      <c r="C1666" s="80">
        <f t="shared" si="108"/>
        <v>1</v>
      </c>
      <c r="K1666" s="65">
        <f t="shared" si="109"/>
        <v>0</v>
      </c>
      <c r="M1666" s="73">
        <f t="shared" si="110"/>
        <v>0</v>
      </c>
      <c r="AC1666" t="str">
        <f t="shared" si="111"/>
        <v>Jan</v>
      </c>
    </row>
    <row r="1667" spans="3:29" x14ac:dyDescent="0.35">
      <c r="C1667" s="80">
        <f t="shared" si="108"/>
        <v>1</v>
      </c>
      <c r="K1667" s="65">
        <f t="shared" si="109"/>
        <v>0</v>
      </c>
      <c r="M1667" s="73">
        <f t="shared" si="110"/>
        <v>0</v>
      </c>
      <c r="AC1667" t="str">
        <f t="shared" si="111"/>
        <v>Jan</v>
      </c>
    </row>
    <row r="1668" spans="3:29" x14ac:dyDescent="0.35">
      <c r="C1668" s="80">
        <f t="shared" si="108"/>
        <v>1</v>
      </c>
      <c r="K1668" s="65">
        <f t="shared" si="109"/>
        <v>0</v>
      </c>
      <c r="M1668" s="73">
        <f t="shared" si="110"/>
        <v>0</v>
      </c>
      <c r="AC1668" t="str">
        <f t="shared" si="111"/>
        <v>Jan</v>
      </c>
    </row>
    <row r="1669" spans="3:29" x14ac:dyDescent="0.35">
      <c r="C1669" s="80">
        <f t="shared" si="108"/>
        <v>1</v>
      </c>
      <c r="K1669" s="65">
        <f t="shared" si="109"/>
        <v>0</v>
      </c>
      <c r="M1669" s="73">
        <f t="shared" si="110"/>
        <v>0</v>
      </c>
      <c r="AC1669" t="str">
        <f t="shared" si="111"/>
        <v>Jan</v>
      </c>
    </row>
    <row r="1670" spans="3:29" x14ac:dyDescent="0.35">
      <c r="C1670" s="80">
        <f t="shared" ref="C1670:C1733" si="112">MONTH(B1670)</f>
        <v>1</v>
      </c>
      <c r="K1670" s="65">
        <f t="shared" ref="K1670:K1733" si="113">I1670*J1670</f>
        <v>0</v>
      </c>
      <c r="M1670" s="73">
        <f t="shared" ref="M1670:M1733" si="114">K1670-L1670</f>
        <v>0</v>
      </c>
      <c r="AC1670" t="str">
        <f t="shared" si="111"/>
        <v>Jan</v>
      </c>
    </row>
    <row r="1671" spans="3:29" x14ac:dyDescent="0.35">
      <c r="C1671" s="80">
        <f t="shared" si="112"/>
        <v>1</v>
      </c>
      <c r="K1671" s="65">
        <f t="shared" si="113"/>
        <v>0</v>
      </c>
      <c r="M1671" s="73">
        <f t="shared" si="114"/>
        <v>0</v>
      </c>
      <c r="AC1671" t="str">
        <f t="shared" ref="AC1671:AC1734" si="115">IFERROR(INDEX(AA:AA,MATCH(C1671,Z:Z,0)),"")</f>
        <v>Jan</v>
      </c>
    </row>
    <row r="1672" spans="3:29" x14ac:dyDescent="0.35">
      <c r="C1672" s="80">
        <f t="shared" si="112"/>
        <v>1</v>
      </c>
      <c r="K1672" s="65">
        <f t="shared" si="113"/>
        <v>0</v>
      </c>
      <c r="M1672" s="73">
        <f t="shared" si="114"/>
        <v>0</v>
      </c>
      <c r="AC1672" t="str">
        <f t="shared" si="115"/>
        <v>Jan</v>
      </c>
    </row>
    <row r="1673" spans="3:29" x14ac:dyDescent="0.35">
      <c r="C1673" s="80">
        <f t="shared" si="112"/>
        <v>1</v>
      </c>
      <c r="K1673" s="65">
        <f t="shared" si="113"/>
        <v>0</v>
      </c>
      <c r="M1673" s="73">
        <f t="shared" si="114"/>
        <v>0</v>
      </c>
      <c r="AC1673" t="str">
        <f t="shared" si="115"/>
        <v>Jan</v>
      </c>
    </row>
    <row r="1674" spans="3:29" x14ac:dyDescent="0.35">
      <c r="C1674" s="80">
        <f t="shared" si="112"/>
        <v>1</v>
      </c>
      <c r="K1674" s="65">
        <f t="shared" si="113"/>
        <v>0</v>
      </c>
      <c r="M1674" s="73">
        <f t="shared" si="114"/>
        <v>0</v>
      </c>
      <c r="AC1674" t="str">
        <f t="shared" si="115"/>
        <v>Jan</v>
      </c>
    </row>
    <row r="1675" spans="3:29" x14ac:dyDescent="0.35">
      <c r="C1675" s="80">
        <f t="shared" si="112"/>
        <v>1</v>
      </c>
      <c r="K1675" s="65">
        <f t="shared" si="113"/>
        <v>0</v>
      </c>
      <c r="M1675" s="73">
        <f t="shared" si="114"/>
        <v>0</v>
      </c>
      <c r="AC1675" t="str">
        <f t="shared" si="115"/>
        <v>Jan</v>
      </c>
    </row>
    <row r="1676" spans="3:29" x14ac:dyDescent="0.35">
      <c r="C1676" s="80">
        <f t="shared" si="112"/>
        <v>1</v>
      </c>
      <c r="K1676" s="65">
        <f t="shared" si="113"/>
        <v>0</v>
      </c>
      <c r="M1676" s="73">
        <f t="shared" si="114"/>
        <v>0</v>
      </c>
      <c r="AC1676" t="str">
        <f t="shared" si="115"/>
        <v>Jan</v>
      </c>
    </row>
    <row r="1677" spans="3:29" x14ac:dyDescent="0.35">
      <c r="C1677" s="80">
        <f t="shared" si="112"/>
        <v>1</v>
      </c>
      <c r="K1677" s="65">
        <f t="shared" si="113"/>
        <v>0</v>
      </c>
      <c r="M1677" s="73">
        <f t="shared" si="114"/>
        <v>0</v>
      </c>
      <c r="AC1677" t="str">
        <f t="shared" si="115"/>
        <v>Jan</v>
      </c>
    </row>
    <row r="1678" spans="3:29" x14ac:dyDescent="0.35">
      <c r="C1678" s="80">
        <f t="shared" si="112"/>
        <v>1</v>
      </c>
      <c r="K1678" s="65">
        <f t="shared" si="113"/>
        <v>0</v>
      </c>
      <c r="M1678" s="73">
        <f t="shared" si="114"/>
        <v>0</v>
      </c>
      <c r="AC1678" t="str">
        <f t="shared" si="115"/>
        <v>Jan</v>
      </c>
    </row>
    <row r="1679" spans="3:29" x14ac:dyDescent="0.35">
      <c r="C1679" s="80">
        <f t="shared" si="112"/>
        <v>1</v>
      </c>
      <c r="K1679" s="65">
        <f t="shared" si="113"/>
        <v>0</v>
      </c>
      <c r="M1679" s="73">
        <f t="shared" si="114"/>
        <v>0</v>
      </c>
      <c r="AC1679" t="str">
        <f t="shared" si="115"/>
        <v>Jan</v>
      </c>
    </row>
    <row r="1680" spans="3:29" x14ac:dyDescent="0.35">
      <c r="C1680" s="80">
        <f t="shared" si="112"/>
        <v>1</v>
      </c>
      <c r="K1680" s="65">
        <f t="shared" si="113"/>
        <v>0</v>
      </c>
      <c r="M1680" s="73">
        <f t="shared" si="114"/>
        <v>0</v>
      </c>
      <c r="AC1680" t="str">
        <f t="shared" si="115"/>
        <v>Jan</v>
      </c>
    </row>
    <row r="1681" spans="3:29" x14ac:dyDescent="0.35">
      <c r="C1681" s="80">
        <f t="shared" si="112"/>
        <v>1</v>
      </c>
      <c r="K1681" s="65">
        <f t="shared" si="113"/>
        <v>0</v>
      </c>
      <c r="M1681" s="73">
        <f t="shared" si="114"/>
        <v>0</v>
      </c>
      <c r="AC1681" t="str">
        <f t="shared" si="115"/>
        <v>Jan</v>
      </c>
    </row>
    <row r="1682" spans="3:29" x14ac:dyDescent="0.35">
      <c r="C1682" s="80">
        <f t="shared" si="112"/>
        <v>1</v>
      </c>
      <c r="K1682" s="65">
        <f t="shared" si="113"/>
        <v>0</v>
      </c>
      <c r="M1682" s="73">
        <f t="shared" si="114"/>
        <v>0</v>
      </c>
      <c r="AC1682" t="str">
        <f t="shared" si="115"/>
        <v>Jan</v>
      </c>
    </row>
    <row r="1683" spans="3:29" x14ac:dyDescent="0.35">
      <c r="C1683" s="80">
        <f t="shared" si="112"/>
        <v>1</v>
      </c>
      <c r="K1683" s="65">
        <f t="shared" si="113"/>
        <v>0</v>
      </c>
      <c r="M1683" s="73">
        <f t="shared" si="114"/>
        <v>0</v>
      </c>
      <c r="AC1683" t="str">
        <f t="shared" si="115"/>
        <v>Jan</v>
      </c>
    </row>
    <row r="1684" spans="3:29" x14ac:dyDescent="0.35">
      <c r="C1684" s="80">
        <f t="shared" si="112"/>
        <v>1</v>
      </c>
      <c r="K1684" s="65">
        <f t="shared" si="113"/>
        <v>0</v>
      </c>
      <c r="M1684" s="73">
        <f t="shared" si="114"/>
        <v>0</v>
      </c>
      <c r="AC1684" t="str">
        <f t="shared" si="115"/>
        <v>Jan</v>
      </c>
    </row>
    <row r="1685" spans="3:29" x14ac:dyDescent="0.35">
      <c r="C1685" s="80">
        <f t="shared" si="112"/>
        <v>1</v>
      </c>
      <c r="K1685" s="65">
        <f t="shared" si="113"/>
        <v>0</v>
      </c>
      <c r="M1685" s="73">
        <f t="shared" si="114"/>
        <v>0</v>
      </c>
      <c r="AC1685" t="str">
        <f t="shared" si="115"/>
        <v>Jan</v>
      </c>
    </row>
    <row r="1686" spans="3:29" x14ac:dyDescent="0.35">
      <c r="C1686" s="80">
        <f t="shared" si="112"/>
        <v>1</v>
      </c>
      <c r="K1686" s="65">
        <f t="shared" si="113"/>
        <v>0</v>
      </c>
      <c r="M1686" s="73">
        <f t="shared" si="114"/>
        <v>0</v>
      </c>
      <c r="AC1686" t="str">
        <f t="shared" si="115"/>
        <v>Jan</v>
      </c>
    </row>
    <row r="1687" spans="3:29" x14ac:dyDescent="0.35">
      <c r="C1687" s="80">
        <f t="shared" si="112"/>
        <v>1</v>
      </c>
      <c r="K1687" s="65">
        <f t="shared" si="113"/>
        <v>0</v>
      </c>
      <c r="M1687" s="73">
        <f t="shared" si="114"/>
        <v>0</v>
      </c>
      <c r="AC1687" t="str">
        <f t="shared" si="115"/>
        <v>Jan</v>
      </c>
    </row>
    <row r="1688" spans="3:29" x14ac:dyDescent="0.35">
      <c r="C1688" s="80">
        <f t="shared" si="112"/>
        <v>1</v>
      </c>
      <c r="K1688" s="65">
        <f t="shared" si="113"/>
        <v>0</v>
      </c>
      <c r="M1688" s="73">
        <f t="shared" si="114"/>
        <v>0</v>
      </c>
      <c r="AC1688" t="str">
        <f t="shared" si="115"/>
        <v>Jan</v>
      </c>
    </row>
    <row r="1689" spans="3:29" x14ac:dyDescent="0.35">
      <c r="C1689" s="80">
        <f t="shared" si="112"/>
        <v>1</v>
      </c>
      <c r="K1689" s="65">
        <f t="shared" si="113"/>
        <v>0</v>
      </c>
      <c r="M1689" s="73">
        <f t="shared" si="114"/>
        <v>0</v>
      </c>
      <c r="AC1689" t="str">
        <f t="shared" si="115"/>
        <v>Jan</v>
      </c>
    </row>
    <row r="1690" spans="3:29" x14ac:dyDescent="0.35">
      <c r="C1690" s="80">
        <f t="shared" si="112"/>
        <v>1</v>
      </c>
      <c r="K1690" s="65">
        <f t="shared" si="113"/>
        <v>0</v>
      </c>
      <c r="M1690" s="73">
        <f t="shared" si="114"/>
        <v>0</v>
      </c>
      <c r="AC1690" t="str">
        <f t="shared" si="115"/>
        <v>Jan</v>
      </c>
    </row>
    <row r="1691" spans="3:29" x14ac:dyDescent="0.35">
      <c r="C1691" s="80">
        <f t="shared" si="112"/>
        <v>1</v>
      </c>
      <c r="K1691" s="65">
        <f t="shared" si="113"/>
        <v>0</v>
      </c>
      <c r="M1691" s="73">
        <f t="shared" si="114"/>
        <v>0</v>
      </c>
      <c r="AC1691" t="str">
        <f t="shared" si="115"/>
        <v>Jan</v>
      </c>
    </row>
    <row r="1692" spans="3:29" x14ac:dyDescent="0.35">
      <c r="C1692" s="80">
        <f t="shared" si="112"/>
        <v>1</v>
      </c>
      <c r="K1692" s="65">
        <f t="shared" si="113"/>
        <v>0</v>
      </c>
      <c r="M1692" s="73">
        <f t="shared" si="114"/>
        <v>0</v>
      </c>
      <c r="AC1692" t="str">
        <f t="shared" si="115"/>
        <v>Jan</v>
      </c>
    </row>
    <row r="1693" spans="3:29" x14ac:dyDescent="0.35">
      <c r="C1693" s="80">
        <f t="shared" si="112"/>
        <v>1</v>
      </c>
      <c r="K1693" s="65">
        <f t="shared" si="113"/>
        <v>0</v>
      </c>
      <c r="M1693" s="73">
        <f t="shared" si="114"/>
        <v>0</v>
      </c>
      <c r="AC1693" t="str">
        <f t="shared" si="115"/>
        <v>Jan</v>
      </c>
    </row>
    <row r="1694" spans="3:29" x14ac:dyDescent="0.35">
      <c r="C1694" s="80">
        <f t="shared" si="112"/>
        <v>1</v>
      </c>
      <c r="K1694" s="65">
        <f t="shared" si="113"/>
        <v>0</v>
      </c>
      <c r="M1694" s="73">
        <f t="shared" si="114"/>
        <v>0</v>
      </c>
      <c r="AC1694" t="str">
        <f t="shared" si="115"/>
        <v>Jan</v>
      </c>
    </row>
    <row r="1695" spans="3:29" x14ac:dyDescent="0.35">
      <c r="C1695" s="80">
        <f t="shared" si="112"/>
        <v>1</v>
      </c>
      <c r="K1695" s="65">
        <f t="shared" si="113"/>
        <v>0</v>
      </c>
      <c r="M1695" s="73">
        <f t="shared" si="114"/>
        <v>0</v>
      </c>
      <c r="AC1695" t="str">
        <f t="shared" si="115"/>
        <v>Jan</v>
      </c>
    </row>
    <row r="1696" spans="3:29" x14ac:dyDescent="0.35">
      <c r="C1696" s="80">
        <f t="shared" si="112"/>
        <v>1</v>
      </c>
      <c r="K1696" s="65">
        <f t="shared" si="113"/>
        <v>0</v>
      </c>
      <c r="M1696" s="73">
        <f t="shared" si="114"/>
        <v>0</v>
      </c>
      <c r="AC1696" t="str">
        <f t="shared" si="115"/>
        <v>Jan</v>
      </c>
    </row>
    <row r="1697" spans="3:29" x14ac:dyDescent="0.35">
      <c r="C1697" s="80">
        <f t="shared" si="112"/>
        <v>1</v>
      </c>
      <c r="K1697" s="65">
        <f t="shared" si="113"/>
        <v>0</v>
      </c>
      <c r="M1697" s="73">
        <f t="shared" si="114"/>
        <v>0</v>
      </c>
      <c r="AC1697" t="str">
        <f t="shared" si="115"/>
        <v>Jan</v>
      </c>
    </row>
    <row r="1698" spans="3:29" x14ac:dyDescent="0.35">
      <c r="C1698" s="80">
        <f t="shared" si="112"/>
        <v>1</v>
      </c>
      <c r="K1698" s="65">
        <f t="shared" si="113"/>
        <v>0</v>
      </c>
      <c r="M1698" s="73">
        <f t="shared" si="114"/>
        <v>0</v>
      </c>
      <c r="AC1698" t="str">
        <f t="shared" si="115"/>
        <v>Jan</v>
      </c>
    </row>
    <row r="1699" spans="3:29" x14ac:dyDescent="0.35">
      <c r="C1699" s="80">
        <f t="shared" si="112"/>
        <v>1</v>
      </c>
      <c r="K1699" s="65">
        <f t="shared" si="113"/>
        <v>0</v>
      </c>
      <c r="M1699" s="73">
        <f t="shared" si="114"/>
        <v>0</v>
      </c>
      <c r="AC1699" t="str">
        <f t="shared" si="115"/>
        <v>Jan</v>
      </c>
    </row>
    <row r="1700" spans="3:29" x14ac:dyDescent="0.35">
      <c r="C1700" s="80">
        <f t="shared" si="112"/>
        <v>1</v>
      </c>
      <c r="K1700" s="65">
        <f t="shared" si="113"/>
        <v>0</v>
      </c>
      <c r="M1700" s="73">
        <f t="shared" si="114"/>
        <v>0</v>
      </c>
      <c r="AC1700" t="str">
        <f t="shared" si="115"/>
        <v>Jan</v>
      </c>
    </row>
    <row r="1701" spans="3:29" x14ac:dyDescent="0.35">
      <c r="C1701" s="80">
        <f t="shared" si="112"/>
        <v>1</v>
      </c>
      <c r="K1701" s="65">
        <f t="shared" si="113"/>
        <v>0</v>
      </c>
      <c r="M1701" s="73">
        <f t="shared" si="114"/>
        <v>0</v>
      </c>
      <c r="AC1701" t="str">
        <f t="shared" si="115"/>
        <v>Jan</v>
      </c>
    </row>
    <row r="1702" spans="3:29" x14ac:dyDescent="0.35">
      <c r="C1702" s="80">
        <f t="shared" si="112"/>
        <v>1</v>
      </c>
      <c r="K1702" s="65">
        <f t="shared" si="113"/>
        <v>0</v>
      </c>
      <c r="M1702" s="73">
        <f t="shared" si="114"/>
        <v>0</v>
      </c>
      <c r="AC1702" t="str">
        <f t="shared" si="115"/>
        <v>Jan</v>
      </c>
    </row>
    <row r="1703" spans="3:29" x14ac:dyDescent="0.35">
      <c r="C1703" s="80">
        <f t="shared" si="112"/>
        <v>1</v>
      </c>
      <c r="K1703" s="65">
        <f t="shared" si="113"/>
        <v>0</v>
      </c>
      <c r="M1703" s="73">
        <f t="shared" si="114"/>
        <v>0</v>
      </c>
      <c r="AC1703" t="str">
        <f t="shared" si="115"/>
        <v>Jan</v>
      </c>
    </row>
    <row r="1704" spans="3:29" x14ac:dyDescent="0.35">
      <c r="C1704" s="80">
        <f t="shared" si="112"/>
        <v>1</v>
      </c>
      <c r="K1704" s="65">
        <f t="shared" si="113"/>
        <v>0</v>
      </c>
      <c r="M1704" s="73">
        <f t="shared" si="114"/>
        <v>0</v>
      </c>
      <c r="AC1704" t="str">
        <f t="shared" si="115"/>
        <v>Jan</v>
      </c>
    </row>
    <row r="1705" spans="3:29" x14ac:dyDescent="0.35">
      <c r="C1705" s="80">
        <f t="shared" si="112"/>
        <v>1</v>
      </c>
      <c r="K1705" s="65">
        <f t="shared" si="113"/>
        <v>0</v>
      </c>
      <c r="M1705" s="73">
        <f t="shared" si="114"/>
        <v>0</v>
      </c>
      <c r="AC1705" t="str">
        <f t="shared" si="115"/>
        <v>Jan</v>
      </c>
    </row>
    <row r="1706" spans="3:29" x14ac:dyDescent="0.35">
      <c r="C1706" s="80">
        <f t="shared" si="112"/>
        <v>1</v>
      </c>
      <c r="K1706" s="65">
        <f t="shared" si="113"/>
        <v>0</v>
      </c>
      <c r="M1706" s="73">
        <f t="shared" si="114"/>
        <v>0</v>
      </c>
      <c r="AC1706" t="str">
        <f t="shared" si="115"/>
        <v>Jan</v>
      </c>
    </row>
    <row r="1707" spans="3:29" x14ac:dyDescent="0.35">
      <c r="C1707" s="80">
        <f t="shared" si="112"/>
        <v>1</v>
      </c>
      <c r="K1707" s="65">
        <f t="shared" si="113"/>
        <v>0</v>
      </c>
      <c r="M1707" s="73">
        <f t="shared" si="114"/>
        <v>0</v>
      </c>
      <c r="AC1707" t="str">
        <f t="shared" si="115"/>
        <v>Jan</v>
      </c>
    </row>
    <row r="1708" spans="3:29" x14ac:dyDescent="0.35">
      <c r="C1708" s="80">
        <f t="shared" si="112"/>
        <v>1</v>
      </c>
      <c r="K1708" s="65">
        <f t="shared" si="113"/>
        <v>0</v>
      </c>
      <c r="M1708" s="73">
        <f t="shared" si="114"/>
        <v>0</v>
      </c>
      <c r="AC1708" t="str">
        <f t="shared" si="115"/>
        <v>Jan</v>
      </c>
    </row>
    <row r="1709" spans="3:29" x14ac:dyDescent="0.35">
      <c r="C1709" s="80">
        <f t="shared" si="112"/>
        <v>1</v>
      </c>
      <c r="K1709" s="65">
        <f t="shared" si="113"/>
        <v>0</v>
      </c>
      <c r="M1709" s="73">
        <f t="shared" si="114"/>
        <v>0</v>
      </c>
      <c r="AC1709" t="str">
        <f t="shared" si="115"/>
        <v>Jan</v>
      </c>
    </row>
    <row r="1710" spans="3:29" x14ac:dyDescent="0.35">
      <c r="C1710" s="80">
        <f t="shared" si="112"/>
        <v>1</v>
      </c>
      <c r="K1710" s="65">
        <f t="shared" si="113"/>
        <v>0</v>
      </c>
      <c r="M1710" s="73">
        <f t="shared" si="114"/>
        <v>0</v>
      </c>
      <c r="AC1710" t="str">
        <f t="shared" si="115"/>
        <v>Jan</v>
      </c>
    </row>
    <row r="1711" spans="3:29" x14ac:dyDescent="0.35">
      <c r="C1711" s="80">
        <f t="shared" si="112"/>
        <v>1</v>
      </c>
      <c r="K1711" s="65">
        <f t="shared" si="113"/>
        <v>0</v>
      </c>
      <c r="M1711" s="73">
        <f t="shared" si="114"/>
        <v>0</v>
      </c>
      <c r="AC1711" t="str">
        <f t="shared" si="115"/>
        <v>Jan</v>
      </c>
    </row>
    <row r="1712" spans="3:29" x14ac:dyDescent="0.35">
      <c r="C1712" s="80">
        <f t="shared" si="112"/>
        <v>1</v>
      </c>
      <c r="K1712" s="65">
        <f t="shared" si="113"/>
        <v>0</v>
      </c>
      <c r="M1712" s="73">
        <f t="shared" si="114"/>
        <v>0</v>
      </c>
      <c r="AC1712" t="str">
        <f t="shared" si="115"/>
        <v>Jan</v>
      </c>
    </row>
    <row r="1713" spans="3:29" x14ac:dyDescent="0.35">
      <c r="C1713" s="80">
        <f t="shared" si="112"/>
        <v>1</v>
      </c>
      <c r="K1713" s="65">
        <f t="shared" si="113"/>
        <v>0</v>
      </c>
      <c r="M1713" s="73">
        <f t="shared" si="114"/>
        <v>0</v>
      </c>
      <c r="AC1713" t="str">
        <f t="shared" si="115"/>
        <v>Jan</v>
      </c>
    </row>
    <row r="1714" spans="3:29" x14ac:dyDescent="0.35">
      <c r="C1714" s="80">
        <f t="shared" si="112"/>
        <v>1</v>
      </c>
      <c r="K1714" s="65">
        <f t="shared" si="113"/>
        <v>0</v>
      </c>
      <c r="M1714" s="73">
        <f t="shared" si="114"/>
        <v>0</v>
      </c>
      <c r="AC1714" t="str">
        <f t="shared" si="115"/>
        <v>Jan</v>
      </c>
    </row>
    <row r="1715" spans="3:29" x14ac:dyDescent="0.35">
      <c r="C1715" s="80">
        <f t="shared" si="112"/>
        <v>1</v>
      </c>
      <c r="K1715" s="65">
        <f t="shared" si="113"/>
        <v>0</v>
      </c>
      <c r="M1715" s="73">
        <f t="shared" si="114"/>
        <v>0</v>
      </c>
      <c r="AC1715" t="str">
        <f t="shared" si="115"/>
        <v>Jan</v>
      </c>
    </row>
    <row r="1716" spans="3:29" x14ac:dyDescent="0.35">
      <c r="C1716" s="80">
        <f t="shared" si="112"/>
        <v>1</v>
      </c>
      <c r="K1716" s="65">
        <f t="shared" si="113"/>
        <v>0</v>
      </c>
      <c r="M1716" s="73">
        <f t="shared" si="114"/>
        <v>0</v>
      </c>
      <c r="AC1716" t="str">
        <f t="shared" si="115"/>
        <v>Jan</v>
      </c>
    </row>
    <row r="1717" spans="3:29" x14ac:dyDescent="0.35">
      <c r="C1717" s="80">
        <f t="shared" si="112"/>
        <v>1</v>
      </c>
      <c r="K1717" s="65">
        <f t="shared" si="113"/>
        <v>0</v>
      </c>
      <c r="M1717" s="73">
        <f t="shared" si="114"/>
        <v>0</v>
      </c>
      <c r="AC1717" t="str">
        <f t="shared" si="115"/>
        <v>Jan</v>
      </c>
    </row>
    <row r="1718" spans="3:29" x14ac:dyDescent="0.35">
      <c r="C1718" s="80">
        <f t="shared" si="112"/>
        <v>1</v>
      </c>
      <c r="K1718" s="65">
        <f t="shared" si="113"/>
        <v>0</v>
      </c>
      <c r="M1718" s="73">
        <f t="shared" si="114"/>
        <v>0</v>
      </c>
      <c r="AC1718" t="str">
        <f t="shared" si="115"/>
        <v>Jan</v>
      </c>
    </row>
    <row r="1719" spans="3:29" x14ac:dyDescent="0.35">
      <c r="C1719" s="80">
        <f t="shared" si="112"/>
        <v>1</v>
      </c>
      <c r="K1719" s="65">
        <f t="shared" si="113"/>
        <v>0</v>
      </c>
      <c r="M1719" s="73">
        <f t="shared" si="114"/>
        <v>0</v>
      </c>
      <c r="AC1719" t="str">
        <f t="shared" si="115"/>
        <v>Jan</v>
      </c>
    </row>
    <row r="1720" spans="3:29" x14ac:dyDescent="0.35">
      <c r="C1720" s="80">
        <f t="shared" si="112"/>
        <v>1</v>
      </c>
      <c r="K1720" s="65">
        <f t="shared" si="113"/>
        <v>0</v>
      </c>
      <c r="M1720" s="73">
        <f t="shared" si="114"/>
        <v>0</v>
      </c>
      <c r="AC1720" t="str">
        <f t="shared" si="115"/>
        <v>Jan</v>
      </c>
    </row>
    <row r="1721" spans="3:29" x14ac:dyDescent="0.35">
      <c r="C1721" s="80">
        <f t="shared" si="112"/>
        <v>1</v>
      </c>
      <c r="K1721" s="65">
        <f t="shared" si="113"/>
        <v>0</v>
      </c>
      <c r="M1721" s="73">
        <f t="shared" si="114"/>
        <v>0</v>
      </c>
      <c r="AC1721" t="str">
        <f t="shared" si="115"/>
        <v>Jan</v>
      </c>
    </row>
    <row r="1722" spans="3:29" x14ac:dyDescent="0.35">
      <c r="C1722" s="80">
        <f t="shared" si="112"/>
        <v>1</v>
      </c>
      <c r="K1722" s="65">
        <f t="shared" si="113"/>
        <v>0</v>
      </c>
      <c r="M1722" s="73">
        <f t="shared" si="114"/>
        <v>0</v>
      </c>
      <c r="AC1722" t="str">
        <f t="shared" si="115"/>
        <v>Jan</v>
      </c>
    </row>
    <row r="1723" spans="3:29" x14ac:dyDescent="0.35">
      <c r="C1723" s="80">
        <f t="shared" si="112"/>
        <v>1</v>
      </c>
      <c r="K1723" s="65">
        <f t="shared" si="113"/>
        <v>0</v>
      </c>
      <c r="M1723" s="73">
        <f t="shared" si="114"/>
        <v>0</v>
      </c>
      <c r="AC1723" t="str">
        <f t="shared" si="115"/>
        <v>Jan</v>
      </c>
    </row>
    <row r="1724" spans="3:29" x14ac:dyDescent="0.35">
      <c r="C1724" s="80">
        <f t="shared" si="112"/>
        <v>1</v>
      </c>
      <c r="K1724" s="65">
        <f t="shared" si="113"/>
        <v>0</v>
      </c>
      <c r="M1724" s="73">
        <f t="shared" si="114"/>
        <v>0</v>
      </c>
      <c r="AC1724" t="str">
        <f t="shared" si="115"/>
        <v>Jan</v>
      </c>
    </row>
    <row r="1725" spans="3:29" x14ac:dyDescent="0.35">
      <c r="C1725" s="80">
        <f t="shared" si="112"/>
        <v>1</v>
      </c>
      <c r="K1725" s="65">
        <f t="shared" si="113"/>
        <v>0</v>
      </c>
      <c r="M1725" s="73">
        <f t="shared" si="114"/>
        <v>0</v>
      </c>
      <c r="AC1725" t="str">
        <f t="shared" si="115"/>
        <v>Jan</v>
      </c>
    </row>
    <row r="1726" spans="3:29" x14ac:dyDescent="0.35">
      <c r="C1726" s="80">
        <f t="shared" si="112"/>
        <v>1</v>
      </c>
      <c r="K1726" s="65">
        <f t="shared" si="113"/>
        <v>0</v>
      </c>
      <c r="M1726" s="73">
        <f t="shared" si="114"/>
        <v>0</v>
      </c>
      <c r="AC1726" t="str">
        <f t="shared" si="115"/>
        <v>Jan</v>
      </c>
    </row>
    <row r="1727" spans="3:29" x14ac:dyDescent="0.35">
      <c r="C1727" s="80">
        <f t="shared" si="112"/>
        <v>1</v>
      </c>
      <c r="K1727" s="65">
        <f t="shared" si="113"/>
        <v>0</v>
      </c>
      <c r="M1727" s="73">
        <f t="shared" si="114"/>
        <v>0</v>
      </c>
      <c r="AC1727" t="str">
        <f t="shared" si="115"/>
        <v>Jan</v>
      </c>
    </row>
    <row r="1728" spans="3:29" x14ac:dyDescent="0.35">
      <c r="C1728" s="80">
        <f t="shared" si="112"/>
        <v>1</v>
      </c>
      <c r="K1728" s="65">
        <f t="shared" si="113"/>
        <v>0</v>
      </c>
      <c r="M1728" s="73">
        <f t="shared" si="114"/>
        <v>0</v>
      </c>
      <c r="AC1728" t="str">
        <f t="shared" si="115"/>
        <v>Jan</v>
      </c>
    </row>
    <row r="1729" spans="3:29" x14ac:dyDescent="0.35">
      <c r="C1729" s="80">
        <f t="shared" si="112"/>
        <v>1</v>
      </c>
      <c r="K1729" s="65">
        <f t="shared" si="113"/>
        <v>0</v>
      </c>
      <c r="M1729" s="73">
        <f t="shared" si="114"/>
        <v>0</v>
      </c>
      <c r="AC1729" t="str">
        <f t="shared" si="115"/>
        <v>Jan</v>
      </c>
    </row>
    <row r="1730" spans="3:29" x14ac:dyDescent="0.35">
      <c r="C1730" s="80">
        <f t="shared" si="112"/>
        <v>1</v>
      </c>
      <c r="K1730" s="65">
        <f t="shared" si="113"/>
        <v>0</v>
      </c>
      <c r="M1730" s="73">
        <f t="shared" si="114"/>
        <v>0</v>
      </c>
      <c r="AC1730" t="str">
        <f t="shared" si="115"/>
        <v>Jan</v>
      </c>
    </row>
    <row r="1731" spans="3:29" x14ac:dyDescent="0.35">
      <c r="C1731" s="80">
        <f t="shared" si="112"/>
        <v>1</v>
      </c>
      <c r="K1731" s="65">
        <f t="shared" si="113"/>
        <v>0</v>
      </c>
      <c r="M1731" s="73">
        <f t="shared" si="114"/>
        <v>0</v>
      </c>
      <c r="AC1731" t="str">
        <f t="shared" si="115"/>
        <v>Jan</v>
      </c>
    </row>
    <row r="1732" spans="3:29" x14ac:dyDescent="0.35">
      <c r="C1732" s="80">
        <f t="shared" si="112"/>
        <v>1</v>
      </c>
      <c r="K1732" s="65">
        <f t="shared" si="113"/>
        <v>0</v>
      </c>
      <c r="M1732" s="73">
        <f t="shared" si="114"/>
        <v>0</v>
      </c>
      <c r="AC1732" t="str">
        <f t="shared" si="115"/>
        <v>Jan</v>
      </c>
    </row>
    <row r="1733" spans="3:29" x14ac:dyDescent="0.35">
      <c r="C1733" s="80">
        <f t="shared" si="112"/>
        <v>1</v>
      </c>
      <c r="K1733" s="65">
        <f t="shared" si="113"/>
        <v>0</v>
      </c>
      <c r="M1733" s="73">
        <f t="shared" si="114"/>
        <v>0</v>
      </c>
      <c r="AC1733" t="str">
        <f t="shared" si="115"/>
        <v>Jan</v>
      </c>
    </row>
    <row r="1734" spans="3:29" x14ac:dyDescent="0.35">
      <c r="C1734" s="80">
        <f t="shared" ref="C1734:C1797" si="116">MONTH(B1734)</f>
        <v>1</v>
      </c>
      <c r="K1734" s="65">
        <f t="shared" ref="K1734:K1797" si="117">I1734*J1734</f>
        <v>0</v>
      </c>
      <c r="M1734" s="73">
        <f t="shared" ref="M1734:M1797" si="118">K1734-L1734</f>
        <v>0</v>
      </c>
      <c r="AC1734" t="str">
        <f t="shared" si="115"/>
        <v>Jan</v>
      </c>
    </row>
    <row r="1735" spans="3:29" x14ac:dyDescent="0.35">
      <c r="C1735" s="80">
        <f t="shared" si="116"/>
        <v>1</v>
      </c>
      <c r="K1735" s="65">
        <f t="shared" si="117"/>
        <v>0</v>
      </c>
      <c r="M1735" s="73">
        <f t="shared" si="118"/>
        <v>0</v>
      </c>
      <c r="AC1735" t="str">
        <f t="shared" ref="AC1735:AC1798" si="119">IFERROR(INDEX(AA:AA,MATCH(C1735,Z:Z,0)),"")</f>
        <v>Jan</v>
      </c>
    </row>
    <row r="1736" spans="3:29" x14ac:dyDescent="0.35">
      <c r="C1736" s="80">
        <f t="shared" si="116"/>
        <v>1</v>
      </c>
      <c r="K1736" s="65">
        <f t="shared" si="117"/>
        <v>0</v>
      </c>
      <c r="M1736" s="73">
        <f t="shared" si="118"/>
        <v>0</v>
      </c>
      <c r="AC1736" t="str">
        <f t="shared" si="119"/>
        <v>Jan</v>
      </c>
    </row>
    <row r="1737" spans="3:29" x14ac:dyDescent="0.35">
      <c r="C1737" s="80">
        <f t="shared" si="116"/>
        <v>1</v>
      </c>
      <c r="K1737" s="65">
        <f t="shared" si="117"/>
        <v>0</v>
      </c>
      <c r="M1737" s="73">
        <f t="shared" si="118"/>
        <v>0</v>
      </c>
      <c r="AC1737" t="str">
        <f t="shared" si="119"/>
        <v>Jan</v>
      </c>
    </row>
    <row r="1738" spans="3:29" x14ac:dyDescent="0.35">
      <c r="C1738" s="80">
        <f t="shared" si="116"/>
        <v>1</v>
      </c>
      <c r="K1738" s="65">
        <f t="shared" si="117"/>
        <v>0</v>
      </c>
      <c r="M1738" s="73">
        <f t="shared" si="118"/>
        <v>0</v>
      </c>
      <c r="AC1738" t="str">
        <f t="shared" si="119"/>
        <v>Jan</v>
      </c>
    </row>
    <row r="1739" spans="3:29" x14ac:dyDescent="0.35">
      <c r="C1739" s="80">
        <f t="shared" si="116"/>
        <v>1</v>
      </c>
      <c r="K1739" s="65">
        <f t="shared" si="117"/>
        <v>0</v>
      </c>
      <c r="M1739" s="73">
        <f t="shared" si="118"/>
        <v>0</v>
      </c>
      <c r="AC1739" t="str">
        <f t="shared" si="119"/>
        <v>Jan</v>
      </c>
    </row>
    <row r="1740" spans="3:29" x14ac:dyDescent="0.35">
      <c r="C1740" s="80">
        <f t="shared" si="116"/>
        <v>1</v>
      </c>
      <c r="K1740" s="65">
        <f t="shared" si="117"/>
        <v>0</v>
      </c>
      <c r="M1740" s="73">
        <f t="shared" si="118"/>
        <v>0</v>
      </c>
      <c r="AC1740" t="str">
        <f t="shared" si="119"/>
        <v>Jan</v>
      </c>
    </row>
    <row r="1741" spans="3:29" x14ac:dyDescent="0.35">
      <c r="C1741" s="80">
        <f t="shared" si="116"/>
        <v>1</v>
      </c>
      <c r="K1741" s="65">
        <f t="shared" si="117"/>
        <v>0</v>
      </c>
      <c r="M1741" s="73">
        <f t="shared" si="118"/>
        <v>0</v>
      </c>
      <c r="AC1741" t="str">
        <f t="shared" si="119"/>
        <v>Jan</v>
      </c>
    </row>
    <row r="1742" spans="3:29" x14ac:dyDescent="0.35">
      <c r="C1742" s="80">
        <f t="shared" si="116"/>
        <v>1</v>
      </c>
      <c r="K1742" s="65">
        <f t="shared" si="117"/>
        <v>0</v>
      </c>
      <c r="M1742" s="73">
        <f t="shared" si="118"/>
        <v>0</v>
      </c>
      <c r="AC1742" t="str">
        <f t="shared" si="119"/>
        <v>Jan</v>
      </c>
    </row>
    <row r="1743" spans="3:29" x14ac:dyDescent="0.35">
      <c r="C1743" s="80">
        <f t="shared" si="116"/>
        <v>1</v>
      </c>
      <c r="K1743" s="65">
        <f t="shared" si="117"/>
        <v>0</v>
      </c>
      <c r="M1743" s="73">
        <f t="shared" si="118"/>
        <v>0</v>
      </c>
      <c r="AC1743" t="str">
        <f t="shared" si="119"/>
        <v>Jan</v>
      </c>
    </row>
    <row r="1744" spans="3:29" x14ac:dyDescent="0.35">
      <c r="C1744" s="80">
        <f t="shared" si="116"/>
        <v>1</v>
      </c>
      <c r="K1744" s="65">
        <f t="shared" si="117"/>
        <v>0</v>
      </c>
      <c r="M1744" s="73">
        <f t="shared" si="118"/>
        <v>0</v>
      </c>
      <c r="AC1744" t="str">
        <f t="shared" si="119"/>
        <v>Jan</v>
      </c>
    </row>
    <row r="1745" spans="3:29" x14ac:dyDescent="0.35">
      <c r="C1745" s="80">
        <f t="shared" si="116"/>
        <v>1</v>
      </c>
      <c r="K1745" s="65">
        <f t="shared" si="117"/>
        <v>0</v>
      </c>
      <c r="M1745" s="73">
        <f t="shared" si="118"/>
        <v>0</v>
      </c>
      <c r="AC1745" t="str">
        <f t="shared" si="119"/>
        <v>Jan</v>
      </c>
    </row>
    <row r="1746" spans="3:29" x14ac:dyDescent="0.35">
      <c r="C1746" s="80">
        <f t="shared" si="116"/>
        <v>1</v>
      </c>
      <c r="K1746" s="65">
        <f t="shared" si="117"/>
        <v>0</v>
      </c>
      <c r="M1746" s="73">
        <f t="shared" si="118"/>
        <v>0</v>
      </c>
      <c r="AC1746" t="str">
        <f t="shared" si="119"/>
        <v>Jan</v>
      </c>
    </row>
    <row r="1747" spans="3:29" x14ac:dyDescent="0.35">
      <c r="C1747" s="80">
        <f t="shared" si="116"/>
        <v>1</v>
      </c>
      <c r="K1747" s="65">
        <f t="shared" si="117"/>
        <v>0</v>
      </c>
      <c r="M1747" s="73">
        <f t="shared" si="118"/>
        <v>0</v>
      </c>
      <c r="AC1747" t="str">
        <f t="shared" si="119"/>
        <v>Jan</v>
      </c>
    </row>
    <row r="1748" spans="3:29" x14ac:dyDescent="0.35">
      <c r="C1748" s="80">
        <f t="shared" si="116"/>
        <v>1</v>
      </c>
      <c r="K1748" s="65">
        <f t="shared" si="117"/>
        <v>0</v>
      </c>
      <c r="M1748" s="73">
        <f t="shared" si="118"/>
        <v>0</v>
      </c>
      <c r="AC1748" t="str">
        <f t="shared" si="119"/>
        <v>Jan</v>
      </c>
    </row>
    <row r="1749" spans="3:29" x14ac:dyDescent="0.35">
      <c r="C1749" s="80">
        <f t="shared" si="116"/>
        <v>1</v>
      </c>
      <c r="K1749" s="65">
        <f t="shared" si="117"/>
        <v>0</v>
      </c>
      <c r="M1749" s="73">
        <f t="shared" si="118"/>
        <v>0</v>
      </c>
      <c r="AC1749" t="str">
        <f t="shared" si="119"/>
        <v>Jan</v>
      </c>
    </row>
    <row r="1750" spans="3:29" x14ac:dyDescent="0.35">
      <c r="C1750" s="80">
        <f t="shared" si="116"/>
        <v>1</v>
      </c>
      <c r="K1750" s="65">
        <f t="shared" si="117"/>
        <v>0</v>
      </c>
      <c r="M1750" s="73">
        <f t="shared" si="118"/>
        <v>0</v>
      </c>
      <c r="AC1750" t="str">
        <f t="shared" si="119"/>
        <v>Jan</v>
      </c>
    </row>
    <row r="1751" spans="3:29" x14ac:dyDescent="0.35">
      <c r="C1751" s="80">
        <f t="shared" si="116"/>
        <v>1</v>
      </c>
      <c r="K1751" s="65">
        <f t="shared" si="117"/>
        <v>0</v>
      </c>
      <c r="M1751" s="73">
        <f t="shared" si="118"/>
        <v>0</v>
      </c>
      <c r="AC1751" t="str">
        <f t="shared" si="119"/>
        <v>Jan</v>
      </c>
    </row>
    <row r="1752" spans="3:29" x14ac:dyDescent="0.35">
      <c r="C1752" s="80">
        <f t="shared" si="116"/>
        <v>1</v>
      </c>
      <c r="K1752" s="65">
        <f t="shared" si="117"/>
        <v>0</v>
      </c>
      <c r="M1752" s="73">
        <f t="shared" si="118"/>
        <v>0</v>
      </c>
      <c r="AC1752" t="str">
        <f t="shared" si="119"/>
        <v>Jan</v>
      </c>
    </row>
    <row r="1753" spans="3:29" x14ac:dyDescent="0.35">
      <c r="C1753" s="80">
        <f t="shared" si="116"/>
        <v>1</v>
      </c>
      <c r="K1753" s="65">
        <f t="shared" si="117"/>
        <v>0</v>
      </c>
      <c r="M1753" s="73">
        <f t="shared" si="118"/>
        <v>0</v>
      </c>
      <c r="AC1753" t="str">
        <f t="shared" si="119"/>
        <v>Jan</v>
      </c>
    </row>
    <row r="1754" spans="3:29" x14ac:dyDescent="0.35">
      <c r="C1754" s="80">
        <f t="shared" si="116"/>
        <v>1</v>
      </c>
      <c r="K1754" s="65">
        <f t="shared" si="117"/>
        <v>0</v>
      </c>
      <c r="M1754" s="73">
        <f t="shared" si="118"/>
        <v>0</v>
      </c>
      <c r="AC1754" t="str">
        <f t="shared" si="119"/>
        <v>Jan</v>
      </c>
    </row>
    <row r="1755" spans="3:29" x14ac:dyDescent="0.35">
      <c r="C1755" s="80">
        <f t="shared" si="116"/>
        <v>1</v>
      </c>
      <c r="K1755" s="65">
        <f t="shared" si="117"/>
        <v>0</v>
      </c>
      <c r="M1755" s="73">
        <f t="shared" si="118"/>
        <v>0</v>
      </c>
      <c r="AC1755" t="str">
        <f t="shared" si="119"/>
        <v>Jan</v>
      </c>
    </row>
    <row r="1756" spans="3:29" x14ac:dyDescent="0.35">
      <c r="C1756" s="80">
        <f t="shared" si="116"/>
        <v>1</v>
      </c>
      <c r="K1756" s="65">
        <f t="shared" si="117"/>
        <v>0</v>
      </c>
      <c r="M1756" s="73">
        <f t="shared" si="118"/>
        <v>0</v>
      </c>
      <c r="AC1756" t="str">
        <f t="shared" si="119"/>
        <v>Jan</v>
      </c>
    </row>
    <row r="1757" spans="3:29" x14ac:dyDescent="0.35">
      <c r="C1757" s="80">
        <f t="shared" si="116"/>
        <v>1</v>
      </c>
      <c r="K1757" s="65">
        <f t="shared" si="117"/>
        <v>0</v>
      </c>
      <c r="M1757" s="73">
        <f t="shared" si="118"/>
        <v>0</v>
      </c>
      <c r="AC1757" t="str">
        <f t="shared" si="119"/>
        <v>Jan</v>
      </c>
    </row>
    <row r="1758" spans="3:29" x14ac:dyDescent="0.35">
      <c r="C1758" s="80">
        <f t="shared" si="116"/>
        <v>1</v>
      </c>
      <c r="K1758" s="65">
        <f t="shared" si="117"/>
        <v>0</v>
      </c>
      <c r="M1758" s="73">
        <f t="shared" si="118"/>
        <v>0</v>
      </c>
      <c r="AC1758" t="str">
        <f t="shared" si="119"/>
        <v>Jan</v>
      </c>
    </row>
    <row r="1759" spans="3:29" x14ac:dyDescent="0.35">
      <c r="C1759" s="80">
        <f t="shared" si="116"/>
        <v>1</v>
      </c>
      <c r="K1759" s="65">
        <f t="shared" si="117"/>
        <v>0</v>
      </c>
      <c r="M1759" s="73">
        <f t="shared" si="118"/>
        <v>0</v>
      </c>
      <c r="AC1759" t="str">
        <f t="shared" si="119"/>
        <v>Jan</v>
      </c>
    </row>
    <row r="1760" spans="3:29" x14ac:dyDescent="0.35">
      <c r="C1760" s="80">
        <f t="shared" si="116"/>
        <v>1</v>
      </c>
      <c r="K1760" s="65">
        <f t="shared" si="117"/>
        <v>0</v>
      </c>
      <c r="M1760" s="73">
        <f t="shared" si="118"/>
        <v>0</v>
      </c>
      <c r="AC1760" t="str">
        <f t="shared" si="119"/>
        <v>Jan</v>
      </c>
    </row>
    <row r="1761" spans="3:29" x14ac:dyDescent="0.35">
      <c r="C1761" s="80">
        <f t="shared" si="116"/>
        <v>1</v>
      </c>
      <c r="K1761" s="65">
        <f t="shared" si="117"/>
        <v>0</v>
      </c>
      <c r="M1761" s="73">
        <f t="shared" si="118"/>
        <v>0</v>
      </c>
      <c r="AC1761" t="str">
        <f t="shared" si="119"/>
        <v>Jan</v>
      </c>
    </row>
    <row r="1762" spans="3:29" x14ac:dyDescent="0.35">
      <c r="C1762" s="80">
        <f t="shared" si="116"/>
        <v>1</v>
      </c>
      <c r="K1762" s="65">
        <f t="shared" si="117"/>
        <v>0</v>
      </c>
      <c r="M1762" s="73">
        <f t="shared" si="118"/>
        <v>0</v>
      </c>
      <c r="AC1762" t="str">
        <f t="shared" si="119"/>
        <v>Jan</v>
      </c>
    </row>
    <row r="1763" spans="3:29" x14ac:dyDescent="0.35">
      <c r="C1763" s="80">
        <f t="shared" si="116"/>
        <v>1</v>
      </c>
      <c r="K1763" s="65">
        <f t="shared" si="117"/>
        <v>0</v>
      </c>
      <c r="M1763" s="73">
        <f t="shared" si="118"/>
        <v>0</v>
      </c>
      <c r="AC1763" t="str">
        <f t="shared" si="119"/>
        <v>Jan</v>
      </c>
    </row>
    <row r="1764" spans="3:29" x14ac:dyDescent="0.35">
      <c r="C1764" s="80">
        <f t="shared" si="116"/>
        <v>1</v>
      </c>
      <c r="K1764" s="65">
        <f t="shared" si="117"/>
        <v>0</v>
      </c>
      <c r="M1764" s="73">
        <f t="shared" si="118"/>
        <v>0</v>
      </c>
      <c r="AC1764" t="str">
        <f t="shared" si="119"/>
        <v>Jan</v>
      </c>
    </row>
    <row r="1765" spans="3:29" x14ac:dyDescent="0.35">
      <c r="C1765" s="80">
        <f t="shared" si="116"/>
        <v>1</v>
      </c>
      <c r="K1765" s="65">
        <f t="shared" si="117"/>
        <v>0</v>
      </c>
      <c r="M1765" s="73">
        <f t="shared" si="118"/>
        <v>0</v>
      </c>
      <c r="AC1765" t="str">
        <f t="shared" si="119"/>
        <v>Jan</v>
      </c>
    </row>
    <row r="1766" spans="3:29" x14ac:dyDescent="0.35">
      <c r="C1766" s="80">
        <f t="shared" si="116"/>
        <v>1</v>
      </c>
      <c r="K1766" s="65">
        <f t="shared" si="117"/>
        <v>0</v>
      </c>
      <c r="M1766" s="73">
        <f t="shared" si="118"/>
        <v>0</v>
      </c>
      <c r="AC1766" t="str">
        <f t="shared" si="119"/>
        <v>Jan</v>
      </c>
    </row>
    <row r="1767" spans="3:29" x14ac:dyDescent="0.35">
      <c r="C1767" s="80">
        <f t="shared" si="116"/>
        <v>1</v>
      </c>
      <c r="K1767" s="65">
        <f t="shared" si="117"/>
        <v>0</v>
      </c>
      <c r="M1767" s="73">
        <f t="shared" si="118"/>
        <v>0</v>
      </c>
      <c r="AC1767" t="str">
        <f t="shared" si="119"/>
        <v>Jan</v>
      </c>
    </row>
    <row r="1768" spans="3:29" x14ac:dyDescent="0.35">
      <c r="C1768" s="80">
        <f t="shared" si="116"/>
        <v>1</v>
      </c>
      <c r="K1768" s="65">
        <f t="shared" si="117"/>
        <v>0</v>
      </c>
      <c r="M1768" s="73">
        <f t="shared" si="118"/>
        <v>0</v>
      </c>
      <c r="AC1768" t="str">
        <f t="shared" si="119"/>
        <v>Jan</v>
      </c>
    </row>
    <row r="1769" spans="3:29" x14ac:dyDescent="0.35">
      <c r="C1769" s="80">
        <f t="shared" si="116"/>
        <v>1</v>
      </c>
      <c r="K1769" s="65">
        <f t="shared" si="117"/>
        <v>0</v>
      </c>
      <c r="M1769" s="73">
        <f t="shared" si="118"/>
        <v>0</v>
      </c>
      <c r="AC1769" t="str">
        <f t="shared" si="119"/>
        <v>Jan</v>
      </c>
    </row>
    <row r="1770" spans="3:29" x14ac:dyDescent="0.35">
      <c r="C1770" s="80">
        <f t="shared" si="116"/>
        <v>1</v>
      </c>
      <c r="K1770" s="65">
        <f t="shared" si="117"/>
        <v>0</v>
      </c>
      <c r="M1770" s="73">
        <f t="shared" si="118"/>
        <v>0</v>
      </c>
      <c r="AC1770" t="str">
        <f t="shared" si="119"/>
        <v>Jan</v>
      </c>
    </row>
    <row r="1771" spans="3:29" x14ac:dyDescent="0.35">
      <c r="C1771" s="80">
        <f t="shared" si="116"/>
        <v>1</v>
      </c>
      <c r="K1771" s="65">
        <f t="shared" si="117"/>
        <v>0</v>
      </c>
      <c r="M1771" s="73">
        <f t="shared" si="118"/>
        <v>0</v>
      </c>
      <c r="AC1771" t="str">
        <f t="shared" si="119"/>
        <v>Jan</v>
      </c>
    </row>
    <row r="1772" spans="3:29" x14ac:dyDescent="0.35">
      <c r="C1772" s="80">
        <f t="shared" si="116"/>
        <v>1</v>
      </c>
      <c r="K1772" s="65">
        <f t="shared" si="117"/>
        <v>0</v>
      </c>
      <c r="M1772" s="73">
        <f t="shared" si="118"/>
        <v>0</v>
      </c>
      <c r="AC1772" t="str">
        <f t="shared" si="119"/>
        <v>Jan</v>
      </c>
    </row>
    <row r="1773" spans="3:29" x14ac:dyDescent="0.35">
      <c r="C1773" s="80">
        <f t="shared" si="116"/>
        <v>1</v>
      </c>
      <c r="K1773" s="65">
        <f t="shared" si="117"/>
        <v>0</v>
      </c>
      <c r="M1773" s="73">
        <f t="shared" si="118"/>
        <v>0</v>
      </c>
      <c r="AC1773" t="str">
        <f t="shared" si="119"/>
        <v>Jan</v>
      </c>
    </row>
    <row r="1774" spans="3:29" x14ac:dyDescent="0.35">
      <c r="C1774" s="80">
        <f t="shared" si="116"/>
        <v>1</v>
      </c>
      <c r="K1774" s="65">
        <f t="shared" si="117"/>
        <v>0</v>
      </c>
      <c r="M1774" s="73">
        <f t="shared" si="118"/>
        <v>0</v>
      </c>
      <c r="AC1774" t="str">
        <f t="shared" si="119"/>
        <v>Jan</v>
      </c>
    </row>
    <row r="1775" spans="3:29" x14ac:dyDescent="0.35">
      <c r="C1775" s="80">
        <f t="shared" si="116"/>
        <v>1</v>
      </c>
      <c r="K1775" s="65">
        <f t="shared" si="117"/>
        <v>0</v>
      </c>
      <c r="M1775" s="73">
        <f t="shared" si="118"/>
        <v>0</v>
      </c>
      <c r="AC1775" t="str">
        <f t="shared" si="119"/>
        <v>Jan</v>
      </c>
    </row>
    <row r="1776" spans="3:29" x14ac:dyDescent="0.35">
      <c r="C1776" s="80">
        <f t="shared" si="116"/>
        <v>1</v>
      </c>
      <c r="K1776" s="65">
        <f t="shared" si="117"/>
        <v>0</v>
      </c>
      <c r="M1776" s="73">
        <f t="shared" si="118"/>
        <v>0</v>
      </c>
      <c r="AC1776" t="str">
        <f t="shared" si="119"/>
        <v>Jan</v>
      </c>
    </row>
    <row r="1777" spans="3:29" x14ac:dyDescent="0.35">
      <c r="C1777" s="80">
        <f t="shared" si="116"/>
        <v>1</v>
      </c>
      <c r="K1777" s="65">
        <f t="shared" si="117"/>
        <v>0</v>
      </c>
      <c r="M1777" s="73">
        <f t="shared" si="118"/>
        <v>0</v>
      </c>
      <c r="AC1777" t="str">
        <f t="shared" si="119"/>
        <v>Jan</v>
      </c>
    </row>
    <row r="1778" spans="3:29" x14ac:dyDescent="0.35">
      <c r="C1778" s="80">
        <f t="shared" si="116"/>
        <v>1</v>
      </c>
      <c r="K1778" s="65">
        <f t="shared" si="117"/>
        <v>0</v>
      </c>
      <c r="M1778" s="73">
        <f t="shared" si="118"/>
        <v>0</v>
      </c>
      <c r="AC1778" t="str">
        <f t="shared" si="119"/>
        <v>Jan</v>
      </c>
    </row>
    <row r="1779" spans="3:29" x14ac:dyDescent="0.35">
      <c r="C1779" s="80">
        <f t="shared" si="116"/>
        <v>1</v>
      </c>
      <c r="K1779" s="65">
        <f t="shared" si="117"/>
        <v>0</v>
      </c>
      <c r="M1779" s="73">
        <f t="shared" si="118"/>
        <v>0</v>
      </c>
      <c r="AC1779" t="str">
        <f t="shared" si="119"/>
        <v>Jan</v>
      </c>
    </row>
    <row r="1780" spans="3:29" x14ac:dyDescent="0.35">
      <c r="C1780" s="80">
        <f t="shared" si="116"/>
        <v>1</v>
      </c>
      <c r="K1780" s="65">
        <f t="shared" si="117"/>
        <v>0</v>
      </c>
      <c r="M1780" s="73">
        <f t="shared" si="118"/>
        <v>0</v>
      </c>
      <c r="AC1780" t="str">
        <f t="shared" si="119"/>
        <v>Jan</v>
      </c>
    </row>
    <row r="1781" spans="3:29" x14ac:dyDescent="0.35">
      <c r="C1781" s="80">
        <f t="shared" si="116"/>
        <v>1</v>
      </c>
      <c r="K1781" s="65">
        <f t="shared" si="117"/>
        <v>0</v>
      </c>
      <c r="M1781" s="73">
        <f t="shared" si="118"/>
        <v>0</v>
      </c>
      <c r="AC1781" t="str">
        <f t="shared" si="119"/>
        <v>Jan</v>
      </c>
    </row>
    <row r="1782" spans="3:29" x14ac:dyDescent="0.35">
      <c r="C1782" s="80">
        <f t="shared" si="116"/>
        <v>1</v>
      </c>
      <c r="K1782" s="65">
        <f t="shared" si="117"/>
        <v>0</v>
      </c>
      <c r="M1782" s="73">
        <f t="shared" si="118"/>
        <v>0</v>
      </c>
      <c r="AC1782" t="str">
        <f t="shared" si="119"/>
        <v>Jan</v>
      </c>
    </row>
    <row r="1783" spans="3:29" x14ac:dyDescent="0.35">
      <c r="C1783" s="80">
        <f t="shared" si="116"/>
        <v>1</v>
      </c>
      <c r="K1783" s="65">
        <f t="shared" si="117"/>
        <v>0</v>
      </c>
      <c r="M1783" s="73">
        <f t="shared" si="118"/>
        <v>0</v>
      </c>
      <c r="AC1783" t="str">
        <f t="shared" si="119"/>
        <v>Jan</v>
      </c>
    </row>
    <row r="1784" spans="3:29" x14ac:dyDescent="0.35">
      <c r="C1784" s="80">
        <f t="shared" si="116"/>
        <v>1</v>
      </c>
      <c r="K1784" s="65">
        <f t="shared" si="117"/>
        <v>0</v>
      </c>
      <c r="M1784" s="73">
        <f t="shared" si="118"/>
        <v>0</v>
      </c>
      <c r="AC1784" t="str">
        <f t="shared" si="119"/>
        <v>Jan</v>
      </c>
    </row>
    <row r="1785" spans="3:29" x14ac:dyDescent="0.35">
      <c r="C1785" s="80">
        <f t="shared" si="116"/>
        <v>1</v>
      </c>
      <c r="K1785" s="65">
        <f t="shared" si="117"/>
        <v>0</v>
      </c>
      <c r="M1785" s="73">
        <f t="shared" si="118"/>
        <v>0</v>
      </c>
      <c r="AC1785" t="str">
        <f t="shared" si="119"/>
        <v>Jan</v>
      </c>
    </row>
    <row r="1786" spans="3:29" x14ac:dyDescent="0.35">
      <c r="C1786" s="80">
        <f t="shared" si="116"/>
        <v>1</v>
      </c>
      <c r="K1786" s="65">
        <f t="shared" si="117"/>
        <v>0</v>
      </c>
      <c r="M1786" s="73">
        <f t="shared" si="118"/>
        <v>0</v>
      </c>
      <c r="AC1786" t="str">
        <f t="shared" si="119"/>
        <v>Jan</v>
      </c>
    </row>
    <row r="1787" spans="3:29" x14ac:dyDescent="0.35">
      <c r="C1787" s="80">
        <f t="shared" si="116"/>
        <v>1</v>
      </c>
      <c r="K1787" s="65">
        <f t="shared" si="117"/>
        <v>0</v>
      </c>
      <c r="M1787" s="73">
        <f t="shared" si="118"/>
        <v>0</v>
      </c>
      <c r="AC1787" t="str">
        <f t="shared" si="119"/>
        <v>Jan</v>
      </c>
    </row>
    <row r="1788" spans="3:29" x14ac:dyDescent="0.35">
      <c r="C1788" s="80">
        <f t="shared" si="116"/>
        <v>1</v>
      </c>
      <c r="K1788" s="65">
        <f t="shared" si="117"/>
        <v>0</v>
      </c>
      <c r="M1788" s="73">
        <f t="shared" si="118"/>
        <v>0</v>
      </c>
      <c r="AC1788" t="str">
        <f t="shared" si="119"/>
        <v>Jan</v>
      </c>
    </row>
    <row r="1789" spans="3:29" x14ac:dyDescent="0.35">
      <c r="C1789" s="80">
        <f t="shared" si="116"/>
        <v>1</v>
      </c>
      <c r="K1789" s="65">
        <f t="shared" si="117"/>
        <v>0</v>
      </c>
      <c r="M1789" s="73">
        <f t="shared" si="118"/>
        <v>0</v>
      </c>
      <c r="AC1789" t="str">
        <f t="shared" si="119"/>
        <v>Jan</v>
      </c>
    </row>
    <row r="1790" spans="3:29" x14ac:dyDescent="0.35">
      <c r="C1790" s="80">
        <f t="shared" si="116"/>
        <v>1</v>
      </c>
      <c r="K1790" s="65">
        <f t="shared" si="117"/>
        <v>0</v>
      </c>
      <c r="M1790" s="73">
        <f t="shared" si="118"/>
        <v>0</v>
      </c>
      <c r="AC1790" t="str">
        <f t="shared" si="119"/>
        <v>Jan</v>
      </c>
    </row>
    <row r="1791" spans="3:29" x14ac:dyDescent="0.35">
      <c r="C1791" s="80">
        <f t="shared" si="116"/>
        <v>1</v>
      </c>
      <c r="K1791" s="65">
        <f t="shared" si="117"/>
        <v>0</v>
      </c>
      <c r="M1791" s="73">
        <f t="shared" si="118"/>
        <v>0</v>
      </c>
      <c r="AC1791" t="str">
        <f t="shared" si="119"/>
        <v>Jan</v>
      </c>
    </row>
    <row r="1792" spans="3:29" x14ac:dyDescent="0.35">
      <c r="C1792" s="80">
        <f t="shared" si="116"/>
        <v>1</v>
      </c>
      <c r="K1792" s="65">
        <f t="shared" si="117"/>
        <v>0</v>
      </c>
      <c r="M1792" s="73">
        <f t="shared" si="118"/>
        <v>0</v>
      </c>
      <c r="AC1792" t="str">
        <f t="shared" si="119"/>
        <v>Jan</v>
      </c>
    </row>
    <row r="1793" spans="3:29" x14ac:dyDescent="0.35">
      <c r="C1793" s="80">
        <f t="shared" si="116"/>
        <v>1</v>
      </c>
      <c r="K1793" s="65">
        <f t="shared" si="117"/>
        <v>0</v>
      </c>
      <c r="M1793" s="73">
        <f t="shared" si="118"/>
        <v>0</v>
      </c>
      <c r="AC1793" t="str">
        <f t="shared" si="119"/>
        <v>Jan</v>
      </c>
    </row>
    <row r="1794" spans="3:29" x14ac:dyDescent="0.35">
      <c r="C1794" s="80">
        <f t="shared" si="116"/>
        <v>1</v>
      </c>
      <c r="K1794" s="65">
        <f t="shared" si="117"/>
        <v>0</v>
      </c>
      <c r="M1794" s="73">
        <f t="shared" si="118"/>
        <v>0</v>
      </c>
      <c r="AC1794" t="str">
        <f t="shared" si="119"/>
        <v>Jan</v>
      </c>
    </row>
    <row r="1795" spans="3:29" x14ac:dyDescent="0.35">
      <c r="C1795" s="80">
        <f t="shared" si="116"/>
        <v>1</v>
      </c>
      <c r="K1795" s="65">
        <f t="shared" si="117"/>
        <v>0</v>
      </c>
      <c r="M1795" s="73">
        <f t="shared" si="118"/>
        <v>0</v>
      </c>
      <c r="AC1795" t="str">
        <f t="shared" si="119"/>
        <v>Jan</v>
      </c>
    </row>
    <row r="1796" spans="3:29" x14ac:dyDescent="0.35">
      <c r="C1796" s="80">
        <f t="shared" si="116"/>
        <v>1</v>
      </c>
      <c r="K1796" s="65">
        <f t="shared" si="117"/>
        <v>0</v>
      </c>
      <c r="M1796" s="73">
        <f t="shared" si="118"/>
        <v>0</v>
      </c>
      <c r="AC1796" t="str">
        <f t="shared" si="119"/>
        <v>Jan</v>
      </c>
    </row>
    <row r="1797" spans="3:29" x14ac:dyDescent="0.35">
      <c r="C1797" s="80">
        <f t="shared" si="116"/>
        <v>1</v>
      </c>
      <c r="K1797" s="65">
        <f t="shared" si="117"/>
        <v>0</v>
      </c>
      <c r="M1797" s="73">
        <f t="shared" si="118"/>
        <v>0</v>
      </c>
      <c r="AC1797" t="str">
        <f t="shared" si="119"/>
        <v>Jan</v>
      </c>
    </row>
    <row r="1798" spans="3:29" x14ac:dyDescent="0.35">
      <c r="C1798" s="80">
        <f t="shared" ref="C1798:C1861" si="120">MONTH(B1798)</f>
        <v>1</v>
      </c>
      <c r="K1798" s="65">
        <f t="shared" ref="K1798:K1861" si="121">I1798*J1798</f>
        <v>0</v>
      </c>
      <c r="M1798" s="73">
        <f t="shared" ref="M1798:M1861" si="122">K1798-L1798</f>
        <v>0</v>
      </c>
      <c r="AC1798" t="str">
        <f t="shared" si="119"/>
        <v>Jan</v>
      </c>
    </row>
    <row r="1799" spans="3:29" x14ac:dyDescent="0.35">
      <c r="C1799" s="80">
        <f t="shared" si="120"/>
        <v>1</v>
      </c>
      <c r="K1799" s="65">
        <f t="shared" si="121"/>
        <v>0</v>
      </c>
      <c r="M1799" s="73">
        <f t="shared" si="122"/>
        <v>0</v>
      </c>
      <c r="AC1799" t="str">
        <f t="shared" ref="AC1799:AC1862" si="123">IFERROR(INDEX(AA:AA,MATCH(C1799,Z:Z,0)),"")</f>
        <v>Jan</v>
      </c>
    </row>
    <row r="1800" spans="3:29" x14ac:dyDescent="0.35">
      <c r="C1800" s="80">
        <f t="shared" si="120"/>
        <v>1</v>
      </c>
      <c r="K1800" s="65">
        <f t="shared" si="121"/>
        <v>0</v>
      </c>
      <c r="M1800" s="73">
        <f t="shared" si="122"/>
        <v>0</v>
      </c>
      <c r="AC1800" t="str">
        <f t="shared" si="123"/>
        <v>Jan</v>
      </c>
    </row>
    <row r="1801" spans="3:29" x14ac:dyDescent="0.35">
      <c r="C1801" s="80">
        <f t="shared" si="120"/>
        <v>1</v>
      </c>
      <c r="K1801" s="65">
        <f t="shared" si="121"/>
        <v>0</v>
      </c>
      <c r="M1801" s="73">
        <f t="shared" si="122"/>
        <v>0</v>
      </c>
      <c r="AC1801" t="str">
        <f t="shared" si="123"/>
        <v>Jan</v>
      </c>
    </row>
    <row r="1802" spans="3:29" x14ac:dyDescent="0.35">
      <c r="C1802" s="80">
        <f t="shared" si="120"/>
        <v>1</v>
      </c>
      <c r="K1802" s="65">
        <f t="shared" si="121"/>
        <v>0</v>
      </c>
      <c r="M1802" s="73">
        <f t="shared" si="122"/>
        <v>0</v>
      </c>
      <c r="AC1802" t="str">
        <f t="shared" si="123"/>
        <v>Jan</v>
      </c>
    </row>
    <row r="1803" spans="3:29" x14ac:dyDescent="0.35">
      <c r="C1803" s="80">
        <f t="shared" si="120"/>
        <v>1</v>
      </c>
      <c r="K1803" s="65">
        <f t="shared" si="121"/>
        <v>0</v>
      </c>
      <c r="M1803" s="73">
        <f t="shared" si="122"/>
        <v>0</v>
      </c>
      <c r="AC1803" t="str">
        <f t="shared" si="123"/>
        <v>Jan</v>
      </c>
    </row>
    <row r="1804" spans="3:29" x14ac:dyDescent="0.35">
      <c r="C1804" s="80">
        <f t="shared" si="120"/>
        <v>1</v>
      </c>
      <c r="K1804" s="65">
        <f t="shared" si="121"/>
        <v>0</v>
      </c>
      <c r="M1804" s="73">
        <f t="shared" si="122"/>
        <v>0</v>
      </c>
      <c r="AC1804" t="str">
        <f t="shared" si="123"/>
        <v>Jan</v>
      </c>
    </row>
    <row r="1805" spans="3:29" x14ac:dyDescent="0.35">
      <c r="C1805" s="80">
        <f t="shared" si="120"/>
        <v>1</v>
      </c>
      <c r="K1805" s="65">
        <f t="shared" si="121"/>
        <v>0</v>
      </c>
      <c r="M1805" s="73">
        <f t="shared" si="122"/>
        <v>0</v>
      </c>
      <c r="AC1805" t="str">
        <f t="shared" si="123"/>
        <v>Jan</v>
      </c>
    </row>
    <row r="1806" spans="3:29" x14ac:dyDescent="0.35">
      <c r="C1806" s="80">
        <f t="shared" si="120"/>
        <v>1</v>
      </c>
      <c r="K1806" s="65">
        <f t="shared" si="121"/>
        <v>0</v>
      </c>
      <c r="M1806" s="73">
        <f t="shared" si="122"/>
        <v>0</v>
      </c>
      <c r="AC1806" t="str">
        <f t="shared" si="123"/>
        <v>Jan</v>
      </c>
    </row>
    <row r="1807" spans="3:29" x14ac:dyDescent="0.35">
      <c r="C1807" s="80">
        <f t="shared" si="120"/>
        <v>1</v>
      </c>
      <c r="K1807" s="65">
        <f t="shared" si="121"/>
        <v>0</v>
      </c>
      <c r="M1807" s="73">
        <f t="shared" si="122"/>
        <v>0</v>
      </c>
      <c r="AC1807" t="str">
        <f t="shared" si="123"/>
        <v>Jan</v>
      </c>
    </row>
    <row r="1808" spans="3:29" x14ac:dyDescent="0.35">
      <c r="C1808" s="80">
        <f t="shared" si="120"/>
        <v>1</v>
      </c>
      <c r="K1808" s="65">
        <f t="shared" si="121"/>
        <v>0</v>
      </c>
      <c r="M1808" s="73">
        <f t="shared" si="122"/>
        <v>0</v>
      </c>
      <c r="AC1808" t="str">
        <f t="shared" si="123"/>
        <v>Jan</v>
      </c>
    </row>
    <row r="1809" spans="3:29" x14ac:dyDescent="0.35">
      <c r="C1809" s="80">
        <f t="shared" si="120"/>
        <v>1</v>
      </c>
      <c r="K1809" s="65">
        <f t="shared" si="121"/>
        <v>0</v>
      </c>
      <c r="M1809" s="73">
        <f t="shared" si="122"/>
        <v>0</v>
      </c>
      <c r="AC1809" t="str">
        <f t="shared" si="123"/>
        <v>Jan</v>
      </c>
    </row>
    <row r="1810" spans="3:29" x14ac:dyDescent="0.35">
      <c r="C1810" s="80">
        <f t="shared" si="120"/>
        <v>1</v>
      </c>
      <c r="K1810" s="65">
        <f t="shared" si="121"/>
        <v>0</v>
      </c>
      <c r="M1810" s="73">
        <f t="shared" si="122"/>
        <v>0</v>
      </c>
      <c r="AC1810" t="str">
        <f t="shared" si="123"/>
        <v>Jan</v>
      </c>
    </row>
    <row r="1811" spans="3:29" x14ac:dyDescent="0.35">
      <c r="C1811" s="80">
        <f t="shared" si="120"/>
        <v>1</v>
      </c>
      <c r="K1811" s="65">
        <f t="shared" si="121"/>
        <v>0</v>
      </c>
      <c r="M1811" s="73">
        <f t="shared" si="122"/>
        <v>0</v>
      </c>
      <c r="AC1811" t="str">
        <f t="shared" si="123"/>
        <v>Jan</v>
      </c>
    </row>
    <row r="1812" spans="3:29" x14ac:dyDescent="0.35">
      <c r="C1812" s="80">
        <f t="shared" si="120"/>
        <v>1</v>
      </c>
      <c r="K1812" s="65">
        <f t="shared" si="121"/>
        <v>0</v>
      </c>
      <c r="M1812" s="73">
        <f t="shared" si="122"/>
        <v>0</v>
      </c>
      <c r="AC1812" t="str">
        <f t="shared" si="123"/>
        <v>Jan</v>
      </c>
    </row>
    <row r="1813" spans="3:29" x14ac:dyDescent="0.35">
      <c r="C1813" s="80">
        <f t="shared" si="120"/>
        <v>1</v>
      </c>
      <c r="K1813" s="65">
        <f t="shared" si="121"/>
        <v>0</v>
      </c>
      <c r="M1813" s="73">
        <f t="shared" si="122"/>
        <v>0</v>
      </c>
      <c r="AC1813" t="str">
        <f t="shared" si="123"/>
        <v>Jan</v>
      </c>
    </row>
    <row r="1814" spans="3:29" x14ac:dyDescent="0.35">
      <c r="C1814" s="80">
        <f t="shared" si="120"/>
        <v>1</v>
      </c>
      <c r="K1814" s="65">
        <f t="shared" si="121"/>
        <v>0</v>
      </c>
      <c r="M1814" s="73">
        <f t="shared" si="122"/>
        <v>0</v>
      </c>
      <c r="AC1814" t="str">
        <f t="shared" si="123"/>
        <v>Jan</v>
      </c>
    </row>
    <row r="1815" spans="3:29" x14ac:dyDescent="0.35">
      <c r="C1815" s="80">
        <f t="shared" si="120"/>
        <v>1</v>
      </c>
      <c r="K1815" s="65">
        <f t="shared" si="121"/>
        <v>0</v>
      </c>
      <c r="M1815" s="73">
        <f t="shared" si="122"/>
        <v>0</v>
      </c>
      <c r="AC1815" t="str">
        <f t="shared" si="123"/>
        <v>Jan</v>
      </c>
    </row>
    <row r="1816" spans="3:29" x14ac:dyDescent="0.35">
      <c r="C1816" s="80">
        <f t="shared" si="120"/>
        <v>1</v>
      </c>
      <c r="K1816" s="65">
        <f t="shared" si="121"/>
        <v>0</v>
      </c>
      <c r="M1816" s="73">
        <f t="shared" si="122"/>
        <v>0</v>
      </c>
      <c r="AC1816" t="str">
        <f t="shared" si="123"/>
        <v>Jan</v>
      </c>
    </row>
    <row r="1817" spans="3:29" x14ac:dyDescent="0.35">
      <c r="C1817" s="80">
        <f t="shared" si="120"/>
        <v>1</v>
      </c>
      <c r="K1817" s="65">
        <f t="shared" si="121"/>
        <v>0</v>
      </c>
      <c r="M1817" s="73">
        <f t="shared" si="122"/>
        <v>0</v>
      </c>
      <c r="AC1817" t="str">
        <f t="shared" si="123"/>
        <v>Jan</v>
      </c>
    </row>
    <row r="1818" spans="3:29" x14ac:dyDescent="0.35">
      <c r="C1818" s="80">
        <f t="shared" si="120"/>
        <v>1</v>
      </c>
      <c r="K1818" s="65">
        <f t="shared" si="121"/>
        <v>0</v>
      </c>
      <c r="M1818" s="73">
        <f t="shared" si="122"/>
        <v>0</v>
      </c>
      <c r="AC1818" t="str">
        <f t="shared" si="123"/>
        <v>Jan</v>
      </c>
    </row>
    <row r="1819" spans="3:29" x14ac:dyDescent="0.35">
      <c r="C1819" s="80">
        <f t="shared" si="120"/>
        <v>1</v>
      </c>
      <c r="K1819" s="65">
        <f t="shared" si="121"/>
        <v>0</v>
      </c>
      <c r="M1819" s="73">
        <f t="shared" si="122"/>
        <v>0</v>
      </c>
      <c r="AC1819" t="str">
        <f t="shared" si="123"/>
        <v>Jan</v>
      </c>
    </row>
    <row r="1820" spans="3:29" x14ac:dyDescent="0.35">
      <c r="C1820" s="80">
        <f t="shared" si="120"/>
        <v>1</v>
      </c>
      <c r="K1820" s="65">
        <f t="shared" si="121"/>
        <v>0</v>
      </c>
      <c r="M1820" s="73">
        <f t="shared" si="122"/>
        <v>0</v>
      </c>
      <c r="AC1820" t="str">
        <f t="shared" si="123"/>
        <v>Jan</v>
      </c>
    </row>
    <row r="1821" spans="3:29" x14ac:dyDescent="0.35">
      <c r="C1821" s="80">
        <f t="shared" si="120"/>
        <v>1</v>
      </c>
      <c r="K1821" s="65">
        <f t="shared" si="121"/>
        <v>0</v>
      </c>
      <c r="M1821" s="73">
        <f t="shared" si="122"/>
        <v>0</v>
      </c>
      <c r="AC1821" t="str">
        <f t="shared" si="123"/>
        <v>Jan</v>
      </c>
    </row>
    <row r="1822" spans="3:29" x14ac:dyDescent="0.35">
      <c r="C1822" s="80">
        <f t="shared" si="120"/>
        <v>1</v>
      </c>
      <c r="K1822" s="65">
        <f t="shared" si="121"/>
        <v>0</v>
      </c>
      <c r="M1822" s="73">
        <f t="shared" si="122"/>
        <v>0</v>
      </c>
      <c r="AC1822" t="str">
        <f t="shared" si="123"/>
        <v>Jan</v>
      </c>
    </row>
    <row r="1823" spans="3:29" x14ac:dyDescent="0.35">
      <c r="C1823" s="80">
        <f t="shared" si="120"/>
        <v>1</v>
      </c>
      <c r="K1823" s="65">
        <f t="shared" si="121"/>
        <v>0</v>
      </c>
      <c r="M1823" s="73">
        <f t="shared" si="122"/>
        <v>0</v>
      </c>
      <c r="AC1823" t="str">
        <f t="shared" si="123"/>
        <v>Jan</v>
      </c>
    </row>
    <row r="1824" spans="3:29" x14ac:dyDescent="0.35">
      <c r="C1824" s="80">
        <f t="shared" si="120"/>
        <v>1</v>
      </c>
      <c r="K1824" s="65">
        <f t="shared" si="121"/>
        <v>0</v>
      </c>
      <c r="M1824" s="73">
        <f t="shared" si="122"/>
        <v>0</v>
      </c>
      <c r="AC1824" t="str">
        <f t="shared" si="123"/>
        <v>Jan</v>
      </c>
    </row>
    <row r="1825" spans="3:29" x14ac:dyDescent="0.35">
      <c r="C1825" s="80">
        <f t="shared" si="120"/>
        <v>1</v>
      </c>
      <c r="K1825" s="65">
        <f t="shared" si="121"/>
        <v>0</v>
      </c>
      <c r="M1825" s="73">
        <f t="shared" si="122"/>
        <v>0</v>
      </c>
      <c r="AC1825" t="str">
        <f t="shared" si="123"/>
        <v>Jan</v>
      </c>
    </row>
    <row r="1826" spans="3:29" x14ac:dyDescent="0.35">
      <c r="C1826" s="80">
        <f t="shared" si="120"/>
        <v>1</v>
      </c>
      <c r="K1826" s="65">
        <f t="shared" si="121"/>
        <v>0</v>
      </c>
      <c r="M1826" s="73">
        <f t="shared" si="122"/>
        <v>0</v>
      </c>
      <c r="AC1826" t="str">
        <f t="shared" si="123"/>
        <v>Jan</v>
      </c>
    </row>
    <row r="1827" spans="3:29" x14ac:dyDescent="0.35">
      <c r="C1827" s="80">
        <f t="shared" si="120"/>
        <v>1</v>
      </c>
      <c r="K1827" s="65">
        <f t="shared" si="121"/>
        <v>0</v>
      </c>
      <c r="M1827" s="73">
        <f t="shared" si="122"/>
        <v>0</v>
      </c>
      <c r="AC1827" t="str">
        <f t="shared" si="123"/>
        <v>Jan</v>
      </c>
    </row>
    <row r="1828" spans="3:29" x14ac:dyDescent="0.35">
      <c r="C1828" s="80">
        <f t="shared" si="120"/>
        <v>1</v>
      </c>
      <c r="K1828" s="65">
        <f t="shared" si="121"/>
        <v>0</v>
      </c>
      <c r="M1828" s="73">
        <f t="shared" si="122"/>
        <v>0</v>
      </c>
      <c r="AC1828" t="str">
        <f t="shared" si="123"/>
        <v>Jan</v>
      </c>
    </row>
    <row r="1829" spans="3:29" x14ac:dyDescent="0.35">
      <c r="C1829" s="80">
        <f t="shared" si="120"/>
        <v>1</v>
      </c>
      <c r="K1829" s="65">
        <f t="shared" si="121"/>
        <v>0</v>
      </c>
      <c r="M1829" s="73">
        <f t="shared" si="122"/>
        <v>0</v>
      </c>
      <c r="AC1829" t="str">
        <f t="shared" si="123"/>
        <v>Jan</v>
      </c>
    </row>
    <row r="1830" spans="3:29" x14ac:dyDescent="0.35">
      <c r="C1830" s="80">
        <f t="shared" si="120"/>
        <v>1</v>
      </c>
      <c r="K1830" s="65">
        <f t="shared" si="121"/>
        <v>0</v>
      </c>
      <c r="M1830" s="73">
        <f t="shared" si="122"/>
        <v>0</v>
      </c>
      <c r="AC1830" t="str">
        <f t="shared" si="123"/>
        <v>Jan</v>
      </c>
    </row>
    <row r="1831" spans="3:29" x14ac:dyDescent="0.35">
      <c r="C1831" s="80">
        <f t="shared" si="120"/>
        <v>1</v>
      </c>
      <c r="K1831" s="65">
        <f t="shared" si="121"/>
        <v>0</v>
      </c>
      <c r="M1831" s="73">
        <f t="shared" si="122"/>
        <v>0</v>
      </c>
      <c r="AC1831" t="str">
        <f t="shared" si="123"/>
        <v>Jan</v>
      </c>
    </row>
    <row r="1832" spans="3:29" x14ac:dyDescent="0.35">
      <c r="C1832" s="80">
        <f t="shared" si="120"/>
        <v>1</v>
      </c>
      <c r="K1832" s="65">
        <f t="shared" si="121"/>
        <v>0</v>
      </c>
      <c r="M1832" s="73">
        <f t="shared" si="122"/>
        <v>0</v>
      </c>
      <c r="AC1832" t="str">
        <f t="shared" si="123"/>
        <v>Jan</v>
      </c>
    </row>
    <row r="1833" spans="3:29" x14ac:dyDescent="0.35">
      <c r="C1833" s="80">
        <f t="shared" si="120"/>
        <v>1</v>
      </c>
      <c r="K1833" s="65">
        <f t="shared" si="121"/>
        <v>0</v>
      </c>
      <c r="M1833" s="73">
        <f t="shared" si="122"/>
        <v>0</v>
      </c>
      <c r="AC1833" t="str">
        <f t="shared" si="123"/>
        <v>Jan</v>
      </c>
    </row>
    <row r="1834" spans="3:29" x14ac:dyDescent="0.35">
      <c r="C1834" s="80">
        <f t="shared" si="120"/>
        <v>1</v>
      </c>
      <c r="K1834" s="65">
        <f t="shared" si="121"/>
        <v>0</v>
      </c>
      <c r="M1834" s="73">
        <f t="shared" si="122"/>
        <v>0</v>
      </c>
      <c r="AC1834" t="str">
        <f t="shared" si="123"/>
        <v>Jan</v>
      </c>
    </row>
    <row r="1835" spans="3:29" x14ac:dyDescent="0.35">
      <c r="C1835" s="80">
        <f t="shared" si="120"/>
        <v>1</v>
      </c>
      <c r="K1835" s="65">
        <f t="shared" si="121"/>
        <v>0</v>
      </c>
      <c r="M1835" s="73">
        <f t="shared" si="122"/>
        <v>0</v>
      </c>
      <c r="AC1835" t="str">
        <f t="shared" si="123"/>
        <v>Jan</v>
      </c>
    </row>
    <row r="1836" spans="3:29" x14ac:dyDescent="0.35">
      <c r="C1836" s="80">
        <f t="shared" si="120"/>
        <v>1</v>
      </c>
      <c r="K1836" s="65">
        <f t="shared" si="121"/>
        <v>0</v>
      </c>
      <c r="M1836" s="73">
        <f t="shared" si="122"/>
        <v>0</v>
      </c>
      <c r="AC1836" t="str">
        <f t="shared" si="123"/>
        <v>Jan</v>
      </c>
    </row>
    <row r="1837" spans="3:29" x14ac:dyDescent="0.35">
      <c r="C1837" s="80">
        <f t="shared" si="120"/>
        <v>1</v>
      </c>
      <c r="K1837" s="65">
        <f t="shared" si="121"/>
        <v>0</v>
      </c>
      <c r="M1837" s="73">
        <f t="shared" si="122"/>
        <v>0</v>
      </c>
      <c r="AC1837" t="str">
        <f t="shared" si="123"/>
        <v>Jan</v>
      </c>
    </row>
    <row r="1838" spans="3:29" x14ac:dyDescent="0.35">
      <c r="C1838" s="80">
        <f t="shared" si="120"/>
        <v>1</v>
      </c>
      <c r="K1838" s="65">
        <f t="shared" si="121"/>
        <v>0</v>
      </c>
      <c r="M1838" s="73">
        <f t="shared" si="122"/>
        <v>0</v>
      </c>
      <c r="AC1838" t="str">
        <f t="shared" si="123"/>
        <v>Jan</v>
      </c>
    </row>
    <row r="1839" spans="3:29" x14ac:dyDescent="0.35">
      <c r="C1839" s="80">
        <f t="shared" si="120"/>
        <v>1</v>
      </c>
      <c r="K1839" s="65">
        <f t="shared" si="121"/>
        <v>0</v>
      </c>
      <c r="M1839" s="73">
        <f t="shared" si="122"/>
        <v>0</v>
      </c>
      <c r="AC1839" t="str">
        <f t="shared" si="123"/>
        <v>Jan</v>
      </c>
    </row>
    <row r="1840" spans="3:29" x14ac:dyDescent="0.35">
      <c r="C1840" s="80">
        <f t="shared" si="120"/>
        <v>1</v>
      </c>
      <c r="K1840" s="65">
        <f t="shared" si="121"/>
        <v>0</v>
      </c>
      <c r="M1840" s="73">
        <f t="shared" si="122"/>
        <v>0</v>
      </c>
      <c r="AC1840" t="str">
        <f t="shared" si="123"/>
        <v>Jan</v>
      </c>
    </row>
    <row r="1841" spans="3:29" x14ac:dyDescent="0.35">
      <c r="C1841" s="80">
        <f t="shared" si="120"/>
        <v>1</v>
      </c>
      <c r="K1841" s="65">
        <f t="shared" si="121"/>
        <v>0</v>
      </c>
      <c r="M1841" s="73">
        <f t="shared" si="122"/>
        <v>0</v>
      </c>
      <c r="AC1841" t="str">
        <f t="shared" si="123"/>
        <v>Jan</v>
      </c>
    </row>
    <row r="1842" spans="3:29" x14ac:dyDescent="0.35">
      <c r="C1842" s="80">
        <f t="shared" si="120"/>
        <v>1</v>
      </c>
      <c r="K1842" s="65">
        <f t="shared" si="121"/>
        <v>0</v>
      </c>
      <c r="M1842" s="73">
        <f t="shared" si="122"/>
        <v>0</v>
      </c>
      <c r="AC1842" t="str">
        <f t="shared" si="123"/>
        <v>Jan</v>
      </c>
    </row>
    <row r="1843" spans="3:29" x14ac:dyDescent="0.35">
      <c r="C1843" s="80">
        <f t="shared" si="120"/>
        <v>1</v>
      </c>
      <c r="K1843" s="65">
        <f t="shared" si="121"/>
        <v>0</v>
      </c>
      <c r="M1843" s="73">
        <f t="shared" si="122"/>
        <v>0</v>
      </c>
      <c r="AC1843" t="str">
        <f t="shared" si="123"/>
        <v>Jan</v>
      </c>
    </row>
    <row r="1844" spans="3:29" x14ac:dyDescent="0.35">
      <c r="C1844" s="80">
        <f t="shared" si="120"/>
        <v>1</v>
      </c>
      <c r="K1844" s="65">
        <f t="shared" si="121"/>
        <v>0</v>
      </c>
      <c r="M1844" s="73">
        <f t="shared" si="122"/>
        <v>0</v>
      </c>
      <c r="AC1844" t="str">
        <f t="shared" si="123"/>
        <v>Jan</v>
      </c>
    </row>
    <row r="1845" spans="3:29" x14ac:dyDescent="0.35">
      <c r="C1845" s="80">
        <f t="shared" si="120"/>
        <v>1</v>
      </c>
      <c r="K1845" s="65">
        <f t="shared" si="121"/>
        <v>0</v>
      </c>
      <c r="M1845" s="73">
        <f t="shared" si="122"/>
        <v>0</v>
      </c>
      <c r="AC1845" t="str">
        <f t="shared" si="123"/>
        <v>Jan</v>
      </c>
    </row>
    <row r="1846" spans="3:29" x14ac:dyDescent="0.35">
      <c r="C1846" s="80">
        <f t="shared" si="120"/>
        <v>1</v>
      </c>
      <c r="K1846" s="65">
        <f t="shared" si="121"/>
        <v>0</v>
      </c>
      <c r="M1846" s="73">
        <f t="shared" si="122"/>
        <v>0</v>
      </c>
      <c r="AC1846" t="str">
        <f t="shared" si="123"/>
        <v>Jan</v>
      </c>
    </row>
    <row r="1847" spans="3:29" x14ac:dyDescent="0.35">
      <c r="C1847" s="80">
        <f t="shared" si="120"/>
        <v>1</v>
      </c>
      <c r="K1847" s="65">
        <f t="shared" si="121"/>
        <v>0</v>
      </c>
      <c r="M1847" s="73">
        <f t="shared" si="122"/>
        <v>0</v>
      </c>
      <c r="AC1847" t="str">
        <f t="shared" si="123"/>
        <v>Jan</v>
      </c>
    </row>
    <row r="1848" spans="3:29" x14ac:dyDescent="0.35">
      <c r="C1848" s="80">
        <f t="shared" si="120"/>
        <v>1</v>
      </c>
      <c r="K1848" s="65">
        <f t="shared" si="121"/>
        <v>0</v>
      </c>
      <c r="M1848" s="73">
        <f t="shared" si="122"/>
        <v>0</v>
      </c>
      <c r="AC1848" t="str">
        <f t="shared" si="123"/>
        <v>Jan</v>
      </c>
    </row>
    <row r="1849" spans="3:29" x14ac:dyDescent="0.35">
      <c r="C1849" s="80">
        <f t="shared" si="120"/>
        <v>1</v>
      </c>
      <c r="K1849" s="65">
        <f t="shared" si="121"/>
        <v>0</v>
      </c>
      <c r="M1849" s="73">
        <f t="shared" si="122"/>
        <v>0</v>
      </c>
      <c r="AC1849" t="str">
        <f t="shared" si="123"/>
        <v>Jan</v>
      </c>
    </row>
    <row r="1850" spans="3:29" x14ac:dyDescent="0.35">
      <c r="C1850" s="80">
        <f t="shared" si="120"/>
        <v>1</v>
      </c>
      <c r="K1850" s="65">
        <f t="shared" si="121"/>
        <v>0</v>
      </c>
      <c r="M1850" s="73">
        <f t="shared" si="122"/>
        <v>0</v>
      </c>
      <c r="AC1850" t="str">
        <f t="shared" si="123"/>
        <v>Jan</v>
      </c>
    </row>
    <row r="1851" spans="3:29" x14ac:dyDescent="0.35">
      <c r="C1851" s="80">
        <f t="shared" si="120"/>
        <v>1</v>
      </c>
      <c r="K1851" s="65">
        <f t="shared" si="121"/>
        <v>0</v>
      </c>
      <c r="M1851" s="73">
        <f t="shared" si="122"/>
        <v>0</v>
      </c>
      <c r="AC1851" t="str">
        <f t="shared" si="123"/>
        <v>Jan</v>
      </c>
    </row>
    <row r="1852" spans="3:29" x14ac:dyDescent="0.35">
      <c r="C1852" s="80">
        <f t="shared" si="120"/>
        <v>1</v>
      </c>
      <c r="K1852" s="65">
        <f t="shared" si="121"/>
        <v>0</v>
      </c>
      <c r="M1852" s="73">
        <f t="shared" si="122"/>
        <v>0</v>
      </c>
      <c r="AC1852" t="str">
        <f t="shared" si="123"/>
        <v>Jan</v>
      </c>
    </row>
    <row r="1853" spans="3:29" x14ac:dyDescent="0.35">
      <c r="C1853" s="80">
        <f t="shared" si="120"/>
        <v>1</v>
      </c>
      <c r="K1853" s="65">
        <f t="shared" si="121"/>
        <v>0</v>
      </c>
      <c r="M1853" s="73">
        <f t="shared" si="122"/>
        <v>0</v>
      </c>
      <c r="AC1853" t="str">
        <f t="shared" si="123"/>
        <v>Jan</v>
      </c>
    </row>
    <row r="1854" spans="3:29" x14ac:dyDescent="0.35">
      <c r="C1854" s="80">
        <f t="shared" si="120"/>
        <v>1</v>
      </c>
      <c r="K1854" s="65">
        <f t="shared" si="121"/>
        <v>0</v>
      </c>
      <c r="M1854" s="73">
        <f t="shared" si="122"/>
        <v>0</v>
      </c>
      <c r="AC1854" t="str">
        <f t="shared" si="123"/>
        <v>Jan</v>
      </c>
    </row>
    <row r="1855" spans="3:29" x14ac:dyDescent="0.35">
      <c r="C1855" s="80">
        <f t="shared" si="120"/>
        <v>1</v>
      </c>
      <c r="K1855" s="65">
        <f t="shared" si="121"/>
        <v>0</v>
      </c>
      <c r="M1855" s="73">
        <f t="shared" si="122"/>
        <v>0</v>
      </c>
      <c r="AC1855" t="str">
        <f t="shared" si="123"/>
        <v>Jan</v>
      </c>
    </row>
    <row r="1856" spans="3:29" x14ac:dyDescent="0.35">
      <c r="C1856" s="80">
        <f t="shared" si="120"/>
        <v>1</v>
      </c>
      <c r="K1856" s="65">
        <f t="shared" si="121"/>
        <v>0</v>
      </c>
      <c r="M1856" s="73">
        <f t="shared" si="122"/>
        <v>0</v>
      </c>
      <c r="AC1856" t="str">
        <f t="shared" si="123"/>
        <v>Jan</v>
      </c>
    </row>
    <row r="1857" spans="3:29" x14ac:dyDescent="0.35">
      <c r="C1857" s="80">
        <f t="shared" si="120"/>
        <v>1</v>
      </c>
      <c r="K1857" s="65">
        <f t="shared" si="121"/>
        <v>0</v>
      </c>
      <c r="M1857" s="73">
        <f t="shared" si="122"/>
        <v>0</v>
      </c>
      <c r="AC1857" t="str">
        <f t="shared" si="123"/>
        <v>Jan</v>
      </c>
    </row>
    <row r="1858" spans="3:29" x14ac:dyDescent="0.35">
      <c r="C1858" s="80">
        <f t="shared" si="120"/>
        <v>1</v>
      </c>
      <c r="K1858" s="65">
        <f t="shared" si="121"/>
        <v>0</v>
      </c>
      <c r="M1858" s="73">
        <f t="shared" si="122"/>
        <v>0</v>
      </c>
      <c r="AC1858" t="str">
        <f t="shared" si="123"/>
        <v>Jan</v>
      </c>
    </row>
    <row r="1859" spans="3:29" x14ac:dyDescent="0.35">
      <c r="C1859" s="80">
        <f t="shared" si="120"/>
        <v>1</v>
      </c>
      <c r="K1859" s="65">
        <f t="shared" si="121"/>
        <v>0</v>
      </c>
      <c r="M1859" s="73">
        <f t="shared" si="122"/>
        <v>0</v>
      </c>
      <c r="AC1859" t="str">
        <f t="shared" si="123"/>
        <v>Jan</v>
      </c>
    </row>
    <row r="1860" spans="3:29" x14ac:dyDescent="0.35">
      <c r="C1860" s="80">
        <f t="shared" si="120"/>
        <v>1</v>
      </c>
      <c r="K1860" s="65">
        <f t="shared" si="121"/>
        <v>0</v>
      </c>
      <c r="M1860" s="73">
        <f t="shared" si="122"/>
        <v>0</v>
      </c>
      <c r="AC1860" t="str">
        <f t="shared" si="123"/>
        <v>Jan</v>
      </c>
    </row>
    <row r="1861" spans="3:29" x14ac:dyDescent="0.35">
      <c r="C1861" s="80">
        <f t="shared" si="120"/>
        <v>1</v>
      </c>
      <c r="K1861" s="65">
        <f t="shared" si="121"/>
        <v>0</v>
      </c>
      <c r="M1861" s="73">
        <f t="shared" si="122"/>
        <v>0</v>
      </c>
      <c r="AC1861" t="str">
        <f t="shared" si="123"/>
        <v>Jan</v>
      </c>
    </row>
    <row r="1862" spans="3:29" x14ac:dyDescent="0.35">
      <c r="C1862" s="80">
        <f t="shared" ref="C1862:C1925" si="124">MONTH(B1862)</f>
        <v>1</v>
      </c>
      <c r="K1862" s="65">
        <f t="shared" ref="K1862:K1925" si="125">I1862*J1862</f>
        <v>0</v>
      </c>
      <c r="M1862" s="73">
        <f t="shared" ref="M1862:M1925" si="126">K1862-L1862</f>
        <v>0</v>
      </c>
      <c r="AC1862" t="str">
        <f t="shared" si="123"/>
        <v>Jan</v>
      </c>
    </row>
    <row r="1863" spans="3:29" x14ac:dyDescent="0.35">
      <c r="C1863" s="80">
        <f t="shared" si="124"/>
        <v>1</v>
      </c>
      <c r="K1863" s="65">
        <f t="shared" si="125"/>
        <v>0</v>
      </c>
      <c r="M1863" s="73">
        <f t="shared" si="126"/>
        <v>0</v>
      </c>
      <c r="AC1863" t="str">
        <f t="shared" ref="AC1863:AC1926" si="127">IFERROR(INDEX(AA:AA,MATCH(C1863,Z:Z,0)),"")</f>
        <v>Jan</v>
      </c>
    </row>
    <row r="1864" spans="3:29" x14ac:dyDescent="0.35">
      <c r="C1864" s="80">
        <f t="shared" si="124"/>
        <v>1</v>
      </c>
      <c r="K1864" s="65">
        <f t="shared" si="125"/>
        <v>0</v>
      </c>
      <c r="M1864" s="73">
        <f t="shared" si="126"/>
        <v>0</v>
      </c>
      <c r="AC1864" t="str">
        <f t="shared" si="127"/>
        <v>Jan</v>
      </c>
    </row>
    <row r="1865" spans="3:29" x14ac:dyDescent="0.35">
      <c r="C1865" s="80">
        <f t="shared" si="124"/>
        <v>1</v>
      </c>
      <c r="K1865" s="65">
        <f t="shared" si="125"/>
        <v>0</v>
      </c>
      <c r="M1865" s="73">
        <f t="shared" si="126"/>
        <v>0</v>
      </c>
      <c r="AC1865" t="str">
        <f t="shared" si="127"/>
        <v>Jan</v>
      </c>
    </row>
    <row r="1866" spans="3:29" x14ac:dyDescent="0.35">
      <c r="C1866" s="80">
        <f t="shared" si="124"/>
        <v>1</v>
      </c>
      <c r="K1866" s="65">
        <f t="shared" si="125"/>
        <v>0</v>
      </c>
      <c r="M1866" s="73">
        <f t="shared" si="126"/>
        <v>0</v>
      </c>
      <c r="AC1866" t="str">
        <f t="shared" si="127"/>
        <v>Jan</v>
      </c>
    </row>
    <row r="1867" spans="3:29" x14ac:dyDescent="0.35">
      <c r="C1867" s="80">
        <f t="shared" si="124"/>
        <v>1</v>
      </c>
      <c r="K1867" s="65">
        <f t="shared" si="125"/>
        <v>0</v>
      </c>
      <c r="M1867" s="73">
        <f t="shared" si="126"/>
        <v>0</v>
      </c>
      <c r="AC1867" t="str">
        <f t="shared" si="127"/>
        <v>Jan</v>
      </c>
    </row>
    <row r="1868" spans="3:29" x14ac:dyDescent="0.35">
      <c r="C1868" s="80">
        <f t="shared" si="124"/>
        <v>1</v>
      </c>
      <c r="K1868" s="65">
        <f t="shared" si="125"/>
        <v>0</v>
      </c>
      <c r="M1868" s="73">
        <f t="shared" si="126"/>
        <v>0</v>
      </c>
      <c r="AC1868" t="str">
        <f t="shared" si="127"/>
        <v>Jan</v>
      </c>
    </row>
    <row r="1869" spans="3:29" x14ac:dyDescent="0.35">
      <c r="C1869" s="80">
        <f t="shared" si="124"/>
        <v>1</v>
      </c>
      <c r="K1869" s="65">
        <f t="shared" si="125"/>
        <v>0</v>
      </c>
      <c r="M1869" s="73">
        <f t="shared" si="126"/>
        <v>0</v>
      </c>
      <c r="AC1869" t="str">
        <f t="shared" si="127"/>
        <v>Jan</v>
      </c>
    </row>
    <row r="1870" spans="3:29" x14ac:dyDescent="0.35">
      <c r="C1870" s="80">
        <f t="shared" si="124"/>
        <v>1</v>
      </c>
      <c r="K1870" s="65">
        <f t="shared" si="125"/>
        <v>0</v>
      </c>
      <c r="M1870" s="73">
        <f t="shared" si="126"/>
        <v>0</v>
      </c>
      <c r="AC1870" t="str">
        <f t="shared" si="127"/>
        <v>Jan</v>
      </c>
    </row>
    <row r="1871" spans="3:29" x14ac:dyDescent="0.35">
      <c r="C1871" s="80">
        <f t="shared" si="124"/>
        <v>1</v>
      </c>
      <c r="K1871" s="65">
        <f t="shared" si="125"/>
        <v>0</v>
      </c>
      <c r="M1871" s="73">
        <f t="shared" si="126"/>
        <v>0</v>
      </c>
      <c r="AC1871" t="str">
        <f t="shared" si="127"/>
        <v>Jan</v>
      </c>
    </row>
    <row r="1872" spans="3:29" x14ac:dyDescent="0.35">
      <c r="C1872" s="80">
        <f t="shared" si="124"/>
        <v>1</v>
      </c>
      <c r="K1872" s="65">
        <f t="shared" si="125"/>
        <v>0</v>
      </c>
      <c r="M1872" s="73">
        <f t="shared" si="126"/>
        <v>0</v>
      </c>
      <c r="AC1872" t="str">
        <f t="shared" si="127"/>
        <v>Jan</v>
      </c>
    </row>
    <row r="1873" spans="3:29" x14ac:dyDescent="0.35">
      <c r="C1873" s="80">
        <f t="shared" si="124"/>
        <v>1</v>
      </c>
      <c r="K1873" s="65">
        <f t="shared" si="125"/>
        <v>0</v>
      </c>
      <c r="M1873" s="73">
        <f t="shared" si="126"/>
        <v>0</v>
      </c>
      <c r="AC1873" t="str">
        <f t="shared" si="127"/>
        <v>Jan</v>
      </c>
    </row>
    <row r="1874" spans="3:29" x14ac:dyDescent="0.35">
      <c r="C1874" s="80">
        <f t="shared" si="124"/>
        <v>1</v>
      </c>
      <c r="K1874" s="65">
        <f t="shared" si="125"/>
        <v>0</v>
      </c>
      <c r="M1874" s="73">
        <f t="shared" si="126"/>
        <v>0</v>
      </c>
      <c r="AC1874" t="str">
        <f t="shared" si="127"/>
        <v>Jan</v>
      </c>
    </row>
    <row r="1875" spans="3:29" x14ac:dyDescent="0.35">
      <c r="C1875" s="80">
        <f t="shared" si="124"/>
        <v>1</v>
      </c>
      <c r="K1875" s="65">
        <f t="shared" si="125"/>
        <v>0</v>
      </c>
      <c r="M1875" s="73">
        <f t="shared" si="126"/>
        <v>0</v>
      </c>
      <c r="AC1875" t="str">
        <f t="shared" si="127"/>
        <v>Jan</v>
      </c>
    </row>
    <row r="1876" spans="3:29" x14ac:dyDescent="0.35">
      <c r="C1876" s="80">
        <f t="shared" si="124"/>
        <v>1</v>
      </c>
      <c r="K1876" s="65">
        <f t="shared" si="125"/>
        <v>0</v>
      </c>
      <c r="M1876" s="73">
        <f t="shared" si="126"/>
        <v>0</v>
      </c>
      <c r="AC1876" t="str">
        <f t="shared" si="127"/>
        <v>Jan</v>
      </c>
    </row>
    <row r="1877" spans="3:29" x14ac:dyDescent="0.35">
      <c r="C1877" s="80">
        <f t="shared" si="124"/>
        <v>1</v>
      </c>
      <c r="K1877" s="65">
        <f t="shared" si="125"/>
        <v>0</v>
      </c>
      <c r="M1877" s="73">
        <f t="shared" si="126"/>
        <v>0</v>
      </c>
      <c r="AC1877" t="str">
        <f t="shared" si="127"/>
        <v>Jan</v>
      </c>
    </row>
    <row r="1878" spans="3:29" x14ac:dyDescent="0.35">
      <c r="C1878" s="80">
        <f t="shared" si="124"/>
        <v>1</v>
      </c>
      <c r="K1878" s="65">
        <f t="shared" si="125"/>
        <v>0</v>
      </c>
      <c r="M1878" s="73">
        <f t="shared" si="126"/>
        <v>0</v>
      </c>
      <c r="AC1878" t="str">
        <f t="shared" si="127"/>
        <v>Jan</v>
      </c>
    </row>
    <row r="1879" spans="3:29" x14ac:dyDescent="0.35">
      <c r="C1879" s="80">
        <f t="shared" si="124"/>
        <v>1</v>
      </c>
      <c r="K1879" s="65">
        <f t="shared" si="125"/>
        <v>0</v>
      </c>
      <c r="M1879" s="73">
        <f t="shared" si="126"/>
        <v>0</v>
      </c>
      <c r="AC1879" t="str">
        <f t="shared" si="127"/>
        <v>Jan</v>
      </c>
    </row>
    <row r="1880" spans="3:29" x14ac:dyDescent="0.35">
      <c r="C1880" s="80">
        <f t="shared" si="124"/>
        <v>1</v>
      </c>
      <c r="K1880" s="65">
        <f t="shared" si="125"/>
        <v>0</v>
      </c>
      <c r="M1880" s="73">
        <f t="shared" si="126"/>
        <v>0</v>
      </c>
      <c r="AC1880" t="str">
        <f t="shared" si="127"/>
        <v>Jan</v>
      </c>
    </row>
    <row r="1881" spans="3:29" x14ac:dyDescent="0.35">
      <c r="C1881" s="80">
        <f t="shared" si="124"/>
        <v>1</v>
      </c>
      <c r="K1881" s="65">
        <f t="shared" si="125"/>
        <v>0</v>
      </c>
      <c r="M1881" s="73">
        <f t="shared" si="126"/>
        <v>0</v>
      </c>
      <c r="AC1881" t="str">
        <f t="shared" si="127"/>
        <v>Jan</v>
      </c>
    </row>
    <row r="1882" spans="3:29" x14ac:dyDescent="0.35">
      <c r="C1882" s="80">
        <f t="shared" si="124"/>
        <v>1</v>
      </c>
      <c r="K1882" s="65">
        <f t="shared" si="125"/>
        <v>0</v>
      </c>
      <c r="M1882" s="73">
        <f t="shared" si="126"/>
        <v>0</v>
      </c>
      <c r="AC1882" t="str">
        <f t="shared" si="127"/>
        <v>Jan</v>
      </c>
    </row>
    <row r="1883" spans="3:29" x14ac:dyDescent="0.35">
      <c r="C1883" s="80">
        <f t="shared" si="124"/>
        <v>1</v>
      </c>
      <c r="K1883" s="65">
        <f t="shared" si="125"/>
        <v>0</v>
      </c>
      <c r="M1883" s="73">
        <f t="shared" si="126"/>
        <v>0</v>
      </c>
      <c r="AC1883" t="str">
        <f t="shared" si="127"/>
        <v>Jan</v>
      </c>
    </row>
    <row r="1884" spans="3:29" x14ac:dyDescent="0.35">
      <c r="C1884" s="80">
        <f t="shared" si="124"/>
        <v>1</v>
      </c>
      <c r="K1884" s="65">
        <f t="shared" si="125"/>
        <v>0</v>
      </c>
      <c r="M1884" s="73">
        <f t="shared" si="126"/>
        <v>0</v>
      </c>
      <c r="AC1884" t="str">
        <f t="shared" si="127"/>
        <v>Jan</v>
      </c>
    </row>
    <row r="1885" spans="3:29" x14ac:dyDescent="0.35">
      <c r="C1885" s="80">
        <f t="shared" si="124"/>
        <v>1</v>
      </c>
      <c r="K1885" s="65">
        <f t="shared" si="125"/>
        <v>0</v>
      </c>
      <c r="M1885" s="73">
        <f t="shared" si="126"/>
        <v>0</v>
      </c>
      <c r="AC1885" t="str">
        <f t="shared" si="127"/>
        <v>Jan</v>
      </c>
    </row>
    <row r="1886" spans="3:29" x14ac:dyDescent="0.35">
      <c r="C1886" s="80">
        <f t="shared" si="124"/>
        <v>1</v>
      </c>
      <c r="K1886" s="65">
        <f t="shared" si="125"/>
        <v>0</v>
      </c>
      <c r="M1886" s="73">
        <f t="shared" si="126"/>
        <v>0</v>
      </c>
      <c r="AC1886" t="str">
        <f t="shared" si="127"/>
        <v>Jan</v>
      </c>
    </row>
    <row r="1887" spans="3:29" x14ac:dyDescent="0.35">
      <c r="C1887" s="80">
        <f t="shared" si="124"/>
        <v>1</v>
      </c>
      <c r="K1887" s="65">
        <f t="shared" si="125"/>
        <v>0</v>
      </c>
      <c r="M1887" s="73">
        <f t="shared" si="126"/>
        <v>0</v>
      </c>
      <c r="AC1887" t="str">
        <f t="shared" si="127"/>
        <v>Jan</v>
      </c>
    </row>
    <row r="1888" spans="3:29" x14ac:dyDescent="0.35">
      <c r="C1888" s="80">
        <f t="shared" si="124"/>
        <v>1</v>
      </c>
      <c r="K1888" s="65">
        <f t="shared" si="125"/>
        <v>0</v>
      </c>
      <c r="M1888" s="73">
        <f t="shared" si="126"/>
        <v>0</v>
      </c>
      <c r="AC1888" t="str">
        <f t="shared" si="127"/>
        <v>Jan</v>
      </c>
    </row>
    <row r="1889" spans="3:29" x14ac:dyDescent="0.35">
      <c r="C1889" s="80">
        <f t="shared" si="124"/>
        <v>1</v>
      </c>
      <c r="K1889" s="65">
        <f t="shared" si="125"/>
        <v>0</v>
      </c>
      <c r="M1889" s="73">
        <f t="shared" si="126"/>
        <v>0</v>
      </c>
      <c r="AC1889" t="str">
        <f t="shared" si="127"/>
        <v>Jan</v>
      </c>
    </row>
    <row r="1890" spans="3:29" x14ac:dyDescent="0.35">
      <c r="C1890" s="80">
        <f t="shared" si="124"/>
        <v>1</v>
      </c>
      <c r="K1890" s="65">
        <f t="shared" si="125"/>
        <v>0</v>
      </c>
      <c r="M1890" s="73">
        <f t="shared" si="126"/>
        <v>0</v>
      </c>
      <c r="AC1890" t="str">
        <f t="shared" si="127"/>
        <v>Jan</v>
      </c>
    </row>
    <row r="1891" spans="3:29" x14ac:dyDescent="0.35">
      <c r="C1891" s="80">
        <f t="shared" si="124"/>
        <v>1</v>
      </c>
      <c r="K1891" s="65">
        <f t="shared" si="125"/>
        <v>0</v>
      </c>
      <c r="M1891" s="73">
        <f t="shared" si="126"/>
        <v>0</v>
      </c>
      <c r="AC1891" t="str">
        <f t="shared" si="127"/>
        <v>Jan</v>
      </c>
    </row>
    <row r="1892" spans="3:29" x14ac:dyDescent="0.35">
      <c r="C1892" s="80">
        <f t="shared" si="124"/>
        <v>1</v>
      </c>
      <c r="K1892" s="65">
        <f t="shared" si="125"/>
        <v>0</v>
      </c>
      <c r="M1892" s="73">
        <f t="shared" si="126"/>
        <v>0</v>
      </c>
      <c r="AC1892" t="str">
        <f t="shared" si="127"/>
        <v>Jan</v>
      </c>
    </row>
    <row r="1893" spans="3:29" x14ac:dyDescent="0.35">
      <c r="C1893" s="80">
        <f t="shared" si="124"/>
        <v>1</v>
      </c>
      <c r="K1893" s="65">
        <f t="shared" si="125"/>
        <v>0</v>
      </c>
      <c r="M1893" s="73">
        <f t="shared" si="126"/>
        <v>0</v>
      </c>
      <c r="AC1893" t="str">
        <f t="shared" si="127"/>
        <v>Jan</v>
      </c>
    </row>
    <row r="1894" spans="3:29" x14ac:dyDescent="0.35">
      <c r="C1894" s="80">
        <f t="shared" si="124"/>
        <v>1</v>
      </c>
      <c r="K1894" s="65">
        <f t="shared" si="125"/>
        <v>0</v>
      </c>
      <c r="M1894" s="73">
        <f t="shared" si="126"/>
        <v>0</v>
      </c>
      <c r="AC1894" t="str">
        <f t="shared" si="127"/>
        <v>Jan</v>
      </c>
    </row>
    <row r="1895" spans="3:29" x14ac:dyDescent="0.35">
      <c r="C1895" s="80">
        <f t="shared" si="124"/>
        <v>1</v>
      </c>
      <c r="K1895" s="65">
        <f t="shared" si="125"/>
        <v>0</v>
      </c>
      <c r="M1895" s="73">
        <f t="shared" si="126"/>
        <v>0</v>
      </c>
      <c r="AC1895" t="str">
        <f t="shared" si="127"/>
        <v>Jan</v>
      </c>
    </row>
    <row r="1896" spans="3:29" x14ac:dyDescent="0.35">
      <c r="C1896" s="80">
        <f t="shared" si="124"/>
        <v>1</v>
      </c>
      <c r="K1896" s="65">
        <f t="shared" si="125"/>
        <v>0</v>
      </c>
      <c r="M1896" s="73">
        <f t="shared" si="126"/>
        <v>0</v>
      </c>
      <c r="AC1896" t="str">
        <f t="shared" si="127"/>
        <v>Jan</v>
      </c>
    </row>
    <row r="1897" spans="3:29" x14ac:dyDescent="0.35">
      <c r="C1897" s="80">
        <f t="shared" si="124"/>
        <v>1</v>
      </c>
      <c r="K1897" s="65">
        <f t="shared" si="125"/>
        <v>0</v>
      </c>
      <c r="M1897" s="73">
        <f t="shared" si="126"/>
        <v>0</v>
      </c>
      <c r="AC1897" t="str">
        <f t="shared" si="127"/>
        <v>Jan</v>
      </c>
    </row>
    <row r="1898" spans="3:29" x14ac:dyDescent="0.35">
      <c r="C1898" s="80">
        <f t="shared" si="124"/>
        <v>1</v>
      </c>
      <c r="K1898" s="65">
        <f t="shared" si="125"/>
        <v>0</v>
      </c>
      <c r="M1898" s="73">
        <f t="shared" si="126"/>
        <v>0</v>
      </c>
      <c r="AC1898" t="str">
        <f t="shared" si="127"/>
        <v>Jan</v>
      </c>
    </row>
    <row r="1899" spans="3:29" x14ac:dyDescent="0.35">
      <c r="C1899" s="80">
        <f t="shared" si="124"/>
        <v>1</v>
      </c>
      <c r="K1899" s="65">
        <f t="shared" si="125"/>
        <v>0</v>
      </c>
      <c r="M1899" s="73">
        <f t="shared" si="126"/>
        <v>0</v>
      </c>
      <c r="AC1899" t="str">
        <f t="shared" si="127"/>
        <v>Jan</v>
      </c>
    </row>
    <row r="1900" spans="3:29" x14ac:dyDescent="0.35">
      <c r="C1900" s="80">
        <f t="shared" si="124"/>
        <v>1</v>
      </c>
      <c r="K1900" s="65">
        <f t="shared" si="125"/>
        <v>0</v>
      </c>
      <c r="M1900" s="73">
        <f t="shared" si="126"/>
        <v>0</v>
      </c>
      <c r="AC1900" t="str">
        <f t="shared" si="127"/>
        <v>Jan</v>
      </c>
    </row>
    <row r="1901" spans="3:29" x14ac:dyDescent="0.35">
      <c r="C1901" s="80">
        <f t="shared" si="124"/>
        <v>1</v>
      </c>
      <c r="K1901" s="65">
        <f t="shared" si="125"/>
        <v>0</v>
      </c>
      <c r="M1901" s="73">
        <f t="shared" si="126"/>
        <v>0</v>
      </c>
      <c r="AC1901" t="str">
        <f t="shared" si="127"/>
        <v>Jan</v>
      </c>
    </row>
    <row r="1902" spans="3:29" x14ac:dyDescent="0.35">
      <c r="C1902" s="80">
        <f t="shared" si="124"/>
        <v>1</v>
      </c>
      <c r="K1902" s="65">
        <f t="shared" si="125"/>
        <v>0</v>
      </c>
      <c r="M1902" s="73">
        <f t="shared" si="126"/>
        <v>0</v>
      </c>
      <c r="AC1902" t="str">
        <f t="shared" si="127"/>
        <v>Jan</v>
      </c>
    </row>
    <row r="1903" spans="3:29" x14ac:dyDescent="0.35">
      <c r="C1903" s="80">
        <f t="shared" si="124"/>
        <v>1</v>
      </c>
      <c r="K1903" s="65">
        <f t="shared" si="125"/>
        <v>0</v>
      </c>
      <c r="M1903" s="73">
        <f t="shared" si="126"/>
        <v>0</v>
      </c>
      <c r="AC1903" t="str">
        <f t="shared" si="127"/>
        <v>Jan</v>
      </c>
    </row>
    <row r="1904" spans="3:29" x14ac:dyDescent="0.35">
      <c r="C1904" s="80">
        <f t="shared" si="124"/>
        <v>1</v>
      </c>
      <c r="K1904" s="65">
        <f t="shared" si="125"/>
        <v>0</v>
      </c>
      <c r="M1904" s="73">
        <f t="shared" si="126"/>
        <v>0</v>
      </c>
      <c r="AC1904" t="str">
        <f t="shared" si="127"/>
        <v>Jan</v>
      </c>
    </row>
    <row r="1905" spans="3:29" x14ac:dyDescent="0.35">
      <c r="C1905" s="80">
        <f t="shared" si="124"/>
        <v>1</v>
      </c>
      <c r="K1905" s="65">
        <f t="shared" si="125"/>
        <v>0</v>
      </c>
      <c r="M1905" s="73">
        <f t="shared" si="126"/>
        <v>0</v>
      </c>
      <c r="AC1905" t="str">
        <f t="shared" si="127"/>
        <v>Jan</v>
      </c>
    </row>
    <row r="1906" spans="3:29" x14ac:dyDescent="0.35">
      <c r="C1906" s="80">
        <f t="shared" si="124"/>
        <v>1</v>
      </c>
      <c r="K1906" s="65">
        <f t="shared" si="125"/>
        <v>0</v>
      </c>
      <c r="M1906" s="73">
        <f t="shared" si="126"/>
        <v>0</v>
      </c>
      <c r="AC1906" t="str">
        <f t="shared" si="127"/>
        <v>Jan</v>
      </c>
    </row>
    <row r="1907" spans="3:29" x14ac:dyDescent="0.35">
      <c r="C1907" s="80">
        <f t="shared" si="124"/>
        <v>1</v>
      </c>
      <c r="K1907" s="65">
        <f t="shared" si="125"/>
        <v>0</v>
      </c>
      <c r="M1907" s="73">
        <f t="shared" si="126"/>
        <v>0</v>
      </c>
      <c r="AC1907" t="str">
        <f t="shared" si="127"/>
        <v>Jan</v>
      </c>
    </row>
    <row r="1908" spans="3:29" x14ac:dyDescent="0.35">
      <c r="C1908" s="80">
        <f t="shared" si="124"/>
        <v>1</v>
      </c>
      <c r="K1908" s="65">
        <f t="shared" si="125"/>
        <v>0</v>
      </c>
      <c r="M1908" s="73">
        <f t="shared" si="126"/>
        <v>0</v>
      </c>
      <c r="AC1908" t="str">
        <f t="shared" si="127"/>
        <v>Jan</v>
      </c>
    </row>
    <row r="1909" spans="3:29" x14ac:dyDescent="0.35">
      <c r="C1909" s="80">
        <f t="shared" si="124"/>
        <v>1</v>
      </c>
      <c r="K1909" s="65">
        <f t="shared" si="125"/>
        <v>0</v>
      </c>
      <c r="M1909" s="73">
        <f t="shared" si="126"/>
        <v>0</v>
      </c>
      <c r="AC1909" t="str">
        <f t="shared" si="127"/>
        <v>Jan</v>
      </c>
    </row>
    <row r="1910" spans="3:29" x14ac:dyDescent="0.35">
      <c r="C1910" s="80">
        <f t="shared" si="124"/>
        <v>1</v>
      </c>
      <c r="K1910" s="65">
        <f t="shared" si="125"/>
        <v>0</v>
      </c>
      <c r="M1910" s="73">
        <f t="shared" si="126"/>
        <v>0</v>
      </c>
      <c r="AC1910" t="str">
        <f t="shared" si="127"/>
        <v>Jan</v>
      </c>
    </row>
    <row r="1911" spans="3:29" x14ac:dyDescent="0.35">
      <c r="C1911" s="80">
        <f t="shared" si="124"/>
        <v>1</v>
      </c>
      <c r="K1911" s="65">
        <f t="shared" si="125"/>
        <v>0</v>
      </c>
      <c r="M1911" s="73">
        <f t="shared" si="126"/>
        <v>0</v>
      </c>
      <c r="AC1911" t="str">
        <f t="shared" si="127"/>
        <v>Jan</v>
      </c>
    </row>
    <row r="1912" spans="3:29" x14ac:dyDescent="0.35">
      <c r="C1912" s="80">
        <f t="shared" si="124"/>
        <v>1</v>
      </c>
      <c r="K1912" s="65">
        <f t="shared" si="125"/>
        <v>0</v>
      </c>
      <c r="M1912" s="73">
        <f t="shared" si="126"/>
        <v>0</v>
      </c>
      <c r="AC1912" t="str">
        <f t="shared" si="127"/>
        <v>Jan</v>
      </c>
    </row>
    <row r="1913" spans="3:29" x14ac:dyDescent="0.35">
      <c r="C1913" s="80">
        <f t="shared" si="124"/>
        <v>1</v>
      </c>
      <c r="K1913" s="65">
        <f t="shared" si="125"/>
        <v>0</v>
      </c>
      <c r="M1913" s="73">
        <f t="shared" si="126"/>
        <v>0</v>
      </c>
      <c r="AC1913" t="str">
        <f t="shared" si="127"/>
        <v>Jan</v>
      </c>
    </row>
    <row r="1914" spans="3:29" x14ac:dyDescent="0.35">
      <c r="C1914" s="80">
        <f t="shared" si="124"/>
        <v>1</v>
      </c>
      <c r="K1914" s="65">
        <f t="shared" si="125"/>
        <v>0</v>
      </c>
      <c r="M1914" s="73">
        <f t="shared" si="126"/>
        <v>0</v>
      </c>
      <c r="AC1914" t="str">
        <f t="shared" si="127"/>
        <v>Jan</v>
      </c>
    </row>
    <row r="1915" spans="3:29" x14ac:dyDescent="0.35">
      <c r="C1915" s="80">
        <f t="shared" si="124"/>
        <v>1</v>
      </c>
      <c r="K1915" s="65">
        <f t="shared" si="125"/>
        <v>0</v>
      </c>
      <c r="M1915" s="73">
        <f t="shared" si="126"/>
        <v>0</v>
      </c>
      <c r="AC1915" t="str">
        <f t="shared" si="127"/>
        <v>Jan</v>
      </c>
    </row>
    <row r="1916" spans="3:29" x14ac:dyDescent="0.35">
      <c r="C1916" s="80">
        <f t="shared" si="124"/>
        <v>1</v>
      </c>
      <c r="K1916" s="65">
        <f t="shared" si="125"/>
        <v>0</v>
      </c>
      <c r="M1916" s="73">
        <f t="shared" si="126"/>
        <v>0</v>
      </c>
      <c r="AC1916" t="str">
        <f t="shared" si="127"/>
        <v>Jan</v>
      </c>
    </row>
    <row r="1917" spans="3:29" x14ac:dyDescent="0.35">
      <c r="C1917" s="80">
        <f t="shared" si="124"/>
        <v>1</v>
      </c>
      <c r="K1917" s="65">
        <f t="shared" si="125"/>
        <v>0</v>
      </c>
      <c r="M1917" s="73">
        <f t="shared" si="126"/>
        <v>0</v>
      </c>
      <c r="AC1917" t="str">
        <f t="shared" si="127"/>
        <v>Jan</v>
      </c>
    </row>
    <row r="1918" spans="3:29" x14ac:dyDescent="0.35">
      <c r="C1918" s="80">
        <f t="shared" si="124"/>
        <v>1</v>
      </c>
      <c r="K1918" s="65">
        <f t="shared" si="125"/>
        <v>0</v>
      </c>
      <c r="M1918" s="73">
        <f t="shared" si="126"/>
        <v>0</v>
      </c>
      <c r="AC1918" t="str">
        <f t="shared" si="127"/>
        <v>Jan</v>
      </c>
    </row>
    <row r="1919" spans="3:29" x14ac:dyDescent="0.35">
      <c r="C1919" s="80">
        <f t="shared" si="124"/>
        <v>1</v>
      </c>
      <c r="K1919" s="65">
        <f t="shared" si="125"/>
        <v>0</v>
      </c>
      <c r="M1919" s="73">
        <f t="shared" si="126"/>
        <v>0</v>
      </c>
      <c r="AC1919" t="str">
        <f t="shared" si="127"/>
        <v>Jan</v>
      </c>
    </row>
    <row r="1920" spans="3:29" x14ac:dyDescent="0.35">
      <c r="C1920" s="80">
        <f t="shared" si="124"/>
        <v>1</v>
      </c>
      <c r="K1920" s="65">
        <f t="shared" si="125"/>
        <v>0</v>
      </c>
      <c r="M1920" s="73">
        <f t="shared" si="126"/>
        <v>0</v>
      </c>
      <c r="AC1920" t="str">
        <f t="shared" si="127"/>
        <v>Jan</v>
      </c>
    </row>
    <row r="1921" spans="3:29" x14ac:dyDescent="0.35">
      <c r="C1921" s="80">
        <f t="shared" si="124"/>
        <v>1</v>
      </c>
      <c r="K1921" s="65">
        <f t="shared" si="125"/>
        <v>0</v>
      </c>
      <c r="M1921" s="73">
        <f t="shared" si="126"/>
        <v>0</v>
      </c>
      <c r="AC1921" t="str">
        <f t="shared" si="127"/>
        <v>Jan</v>
      </c>
    </row>
    <row r="1922" spans="3:29" x14ac:dyDescent="0.35">
      <c r="C1922" s="80">
        <f t="shared" si="124"/>
        <v>1</v>
      </c>
      <c r="K1922" s="65">
        <f t="shared" si="125"/>
        <v>0</v>
      </c>
      <c r="M1922" s="73">
        <f t="shared" si="126"/>
        <v>0</v>
      </c>
      <c r="AC1922" t="str">
        <f t="shared" si="127"/>
        <v>Jan</v>
      </c>
    </row>
    <row r="1923" spans="3:29" x14ac:dyDescent="0.35">
      <c r="C1923" s="80">
        <f t="shared" si="124"/>
        <v>1</v>
      </c>
      <c r="K1923" s="65">
        <f t="shared" si="125"/>
        <v>0</v>
      </c>
      <c r="M1923" s="73">
        <f t="shared" si="126"/>
        <v>0</v>
      </c>
      <c r="AC1923" t="str">
        <f t="shared" si="127"/>
        <v>Jan</v>
      </c>
    </row>
    <row r="1924" spans="3:29" x14ac:dyDescent="0.35">
      <c r="C1924" s="80">
        <f t="shared" si="124"/>
        <v>1</v>
      </c>
      <c r="K1924" s="65">
        <f t="shared" si="125"/>
        <v>0</v>
      </c>
      <c r="M1924" s="73">
        <f t="shared" si="126"/>
        <v>0</v>
      </c>
      <c r="AC1924" t="str">
        <f t="shared" si="127"/>
        <v>Jan</v>
      </c>
    </row>
    <row r="1925" spans="3:29" x14ac:dyDescent="0.35">
      <c r="C1925" s="80">
        <f t="shared" si="124"/>
        <v>1</v>
      </c>
      <c r="K1925" s="65">
        <f t="shared" si="125"/>
        <v>0</v>
      </c>
      <c r="M1925" s="73">
        <f t="shared" si="126"/>
        <v>0</v>
      </c>
      <c r="AC1925" t="str">
        <f t="shared" si="127"/>
        <v>Jan</v>
      </c>
    </row>
    <row r="1926" spans="3:29" x14ac:dyDescent="0.35">
      <c r="C1926" s="80">
        <f t="shared" ref="C1926:C1989" si="128">MONTH(B1926)</f>
        <v>1</v>
      </c>
      <c r="K1926" s="65">
        <f t="shared" ref="K1926:K1989" si="129">I1926*J1926</f>
        <v>0</v>
      </c>
      <c r="M1926" s="73">
        <f t="shared" ref="M1926:M1989" si="130">K1926-L1926</f>
        <v>0</v>
      </c>
      <c r="AC1926" t="str">
        <f t="shared" si="127"/>
        <v>Jan</v>
      </c>
    </row>
    <row r="1927" spans="3:29" x14ac:dyDescent="0.35">
      <c r="C1927" s="80">
        <f t="shared" si="128"/>
        <v>1</v>
      </c>
      <c r="K1927" s="65">
        <f t="shared" si="129"/>
        <v>0</v>
      </c>
      <c r="M1927" s="73">
        <f t="shared" si="130"/>
        <v>0</v>
      </c>
      <c r="AC1927" t="str">
        <f t="shared" ref="AC1927:AC1990" si="131">IFERROR(INDEX(AA:AA,MATCH(C1927,Z:Z,0)),"")</f>
        <v>Jan</v>
      </c>
    </row>
    <row r="1928" spans="3:29" x14ac:dyDescent="0.35">
      <c r="C1928" s="80">
        <f t="shared" si="128"/>
        <v>1</v>
      </c>
      <c r="K1928" s="65">
        <f t="shared" si="129"/>
        <v>0</v>
      </c>
      <c r="M1928" s="73">
        <f t="shared" si="130"/>
        <v>0</v>
      </c>
      <c r="AC1928" t="str">
        <f t="shared" si="131"/>
        <v>Jan</v>
      </c>
    </row>
    <row r="1929" spans="3:29" x14ac:dyDescent="0.35">
      <c r="C1929" s="80">
        <f t="shared" si="128"/>
        <v>1</v>
      </c>
      <c r="K1929" s="65">
        <f t="shared" si="129"/>
        <v>0</v>
      </c>
      <c r="M1929" s="73">
        <f t="shared" si="130"/>
        <v>0</v>
      </c>
      <c r="AC1929" t="str">
        <f t="shared" si="131"/>
        <v>Jan</v>
      </c>
    </row>
    <row r="1930" spans="3:29" x14ac:dyDescent="0.35">
      <c r="C1930" s="80">
        <f t="shared" si="128"/>
        <v>1</v>
      </c>
      <c r="K1930" s="65">
        <f t="shared" si="129"/>
        <v>0</v>
      </c>
      <c r="M1930" s="73">
        <f t="shared" si="130"/>
        <v>0</v>
      </c>
      <c r="AC1930" t="str">
        <f t="shared" si="131"/>
        <v>Jan</v>
      </c>
    </row>
    <row r="1931" spans="3:29" x14ac:dyDescent="0.35">
      <c r="C1931" s="80">
        <f t="shared" si="128"/>
        <v>1</v>
      </c>
      <c r="K1931" s="65">
        <f t="shared" si="129"/>
        <v>0</v>
      </c>
      <c r="M1931" s="73">
        <f t="shared" si="130"/>
        <v>0</v>
      </c>
      <c r="AC1931" t="str">
        <f t="shared" si="131"/>
        <v>Jan</v>
      </c>
    </row>
    <row r="1932" spans="3:29" x14ac:dyDescent="0.35">
      <c r="C1932" s="80">
        <f t="shared" si="128"/>
        <v>1</v>
      </c>
      <c r="K1932" s="65">
        <f t="shared" si="129"/>
        <v>0</v>
      </c>
      <c r="M1932" s="73">
        <f t="shared" si="130"/>
        <v>0</v>
      </c>
      <c r="AC1932" t="str">
        <f t="shared" si="131"/>
        <v>Jan</v>
      </c>
    </row>
    <row r="1933" spans="3:29" x14ac:dyDescent="0.35">
      <c r="C1933" s="80">
        <f t="shared" si="128"/>
        <v>1</v>
      </c>
      <c r="K1933" s="65">
        <f t="shared" si="129"/>
        <v>0</v>
      </c>
      <c r="M1933" s="73">
        <f t="shared" si="130"/>
        <v>0</v>
      </c>
      <c r="AC1933" t="str">
        <f t="shared" si="131"/>
        <v>Jan</v>
      </c>
    </row>
    <row r="1934" spans="3:29" x14ac:dyDescent="0.35">
      <c r="C1934" s="80">
        <f t="shared" si="128"/>
        <v>1</v>
      </c>
      <c r="K1934" s="65">
        <f t="shared" si="129"/>
        <v>0</v>
      </c>
      <c r="M1934" s="73">
        <f t="shared" si="130"/>
        <v>0</v>
      </c>
      <c r="AC1934" t="str">
        <f t="shared" si="131"/>
        <v>Jan</v>
      </c>
    </row>
    <row r="1935" spans="3:29" x14ac:dyDescent="0.35">
      <c r="C1935" s="80">
        <f t="shared" si="128"/>
        <v>1</v>
      </c>
      <c r="K1935" s="65">
        <f t="shared" si="129"/>
        <v>0</v>
      </c>
      <c r="M1935" s="73">
        <f t="shared" si="130"/>
        <v>0</v>
      </c>
      <c r="AC1935" t="str">
        <f t="shared" si="131"/>
        <v>Jan</v>
      </c>
    </row>
    <row r="1936" spans="3:29" x14ac:dyDescent="0.35">
      <c r="C1936" s="80">
        <f t="shared" si="128"/>
        <v>1</v>
      </c>
      <c r="K1936" s="65">
        <f t="shared" si="129"/>
        <v>0</v>
      </c>
      <c r="M1936" s="73">
        <f t="shared" si="130"/>
        <v>0</v>
      </c>
      <c r="AC1936" t="str">
        <f t="shared" si="131"/>
        <v>Jan</v>
      </c>
    </row>
    <row r="1937" spans="3:29" x14ac:dyDescent="0.35">
      <c r="C1937" s="80">
        <f t="shared" si="128"/>
        <v>1</v>
      </c>
      <c r="K1937" s="65">
        <f t="shared" si="129"/>
        <v>0</v>
      </c>
      <c r="M1937" s="73">
        <f t="shared" si="130"/>
        <v>0</v>
      </c>
      <c r="AC1937" t="str">
        <f t="shared" si="131"/>
        <v>Jan</v>
      </c>
    </row>
    <row r="1938" spans="3:29" x14ac:dyDescent="0.35">
      <c r="C1938" s="80">
        <f t="shared" si="128"/>
        <v>1</v>
      </c>
      <c r="K1938" s="65">
        <f t="shared" si="129"/>
        <v>0</v>
      </c>
      <c r="M1938" s="73">
        <f t="shared" si="130"/>
        <v>0</v>
      </c>
      <c r="AC1938" t="str">
        <f t="shared" si="131"/>
        <v>Jan</v>
      </c>
    </row>
    <row r="1939" spans="3:29" x14ac:dyDescent="0.35">
      <c r="C1939" s="80">
        <f t="shared" si="128"/>
        <v>1</v>
      </c>
      <c r="K1939" s="65">
        <f t="shared" si="129"/>
        <v>0</v>
      </c>
      <c r="M1939" s="73">
        <f t="shared" si="130"/>
        <v>0</v>
      </c>
      <c r="AC1939" t="str">
        <f t="shared" si="131"/>
        <v>Jan</v>
      </c>
    </row>
    <row r="1940" spans="3:29" x14ac:dyDescent="0.35">
      <c r="C1940" s="80">
        <f t="shared" si="128"/>
        <v>1</v>
      </c>
      <c r="K1940" s="65">
        <f t="shared" si="129"/>
        <v>0</v>
      </c>
      <c r="M1940" s="73">
        <f t="shared" si="130"/>
        <v>0</v>
      </c>
      <c r="AC1940" t="str">
        <f t="shared" si="131"/>
        <v>Jan</v>
      </c>
    </row>
    <row r="1941" spans="3:29" x14ac:dyDescent="0.35">
      <c r="C1941" s="80">
        <f t="shared" si="128"/>
        <v>1</v>
      </c>
      <c r="K1941" s="65">
        <f t="shared" si="129"/>
        <v>0</v>
      </c>
      <c r="M1941" s="73">
        <f t="shared" si="130"/>
        <v>0</v>
      </c>
      <c r="AC1941" t="str">
        <f t="shared" si="131"/>
        <v>Jan</v>
      </c>
    </row>
    <row r="1942" spans="3:29" x14ac:dyDescent="0.35">
      <c r="C1942" s="80">
        <f t="shared" si="128"/>
        <v>1</v>
      </c>
      <c r="K1942" s="65">
        <f t="shared" si="129"/>
        <v>0</v>
      </c>
      <c r="M1942" s="73">
        <f t="shared" si="130"/>
        <v>0</v>
      </c>
      <c r="AC1942" t="str">
        <f t="shared" si="131"/>
        <v>Jan</v>
      </c>
    </row>
    <row r="1943" spans="3:29" x14ac:dyDescent="0.35">
      <c r="C1943" s="80">
        <f t="shared" si="128"/>
        <v>1</v>
      </c>
      <c r="K1943" s="65">
        <f t="shared" si="129"/>
        <v>0</v>
      </c>
      <c r="M1943" s="73">
        <f t="shared" si="130"/>
        <v>0</v>
      </c>
      <c r="AC1943" t="str">
        <f t="shared" si="131"/>
        <v>Jan</v>
      </c>
    </row>
    <row r="1944" spans="3:29" x14ac:dyDescent="0.35">
      <c r="C1944" s="80">
        <f t="shared" si="128"/>
        <v>1</v>
      </c>
      <c r="K1944" s="65">
        <f t="shared" si="129"/>
        <v>0</v>
      </c>
      <c r="M1944" s="73">
        <f t="shared" si="130"/>
        <v>0</v>
      </c>
      <c r="AC1944" t="str">
        <f t="shared" si="131"/>
        <v>Jan</v>
      </c>
    </row>
    <row r="1945" spans="3:29" x14ac:dyDescent="0.35">
      <c r="C1945" s="80">
        <f t="shared" si="128"/>
        <v>1</v>
      </c>
      <c r="K1945" s="65">
        <f t="shared" si="129"/>
        <v>0</v>
      </c>
      <c r="M1945" s="73">
        <f t="shared" si="130"/>
        <v>0</v>
      </c>
      <c r="AC1945" t="str">
        <f t="shared" si="131"/>
        <v>Jan</v>
      </c>
    </row>
    <row r="1946" spans="3:29" x14ac:dyDescent="0.35">
      <c r="C1946" s="80">
        <f t="shared" si="128"/>
        <v>1</v>
      </c>
      <c r="K1946" s="65">
        <f t="shared" si="129"/>
        <v>0</v>
      </c>
      <c r="M1946" s="73">
        <f t="shared" si="130"/>
        <v>0</v>
      </c>
      <c r="AC1946" t="str">
        <f t="shared" si="131"/>
        <v>Jan</v>
      </c>
    </row>
    <row r="1947" spans="3:29" x14ac:dyDescent="0.35">
      <c r="C1947" s="80">
        <f t="shared" si="128"/>
        <v>1</v>
      </c>
      <c r="K1947" s="65">
        <f t="shared" si="129"/>
        <v>0</v>
      </c>
      <c r="M1947" s="73">
        <f t="shared" si="130"/>
        <v>0</v>
      </c>
      <c r="AC1947" t="str">
        <f t="shared" si="131"/>
        <v>Jan</v>
      </c>
    </row>
    <row r="1948" spans="3:29" x14ac:dyDescent="0.35">
      <c r="C1948" s="80">
        <f t="shared" si="128"/>
        <v>1</v>
      </c>
      <c r="K1948" s="65">
        <f t="shared" si="129"/>
        <v>0</v>
      </c>
      <c r="M1948" s="73">
        <f t="shared" si="130"/>
        <v>0</v>
      </c>
      <c r="AC1948" t="str">
        <f t="shared" si="131"/>
        <v>Jan</v>
      </c>
    </row>
    <row r="1949" spans="3:29" x14ac:dyDescent="0.35">
      <c r="C1949" s="80">
        <f t="shared" si="128"/>
        <v>1</v>
      </c>
      <c r="K1949" s="65">
        <f t="shared" si="129"/>
        <v>0</v>
      </c>
      <c r="M1949" s="73">
        <f t="shared" si="130"/>
        <v>0</v>
      </c>
      <c r="AC1949" t="str">
        <f t="shared" si="131"/>
        <v>Jan</v>
      </c>
    </row>
    <row r="1950" spans="3:29" x14ac:dyDescent="0.35">
      <c r="C1950" s="80">
        <f t="shared" si="128"/>
        <v>1</v>
      </c>
      <c r="K1950" s="65">
        <f t="shared" si="129"/>
        <v>0</v>
      </c>
      <c r="M1950" s="73">
        <f t="shared" si="130"/>
        <v>0</v>
      </c>
      <c r="AC1950" t="str">
        <f t="shared" si="131"/>
        <v>Jan</v>
      </c>
    </row>
    <row r="1951" spans="3:29" x14ac:dyDescent="0.35">
      <c r="C1951" s="80">
        <f t="shared" si="128"/>
        <v>1</v>
      </c>
      <c r="K1951" s="65">
        <f t="shared" si="129"/>
        <v>0</v>
      </c>
      <c r="M1951" s="73">
        <f t="shared" si="130"/>
        <v>0</v>
      </c>
      <c r="AC1951" t="str">
        <f t="shared" si="131"/>
        <v>Jan</v>
      </c>
    </row>
    <row r="1952" spans="3:29" x14ac:dyDescent="0.35">
      <c r="C1952" s="80">
        <f t="shared" si="128"/>
        <v>1</v>
      </c>
      <c r="K1952" s="65">
        <f t="shared" si="129"/>
        <v>0</v>
      </c>
      <c r="M1952" s="73">
        <f t="shared" si="130"/>
        <v>0</v>
      </c>
      <c r="AC1952" t="str">
        <f t="shared" si="131"/>
        <v>Jan</v>
      </c>
    </row>
    <row r="1953" spans="3:29" x14ac:dyDescent="0.35">
      <c r="C1953" s="80">
        <f t="shared" si="128"/>
        <v>1</v>
      </c>
      <c r="K1953" s="65">
        <f t="shared" si="129"/>
        <v>0</v>
      </c>
      <c r="M1953" s="73">
        <f t="shared" si="130"/>
        <v>0</v>
      </c>
      <c r="AC1953" t="str">
        <f t="shared" si="131"/>
        <v>Jan</v>
      </c>
    </row>
    <row r="1954" spans="3:29" x14ac:dyDescent="0.35">
      <c r="C1954" s="80">
        <f t="shared" si="128"/>
        <v>1</v>
      </c>
      <c r="K1954" s="65">
        <f t="shared" si="129"/>
        <v>0</v>
      </c>
      <c r="M1954" s="73">
        <f t="shared" si="130"/>
        <v>0</v>
      </c>
      <c r="AC1954" t="str">
        <f t="shared" si="131"/>
        <v>Jan</v>
      </c>
    </row>
    <row r="1955" spans="3:29" x14ac:dyDescent="0.35">
      <c r="C1955" s="80">
        <f t="shared" si="128"/>
        <v>1</v>
      </c>
      <c r="K1955" s="65">
        <f t="shared" si="129"/>
        <v>0</v>
      </c>
      <c r="M1955" s="73">
        <f t="shared" si="130"/>
        <v>0</v>
      </c>
      <c r="AC1955" t="str">
        <f t="shared" si="131"/>
        <v>Jan</v>
      </c>
    </row>
    <row r="1956" spans="3:29" x14ac:dyDescent="0.35">
      <c r="C1956" s="80">
        <f t="shared" si="128"/>
        <v>1</v>
      </c>
      <c r="K1956" s="65">
        <f t="shared" si="129"/>
        <v>0</v>
      </c>
      <c r="M1956" s="73">
        <f t="shared" si="130"/>
        <v>0</v>
      </c>
      <c r="AC1956" t="str">
        <f t="shared" si="131"/>
        <v>Jan</v>
      </c>
    </row>
    <row r="1957" spans="3:29" x14ac:dyDescent="0.35">
      <c r="C1957" s="80">
        <f t="shared" si="128"/>
        <v>1</v>
      </c>
      <c r="K1957" s="65">
        <f t="shared" si="129"/>
        <v>0</v>
      </c>
      <c r="M1957" s="73">
        <f t="shared" si="130"/>
        <v>0</v>
      </c>
      <c r="AC1957" t="str">
        <f t="shared" si="131"/>
        <v>Jan</v>
      </c>
    </row>
    <row r="1958" spans="3:29" x14ac:dyDescent="0.35">
      <c r="C1958" s="80">
        <f t="shared" si="128"/>
        <v>1</v>
      </c>
      <c r="K1958" s="65">
        <f t="shared" si="129"/>
        <v>0</v>
      </c>
      <c r="M1958" s="73">
        <f t="shared" si="130"/>
        <v>0</v>
      </c>
      <c r="AC1958" t="str">
        <f t="shared" si="131"/>
        <v>Jan</v>
      </c>
    </row>
    <row r="1959" spans="3:29" x14ac:dyDescent="0.35">
      <c r="C1959" s="80">
        <f t="shared" si="128"/>
        <v>1</v>
      </c>
      <c r="K1959" s="65">
        <f t="shared" si="129"/>
        <v>0</v>
      </c>
      <c r="M1959" s="73">
        <f t="shared" si="130"/>
        <v>0</v>
      </c>
      <c r="AC1959" t="str">
        <f t="shared" si="131"/>
        <v>Jan</v>
      </c>
    </row>
    <row r="1960" spans="3:29" x14ac:dyDescent="0.35">
      <c r="C1960" s="80">
        <f t="shared" si="128"/>
        <v>1</v>
      </c>
      <c r="K1960" s="65">
        <f t="shared" si="129"/>
        <v>0</v>
      </c>
      <c r="M1960" s="73">
        <f t="shared" si="130"/>
        <v>0</v>
      </c>
      <c r="AC1960" t="str">
        <f t="shared" si="131"/>
        <v>Jan</v>
      </c>
    </row>
    <row r="1961" spans="3:29" x14ac:dyDescent="0.35">
      <c r="C1961" s="80">
        <f t="shared" si="128"/>
        <v>1</v>
      </c>
      <c r="K1961" s="65">
        <f t="shared" si="129"/>
        <v>0</v>
      </c>
      <c r="M1961" s="73">
        <f t="shared" si="130"/>
        <v>0</v>
      </c>
      <c r="AC1961" t="str">
        <f t="shared" si="131"/>
        <v>Jan</v>
      </c>
    </row>
    <row r="1962" spans="3:29" x14ac:dyDescent="0.35">
      <c r="C1962" s="80">
        <f t="shared" si="128"/>
        <v>1</v>
      </c>
      <c r="K1962" s="65">
        <f t="shared" si="129"/>
        <v>0</v>
      </c>
      <c r="M1962" s="73">
        <f t="shared" si="130"/>
        <v>0</v>
      </c>
      <c r="AC1962" t="str">
        <f t="shared" si="131"/>
        <v>Jan</v>
      </c>
    </row>
    <row r="1963" spans="3:29" x14ac:dyDescent="0.35">
      <c r="C1963" s="80">
        <f t="shared" si="128"/>
        <v>1</v>
      </c>
      <c r="K1963" s="65">
        <f t="shared" si="129"/>
        <v>0</v>
      </c>
      <c r="M1963" s="73">
        <f t="shared" si="130"/>
        <v>0</v>
      </c>
      <c r="AC1963" t="str">
        <f t="shared" si="131"/>
        <v>Jan</v>
      </c>
    </row>
    <row r="1964" spans="3:29" x14ac:dyDescent="0.35">
      <c r="C1964" s="80">
        <f t="shared" si="128"/>
        <v>1</v>
      </c>
      <c r="K1964" s="65">
        <f t="shared" si="129"/>
        <v>0</v>
      </c>
      <c r="M1964" s="73">
        <f t="shared" si="130"/>
        <v>0</v>
      </c>
      <c r="AC1964" t="str">
        <f t="shared" si="131"/>
        <v>Jan</v>
      </c>
    </row>
    <row r="1965" spans="3:29" x14ac:dyDescent="0.35">
      <c r="C1965" s="80">
        <f t="shared" si="128"/>
        <v>1</v>
      </c>
      <c r="K1965" s="65">
        <f t="shared" si="129"/>
        <v>0</v>
      </c>
      <c r="M1965" s="73">
        <f t="shared" si="130"/>
        <v>0</v>
      </c>
      <c r="AC1965" t="str">
        <f t="shared" si="131"/>
        <v>Jan</v>
      </c>
    </row>
    <row r="1966" spans="3:29" x14ac:dyDescent="0.35">
      <c r="C1966" s="80">
        <f t="shared" si="128"/>
        <v>1</v>
      </c>
      <c r="K1966" s="65">
        <f t="shared" si="129"/>
        <v>0</v>
      </c>
      <c r="M1966" s="73">
        <f t="shared" si="130"/>
        <v>0</v>
      </c>
      <c r="AC1966" t="str">
        <f t="shared" si="131"/>
        <v>Jan</v>
      </c>
    </row>
    <row r="1967" spans="3:29" x14ac:dyDescent="0.35">
      <c r="C1967" s="80">
        <f t="shared" si="128"/>
        <v>1</v>
      </c>
      <c r="K1967" s="65">
        <f t="shared" si="129"/>
        <v>0</v>
      </c>
      <c r="M1967" s="73">
        <f t="shared" si="130"/>
        <v>0</v>
      </c>
      <c r="AC1967" t="str">
        <f t="shared" si="131"/>
        <v>Jan</v>
      </c>
    </row>
    <row r="1968" spans="3:29" x14ac:dyDescent="0.35">
      <c r="C1968" s="80">
        <f t="shared" si="128"/>
        <v>1</v>
      </c>
      <c r="K1968" s="65">
        <f t="shared" si="129"/>
        <v>0</v>
      </c>
      <c r="M1968" s="73">
        <f t="shared" si="130"/>
        <v>0</v>
      </c>
      <c r="AC1968" t="str">
        <f t="shared" si="131"/>
        <v>Jan</v>
      </c>
    </row>
    <row r="1969" spans="3:29" x14ac:dyDescent="0.35">
      <c r="C1969" s="80">
        <f t="shared" si="128"/>
        <v>1</v>
      </c>
      <c r="K1969" s="65">
        <f t="shared" si="129"/>
        <v>0</v>
      </c>
      <c r="M1969" s="73">
        <f t="shared" si="130"/>
        <v>0</v>
      </c>
      <c r="AC1969" t="str">
        <f t="shared" si="131"/>
        <v>Jan</v>
      </c>
    </row>
    <row r="1970" spans="3:29" x14ac:dyDescent="0.35">
      <c r="C1970" s="80">
        <f t="shared" si="128"/>
        <v>1</v>
      </c>
      <c r="K1970" s="65">
        <f t="shared" si="129"/>
        <v>0</v>
      </c>
      <c r="M1970" s="73">
        <f t="shared" si="130"/>
        <v>0</v>
      </c>
      <c r="AC1970" t="str">
        <f t="shared" si="131"/>
        <v>Jan</v>
      </c>
    </row>
    <row r="1971" spans="3:29" x14ac:dyDescent="0.35">
      <c r="C1971" s="80">
        <f t="shared" si="128"/>
        <v>1</v>
      </c>
      <c r="K1971" s="65">
        <f t="shared" si="129"/>
        <v>0</v>
      </c>
      <c r="M1971" s="73">
        <f t="shared" si="130"/>
        <v>0</v>
      </c>
      <c r="AC1971" t="str">
        <f t="shared" si="131"/>
        <v>Jan</v>
      </c>
    </row>
    <row r="1972" spans="3:29" x14ac:dyDescent="0.35">
      <c r="C1972" s="80">
        <f t="shared" si="128"/>
        <v>1</v>
      </c>
      <c r="K1972" s="65">
        <f t="shared" si="129"/>
        <v>0</v>
      </c>
      <c r="M1972" s="73">
        <f t="shared" si="130"/>
        <v>0</v>
      </c>
      <c r="AC1972" t="str">
        <f t="shared" si="131"/>
        <v>Jan</v>
      </c>
    </row>
    <row r="1973" spans="3:29" x14ac:dyDescent="0.35">
      <c r="C1973" s="80">
        <f t="shared" si="128"/>
        <v>1</v>
      </c>
      <c r="K1973" s="65">
        <f t="shared" si="129"/>
        <v>0</v>
      </c>
      <c r="M1973" s="73">
        <f t="shared" si="130"/>
        <v>0</v>
      </c>
      <c r="AC1973" t="str">
        <f t="shared" si="131"/>
        <v>Jan</v>
      </c>
    </row>
    <row r="1974" spans="3:29" x14ac:dyDescent="0.35">
      <c r="C1974" s="80">
        <f t="shared" si="128"/>
        <v>1</v>
      </c>
      <c r="K1974" s="65">
        <f t="shared" si="129"/>
        <v>0</v>
      </c>
      <c r="M1974" s="73">
        <f t="shared" si="130"/>
        <v>0</v>
      </c>
      <c r="AC1974" t="str">
        <f t="shared" si="131"/>
        <v>Jan</v>
      </c>
    </row>
    <row r="1975" spans="3:29" x14ac:dyDescent="0.35">
      <c r="C1975" s="80">
        <f t="shared" si="128"/>
        <v>1</v>
      </c>
      <c r="K1975" s="65">
        <f t="shared" si="129"/>
        <v>0</v>
      </c>
      <c r="M1975" s="73">
        <f t="shared" si="130"/>
        <v>0</v>
      </c>
      <c r="AC1975" t="str">
        <f t="shared" si="131"/>
        <v>Jan</v>
      </c>
    </row>
    <row r="1976" spans="3:29" x14ac:dyDescent="0.35">
      <c r="C1976" s="80">
        <f t="shared" si="128"/>
        <v>1</v>
      </c>
      <c r="K1976" s="65">
        <f t="shared" si="129"/>
        <v>0</v>
      </c>
      <c r="M1976" s="73">
        <f t="shared" si="130"/>
        <v>0</v>
      </c>
      <c r="AC1976" t="str">
        <f t="shared" si="131"/>
        <v>Jan</v>
      </c>
    </row>
    <row r="1977" spans="3:29" x14ac:dyDescent="0.35">
      <c r="C1977" s="80">
        <f t="shared" si="128"/>
        <v>1</v>
      </c>
      <c r="K1977" s="65">
        <f t="shared" si="129"/>
        <v>0</v>
      </c>
      <c r="M1977" s="73">
        <f t="shared" si="130"/>
        <v>0</v>
      </c>
      <c r="AC1977" t="str">
        <f t="shared" si="131"/>
        <v>Jan</v>
      </c>
    </row>
    <row r="1978" spans="3:29" x14ac:dyDescent="0.35">
      <c r="C1978" s="80">
        <f t="shared" si="128"/>
        <v>1</v>
      </c>
      <c r="K1978" s="65">
        <f t="shared" si="129"/>
        <v>0</v>
      </c>
      <c r="M1978" s="73">
        <f t="shared" si="130"/>
        <v>0</v>
      </c>
      <c r="AC1978" t="str">
        <f t="shared" si="131"/>
        <v>Jan</v>
      </c>
    </row>
    <row r="1979" spans="3:29" x14ac:dyDescent="0.35">
      <c r="C1979" s="80">
        <f t="shared" si="128"/>
        <v>1</v>
      </c>
      <c r="K1979" s="65">
        <f t="shared" si="129"/>
        <v>0</v>
      </c>
      <c r="M1979" s="73">
        <f t="shared" si="130"/>
        <v>0</v>
      </c>
      <c r="AC1979" t="str">
        <f t="shared" si="131"/>
        <v>Jan</v>
      </c>
    </row>
    <row r="1980" spans="3:29" x14ac:dyDescent="0.35">
      <c r="C1980" s="80">
        <f t="shared" si="128"/>
        <v>1</v>
      </c>
      <c r="K1980" s="65">
        <f t="shared" si="129"/>
        <v>0</v>
      </c>
      <c r="M1980" s="73">
        <f t="shared" si="130"/>
        <v>0</v>
      </c>
      <c r="AC1980" t="str">
        <f t="shared" si="131"/>
        <v>Jan</v>
      </c>
    </row>
    <row r="1981" spans="3:29" x14ac:dyDescent="0.35">
      <c r="C1981" s="80">
        <f t="shared" si="128"/>
        <v>1</v>
      </c>
      <c r="K1981" s="65">
        <f t="shared" si="129"/>
        <v>0</v>
      </c>
      <c r="M1981" s="73">
        <f t="shared" si="130"/>
        <v>0</v>
      </c>
      <c r="AC1981" t="str">
        <f t="shared" si="131"/>
        <v>Jan</v>
      </c>
    </row>
    <row r="1982" spans="3:29" x14ac:dyDescent="0.35">
      <c r="C1982" s="80">
        <f t="shared" si="128"/>
        <v>1</v>
      </c>
      <c r="K1982" s="65">
        <f t="shared" si="129"/>
        <v>0</v>
      </c>
      <c r="M1982" s="73">
        <f t="shared" si="130"/>
        <v>0</v>
      </c>
      <c r="AC1982" t="str">
        <f t="shared" si="131"/>
        <v>Jan</v>
      </c>
    </row>
    <row r="1983" spans="3:29" x14ac:dyDescent="0.35">
      <c r="C1983" s="80">
        <f t="shared" si="128"/>
        <v>1</v>
      </c>
      <c r="K1983" s="65">
        <f t="shared" si="129"/>
        <v>0</v>
      </c>
      <c r="M1983" s="73">
        <f t="shared" si="130"/>
        <v>0</v>
      </c>
      <c r="AC1983" t="str">
        <f t="shared" si="131"/>
        <v>Jan</v>
      </c>
    </row>
    <row r="1984" spans="3:29" x14ac:dyDescent="0.35">
      <c r="C1984" s="80">
        <f t="shared" si="128"/>
        <v>1</v>
      </c>
      <c r="K1984" s="65">
        <f t="shared" si="129"/>
        <v>0</v>
      </c>
      <c r="M1984" s="73">
        <f t="shared" si="130"/>
        <v>0</v>
      </c>
      <c r="AC1984" t="str">
        <f t="shared" si="131"/>
        <v>Jan</v>
      </c>
    </row>
    <row r="1985" spans="3:29" x14ac:dyDescent="0.35">
      <c r="C1985" s="80">
        <f t="shared" si="128"/>
        <v>1</v>
      </c>
      <c r="K1985" s="65">
        <f t="shared" si="129"/>
        <v>0</v>
      </c>
      <c r="M1985" s="73">
        <f t="shared" si="130"/>
        <v>0</v>
      </c>
      <c r="AC1985" t="str">
        <f t="shared" si="131"/>
        <v>Jan</v>
      </c>
    </row>
    <row r="1986" spans="3:29" x14ac:dyDescent="0.35">
      <c r="C1986" s="80">
        <f t="shared" si="128"/>
        <v>1</v>
      </c>
      <c r="K1986" s="65">
        <f t="shared" si="129"/>
        <v>0</v>
      </c>
      <c r="M1986" s="73">
        <f t="shared" si="130"/>
        <v>0</v>
      </c>
      <c r="AC1986" t="str">
        <f t="shared" si="131"/>
        <v>Jan</v>
      </c>
    </row>
    <row r="1987" spans="3:29" x14ac:dyDescent="0.35">
      <c r="C1987" s="80">
        <f t="shared" si="128"/>
        <v>1</v>
      </c>
      <c r="K1987" s="65">
        <f t="shared" si="129"/>
        <v>0</v>
      </c>
      <c r="M1987" s="73">
        <f t="shared" si="130"/>
        <v>0</v>
      </c>
      <c r="AC1987" t="str">
        <f t="shared" si="131"/>
        <v>Jan</v>
      </c>
    </row>
    <row r="1988" spans="3:29" x14ac:dyDescent="0.35">
      <c r="C1988" s="80">
        <f t="shared" si="128"/>
        <v>1</v>
      </c>
      <c r="K1988" s="65">
        <f t="shared" si="129"/>
        <v>0</v>
      </c>
      <c r="M1988" s="73">
        <f t="shared" si="130"/>
        <v>0</v>
      </c>
      <c r="AC1988" t="str">
        <f t="shared" si="131"/>
        <v>Jan</v>
      </c>
    </row>
    <row r="1989" spans="3:29" x14ac:dyDescent="0.35">
      <c r="C1989" s="80">
        <f t="shared" si="128"/>
        <v>1</v>
      </c>
      <c r="K1989" s="65">
        <f t="shared" si="129"/>
        <v>0</v>
      </c>
      <c r="M1989" s="73">
        <f t="shared" si="130"/>
        <v>0</v>
      </c>
      <c r="AC1989" t="str">
        <f t="shared" si="131"/>
        <v>Jan</v>
      </c>
    </row>
    <row r="1990" spans="3:29" x14ac:dyDescent="0.35">
      <c r="C1990" s="80">
        <f t="shared" ref="C1990:C2053" si="132">MONTH(B1990)</f>
        <v>1</v>
      </c>
      <c r="K1990" s="65">
        <f t="shared" ref="K1990:K2053" si="133">I1990*J1990</f>
        <v>0</v>
      </c>
      <c r="M1990" s="73">
        <f t="shared" ref="M1990:M2053" si="134">K1990-L1990</f>
        <v>0</v>
      </c>
      <c r="AC1990" t="str">
        <f t="shared" si="131"/>
        <v>Jan</v>
      </c>
    </row>
    <row r="1991" spans="3:29" x14ac:dyDescent="0.35">
      <c r="C1991" s="80">
        <f t="shared" si="132"/>
        <v>1</v>
      </c>
      <c r="K1991" s="65">
        <f t="shared" si="133"/>
        <v>0</v>
      </c>
      <c r="M1991" s="73">
        <f t="shared" si="134"/>
        <v>0</v>
      </c>
      <c r="AC1991" t="str">
        <f t="shared" ref="AC1991:AC2054" si="135">IFERROR(INDEX(AA:AA,MATCH(C1991,Z:Z,0)),"")</f>
        <v>Jan</v>
      </c>
    </row>
    <row r="1992" spans="3:29" x14ac:dyDescent="0.35">
      <c r="C1992" s="80">
        <f t="shared" si="132"/>
        <v>1</v>
      </c>
      <c r="K1992" s="65">
        <f t="shared" si="133"/>
        <v>0</v>
      </c>
      <c r="M1992" s="73">
        <f t="shared" si="134"/>
        <v>0</v>
      </c>
      <c r="AC1992" t="str">
        <f t="shared" si="135"/>
        <v>Jan</v>
      </c>
    </row>
    <row r="1993" spans="3:29" x14ac:dyDescent="0.35">
      <c r="C1993" s="80">
        <f t="shared" si="132"/>
        <v>1</v>
      </c>
      <c r="K1993" s="65">
        <f t="shared" si="133"/>
        <v>0</v>
      </c>
      <c r="M1993" s="73">
        <f t="shared" si="134"/>
        <v>0</v>
      </c>
      <c r="AC1993" t="str">
        <f t="shared" si="135"/>
        <v>Jan</v>
      </c>
    </row>
    <row r="1994" spans="3:29" x14ac:dyDescent="0.35">
      <c r="C1994" s="80">
        <f t="shared" si="132"/>
        <v>1</v>
      </c>
      <c r="K1994" s="65">
        <f t="shared" si="133"/>
        <v>0</v>
      </c>
      <c r="M1994" s="73">
        <f t="shared" si="134"/>
        <v>0</v>
      </c>
      <c r="AC1994" t="str">
        <f t="shared" si="135"/>
        <v>Jan</v>
      </c>
    </row>
    <row r="1995" spans="3:29" x14ac:dyDescent="0.35">
      <c r="C1995" s="80">
        <f t="shared" si="132"/>
        <v>1</v>
      </c>
      <c r="K1995" s="65">
        <f t="shared" si="133"/>
        <v>0</v>
      </c>
      <c r="M1995" s="73">
        <f t="shared" si="134"/>
        <v>0</v>
      </c>
      <c r="AC1995" t="str">
        <f t="shared" si="135"/>
        <v>Jan</v>
      </c>
    </row>
    <row r="1996" spans="3:29" x14ac:dyDescent="0.35">
      <c r="C1996" s="80">
        <f t="shared" si="132"/>
        <v>1</v>
      </c>
      <c r="K1996" s="65">
        <f t="shared" si="133"/>
        <v>0</v>
      </c>
      <c r="M1996" s="73">
        <f t="shared" si="134"/>
        <v>0</v>
      </c>
      <c r="AC1996" t="str">
        <f t="shared" si="135"/>
        <v>Jan</v>
      </c>
    </row>
    <row r="1997" spans="3:29" x14ac:dyDescent="0.35">
      <c r="C1997" s="80">
        <f t="shared" si="132"/>
        <v>1</v>
      </c>
      <c r="K1997" s="65">
        <f t="shared" si="133"/>
        <v>0</v>
      </c>
      <c r="M1997" s="73">
        <f t="shared" si="134"/>
        <v>0</v>
      </c>
      <c r="AC1997" t="str">
        <f t="shared" si="135"/>
        <v>Jan</v>
      </c>
    </row>
    <row r="1998" spans="3:29" x14ac:dyDescent="0.35">
      <c r="C1998" s="80">
        <f t="shared" si="132"/>
        <v>1</v>
      </c>
      <c r="K1998" s="65">
        <f t="shared" si="133"/>
        <v>0</v>
      </c>
      <c r="M1998" s="73">
        <f t="shared" si="134"/>
        <v>0</v>
      </c>
      <c r="AC1998" t="str">
        <f t="shared" si="135"/>
        <v>Jan</v>
      </c>
    </row>
    <row r="1999" spans="3:29" x14ac:dyDescent="0.35">
      <c r="C1999" s="80">
        <f t="shared" si="132"/>
        <v>1</v>
      </c>
      <c r="K1999" s="65">
        <f t="shared" si="133"/>
        <v>0</v>
      </c>
      <c r="M1999" s="73">
        <f t="shared" si="134"/>
        <v>0</v>
      </c>
      <c r="AC1999" t="str">
        <f t="shared" si="135"/>
        <v>Jan</v>
      </c>
    </row>
    <row r="2000" spans="3:29" x14ac:dyDescent="0.35">
      <c r="C2000" s="80">
        <f t="shared" si="132"/>
        <v>1</v>
      </c>
      <c r="K2000" s="65">
        <f t="shared" si="133"/>
        <v>0</v>
      </c>
      <c r="M2000" s="73">
        <f t="shared" si="134"/>
        <v>0</v>
      </c>
      <c r="AC2000" t="str">
        <f t="shared" si="135"/>
        <v>Jan</v>
      </c>
    </row>
    <row r="2001" spans="3:29" x14ac:dyDescent="0.35">
      <c r="C2001" s="80">
        <f t="shared" si="132"/>
        <v>1</v>
      </c>
      <c r="K2001" s="65">
        <f t="shared" si="133"/>
        <v>0</v>
      </c>
      <c r="M2001" s="73">
        <f t="shared" si="134"/>
        <v>0</v>
      </c>
      <c r="AC2001" t="str">
        <f t="shared" si="135"/>
        <v>Jan</v>
      </c>
    </row>
    <row r="2002" spans="3:29" x14ac:dyDescent="0.35">
      <c r="C2002" s="80">
        <f t="shared" si="132"/>
        <v>1</v>
      </c>
      <c r="K2002" s="65">
        <f t="shared" si="133"/>
        <v>0</v>
      </c>
      <c r="M2002" s="73">
        <f t="shared" si="134"/>
        <v>0</v>
      </c>
      <c r="AC2002" t="str">
        <f t="shared" si="135"/>
        <v>Jan</v>
      </c>
    </row>
    <row r="2003" spans="3:29" x14ac:dyDescent="0.35">
      <c r="C2003" s="80">
        <f t="shared" si="132"/>
        <v>1</v>
      </c>
      <c r="K2003" s="65">
        <f t="shared" si="133"/>
        <v>0</v>
      </c>
      <c r="M2003" s="73">
        <f t="shared" si="134"/>
        <v>0</v>
      </c>
      <c r="AC2003" t="str">
        <f t="shared" si="135"/>
        <v>Jan</v>
      </c>
    </row>
    <row r="2004" spans="3:29" x14ac:dyDescent="0.35">
      <c r="C2004" s="80">
        <f t="shared" si="132"/>
        <v>1</v>
      </c>
      <c r="K2004" s="65">
        <f t="shared" si="133"/>
        <v>0</v>
      </c>
      <c r="M2004" s="73">
        <f t="shared" si="134"/>
        <v>0</v>
      </c>
      <c r="AC2004" t="str">
        <f t="shared" si="135"/>
        <v>Jan</v>
      </c>
    </row>
    <row r="2005" spans="3:29" x14ac:dyDescent="0.35">
      <c r="C2005" s="80">
        <f t="shared" si="132"/>
        <v>1</v>
      </c>
      <c r="K2005" s="65">
        <f t="shared" si="133"/>
        <v>0</v>
      </c>
      <c r="M2005" s="73">
        <f t="shared" si="134"/>
        <v>0</v>
      </c>
      <c r="AC2005" t="str">
        <f t="shared" si="135"/>
        <v>Jan</v>
      </c>
    </row>
    <row r="2006" spans="3:29" x14ac:dyDescent="0.35">
      <c r="C2006" s="80">
        <f t="shared" si="132"/>
        <v>1</v>
      </c>
      <c r="K2006" s="65">
        <f t="shared" si="133"/>
        <v>0</v>
      </c>
      <c r="M2006" s="73">
        <f t="shared" si="134"/>
        <v>0</v>
      </c>
      <c r="AC2006" t="str">
        <f t="shared" si="135"/>
        <v>Jan</v>
      </c>
    </row>
    <row r="2007" spans="3:29" x14ac:dyDescent="0.35">
      <c r="C2007" s="80">
        <f t="shared" si="132"/>
        <v>1</v>
      </c>
      <c r="K2007" s="65">
        <f t="shared" si="133"/>
        <v>0</v>
      </c>
      <c r="M2007" s="73">
        <f t="shared" si="134"/>
        <v>0</v>
      </c>
      <c r="AC2007" t="str">
        <f t="shared" si="135"/>
        <v>Jan</v>
      </c>
    </row>
    <row r="2008" spans="3:29" x14ac:dyDescent="0.35">
      <c r="C2008" s="80">
        <f t="shared" si="132"/>
        <v>1</v>
      </c>
      <c r="K2008" s="65">
        <f t="shared" si="133"/>
        <v>0</v>
      </c>
      <c r="M2008" s="73">
        <f t="shared" si="134"/>
        <v>0</v>
      </c>
      <c r="AC2008" t="str">
        <f t="shared" si="135"/>
        <v>Jan</v>
      </c>
    </row>
    <row r="2009" spans="3:29" x14ac:dyDescent="0.35">
      <c r="C2009" s="80">
        <f t="shared" si="132"/>
        <v>1</v>
      </c>
      <c r="K2009" s="65">
        <f t="shared" si="133"/>
        <v>0</v>
      </c>
      <c r="M2009" s="73">
        <f t="shared" si="134"/>
        <v>0</v>
      </c>
      <c r="AC2009" t="str">
        <f t="shared" si="135"/>
        <v>Jan</v>
      </c>
    </row>
    <row r="2010" spans="3:29" x14ac:dyDescent="0.35">
      <c r="C2010" s="80">
        <f t="shared" si="132"/>
        <v>1</v>
      </c>
      <c r="K2010" s="65">
        <f t="shared" si="133"/>
        <v>0</v>
      </c>
      <c r="M2010" s="73">
        <f t="shared" si="134"/>
        <v>0</v>
      </c>
      <c r="AC2010" t="str">
        <f t="shared" si="135"/>
        <v>Jan</v>
      </c>
    </row>
    <row r="2011" spans="3:29" x14ac:dyDescent="0.35">
      <c r="C2011" s="80">
        <f t="shared" si="132"/>
        <v>1</v>
      </c>
      <c r="K2011" s="65">
        <f t="shared" si="133"/>
        <v>0</v>
      </c>
      <c r="M2011" s="73">
        <f t="shared" si="134"/>
        <v>0</v>
      </c>
      <c r="AC2011" t="str">
        <f t="shared" si="135"/>
        <v>Jan</v>
      </c>
    </row>
    <row r="2012" spans="3:29" x14ac:dyDescent="0.35">
      <c r="C2012" s="80">
        <f t="shared" si="132"/>
        <v>1</v>
      </c>
      <c r="K2012" s="65">
        <f t="shared" si="133"/>
        <v>0</v>
      </c>
      <c r="M2012" s="73">
        <f t="shared" si="134"/>
        <v>0</v>
      </c>
      <c r="AC2012" t="str">
        <f t="shared" si="135"/>
        <v>Jan</v>
      </c>
    </row>
    <row r="2013" spans="3:29" x14ac:dyDescent="0.35">
      <c r="C2013" s="80">
        <f t="shared" si="132"/>
        <v>1</v>
      </c>
      <c r="K2013" s="65">
        <f t="shared" si="133"/>
        <v>0</v>
      </c>
      <c r="M2013" s="73">
        <f t="shared" si="134"/>
        <v>0</v>
      </c>
      <c r="AC2013" t="str">
        <f t="shared" si="135"/>
        <v>Jan</v>
      </c>
    </row>
    <row r="2014" spans="3:29" x14ac:dyDescent="0.35">
      <c r="C2014" s="80">
        <f t="shared" si="132"/>
        <v>1</v>
      </c>
      <c r="K2014" s="65">
        <f t="shared" si="133"/>
        <v>0</v>
      </c>
      <c r="M2014" s="73">
        <f t="shared" si="134"/>
        <v>0</v>
      </c>
      <c r="AC2014" t="str">
        <f t="shared" si="135"/>
        <v>Jan</v>
      </c>
    </row>
    <row r="2015" spans="3:29" x14ac:dyDescent="0.35">
      <c r="C2015" s="80">
        <f t="shared" si="132"/>
        <v>1</v>
      </c>
      <c r="K2015" s="65">
        <f t="shared" si="133"/>
        <v>0</v>
      </c>
      <c r="M2015" s="73">
        <f t="shared" si="134"/>
        <v>0</v>
      </c>
      <c r="AC2015" t="str">
        <f t="shared" si="135"/>
        <v>Jan</v>
      </c>
    </row>
    <row r="2016" spans="3:29" x14ac:dyDescent="0.35">
      <c r="C2016" s="80">
        <f t="shared" si="132"/>
        <v>1</v>
      </c>
      <c r="K2016" s="65">
        <f t="shared" si="133"/>
        <v>0</v>
      </c>
      <c r="M2016" s="73">
        <f t="shared" si="134"/>
        <v>0</v>
      </c>
      <c r="AC2016" t="str">
        <f t="shared" si="135"/>
        <v>Jan</v>
      </c>
    </row>
    <row r="2017" spans="3:29" x14ac:dyDescent="0.35">
      <c r="C2017" s="80">
        <f t="shared" si="132"/>
        <v>1</v>
      </c>
      <c r="K2017" s="65">
        <f t="shared" si="133"/>
        <v>0</v>
      </c>
      <c r="M2017" s="73">
        <f t="shared" si="134"/>
        <v>0</v>
      </c>
      <c r="AC2017" t="str">
        <f t="shared" si="135"/>
        <v>Jan</v>
      </c>
    </row>
    <row r="2018" spans="3:29" x14ac:dyDescent="0.35">
      <c r="C2018" s="80">
        <f t="shared" si="132"/>
        <v>1</v>
      </c>
      <c r="K2018" s="65">
        <f t="shared" si="133"/>
        <v>0</v>
      </c>
      <c r="M2018" s="73">
        <f t="shared" si="134"/>
        <v>0</v>
      </c>
      <c r="AC2018" t="str">
        <f t="shared" si="135"/>
        <v>Jan</v>
      </c>
    </row>
    <row r="2019" spans="3:29" x14ac:dyDescent="0.35">
      <c r="C2019" s="80">
        <f t="shared" si="132"/>
        <v>1</v>
      </c>
      <c r="K2019" s="65">
        <f t="shared" si="133"/>
        <v>0</v>
      </c>
      <c r="M2019" s="73">
        <f t="shared" si="134"/>
        <v>0</v>
      </c>
      <c r="AC2019" t="str">
        <f t="shared" si="135"/>
        <v>Jan</v>
      </c>
    </row>
    <row r="2020" spans="3:29" x14ac:dyDescent="0.35">
      <c r="C2020" s="80">
        <f t="shared" si="132"/>
        <v>1</v>
      </c>
      <c r="K2020" s="65">
        <f t="shared" si="133"/>
        <v>0</v>
      </c>
      <c r="M2020" s="73">
        <f t="shared" si="134"/>
        <v>0</v>
      </c>
      <c r="AC2020" t="str">
        <f t="shared" si="135"/>
        <v>Jan</v>
      </c>
    </row>
    <row r="2021" spans="3:29" x14ac:dyDescent="0.35">
      <c r="C2021" s="80">
        <f t="shared" si="132"/>
        <v>1</v>
      </c>
      <c r="K2021" s="65">
        <f t="shared" si="133"/>
        <v>0</v>
      </c>
      <c r="M2021" s="73">
        <f t="shared" si="134"/>
        <v>0</v>
      </c>
      <c r="AC2021" t="str">
        <f t="shared" si="135"/>
        <v>Jan</v>
      </c>
    </row>
    <row r="2022" spans="3:29" x14ac:dyDescent="0.35">
      <c r="C2022" s="80">
        <f t="shared" si="132"/>
        <v>1</v>
      </c>
      <c r="K2022" s="65">
        <f t="shared" si="133"/>
        <v>0</v>
      </c>
      <c r="M2022" s="73">
        <f t="shared" si="134"/>
        <v>0</v>
      </c>
      <c r="AC2022" t="str">
        <f t="shared" si="135"/>
        <v>Jan</v>
      </c>
    </row>
    <row r="2023" spans="3:29" x14ac:dyDescent="0.35">
      <c r="C2023" s="80">
        <f t="shared" si="132"/>
        <v>1</v>
      </c>
      <c r="K2023" s="65">
        <f t="shared" si="133"/>
        <v>0</v>
      </c>
      <c r="M2023" s="73">
        <f t="shared" si="134"/>
        <v>0</v>
      </c>
      <c r="AC2023" t="str">
        <f t="shared" si="135"/>
        <v>Jan</v>
      </c>
    </row>
    <row r="2024" spans="3:29" x14ac:dyDescent="0.35">
      <c r="C2024" s="80">
        <f t="shared" si="132"/>
        <v>1</v>
      </c>
      <c r="K2024" s="65">
        <f t="shared" si="133"/>
        <v>0</v>
      </c>
      <c r="M2024" s="73">
        <f t="shared" si="134"/>
        <v>0</v>
      </c>
      <c r="AC2024" t="str">
        <f t="shared" si="135"/>
        <v>Jan</v>
      </c>
    </row>
    <row r="2025" spans="3:29" x14ac:dyDescent="0.35">
      <c r="C2025" s="80">
        <f t="shared" si="132"/>
        <v>1</v>
      </c>
      <c r="K2025" s="65">
        <f t="shared" si="133"/>
        <v>0</v>
      </c>
      <c r="M2025" s="73">
        <f t="shared" si="134"/>
        <v>0</v>
      </c>
      <c r="AC2025" t="str">
        <f t="shared" si="135"/>
        <v>Jan</v>
      </c>
    </row>
    <row r="2026" spans="3:29" x14ac:dyDescent="0.35">
      <c r="C2026" s="80">
        <f t="shared" si="132"/>
        <v>1</v>
      </c>
      <c r="K2026" s="65">
        <f t="shared" si="133"/>
        <v>0</v>
      </c>
      <c r="M2026" s="73">
        <f t="shared" si="134"/>
        <v>0</v>
      </c>
      <c r="AC2026" t="str">
        <f t="shared" si="135"/>
        <v>Jan</v>
      </c>
    </row>
    <row r="2027" spans="3:29" x14ac:dyDescent="0.35">
      <c r="C2027" s="80">
        <f t="shared" si="132"/>
        <v>1</v>
      </c>
      <c r="K2027" s="65">
        <f t="shared" si="133"/>
        <v>0</v>
      </c>
      <c r="M2027" s="73">
        <f t="shared" si="134"/>
        <v>0</v>
      </c>
      <c r="AC2027" t="str">
        <f t="shared" si="135"/>
        <v>Jan</v>
      </c>
    </row>
    <row r="2028" spans="3:29" x14ac:dyDescent="0.35">
      <c r="C2028" s="80">
        <f t="shared" si="132"/>
        <v>1</v>
      </c>
      <c r="K2028" s="65">
        <f t="shared" si="133"/>
        <v>0</v>
      </c>
      <c r="M2028" s="73">
        <f t="shared" si="134"/>
        <v>0</v>
      </c>
      <c r="AC2028" t="str">
        <f t="shared" si="135"/>
        <v>Jan</v>
      </c>
    </row>
    <row r="2029" spans="3:29" x14ac:dyDescent="0.35">
      <c r="C2029" s="80">
        <f t="shared" si="132"/>
        <v>1</v>
      </c>
      <c r="K2029" s="65">
        <f t="shared" si="133"/>
        <v>0</v>
      </c>
      <c r="M2029" s="73">
        <f t="shared" si="134"/>
        <v>0</v>
      </c>
      <c r="AC2029" t="str">
        <f t="shared" si="135"/>
        <v>Jan</v>
      </c>
    </row>
    <row r="2030" spans="3:29" x14ac:dyDescent="0.35">
      <c r="C2030" s="80">
        <f t="shared" si="132"/>
        <v>1</v>
      </c>
      <c r="K2030" s="65">
        <f t="shared" si="133"/>
        <v>0</v>
      </c>
      <c r="M2030" s="73">
        <f t="shared" si="134"/>
        <v>0</v>
      </c>
      <c r="AC2030" t="str">
        <f t="shared" si="135"/>
        <v>Jan</v>
      </c>
    </row>
    <row r="2031" spans="3:29" x14ac:dyDescent="0.35">
      <c r="C2031" s="80">
        <f t="shared" si="132"/>
        <v>1</v>
      </c>
      <c r="K2031" s="65">
        <f t="shared" si="133"/>
        <v>0</v>
      </c>
      <c r="M2031" s="73">
        <f t="shared" si="134"/>
        <v>0</v>
      </c>
      <c r="AC2031" t="str">
        <f t="shared" si="135"/>
        <v>Jan</v>
      </c>
    </row>
    <row r="2032" spans="3:29" x14ac:dyDescent="0.35">
      <c r="C2032" s="80">
        <f t="shared" si="132"/>
        <v>1</v>
      </c>
      <c r="K2032" s="65">
        <f t="shared" si="133"/>
        <v>0</v>
      </c>
      <c r="M2032" s="73">
        <f t="shared" si="134"/>
        <v>0</v>
      </c>
      <c r="AC2032" t="str">
        <f t="shared" si="135"/>
        <v>Jan</v>
      </c>
    </row>
    <row r="2033" spans="3:29" x14ac:dyDescent="0.35">
      <c r="C2033" s="80">
        <f t="shared" si="132"/>
        <v>1</v>
      </c>
      <c r="K2033" s="65">
        <f t="shared" si="133"/>
        <v>0</v>
      </c>
      <c r="M2033" s="73">
        <f t="shared" si="134"/>
        <v>0</v>
      </c>
      <c r="AC2033" t="str">
        <f t="shared" si="135"/>
        <v>Jan</v>
      </c>
    </row>
    <row r="2034" spans="3:29" x14ac:dyDescent="0.35">
      <c r="C2034" s="80">
        <f t="shared" si="132"/>
        <v>1</v>
      </c>
      <c r="K2034" s="65">
        <f t="shared" si="133"/>
        <v>0</v>
      </c>
      <c r="M2034" s="73">
        <f t="shared" si="134"/>
        <v>0</v>
      </c>
      <c r="AC2034" t="str">
        <f t="shared" si="135"/>
        <v>Jan</v>
      </c>
    </row>
    <row r="2035" spans="3:29" x14ac:dyDescent="0.35">
      <c r="C2035" s="80">
        <f t="shared" si="132"/>
        <v>1</v>
      </c>
      <c r="K2035" s="65">
        <f t="shared" si="133"/>
        <v>0</v>
      </c>
      <c r="M2035" s="73">
        <f t="shared" si="134"/>
        <v>0</v>
      </c>
      <c r="AC2035" t="str">
        <f t="shared" si="135"/>
        <v>Jan</v>
      </c>
    </row>
    <row r="2036" spans="3:29" x14ac:dyDescent="0.35">
      <c r="C2036" s="80">
        <f t="shared" si="132"/>
        <v>1</v>
      </c>
      <c r="K2036" s="65">
        <f t="shared" si="133"/>
        <v>0</v>
      </c>
      <c r="M2036" s="73">
        <f t="shared" si="134"/>
        <v>0</v>
      </c>
      <c r="AC2036" t="str">
        <f t="shared" si="135"/>
        <v>Jan</v>
      </c>
    </row>
    <row r="2037" spans="3:29" x14ac:dyDescent="0.35">
      <c r="C2037" s="80">
        <f t="shared" si="132"/>
        <v>1</v>
      </c>
      <c r="K2037" s="65">
        <f t="shared" si="133"/>
        <v>0</v>
      </c>
      <c r="M2037" s="73">
        <f t="shared" si="134"/>
        <v>0</v>
      </c>
      <c r="AC2037" t="str">
        <f t="shared" si="135"/>
        <v>Jan</v>
      </c>
    </row>
    <row r="2038" spans="3:29" x14ac:dyDescent="0.35">
      <c r="C2038" s="80">
        <f t="shared" si="132"/>
        <v>1</v>
      </c>
      <c r="K2038" s="65">
        <f t="shared" si="133"/>
        <v>0</v>
      </c>
      <c r="M2038" s="73">
        <f t="shared" si="134"/>
        <v>0</v>
      </c>
      <c r="AC2038" t="str">
        <f t="shared" si="135"/>
        <v>Jan</v>
      </c>
    </row>
    <row r="2039" spans="3:29" x14ac:dyDescent="0.35">
      <c r="C2039" s="80">
        <f t="shared" si="132"/>
        <v>1</v>
      </c>
      <c r="K2039" s="65">
        <f t="shared" si="133"/>
        <v>0</v>
      </c>
      <c r="M2039" s="73">
        <f t="shared" si="134"/>
        <v>0</v>
      </c>
      <c r="AC2039" t="str">
        <f t="shared" si="135"/>
        <v>Jan</v>
      </c>
    </row>
    <row r="2040" spans="3:29" x14ac:dyDescent="0.35">
      <c r="C2040" s="80">
        <f t="shared" si="132"/>
        <v>1</v>
      </c>
      <c r="K2040" s="65">
        <f t="shared" si="133"/>
        <v>0</v>
      </c>
      <c r="M2040" s="73">
        <f t="shared" si="134"/>
        <v>0</v>
      </c>
      <c r="AC2040" t="str">
        <f t="shared" si="135"/>
        <v>Jan</v>
      </c>
    </row>
    <row r="2041" spans="3:29" x14ac:dyDescent="0.35">
      <c r="C2041" s="80">
        <f t="shared" si="132"/>
        <v>1</v>
      </c>
      <c r="K2041" s="65">
        <f t="shared" si="133"/>
        <v>0</v>
      </c>
      <c r="M2041" s="73">
        <f t="shared" si="134"/>
        <v>0</v>
      </c>
      <c r="AC2041" t="str">
        <f t="shared" si="135"/>
        <v>Jan</v>
      </c>
    </row>
    <row r="2042" spans="3:29" x14ac:dyDescent="0.35">
      <c r="C2042" s="80">
        <f t="shared" si="132"/>
        <v>1</v>
      </c>
      <c r="K2042" s="65">
        <f t="shared" si="133"/>
        <v>0</v>
      </c>
      <c r="M2042" s="73">
        <f t="shared" si="134"/>
        <v>0</v>
      </c>
      <c r="AC2042" t="str">
        <f t="shared" si="135"/>
        <v>Jan</v>
      </c>
    </row>
    <row r="2043" spans="3:29" x14ac:dyDescent="0.35">
      <c r="C2043" s="80">
        <f t="shared" si="132"/>
        <v>1</v>
      </c>
      <c r="K2043" s="65">
        <f t="shared" si="133"/>
        <v>0</v>
      </c>
      <c r="M2043" s="73">
        <f t="shared" si="134"/>
        <v>0</v>
      </c>
      <c r="AC2043" t="str">
        <f t="shared" si="135"/>
        <v>Jan</v>
      </c>
    </row>
    <row r="2044" spans="3:29" x14ac:dyDescent="0.35">
      <c r="C2044" s="80">
        <f t="shared" si="132"/>
        <v>1</v>
      </c>
      <c r="K2044" s="65">
        <f t="shared" si="133"/>
        <v>0</v>
      </c>
      <c r="M2044" s="73">
        <f t="shared" si="134"/>
        <v>0</v>
      </c>
      <c r="AC2044" t="str">
        <f t="shared" si="135"/>
        <v>Jan</v>
      </c>
    </row>
    <row r="2045" spans="3:29" x14ac:dyDescent="0.35">
      <c r="C2045" s="80">
        <f t="shared" si="132"/>
        <v>1</v>
      </c>
      <c r="K2045" s="65">
        <f t="shared" si="133"/>
        <v>0</v>
      </c>
      <c r="M2045" s="73">
        <f t="shared" si="134"/>
        <v>0</v>
      </c>
      <c r="AC2045" t="str">
        <f t="shared" si="135"/>
        <v>Jan</v>
      </c>
    </row>
    <row r="2046" spans="3:29" x14ac:dyDescent="0.35">
      <c r="C2046" s="80">
        <f t="shared" si="132"/>
        <v>1</v>
      </c>
      <c r="K2046" s="65">
        <f t="shared" si="133"/>
        <v>0</v>
      </c>
      <c r="M2046" s="73">
        <f t="shared" si="134"/>
        <v>0</v>
      </c>
      <c r="AC2046" t="str">
        <f t="shared" si="135"/>
        <v>Jan</v>
      </c>
    </row>
    <row r="2047" spans="3:29" x14ac:dyDescent="0.35">
      <c r="C2047" s="80">
        <f t="shared" si="132"/>
        <v>1</v>
      </c>
      <c r="K2047" s="65">
        <f t="shared" si="133"/>
        <v>0</v>
      </c>
      <c r="M2047" s="73">
        <f t="shared" si="134"/>
        <v>0</v>
      </c>
      <c r="AC2047" t="str">
        <f t="shared" si="135"/>
        <v>Jan</v>
      </c>
    </row>
    <row r="2048" spans="3:29" x14ac:dyDescent="0.35">
      <c r="C2048" s="80">
        <f t="shared" si="132"/>
        <v>1</v>
      </c>
      <c r="K2048" s="65">
        <f t="shared" si="133"/>
        <v>0</v>
      </c>
      <c r="M2048" s="73">
        <f t="shared" si="134"/>
        <v>0</v>
      </c>
      <c r="AC2048" t="str">
        <f t="shared" si="135"/>
        <v>Jan</v>
      </c>
    </row>
    <row r="2049" spans="3:29" x14ac:dyDescent="0.35">
      <c r="C2049" s="80">
        <f t="shared" si="132"/>
        <v>1</v>
      </c>
      <c r="K2049" s="65">
        <f t="shared" si="133"/>
        <v>0</v>
      </c>
      <c r="M2049" s="73">
        <f t="shared" si="134"/>
        <v>0</v>
      </c>
      <c r="AC2049" t="str">
        <f t="shared" si="135"/>
        <v>Jan</v>
      </c>
    </row>
    <row r="2050" spans="3:29" x14ac:dyDescent="0.35">
      <c r="C2050" s="80">
        <f t="shared" si="132"/>
        <v>1</v>
      </c>
      <c r="K2050" s="65">
        <f t="shared" si="133"/>
        <v>0</v>
      </c>
      <c r="M2050" s="73">
        <f t="shared" si="134"/>
        <v>0</v>
      </c>
      <c r="AC2050" t="str">
        <f t="shared" si="135"/>
        <v>Jan</v>
      </c>
    </row>
    <row r="2051" spans="3:29" x14ac:dyDescent="0.35">
      <c r="C2051" s="80">
        <f t="shared" si="132"/>
        <v>1</v>
      </c>
      <c r="K2051" s="65">
        <f t="shared" si="133"/>
        <v>0</v>
      </c>
      <c r="M2051" s="73">
        <f t="shared" si="134"/>
        <v>0</v>
      </c>
      <c r="AC2051" t="str">
        <f t="shared" si="135"/>
        <v>Jan</v>
      </c>
    </row>
    <row r="2052" spans="3:29" x14ac:dyDescent="0.35">
      <c r="C2052" s="80">
        <f t="shared" si="132"/>
        <v>1</v>
      </c>
      <c r="K2052" s="65">
        <f t="shared" si="133"/>
        <v>0</v>
      </c>
      <c r="M2052" s="73">
        <f t="shared" si="134"/>
        <v>0</v>
      </c>
      <c r="AC2052" t="str">
        <f t="shared" si="135"/>
        <v>Jan</v>
      </c>
    </row>
    <row r="2053" spans="3:29" x14ac:dyDescent="0.35">
      <c r="C2053" s="80">
        <f t="shared" si="132"/>
        <v>1</v>
      </c>
      <c r="K2053" s="65">
        <f t="shared" si="133"/>
        <v>0</v>
      </c>
      <c r="M2053" s="73">
        <f t="shared" si="134"/>
        <v>0</v>
      </c>
      <c r="AC2053" t="str">
        <f t="shared" si="135"/>
        <v>Jan</v>
      </c>
    </row>
    <row r="2054" spans="3:29" x14ac:dyDescent="0.35">
      <c r="C2054" s="80">
        <f t="shared" ref="C2054:C2117" si="136">MONTH(B2054)</f>
        <v>1</v>
      </c>
      <c r="K2054" s="65">
        <f t="shared" ref="K2054:K2117" si="137">I2054*J2054</f>
        <v>0</v>
      </c>
      <c r="M2054" s="73">
        <f t="shared" ref="M2054:M2117" si="138">K2054-L2054</f>
        <v>0</v>
      </c>
      <c r="AC2054" t="str">
        <f t="shared" si="135"/>
        <v>Jan</v>
      </c>
    </row>
    <row r="2055" spans="3:29" x14ac:dyDescent="0.35">
      <c r="C2055" s="80">
        <f t="shared" si="136"/>
        <v>1</v>
      </c>
      <c r="K2055" s="65">
        <f t="shared" si="137"/>
        <v>0</v>
      </c>
      <c r="M2055" s="73">
        <f t="shared" si="138"/>
        <v>0</v>
      </c>
      <c r="AC2055" t="str">
        <f t="shared" ref="AC2055:AC2118" si="139">IFERROR(INDEX(AA:AA,MATCH(C2055,Z:Z,0)),"")</f>
        <v>Jan</v>
      </c>
    </row>
    <row r="2056" spans="3:29" x14ac:dyDescent="0.35">
      <c r="C2056" s="80">
        <f t="shared" si="136"/>
        <v>1</v>
      </c>
      <c r="K2056" s="65">
        <f t="shared" si="137"/>
        <v>0</v>
      </c>
      <c r="M2056" s="73">
        <f t="shared" si="138"/>
        <v>0</v>
      </c>
      <c r="AC2056" t="str">
        <f t="shared" si="139"/>
        <v>Jan</v>
      </c>
    </row>
    <row r="2057" spans="3:29" x14ac:dyDescent="0.35">
      <c r="C2057" s="80">
        <f t="shared" si="136"/>
        <v>1</v>
      </c>
      <c r="K2057" s="65">
        <f t="shared" si="137"/>
        <v>0</v>
      </c>
      <c r="M2057" s="73">
        <f t="shared" si="138"/>
        <v>0</v>
      </c>
      <c r="AC2057" t="str">
        <f t="shared" si="139"/>
        <v>Jan</v>
      </c>
    </row>
    <row r="2058" spans="3:29" x14ac:dyDescent="0.35">
      <c r="C2058" s="80">
        <f t="shared" si="136"/>
        <v>1</v>
      </c>
      <c r="K2058" s="65">
        <f t="shared" si="137"/>
        <v>0</v>
      </c>
      <c r="M2058" s="73">
        <f t="shared" si="138"/>
        <v>0</v>
      </c>
      <c r="AC2058" t="str">
        <f t="shared" si="139"/>
        <v>Jan</v>
      </c>
    </row>
    <row r="2059" spans="3:29" x14ac:dyDescent="0.35">
      <c r="C2059" s="80">
        <f t="shared" si="136"/>
        <v>1</v>
      </c>
      <c r="K2059" s="65">
        <f t="shared" si="137"/>
        <v>0</v>
      </c>
      <c r="M2059" s="73">
        <f t="shared" si="138"/>
        <v>0</v>
      </c>
      <c r="AC2059" t="str">
        <f t="shared" si="139"/>
        <v>Jan</v>
      </c>
    </row>
    <row r="2060" spans="3:29" x14ac:dyDescent="0.35">
      <c r="C2060" s="80">
        <f t="shared" si="136"/>
        <v>1</v>
      </c>
      <c r="K2060" s="65">
        <f t="shared" si="137"/>
        <v>0</v>
      </c>
      <c r="M2060" s="73">
        <f t="shared" si="138"/>
        <v>0</v>
      </c>
      <c r="AC2060" t="str">
        <f t="shared" si="139"/>
        <v>Jan</v>
      </c>
    </row>
    <row r="2061" spans="3:29" x14ac:dyDescent="0.35">
      <c r="C2061" s="80">
        <f t="shared" si="136"/>
        <v>1</v>
      </c>
      <c r="K2061" s="65">
        <f t="shared" si="137"/>
        <v>0</v>
      </c>
      <c r="M2061" s="73">
        <f t="shared" si="138"/>
        <v>0</v>
      </c>
      <c r="AC2061" t="str">
        <f t="shared" si="139"/>
        <v>Jan</v>
      </c>
    </row>
    <row r="2062" spans="3:29" x14ac:dyDescent="0.35">
      <c r="C2062" s="80">
        <f t="shared" si="136"/>
        <v>1</v>
      </c>
      <c r="K2062" s="65">
        <f t="shared" si="137"/>
        <v>0</v>
      </c>
      <c r="M2062" s="73">
        <f t="shared" si="138"/>
        <v>0</v>
      </c>
      <c r="AC2062" t="str">
        <f t="shared" si="139"/>
        <v>Jan</v>
      </c>
    </row>
    <row r="2063" spans="3:29" x14ac:dyDescent="0.35">
      <c r="C2063" s="80">
        <f t="shared" si="136"/>
        <v>1</v>
      </c>
      <c r="K2063" s="65">
        <f t="shared" si="137"/>
        <v>0</v>
      </c>
      <c r="M2063" s="73">
        <f t="shared" si="138"/>
        <v>0</v>
      </c>
      <c r="AC2063" t="str">
        <f t="shared" si="139"/>
        <v>Jan</v>
      </c>
    </row>
    <row r="2064" spans="3:29" x14ac:dyDescent="0.35">
      <c r="C2064" s="80">
        <f t="shared" si="136"/>
        <v>1</v>
      </c>
      <c r="K2064" s="65">
        <f t="shared" si="137"/>
        <v>0</v>
      </c>
      <c r="M2064" s="73">
        <f t="shared" si="138"/>
        <v>0</v>
      </c>
      <c r="AC2064" t="str">
        <f t="shared" si="139"/>
        <v>Jan</v>
      </c>
    </row>
    <row r="2065" spans="3:29" x14ac:dyDescent="0.35">
      <c r="C2065" s="80">
        <f t="shared" si="136"/>
        <v>1</v>
      </c>
      <c r="K2065" s="65">
        <f t="shared" si="137"/>
        <v>0</v>
      </c>
      <c r="M2065" s="73">
        <f t="shared" si="138"/>
        <v>0</v>
      </c>
      <c r="AC2065" t="str">
        <f t="shared" si="139"/>
        <v>Jan</v>
      </c>
    </row>
    <row r="2066" spans="3:29" x14ac:dyDescent="0.35">
      <c r="C2066" s="80">
        <f t="shared" si="136"/>
        <v>1</v>
      </c>
      <c r="K2066" s="65">
        <f t="shared" si="137"/>
        <v>0</v>
      </c>
      <c r="M2066" s="73">
        <f t="shared" si="138"/>
        <v>0</v>
      </c>
      <c r="AC2066" t="str">
        <f t="shared" si="139"/>
        <v>Jan</v>
      </c>
    </row>
    <row r="2067" spans="3:29" x14ac:dyDescent="0.35">
      <c r="C2067" s="80">
        <f t="shared" si="136"/>
        <v>1</v>
      </c>
      <c r="K2067" s="65">
        <f t="shared" si="137"/>
        <v>0</v>
      </c>
      <c r="M2067" s="73">
        <f t="shared" si="138"/>
        <v>0</v>
      </c>
      <c r="AC2067" t="str">
        <f t="shared" si="139"/>
        <v>Jan</v>
      </c>
    </row>
    <row r="2068" spans="3:29" x14ac:dyDescent="0.35">
      <c r="C2068" s="80">
        <f t="shared" si="136"/>
        <v>1</v>
      </c>
      <c r="K2068" s="65">
        <f t="shared" si="137"/>
        <v>0</v>
      </c>
      <c r="M2068" s="73">
        <f t="shared" si="138"/>
        <v>0</v>
      </c>
      <c r="AC2068" t="str">
        <f t="shared" si="139"/>
        <v>Jan</v>
      </c>
    </row>
    <row r="2069" spans="3:29" x14ac:dyDescent="0.35">
      <c r="C2069" s="80">
        <f t="shared" si="136"/>
        <v>1</v>
      </c>
      <c r="K2069" s="65">
        <f t="shared" si="137"/>
        <v>0</v>
      </c>
      <c r="M2069" s="73">
        <f t="shared" si="138"/>
        <v>0</v>
      </c>
      <c r="AC2069" t="str">
        <f t="shared" si="139"/>
        <v>Jan</v>
      </c>
    </row>
    <row r="2070" spans="3:29" x14ac:dyDescent="0.35">
      <c r="C2070" s="80">
        <f t="shared" si="136"/>
        <v>1</v>
      </c>
      <c r="K2070" s="65">
        <f t="shared" si="137"/>
        <v>0</v>
      </c>
      <c r="M2070" s="73">
        <f t="shared" si="138"/>
        <v>0</v>
      </c>
      <c r="AC2070" t="str">
        <f t="shared" si="139"/>
        <v>Jan</v>
      </c>
    </row>
    <row r="2071" spans="3:29" x14ac:dyDescent="0.35">
      <c r="C2071" s="80">
        <f t="shared" si="136"/>
        <v>1</v>
      </c>
      <c r="K2071" s="65">
        <f t="shared" si="137"/>
        <v>0</v>
      </c>
      <c r="M2071" s="73">
        <f t="shared" si="138"/>
        <v>0</v>
      </c>
      <c r="AC2071" t="str">
        <f t="shared" si="139"/>
        <v>Jan</v>
      </c>
    </row>
    <row r="2072" spans="3:29" x14ac:dyDescent="0.35">
      <c r="C2072" s="80">
        <f t="shared" si="136"/>
        <v>1</v>
      </c>
      <c r="K2072" s="65">
        <f t="shared" si="137"/>
        <v>0</v>
      </c>
      <c r="M2072" s="73">
        <f t="shared" si="138"/>
        <v>0</v>
      </c>
      <c r="AC2072" t="str">
        <f t="shared" si="139"/>
        <v>Jan</v>
      </c>
    </row>
    <row r="2073" spans="3:29" x14ac:dyDescent="0.35">
      <c r="C2073" s="80">
        <f t="shared" si="136"/>
        <v>1</v>
      </c>
      <c r="K2073" s="65">
        <f t="shared" si="137"/>
        <v>0</v>
      </c>
      <c r="M2073" s="73">
        <f t="shared" si="138"/>
        <v>0</v>
      </c>
      <c r="AC2073" t="str">
        <f t="shared" si="139"/>
        <v>Jan</v>
      </c>
    </row>
    <row r="2074" spans="3:29" x14ac:dyDescent="0.35">
      <c r="C2074" s="80">
        <f t="shared" si="136"/>
        <v>1</v>
      </c>
      <c r="K2074" s="65">
        <f t="shared" si="137"/>
        <v>0</v>
      </c>
      <c r="M2074" s="73">
        <f t="shared" si="138"/>
        <v>0</v>
      </c>
      <c r="AC2074" t="str">
        <f t="shared" si="139"/>
        <v>Jan</v>
      </c>
    </row>
    <row r="2075" spans="3:29" x14ac:dyDescent="0.35">
      <c r="C2075" s="80">
        <f t="shared" si="136"/>
        <v>1</v>
      </c>
      <c r="K2075" s="65">
        <f t="shared" si="137"/>
        <v>0</v>
      </c>
      <c r="M2075" s="73">
        <f t="shared" si="138"/>
        <v>0</v>
      </c>
      <c r="AC2075" t="str">
        <f t="shared" si="139"/>
        <v>Jan</v>
      </c>
    </row>
    <row r="2076" spans="3:29" x14ac:dyDescent="0.35">
      <c r="C2076" s="80">
        <f t="shared" si="136"/>
        <v>1</v>
      </c>
      <c r="K2076" s="65">
        <f t="shared" si="137"/>
        <v>0</v>
      </c>
      <c r="M2076" s="73">
        <f t="shared" si="138"/>
        <v>0</v>
      </c>
      <c r="AC2076" t="str">
        <f t="shared" si="139"/>
        <v>Jan</v>
      </c>
    </row>
    <row r="2077" spans="3:29" x14ac:dyDescent="0.35">
      <c r="C2077" s="80">
        <f t="shared" si="136"/>
        <v>1</v>
      </c>
      <c r="K2077" s="65">
        <f t="shared" si="137"/>
        <v>0</v>
      </c>
      <c r="M2077" s="73">
        <f t="shared" si="138"/>
        <v>0</v>
      </c>
      <c r="AC2077" t="str">
        <f t="shared" si="139"/>
        <v>Jan</v>
      </c>
    </row>
    <row r="2078" spans="3:29" x14ac:dyDescent="0.35">
      <c r="C2078" s="80">
        <f t="shared" si="136"/>
        <v>1</v>
      </c>
      <c r="K2078" s="65">
        <f t="shared" si="137"/>
        <v>0</v>
      </c>
      <c r="M2078" s="73">
        <f t="shared" si="138"/>
        <v>0</v>
      </c>
      <c r="AC2078" t="str">
        <f t="shared" si="139"/>
        <v>Jan</v>
      </c>
    </row>
    <row r="2079" spans="3:29" x14ac:dyDescent="0.35">
      <c r="C2079" s="80">
        <f t="shared" si="136"/>
        <v>1</v>
      </c>
      <c r="K2079" s="65">
        <f t="shared" si="137"/>
        <v>0</v>
      </c>
      <c r="M2079" s="73">
        <f t="shared" si="138"/>
        <v>0</v>
      </c>
      <c r="AC2079" t="str">
        <f t="shared" si="139"/>
        <v>Jan</v>
      </c>
    </row>
    <row r="2080" spans="3:29" x14ac:dyDescent="0.35">
      <c r="C2080" s="80">
        <f t="shared" si="136"/>
        <v>1</v>
      </c>
      <c r="K2080" s="65">
        <f t="shared" si="137"/>
        <v>0</v>
      </c>
      <c r="M2080" s="73">
        <f t="shared" si="138"/>
        <v>0</v>
      </c>
      <c r="AC2080" t="str">
        <f t="shared" si="139"/>
        <v>Jan</v>
      </c>
    </row>
    <row r="2081" spans="3:29" x14ac:dyDescent="0.35">
      <c r="C2081" s="80">
        <f t="shared" si="136"/>
        <v>1</v>
      </c>
      <c r="K2081" s="65">
        <f t="shared" si="137"/>
        <v>0</v>
      </c>
      <c r="M2081" s="73">
        <f t="shared" si="138"/>
        <v>0</v>
      </c>
      <c r="AC2081" t="str">
        <f t="shared" si="139"/>
        <v>Jan</v>
      </c>
    </row>
    <row r="2082" spans="3:29" x14ac:dyDescent="0.35">
      <c r="C2082" s="80">
        <f t="shared" si="136"/>
        <v>1</v>
      </c>
      <c r="K2082" s="65">
        <f t="shared" si="137"/>
        <v>0</v>
      </c>
      <c r="M2082" s="73">
        <f t="shared" si="138"/>
        <v>0</v>
      </c>
      <c r="AC2082" t="str">
        <f t="shared" si="139"/>
        <v>Jan</v>
      </c>
    </row>
    <row r="2083" spans="3:29" x14ac:dyDescent="0.35">
      <c r="C2083" s="80">
        <f t="shared" si="136"/>
        <v>1</v>
      </c>
      <c r="K2083" s="65">
        <f t="shared" si="137"/>
        <v>0</v>
      </c>
      <c r="M2083" s="73">
        <f t="shared" si="138"/>
        <v>0</v>
      </c>
      <c r="AC2083" t="str">
        <f t="shared" si="139"/>
        <v>Jan</v>
      </c>
    </row>
    <row r="2084" spans="3:29" x14ac:dyDescent="0.35">
      <c r="C2084" s="80">
        <f t="shared" si="136"/>
        <v>1</v>
      </c>
      <c r="K2084" s="65">
        <f t="shared" si="137"/>
        <v>0</v>
      </c>
      <c r="M2084" s="73">
        <f t="shared" si="138"/>
        <v>0</v>
      </c>
      <c r="AC2084" t="str">
        <f t="shared" si="139"/>
        <v>Jan</v>
      </c>
    </row>
    <row r="2085" spans="3:29" x14ac:dyDescent="0.35">
      <c r="C2085" s="80">
        <f t="shared" si="136"/>
        <v>1</v>
      </c>
      <c r="K2085" s="65">
        <f t="shared" si="137"/>
        <v>0</v>
      </c>
      <c r="M2085" s="73">
        <f t="shared" si="138"/>
        <v>0</v>
      </c>
      <c r="AC2085" t="str">
        <f t="shared" si="139"/>
        <v>Jan</v>
      </c>
    </row>
    <row r="2086" spans="3:29" x14ac:dyDescent="0.35">
      <c r="C2086" s="80">
        <f t="shared" si="136"/>
        <v>1</v>
      </c>
      <c r="K2086" s="65">
        <f t="shared" si="137"/>
        <v>0</v>
      </c>
      <c r="M2086" s="73">
        <f t="shared" si="138"/>
        <v>0</v>
      </c>
      <c r="AC2086" t="str">
        <f t="shared" si="139"/>
        <v>Jan</v>
      </c>
    </row>
    <row r="2087" spans="3:29" x14ac:dyDescent="0.35">
      <c r="C2087" s="80">
        <f t="shared" si="136"/>
        <v>1</v>
      </c>
      <c r="K2087" s="65">
        <f t="shared" si="137"/>
        <v>0</v>
      </c>
      <c r="M2087" s="73">
        <f t="shared" si="138"/>
        <v>0</v>
      </c>
      <c r="AC2087" t="str">
        <f t="shared" si="139"/>
        <v>Jan</v>
      </c>
    </row>
    <row r="2088" spans="3:29" x14ac:dyDescent="0.35">
      <c r="C2088" s="80">
        <f t="shared" si="136"/>
        <v>1</v>
      </c>
      <c r="K2088" s="65">
        <f t="shared" si="137"/>
        <v>0</v>
      </c>
      <c r="M2088" s="73">
        <f t="shared" si="138"/>
        <v>0</v>
      </c>
      <c r="AC2088" t="str">
        <f t="shared" si="139"/>
        <v>Jan</v>
      </c>
    </row>
    <row r="2089" spans="3:29" x14ac:dyDescent="0.35">
      <c r="C2089" s="80">
        <f t="shared" si="136"/>
        <v>1</v>
      </c>
      <c r="K2089" s="65">
        <f t="shared" si="137"/>
        <v>0</v>
      </c>
      <c r="M2089" s="73">
        <f t="shared" si="138"/>
        <v>0</v>
      </c>
      <c r="AC2089" t="str">
        <f t="shared" si="139"/>
        <v>Jan</v>
      </c>
    </row>
    <row r="2090" spans="3:29" x14ac:dyDescent="0.35">
      <c r="C2090" s="80">
        <f t="shared" si="136"/>
        <v>1</v>
      </c>
      <c r="K2090" s="65">
        <f t="shared" si="137"/>
        <v>0</v>
      </c>
      <c r="M2090" s="73">
        <f t="shared" si="138"/>
        <v>0</v>
      </c>
      <c r="AC2090" t="str">
        <f t="shared" si="139"/>
        <v>Jan</v>
      </c>
    </row>
    <row r="2091" spans="3:29" x14ac:dyDescent="0.35">
      <c r="C2091" s="80">
        <f t="shared" si="136"/>
        <v>1</v>
      </c>
      <c r="K2091" s="65">
        <f t="shared" si="137"/>
        <v>0</v>
      </c>
      <c r="M2091" s="73">
        <f t="shared" si="138"/>
        <v>0</v>
      </c>
      <c r="AC2091" t="str">
        <f t="shared" si="139"/>
        <v>Jan</v>
      </c>
    </row>
    <row r="2092" spans="3:29" x14ac:dyDescent="0.35">
      <c r="C2092" s="80">
        <f t="shared" si="136"/>
        <v>1</v>
      </c>
      <c r="K2092" s="65">
        <f t="shared" si="137"/>
        <v>0</v>
      </c>
      <c r="M2092" s="73">
        <f t="shared" si="138"/>
        <v>0</v>
      </c>
      <c r="AC2092" t="str">
        <f t="shared" si="139"/>
        <v>Jan</v>
      </c>
    </row>
    <row r="2093" spans="3:29" x14ac:dyDescent="0.35">
      <c r="C2093" s="80">
        <f t="shared" si="136"/>
        <v>1</v>
      </c>
      <c r="K2093" s="65">
        <f t="shared" si="137"/>
        <v>0</v>
      </c>
      <c r="M2093" s="73">
        <f t="shared" si="138"/>
        <v>0</v>
      </c>
      <c r="AC2093" t="str">
        <f t="shared" si="139"/>
        <v>Jan</v>
      </c>
    </row>
    <row r="2094" spans="3:29" x14ac:dyDescent="0.35">
      <c r="C2094" s="80">
        <f t="shared" si="136"/>
        <v>1</v>
      </c>
      <c r="K2094" s="65">
        <f t="shared" si="137"/>
        <v>0</v>
      </c>
      <c r="M2094" s="73">
        <f t="shared" si="138"/>
        <v>0</v>
      </c>
      <c r="AC2094" t="str">
        <f t="shared" si="139"/>
        <v>Jan</v>
      </c>
    </row>
    <row r="2095" spans="3:29" x14ac:dyDescent="0.35">
      <c r="C2095" s="80">
        <f t="shared" si="136"/>
        <v>1</v>
      </c>
      <c r="K2095" s="65">
        <f t="shared" si="137"/>
        <v>0</v>
      </c>
      <c r="M2095" s="73">
        <f t="shared" si="138"/>
        <v>0</v>
      </c>
      <c r="AC2095" t="str">
        <f t="shared" si="139"/>
        <v>Jan</v>
      </c>
    </row>
    <row r="2096" spans="3:29" x14ac:dyDescent="0.35">
      <c r="C2096" s="80">
        <f t="shared" si="136"/>
        <v>1</v>
      </c>
      <c r="K2096" s="65">
        <f t="shared" si="137"/>
        <v>0</v>
      </c>
      <c r="M2096" s="73">
        <f t="shared" si="138"/>
        <v>0</v>
      </c>
      <c r="AC2096" t="str">
        <f t="shared" si="139"/>
        <v>Jan</v>
      </c>
    </row>
    <row r="2097" spans="3:29" x14ac:dyDescent="0.35">
      <c r="C2097" s="80">
        <f t="shared" si="136"/>
        <v>1</v>
      </c>
      <c r="K2097" s="65">
        <f t="shared" si="137"/>
        <v>0</v>
      </c>
      <c r="M2097" s="73">
        <f t="shared" si="138"/>
        <v>0</v>
      </c>
      <c r="AC2097" t="str">
        <f t="shared" si="139"/>
        <v>Jan</v>
      </c>
    </row>
    <row r="2098" spans="3:29" x14ac:dyDescent="0.35">
      <c r="C2098" s="80">
        <f t="shared" si="136"/>
        <v>1</v>
      </c>
      <c r="K2098" s="65">
        <f t="shared" si="137"/>
        <v>0</v>
      </c>
      <c r="M2098" s="73">
        <f t="shared" si="138"/>
        <v>0</v>
      </c>
      <c r="AC2098" t="str">
        <f t="shared" si="139"/>
        <v>Jan</v>
      </c>
    </row>
    <row r="2099" spans="3:29" x14ac:dyDescent="0.35">
      <c r="C2099" s="80">
        <f t="shared" si="136"/>
        <v>1</v>
      </c>
      <c r="K2099" s="65">
        <f t="shared" si="137"/>
        <v>0</v>
      </c>
      <c r="M2099" s="73">
        <f t="shared" si="138"/>
        <v>0</v>
      </c>
      <c r="AC2099" t="str">
        <f t="shared" si="139"/>
        <v>Jan</v>
      </c>
    </row>
    <row r="2100" spans="3:29" x14ac:dyDescent="0.35">
      <c r="C2100" s="80">
        <f t="shared" si="136"/>
        <v>1</v>
      </c>
      <c r="K2100" s="65">
        <f t="shared" si="137"/>
        <v>0</v>
      </c>
      <c r="M2100" s="73">
        <f t="shared" si="138"/>
        <v>0</v>
      </c>
      <c r="AC2100" t="str">
        <f t="shared" si="139"/>
        <v>Jan</v>
      </c>
    </row>
    <row r="2101" spans="3:29" x14ac:dyDescent="0.35">
      <c r="C2101" s="80">
        <f t="shared" si="136"/>
        <v>1</v>
      </c>
      <c r="K2101" s="65">
        <f t="shared" si="137"/>
        <v>0</v>
      </c>
      <c r="M2101" s="73">
        <f t="shared" si="138"/>
        <v>0</v>
      </c>
      <c r="AC2101" t="str">
        <f t="shared" si="139"/>
        <v>Jan</v>
      </c>
    </row>
    <row r="2102" spans="3:29" x14ac:dyDescent="0.35">
      <c r="C2102" s="80">
        <f t="shared" si="136"/>
        <v>1</v>
      </c>
      <c r="K2102" s="65">
        <f t="shared" si="137"/>
        <v>0</v>
      </c>
      <c r="M2102" s="73">
        <f t="shared" si="138"/>
        <v>0</v>
      </c>
      <c r="AC2102" t="str">
        <f t="shared" si="139"/>
        <v>Jan</v>
      </c>
    </row>
    <row r="2103" spans="3:29" x14ac:dyDescent="0.35">
      <c r="C2103" s="80">
        <f t="shared" si="136"/>
        <v>1</v>
      </c>
      <c r="K2103" s="65">
        <f t="shared" si="137"/>
        <v>0</v>
      </c>
      <c r="M2103" s="73">
        <f t="shared" si="138"/>
        <v>0</v>
      </c>
      <c r="AC2103" t="str">
        <f t="shared" si="139"/>
        <v>Jan</v>
      </c>
    </row>
    <row r="2104" spans="3:29" x14ac:dyDescent="0.35">
      <c r="C2104" s="80">
        <f t="shared" si="136"/>
        <v>1</v>
      </c>
      <c r="K2104" s="65">
        <f t="shared" si="137"/>
        <v>0</v>
      </c>
      <c r="M2104" s="73">
        <f t="shared" si="138"/>
        <v>0</v>
      </c>
      <c r="AC2104" t="str">
        <f t="shared" si="139"/>
        <v>Jan</v>
      </c>
    </row>
    <row r="2105" spans="3:29" x14ac:dyDescent="0.35">
      <c r="C2105" s="80">
        <f t="shared" si="136"/>
        <v>1</v>
      </c>
      <c r="K2105" s="65">
        <f t="shared" si="137"/>
        <v>0</v>
      </c>
      <c r="M2105" s="73">
        <f t="shared" si="138"/>
        <v>0</v>
      </c>
      <c r="AC2105" t="str">
        <f t="shared" si="139"/>
        <v>Jan</v>
      </c>
    </row>
    <row r="2106" spans="3:29" x14ac:dyDescent="0.35">
      <c r="C2106" s="80">
        <f t="shared" si="136"/>
        <v>1</v>
      </c>
      <c r="K2106" s="65">
        <f t="shared" si="137"/>
        <v>0</v>
      </c>
      <c r="M2106" s="73">
        <f t="shared" si="138"/>
        <v>0</v>
      </c>
      <c r="AC2106" t="str">
        <f t="shared" si="139"/>
        <v>Jan</v>
      </c>
    </row>
    <row r="2107" spans="3:29" x14ac:dyDescent="0.35">
      <c r="C2107" s="80">
        <f t="shared" si="136"/>
        <v>1</v>
      </c>
      <c r="K2107" s="65">
        <f t="shared" si="137"/>
        <v>0</v>
      </c>
      <c r="M2107" s="73">
        <f t="shared" si="138"/>
        <v>0</v>
      </c>
      <c r="AC2107" t="str">
        <f t="shared" si="139"/>
        <v>Jan</v>
      </c>
    </row>
    <row r="2108" spans="3:29" x14ac:dyDescent="0.35">
      <c r="C2108" s="80">
        <f t="shared" si="136"/>
        <v>1</v>
      </c>
      <c r="K2108" s="65">
        <f t="shared" si="137"/>
        <v>0</v>
      </c>
      <c r="M2108" s="73">
        <f t="shared" si="138"/>
        <v>0</v>
      </c>
      <c r="AC2108" t="str">
        <f t="shared" si="139"/>
        <v>Jan</v>
      </c>
    </row>
    <row r="2109" spans="3:29" x14ac:dyDescent="0.35">
      <c r="C2109" s="80">
        <f t="shared" si="136"/>
        <v>1</v>
      </c>
      <c r="K2109" s="65">
        <f t="shared" si="137"/>
        <v>0</v>
      </c>
      <c r="M2109" s="73">
        <f t="shared" si="138"/>
        <v>0</v>
      </c>
      <c r="AC2109" t="str">
        <f t="shared" si="139"/>
        <v>Jan</v>
      </c>
    </row>
    <row r="2110" spans="3:29" x14ac:dyDescent="0.35">
      <c r="C2110" s="80">
        <f t="shared" si="136"/>
        <v>1</v>
      </c>
      <c r="K2110" s="65">
        <f t="shared" si="137"/>
        <v>0</v>
      </c>
      <c r="M2110" s="73">
        <f t="shared" si="138"/>
        <v>0</v>
      </c>
      <c r="AC2110" t="str">
        <f t="shared" si="139"/>
        <v>Jan</v>
      </c>
    </row>
    <row r="2111" spans="3:29" x14ac:dyDescent="0.35">
      <c r="C2111" s="80">
        <f t="shared" si="136"/>
        <v>1</v>
      </c>
      <c r="K2111" s="65">
        <f t="shared" si="137"/>
        <v>0</v>
      </c>
      <c r="M2111" s="73">
        <f t="shared" si="138"/>
        <v>0</v>
      </c>
      <c r="AC2111" t="str">
        <f t="shared" si="139"/>
        <v>Jan</v>
      </c>
    </row>
    <row r="2112" spans="3:29" x14ac:dyDescent="0.35">
      <c r="C2112" s="80">
        <f t="shared" si="136"/>
        <v>1</v>
      </c>
      <c r="K2112" s="65">
        <f t="shared" si="137"/>
        <v>0</v>
      </c>
      <c r="M2112" s="73">
        <f t="shared" si="138"/>
        <v>0</v>
      </c>
      <c r="AC2112" t="str">
        <f t="shared" si="139"/>
        <v>Jan</v>
      </c>
    </row>
    <row r="2113" spans="3:29" x14ac:dyDescent="0.35">
      <c r="C2113" s="80">
        <f t="shared" si="136"/>
        <v>1</v>
      </c>
      <c r="K2113" s="65">
        <f t="shared" si="137"/>
        <v>0</v>
      </c>
      <c r="M2113" s="73">
        <f t="shared" si="138"/>
        <v>0</v>
      </c>
      <c r="AC2113" t="str">
        <f t="shared" si="139"/>
        <v>Jan</v>
      </c>
    </row>
    <row r="2114" spans="3:29" x14ac:dyDescent="0.35">
      <c r="C2114" s="80">
        <f t="shared" si="136"/>
        <v>1</v>
      </c>
      <c r="K2114" s="65">
        <f t="shared" si="137"/>
        <v>0</v>
      </c>
      <c r="M2114" s="73">
        <f t="shared" si="138"/>
        <v>0</v>
      </c>
      <c r="AC2114" t="str">
        <f t="shared" si="139"/>
        <v>Jan</v>
      </c>
    </row>
    <row r="2115" spans="3:29" x14ac:dyDescent="0.35">
      <c r="C2115" s="80">
        <f t="shared" si="136"/>
        <v>1</v>
      </c>
      <c r="K2115" s="65">
        <f t="shared" si="137"/>
        <v>0</v>
      </c>
      <c r="M2115" s="73">
        <f t="shared" si="138"/>
        <v>0</v>
      </c>
      <c r="AC2115" t="str">
        <f t="shared" si="139"/>
        <v>Jan</v>
      </c>
    </row>
    <row r="2116" spans="3:29" x14ac:dyDescent="0.35">
      <c r="C2116" s="80">
        <f t="shared" si="136"/>
        <v>1</v>
      </c>
      <c r="K2116" s="65">
        <f t="shared" si="137"/>
        <v>0</v>
      </c>
      <c r="M2116" s="73">
        <f t="shared" si="138"/>
        <v>0</v>
      </c>
      <c r="AC2116" t="str">
        <f t="shared" si="139"/>
        <v>Jan</v>
      </c>
    </row>
    <row r="2117" spans="3:29" x14ac:dyDescent="0.35">
      <c r="C2117" s="80">
        <f t="shared" si="136"/>
        <v>1</v>
      </c>
      <c r="K2117" s="65">
        <f t="shared" si="137"/>
        <v>0</v>
      </c>
      <c r="M2117" s="73">
        <f t="shared" si="138"/>
        <v>0</v>
      </c>
      <c r="AC2117" t="str">
        <f t="shared" si="139"/>
        <v>Jan</v>
      </c>
    </row>
    <row r="2118" spans="3:29" x14ac:dyDescent="0.35">
      <c r="C2118" s="80">
        <f t="shared" ref="C2118:C2172" si="140">MONTH(B2118)</f>
        <v>1</v>
      </c>
      <c r="K2118" s="65">
        <f t="shared" ref="K2118:K2172" si="141">I2118*J2118</f>
        <v>0</v>
      </c>
      <c r="M2118" s="73">
        <f t="shared" ref="M2118:M2172" si="142">K2118-L2118</f>
        <v>0</v>
      </c>
      <c r="AC2118" t="str">
        <f t="shared" si="139"/>
        <v>Jan</v>
      </c>
    </row>
    <row r="2119" spans="3:29" x14ac:dyDescent="0.35">
      <c r="C2119" s="80">
        <f t="shared" si="140"/>
        <v>1</v>
      </c>
      <c r="K2119" s="65">
        <f t="shared" si="141"/>
        <v>0</v>
      </c>
      <c r="M2119" s="73">
        <f t="shared" si="142"/>
        <v>0</v>
      </c>
      <c r="AC2119" t="str">
        <f t="shared" ref="AC2119:AC2182" si="143">IFERROR(INDEX(AA:AA,MATCH(C2119,Z:Z,0)),"")</f>
        <v>Jan</v>
      </c>
    </row>
    <row r="2120" spans="3:29" x14ac:dyDescent="0.35">
      <c r="C2120" s="80">
        <f t="shared" si="140"/>
        <v>1</v>
      </c>
      <c r="K2120" s="65">
        <f t="shared" si="141"/>
        <v>0</v>
      </c>
      <c r="M2120" s="73">
        <f t="shared" si="142"/>
        <v>0</v>
      </c>
      <c r="AC2120" t="str">
        <f t="shared" si="143"/>
        <v>Jan</v>
      </c>
    </row>
    <row r="2121" spans="3:29" x14ac:dyDescent="0.35">
      <c r="C2121" s="80">
        <f t="shared" si="140"/>
        <v>1</v>
      </c>
      <c r="K2121" s="65">
        <f t="shared" si="141"/>
        <v>0</v>
      </c>
      <c r="M2121" s="73">
        <f t="shared" si="142"/>
        <v>0</v>
      </c>
      <c r="AC2121" t="str">
        <f t="shared" si="143"/>
        <v>Jan</v>
      </c>
    </row>
    <row r="2122" spans="3:29" x14ac:dyDescent="0.35">
      <c r="C2122" s="80">
        <f t="shared" si="140"/>
        <v>1</v>
      </c>
      <c r="K2122" s="65">
        <f t="shared" si="141"/>
        <v>0</v>
      </c>
      <c r="M2122" s="73">
        <f t="shared" si="142"/>
        <v>0</v>
      </c>
      <c r="AC2122" t="str">
        <f t="shared" si="143"/>
        <v>Jan</v>
      </c>
    </row>
    <row r="2123" spans="3:29" x14ac:dyDescent="0.35">
      <c r="C2123" s="80">
        <f t="shared" si="140"/>
        <v>1</v>
      </c>
      <c r="K2123" s="65">
        <f t="shared" si="141"/>
        <v>0</v>
      </c>
      <c r="M2123" s="73">
        <f t="shared" si="142"/>
        <v>0</v>
      </c>
      <c r="AC2123" t="str">
        <f t="shared" si="143"/>
        <v>Jan</v>
      </c>
    </row>
    <row r="2124" spans="3:29" x14ac:dyDescent="0.35">
      <c r="C2124" s="80">
        <f t="shared" si="140"/>
        <v>1</v>
      </c>
      <c r="K2124" s="65">
        <f t="shared" si="141"/>
        <v>0</v>
      </c>
      <c r="M2124" s="73">
        <f t="shared" si="142"/>
        <v>0</v>
      </c>
      <c r="AC2124" t="str">
        <f t="shared" si="143"/>
        <v>Jan</v>
      </c>
    </row>
    <row r="2125" spans="3:29" x14ac:dyDescent="0.35">
      <c r="C2125" s="80">
        <f t="shared" si="140"/>
        <v>1</v>
      </c>
      <c r="K2125" s="65">
        <f t="shared" si="141"/>
        <v>0</v>
      </c>
      <c r="M2125" s="73">
        <f t="shared" si="142"/>
        <v>0</v>
      </c>
      <c r="AC2125" t="str">
        <f t="shared" si="143"/>
        <v>Jan</v>
      </c>
    </row>
    <row r="2126" spans="3:29" x14ac:dyDescent="0.35">
      <c r="C2126" s="80">
        <f t="shared" si="140"/>
        <v>1</v>
      </c>
      <c r="K2126" s="65">
        <f t="shared" si="141"/>
        <v>0</v>
      </c>
      <c r="M2126" s="73">
        <f t="shared" si="142"/>
        <v>0</v>
      </c>
      <c r="AC2126" t="str">
        <f t="shared" si="143"/>
        <v>Jan</v>
      </c>
    </row>
    <row r="2127" spans="3:29" x14ac:dyDescent="0.35">
      <c r="C2127" s="80">
        <f t="shared" si="140"/>
        <v>1</v>
      </c>
      <c r="K2127" s="65">
        <f t="shared" si="141"/>
        <v>0</v>
      </c>
      <c r="M2127" s="73">
        <f t="shared" si="142"/>
        <v>0</v>
      </c>
      <c r="AC2127" t="str">
        <f t="shared" si="143"/>
        <v>Jan</v>
      </c>
    </row>
    <row r="2128" spans="3:29" x14ac:dyDescent="0.35">
      <c r="C2128" s="80">
        <f t="shared" si="140"/>
        <v>1</v>
      </c>
      <c r="K2128" s="65">
        <f t="shared" si="141"/>
        <v>0</v>
      </c>
      <c r="M2128" s="73">
        <f t="shared" si="142"/>
        <v>0</v>
      </c>
      <c r="AC2128" t="str">
        <f t="shared" si="143"/>
        <v>Jan</v>
      </c>
    </row>
    <row r="2129" spans="3:29" x14ac:dyDescent="0.35">
      <c r="C2129" s="80">
        <f t="shared" si="140"/>
        <v>1</v>
      </c>
      <c r="K2129" s="65">
        <f t="shared" si="141"/>
        <v>0</v>
      </c>
      <c r="M2129" s="73">
        <f t="shared" si="142"/>
        <v>0</v>
      </c>
      <c r="AC2129" t="str">
        <f t="shared" si="143"/>
        <v>Jan</v>
      </c>
    </row>
    <row r="2130" spans="3:29" x14ac:dyDescent="0.35">
      <c r="C2130" s="80">
        <f t="shared" si="140"/>
        <v>1</v>
      </c>
      <c r="K2130" s="65">
        <f t="shared" si="141"/>
        <v>0</v>
      </c>
      <c r="M2130" s="73">
        <f t="shared" si="142"/>
        <v>0</v>
      </c>
      <c r="AC2130" t="str">
        <f t="shared" si="143"/>
        <v>Jan</v>
      </c>
    </row>
    <row r="2131" spans="3:29" x14ac:dyDescent="0.35">
      <c r="C2131" s="80">
        <f t="shared" si="140"/>
        <v>1</v>
      </c>
      <c r="K2131" s="65">
        <f t="shared" si="141"/>
        <v>0</v>
      </c>
      <c r="M2131" s="73">
        <f t="shared" si="142"/>
        <v>0</v>
      </c>
      <c r="AC2131" t="str">
        <f t="shared" si="143"/>
        <v>Jan</v>
      </c>
    </row>
    <row r="2132" spans="3:29" x14ac:dyDescent="0.35">
      <c r="C2132" s="80">
        <f t="shared" si="140"/>
        <v>1</v>
      </c>
      <c r="K2132" s="65">
        <f t="shared" si="141"/>
        <v>0</v>
      </c>
      <c r="M2132" s="73">
        <f t="shared" si="142"/>
        <v>0</v>
      </c>
      <c r="AC2132" t="str">
        <f t="shared" si="143"/>
        <v>Jan</v>
      </c>
    </row>
    <row r="2133" spans="3:29" x14ac:dyDescent="0.35">
      <c r="C2133" s="80">
        <f t="shared" si="140"/>
        <v>1</v>
      </c>
      <c r="K2133" s="65">
        <f t="shared" si="141"/>
        <v>0</v>
      </c>
      <c r="M2133" s="73">
        <f t="shared" si="142"/>
        <v>0</v>
      </c>
      <c r="AC2133" t="str">
        <f t="shared" si="143"/>
        <v>Jan</v>
      </c>
    </row>
    <row r="2134" spans="3:29" x14ac:dyDescent="0.35">
      <c r="C2134" s="80">
        <f t="shared" si="140"/>
        <v>1</v>
      </c>
      <c r="K2134" s="65">
        <f t="shared" si="141"/>
        <v>0</v>
      </c>
      <c r="M2134" s="73">
        <f t="shared" si="142"/>
        <v>0</v>
      </c>
      <c r="AC2134" t="str">
        <f t="shared" si="143"/>
        <v>Jan</v>
      </c>
    </row>
    <row r="2135" spans="3:29" x14ac:dyDescent="0.35">
      <c r="C2135" s="80">
        <f t="shared" si="140"/>
        <v>1</v>
      </c>
      <c r="K2135" s="65">
        <f t="shared" si="141"/>
        <v>0</v>
      </c>
      <c r="M2135" s="73">
        <f t="shared" si="142"/>
        <v>0</v>
      </c>
      <c r="AC2135" t="str">
        <f t="shared" si="143"/>
        <v>Jan</v>
      </c>
    </row>
    <row r="2136" spans="3:29" x14ac:dyDescent="0.35">
      <c r="C2136" s="80">
        <f t="shared" si="140"/>
        <v>1</v>
      </c>
      <c r="K2136" s="65">
        <f t="shared" si="141"/>
        <v>0</v>
      </c>
      <c r="M2136" s="73">
        <f t="shared" si="142"/>
        <v>0</v>
      </c>
      <c r="AC2136" t="str">
        <f t="shared" si="143"/>
        <v>Jan</v>
      </c>
    </row>
    <row r="2137" spans="3:29" x14ac:dyDescent="0.35">
      <c r="C2137" s="80">
        <f t="shared" si="140"/>
        <v>1</v>
      </c>
      <c r="K2137" s="65">
        <f t="shared" si="141"/>
        <v>0</v>
      </c>
      <c r="M2137" s="73">
        <f t="shared" si="142"/>
        <v>0</v>
      </c>
      <c r="AC2137" t="str">
        <f t="shared" si="143"/>
        <v>Jan</v>
      </c>
    </row>
    <row r="2138" spans="3:29" x14ac:dyDescent="0.35">
      <c r="C2138" s="80">
        <f t="shared" si="140"/>
        <v>1</v>
      </c>
      <c r="K2138" s="65">
        <f t="shared" si="141"/>
        <v>0</v>
      </c>
      <c r="M2138" s="73">
        <f t="shared" si="142"/>
        <v>0</v>
      </c>
      <c r="AC2138" t="str">
        <f t="shared" si="143"/>
        <v>Jan</v>
      </c>
    </row>
    <row r="2139" spans="3:29" x14ac:dyDescent="0.35">
      <c r="C2139" s="80">
        <f t="shared" si="140"/>
        <v>1</v>
      </c>
      <c r="K2139" s="65">
        <f t="shared" si="141"/>
        <v>0</v>
      </c>
      <c r="M2139" s="73">
        <f t="shared" si="142"/>
        <v>0</v>
      </c>
      <c r="AC2139" t="str">
        <f t="shared" si="143"/>
        <v>Jan</v>
      </c>
    </row>
    <row r="2140" spans="3:29" x14ac:dyDescent="0.35">
      <c r="C2140" s="80">
        <f t="shared" si="140"/>
        <v>1</v>
      </c>
      <c r="K2140" s="65">
        <f t="shared" si="141"/>
        <v>0</v>
      </c>
      <c r="M2140" s="73">
        <f t="shared" si="142"/>
        <v>0</v>
      </c>
      <c r="AC2140" t="str">
        <f t="shared" si="143"/>
        <v>Jan</v>
      </c>
    </row>
    <row r="2141" spans="3:29" x14ac:dyDescent="0.35">
      <c r="C2141" s="80">
        <f t="shared" si="140"/>
        <v>1</v>
      </c>
      <c r="K2141" s="65">
        <f t="shared" si="141"/>
        <v>0</v>
      </c>
      <c r="M2141" s="73">
        <f t="shared" si="142"/>
        <v>0</v>
      </c>
      <c r="AC2141" t="str">
        <f t="shared" si="143"/>
        <v>Jan</v>
      </c>
    </row>
    <row r="2142" spans="3:29" x14ac:dyDescent="0.35">
      <c r="C2142" s="80">
        <f t="shared" si="140"/>
        <v>1</v>
      </c>
      <c r="K2142" s="65">
        <f t="shared" si="141"/>
        <v>0</v>
      </c>
      <c r="M2142" s="73">
        <f t="shared" si="142"/>
        <v>0</v>
      </c>
      <c r="AC2142" t="str">
        <f t="shared" si="143"/>
        <v>Jan</v>
      </c>
    </row>
    <row r="2143" spans="3:29" x14ac:dyDescent="0.35">
      <c r="C2143" s="80">
        <f t="shared" si="140"/>
        <v>1</v>
      </c>
      <c r="K2143" s="65">
        <f t="shared" si="141"/>
        <v>0</v>
      </c>
      <c r="M2143" s="73">
        <f t="shared" si="142"/>
        <v>0</v>
      </c>
      <c r="AC2143" t="str">
        <f t="shared" si="143"/>
        <v>Jan</v>
      </c>
    </row>
    <row r="2144" spans="3:29" x14ac:dyDescent="0.35">
      <c r="C2144" s="80">
        <f t="shared" si="140"/>
        <v>1</v>
      </c>
      <c r="K2144" s="65">
        <f t="shared" si="141"/>
        <v>0</v>
      </c>
      <c r="M2144" s="73">
        <f t="shared" si="142"/>
        <v>0</v>
      </c>
      <c r="AC2144" t="str">
        <f t="shared" si="143"/>
        <v>Jan</v>
      </c>
    </row>
    <row r="2145" spans="3:29" x14ac:dyDescent="0.35">
      <c r="C2145" s="80">
        <f t="shared" si="140"/>
        <v>1</v>
      </c>
      <c r="K2145" s="65">
        <f t="shared" si="141"/>
        <v>0</v>
      </c>
      <c r="M2145" s="73">
        <f t="shared" si="142"/>
        <v>0</v>
      </c>
      <c r="AC2145" t="str">
        <f t="shared" si="143"/>
        <v>Jan</v>
      </c>
    </row>
    <row r="2146" spans="3:29" x14ac:dyDescent="0.35">
      <c r="C2146" s="80">
        <f t="shared" si="140"/>
        <v>1</v>
      </c>
      <c r="K2146" s="65">
        <f t="shared" si="141"/>
        <v>0</v>
      </c>
      <c r="M2146" s="73">
        <f t="shared" si="142"/>
        <v>0</v>
      </c>
      <c r="AC2146" t="str">
        <f t="shared" si="143"/>
        <v>Jan</v>
      </c>
    </row>
    <row r="2147" spans="3:29" x14ac:dyDescent="0.35">
      <c r="C2147" s="80">
        <f t="shared" si="140"/>
        <v>1</v>
      </c>
      <c r="K2147" s="65">
        <f t="shared" si="141"/>
        <v>0</v>
      </c>
      <c r="M2147" s="73">
        <f t="shared" si="142"/>
        <v>0</v>
      </c>
      <c r="AC2147" t="str">
        <f t="shared" si="143"/>
        <v>Jan</v>
      </c>
    </row>
    <row r="2148" spans="3:29" x14ac:dyDescent="0.35">
      <c r="C2148" s="80">
        <f t="shared" si="140"/>
        <v>1</v>
      </c>
      <c r="K2148" s="65">
        <f t="shared" si="141"/>
        <v>0</v>
      </c>
      <c r="M2148" s="73">
        <f t="shared" si="142"/>
        <v>0</v>
      </c>
      <c r="AC2148" t="str">
        <f t="shared" si="143"/>
        <v>Jan</v>
      </c>
    </row>
    <row r="2149" spans="3:29" x14ac:dyDescent="0.35">
      <c r="C2149" s="80">
        <f t="shared" si="140"/>
        <v>1</v>
      </c>
      <c r="K2149" s="65">
        <f t="shared" si="141"/>
        <v>0</v>
      </c>
      <c r="M2149" s="73">
        <f t="shared" si="142"/>
        <v>0</v>
      </c>
      <c r="AC2149" t="str">
        <f t="shared" si="143"/>
        <v>Jan</v>
      </c>
    </row>
    <row r="2150" spans="3:29" x14ac:dyDescent="0.35">
      <c r="C2150" s="80">
        <f t="shared" si="140"/>
        <v>1</v>
      </c>
      <c r="K2150" s="65">
        <f t="shared" si="141"/>
        <v>0</v>
      </c>
      <c r="M2150" s="73">
        <f t="shared" si="142"/>
        <v>0</v>
      </c>
      <c r="AC2150" t="str">
        <f t="shared" si="143"/>
        <v>Jan</v>
      </c>
    </row>
    <row r="2151" spans="3:29" x14ac:dyDescent="0.35">
      <c r="C2151" s="80">
        <f t="shared" si="140"/>
        <v>1</v>
      </c>
      <c r="K2151" s="65">
        <f t="shared" si="141"/>
        <v>0</v>
      </c>
      <c r="M2151" s="73">
        <f t="shared" si="142"/>
        <v>0</v>
      </c>
      <c r="AC2151" t="str">
        <f t="shared" si="143"/>
        <v>Jan</v>
      </c>
    </row>
    <row r="2152" spans="3:29" x14ac:dyDescent="0.35">
      <c r="C2152" s="80">
        <f t="shared" si="140"/>
        <v>1</v>
      </c>
      <c r="K2152" s="65">
        <f t="shared" si="141"/>
        <v>0</v>
      </c>
      <c r="M2152" s="73">
        <f t="shared" si="142"/>
        <v>0</v>
      </c>
      <c r="AC2152" t="str">
        <f t="shared" si="143"/>
        <v>Jan</v>
      </c>
    </row>
    <row r="2153" spans="3:29" x14ac:dyDescent="0.35">
      <c r="C2153" s="80">
        <f t="shared" si="140"/>
        <v>1</v>
      </c>
      <c r="K2153" s="65">
        <f t="shared" si="141"/>
        <v>0</v>
      </c>
      <c r="M2153" s="73">
        <f t="shared" si="142"/>
        <v>0</v>
      </c>
      <c r="AC2153" t="str">
        <f t="shared" si="143"/>
        <v>Jan</v>
      </c>
    </row>
    <row r="2154" spans="3:29" x14ac:dyDescent="0.35">
      <c r="C2154" s="80">
        <f t="shared" si="140"/>
        <v>1</v>
      </c>
      <c r="K2154" s="65">
        <f t="shared" si="141"/>
        <v>0</v>
      </c>
      <c r="M2154" s="73">
        <f t="shared" si="142"/>
        <v>0</v>
      </c>
      <c r="AC2154" t="str">
        <f t="shared" si="143"/>
        <v>Jan</v>
      </c>
    </row>
    <row r="2155" spans="3:29" x14ac:dyDescent="0.35">
      <c r="C2155" s="80">
        <f t="shared" si="140"/>
        <v>1</v>
      </c>
      <c r="K2155" s="65">
        <f t="shared" si="141"/>
        <v>0</v>
      </c>
      <c r="M2155" s="73">
        <f t="shared" si="142"/>
        <v>0</v>
      </c>
      <c r="AC2155" t="str">
        <f t="shared" si="143"/>
        <v>Jan</v>
      </c>
    </row>
    <row r="2156" spans="3:29" x14ac:dyDescent="0.35">
      <c r="C2156" s="80">
        <f t="shared" si="140"/>
        <v>1</v>
      </c>
      <c r="K2156" s="65">
        <f t="shared" si="141"/>
        <v>0</v>
      </c>
      <c r="M2156" s="73">
        <f t="shared" si="142"/>
        <v>0</v>
      </c>
      <c r="AC2156" t="str">
        <f t="shared" si="143"/>
        <v>Jan</v>
      </c>
    </row>
    <row r="2157" spans="3:29" x14ac:dyDescent="0.35">
      <c r="C2157" s="80">
        <f t="shared" si="140"/>
        <v>1</v>
      </c>
      <c r="K2157" s="65">
        <f t="shared" si="141"/>
        <v>0</v>
      </c>
      <c r="M2157" s="73">
        <f t="shared" si="142"/>
        <v>0</v>
      </c>
      <c r="AC2157" t="str">
        <f t="shared" si="143"/>
        <v>Jan</v>
      </c>
    </row>
    <row r="2158" spans="3:29" x14ac:dyDescent="0.35">
      <c r="C2158" s="80">
        <f t="shared" si="140"/>
        <v>1</v>
      </c>
      <c r="K2158" s="65">
        <f t="shared" si="141"/>
        <v>0</v>
      </c>
      <c r="M2158" s="73">
        <f t="shared" si="142"/>
        <v>0</v>
      </c>
      <c r="AC2158" t="str">
        <f t="shared" si="143"/>
        <v>Jan</v>
      </c>
    </row>
    <row r="2159" spans="3:29" x14ac:dyDescent="0.35">
      <c r="C2159" s="80">
        <f t="shared" si="140"/>
        <v>1</v>
      </c>
      <c r="K2159" s="65">
        <f t="shared" si="141"/>
        <v>0</v>
      </c>
      <c r="M2159" s="73">
        <f t="shared" si="142"/>
        <v>0</v>
      </c>
      <c r="AC2159" t="str">
        <f t="shared" si="143"/>
        <v>Jan</v>
      </c>
    </row>
    <row r="2160" spans="3:29" x14ac:dyDescent="0.35">
      <c r="C2160" s="80">
        <f t="shared" si="140"/>
        <v>1</v>
      </c>
      <c r="K2160" s="65">
        <f t="shared" si="141"/>
        <v>0</v>
      </c>
      <c r="M2160" s="73">
        <f t="shared" si="142"/>
        <v>0</v>
      </c>
      <c r="AC2160" t="str">
        <f t="shared" si="143"/>
        <v>Jan</v>
      </c>
    </row>
    <row r="2161" spans="3:29" x14ac:dyDescent="0.35">
      <c r="C2161" s="80">
        <f t="shared" si="140"/>
        <v>1</v>
      </c>
      <c r="K2161" s="65">
        <f t="shared" si="141"/>
        <v>0</v>
      </c>
      <c r="M2161" s="73">
        <f t="shared" si="142"/>
        <v>0</v>
      </c>
      <c r="AC2161" t="str">
        <f t="shared" si="143"/>
        <v>Jan</v>
      </c>
    </row>
    <row r="2162" spans="3:29" x14ac:dyDescent="0.35">
      <c r="C2162" s="80">
        <f t="shared" si="140"/>
        <v>1</v>
      </c>
      <c r="K2162" s="65">
        <f t="shared" si="141"/>
        <v>0</v>
      </c>
      <c r="M2162" s="73">
        <f t="shared" si="142"/>
        <v>0</v>
      </c>
      <c r="AC2162" t="str">
        <f t="shared" si="143"/>
        <v>Jan</v>
      </c>
    </row>
    <row r="2163" spans="3:29" x14ac:dyDescent="0.35">
      <c r="C2163" s="80">
        <f t="shared" si="140"/>
        <v>1</v>
      </c>
      <c r="K2163" s="65">
        <f t="shared" si="141"/>
        <v>0</v>
      </c>
      <c r="M2163" s="73">
        <f t="shared" si="142"/>
        <v>0</v>
      </c>
      <c r="AC2163" t="str">
        <f t="shared" si="143"/>
        <v>Jan</v>
      </c>
    </row>
    <row r="2164" spans="3:29" x14ac:dyDescent="0.35">
      <c r="C2164" s="80">
        <f t="shared" si="140"/>
        <v>1</v>
      </c>
      <c r="K2164" s="65">
        <f t="shared" si="141"/>
        <v>0</v>
      </c>
      <c r="M2164" s="73">
        <f t="shared" si="142"/>
        <v>0</v>
      </c>
      <c r="AC2164" t="str">
        <f t="shared" si="143"/>
        <v>Jan</v>
      </c>
    </row>
    <row r="2165" spans="3:29" x14ac:dyDescent="0.35">
      <c r="C2165" s="80">
        <f t="shared" si="140"/>
        <v>1</v>
      </c>
      <c r="K2165" s="65">
        <f t="shared" si="141"/>
        <v>0</v>
      </c>
      <c r="M2165" s="73">
        <f t="shared" si="142"/>
        <v>0</v>
      </c>
      <c r="AC2165" t="str">
        <f t="shared" si="143"/>
        <v>Jan</v>
      </c>
    </row>
    <row r="2166" spans="3:29" x14ac:dyDescent="0.35">
      <c r="C2166" s="80">
        <f t="shared" si="140"/>
        <v>1</v>
      </c>
      <c r="K2166" s="65">
        <f t="shared" si="141"/>
        <v>0</v>
      </c>
      <c r="M2166" s="73">
        <f t="shared" si="142"/>
        <v>0</v>
      </c>
      <c r="AC2166" t="str">
        <f t="shared" si="143"/>
        <v>Jan</v>
      </c>
    </row>
    <row r="2167" spans="3:29" x14ac:dyDescent="0.35">
      <c r="C2167" s="80">
        <f t="shared" si="140"/>
        <v>1</v>
      </c>
      <c r="K2167" s="65">
        <f t="shared" si="141"/>
        <v>0</v>
      </c>
      <c r="M2167" s="73">
        <f t="shared" si="142"/>
        <v>0</v>
      </c>
      <c r="AC2167" t="str">
        <f t="shared" si="143"/>
        <v>Jan</v>
      </c>
    </row>
    <row r="2168" spans="3:29" x14ac:dyDescent="0.35">
      <c r="C2168" s="80">
        <f t="shared" si="140"/>
        <v>1</v>
      </c>
      <c r="K2168" s="65">
        <f t="shared" si="141"/>
        <v>0</v>
      </c>
      <c r="M2168" s="73">
        <f t="shared" si="142"/>
        <v>0</v>
      </c>
      <c r="AC2168" t="str">
        <f t="shared" si="143"/>
        <v>Jan</v>
      </c>
    </row>
    <row r="2169" spans="3:29" x14ac:dyDescent="0.35">
      <c r="C2169" s="80">
        <f t="shared" si="140"/>
        <v>1</v>
      </c>
      <c r="K2169" s="65">
        <f t="shared" si="141"/>
        <v>0</v>
      </c>
      <c r="M2169" s="73">
        <f t="shared" si="142"/>
        <v>0</v>
      </c>
      <c r="AC2169" t="str">
        <f t="shared" si="143"/>
        <v>Jan</v>
      </c>
    </row>
    <row r="2170" spans="3:29" x14ac:dyDescent="0.35">
      <c r="C2170" s="80">
        <f t="shared" si="140"/>
        <v>1</v>
      </c>
      <c r="K2170" s="65">
        <f t="shared" si="141"/>
        <v>0</v>
      </c>
      <c r="M2170" s="73">
        <f t="shared" si="142"/>
        <v>0</v>
      </c>
      <c r="AC2170" t="str">
        <f t="shared" si="143"/>
        <v>Jan</v>
      </c>
    </row>
    <row r="2171" spans="3:29" x14ac:dyDescent="0.35">
      <c r="C2171" s="80">
        <f t="shared" si="140"/>
        <v>1</v>
      </c>
      <c r="K2171" s="65">
        <f t="shared" si="141"/>
        <v>0</v>
      </c>
      <c r="M2171" s="73">
        <f t="shared" si="142"/>
        <v>0</v>
      </c>
      <c r="AC2171" t="str">
        <f t="shared" si="143"/>
        <v>Jan</v>
      </c>
    </row>
    <row r="2172" spans="3:29" x14ac:dyDescent="0.35">
      <c r="C2172" s="80">
        <f t="shared" si="140"/>
        <v>1</v>
      </c>
      <c r="K2172" s="65">
        <f t="shared" si="141"/>
        <v>0</v>
      </c>
      <c r="M2172" s="73">
        <f t="shared" si="142"/>
        <v>0</v>
      </c>
      <c r="AC2172" t="str">
        <f t="shared" si="143"/>
        <v>Jan</v>
      </c>
    </row>
    <row r="2173" spans="3:29" x14ac:dyDescent="0.35">
      <c r="AC2173" t="str">
        <f t="shared" si="143"/>
        <v/>
      </c>
    </row>
    <row r="2174" spans="3:29" x14ac:dyDescent="0.35">
      <c r="AC2174" t="str">
        <f t="shared" si="143"/>
        <v/>
      </c>
    </row>
    <row r="2175" spans="3:29" x14ac:dyDescent="0.35">
      <c r="AC2175" t="str">
        <f t="shared" si="143"/>
        <v/>
      </c>
    </row>
    <row r="2176" spans="3:29" x14ac:dyDescent="0.35">
      <c r="AC2176" t="str">
        <f t="shared" si="143"/>
        <v/>
      </c>
    </row>
    <row r="2177" spans="29:29" x14ac:dyDescent="0.35">
      <c r="AC2177" t="str">
        <f t="shared" si="143"/>
        <v/>
      </c>
    </row>
    <row r="2178" spans="29:29" x14ac:dyDescent="0.35">
      <c r="AC2178" t="str">
        <f t="shared" si="143"/>
        <v/>
      </c>
    </row>
    <row r="2179" spans="29:29" x14ac:dyDescent="0.35">
      <c r="AC2179" t="str">
        <f t="shared" si="143"/>
        <v/>
      </c>
    </row>
    <row r="2180" spans="29:29" x14ac:dyDescent="0.35">
      <c r="AC2180" t="str">
        <f t="shared" si="143"/>
        <v/>
      </c>
    </row>
    <row r="2181" spans="29:29" x14ac:dyDescent="0.35">
      <c r="AC2181" t="str">
        <f t="shared" si="143"/>
        <v/>
      </c>
    </row>
    <row r="2182" spans="29:29" x14ac:dyDescent="0.35">
      <c r="AC2182" t="str">
        <f t="shared" si="143"/>
        <v/>
      </c>
    </row>
    <row r="2183" spans="29:29" x14ac:dyDescent="0.35">
      <c r="AC2183" t="str">
        <f t="shared" ref="AC2183:AC2246" si="144">IFERROR(INDEX(AA:AA,MATCH(C2183,Z:Z,0)),"")</f>
        <v/>
      </c>
    </row>
    <row r="2184" spans="29:29" x14ac:dyDescent="0.35">
      <c r="AC2184" t="str">
        <f t="shared" si="144"/>
        <v/>
      </c>
    </row>
    <row r="2185" spans="29:29" x14ac:dyDescent="0.35">
      <c r="AC2185" t="str">
        <f t="shared" si="144"/>
        <v/>
      </c>
    </row>
    <row r="2186" spans="29:29" x14ac:dyDescent="0.35">
      <c r="AC2186" t="str">
        <f t="shared" si="144"/>
        <v/>
      </c>
    </row>
    <row r="2187" spans="29:29" x14ac:dyDescent="0.35">
      <c r="AC2187" t="str">
        <f t="shared" si="144"/>
        <v/>
      </c>
    </row>
    <row r="2188" spans="29:29" x14ac:dyDescent="0.35">
      <c r="AC2188" t="str">
        <f t="shared" si="144"/>
        <v/>
      </c>
    </row>
    <row r="2189" spans="29:29" x14ac:dyDescent="0.35">
      <c r="AC2189" t="str">
        <f t="shared" si="144"/>
        <v/>
      </c>
    </row>
    <row r="2190" spans="29:29" x14ac:dyDescent="0.35">
      <c r="AC2190" t="str">
        <f t="shared" si="144"/>
        <v/>
      </c>
    </row>
    <row r="2191" spans="29:29" x14ac:dyDescent="0.35">
      <c r="AC2191" t="str">
        <f t="shared" si="144"/>
        <v/>
      </c>
    </row>
    <row r="2192" spans="29:29" x14ac:dyDescent="0.35">
      <c r="AC2192" t="str">
        <f t="shared" si="144"/>
        <v/>
      </c>
    </row>
    <row r="2193" spans="29:29" x14ac:dyDescent="0.35">
      <c r="AC2193" t="str">
        <f t="shared" si="144"/>
        <v/>
      </c>
    </row>
    <row r="2194" spans="29:29" x14ac:dyDescent="0.35">
      <c r="AC2194" t="str">
        <f t="shared" si="144"/>
        <v/>
      </c>
    </row>
    <row r="2195" spans="29:29" x14ac:dyDescent="0.35">
      <c r="AC2195" t="str">
        <f t="shared" si="144"/>
        <v/>
      </c>
    </row>
    <row r="2196" spans="29:29" x14ac:dyDescent="0.35">
      <c r="AC2196" t="str">
        <f t="shared" si="144"/>
        <v/>
      </c>
    </row>
    <row r="2197" spans="29:29" x14ac:dyDescent="0.35">
      <c r="AC2197" t="str">
        <f t="shared" si="144"/>
        <v/>
      </c>
    </row>
    <row r="2198" spans="29:29" x14ac:dyDescent="0.35">
      <c r="AC2198" t="str">
        <f t="shared" si="144"/>
        <v/>
      </c>
    </row>
    <row r="2199" spans="29:29" x14ac:dyDescent="0.35">
      <c r="AC2199" t="str">
        <f t="shared" si="144"/>
        <v/>
      </c>
    </row>
    <row r="2200" spans="29:29" x14ac:dyDescent="0.35">
      <c r="AC2200" t="str">
        <f t="shared" si="144"/>
        <v/>
      </c>
    </row>
    <row r="2201" spans="29:29" x14ac:dyDescent="0.35">
      <c r="AC2201" t="str">
        <f t="shared" si="144"/>
        <v/>
      </c>
    </row>
    <row r="2202" spans="29:29" x14ac:dyDescent="0.35">
      <c r="AC2202" t="str">
        <f t="shared" si="144"/>
        <v/>
      </c>
    </row>
    <row r="2203" spans="29:29" x14ac:dyDescent="0.35">
      <c r="AC2203" t="str">
        <f t="shared" si="144"/>
        <v/>
      </c>
    </row>
    <row r="2204" spans="29:29" x14ac:dyDescent="0.35">
      <c r="AC2204" t="str">
        <f t="shared" si="144"/>
        <v/>
      </c>
    </row>
    <row r="2205" spans="29:29" x14ac:dyDescent="0.35">
      <c r="AC2205" t="str">
        <f t="shared" si="144"/>
        <v/>
      </c>
    </row>
    <row r="2206" spans="29:29" x14ac:dyDescent="0.35">
      <c r="AC2206" t="str">
        <f t="shared" si="144"/>
        <v/>
      </c>
    </row>
    <row r="2207" spans="29:29" x14ac:dyDescent="0.35">
      <c r="AC2207" t="str">
        <f t="shared" si="144"/>
        <v/>
      </c>
    </row>
    <row r="2208" spans="29:29" x14ac:dyDescent="0.35">
      <c r="AC2208" t="str">
        <f t="shared" si="144"/>
        <v/>
      </c>
    </row>
    <row r="2209" spans="29:29" x14ac:dyDescent="0.35">
      <c r="AC2209" t="str">
        <f t="shared" si="144"/>
        <v/>
      </c>
    </row>
    <row r="2210" spans="29:29" x14ac:dyDescent="0.35">
      <c r="AC2210" t="str">
        <f t="shared" si="144"/>
        <v/>
      </c>
    </row>
    <row r="2211" spans="29:29" x14ac:dyDescent="0.35">
      <c r="AC2211" t="str">
        <f t="shared" si="144"/>
        <v/>
      </c>
    </row>
    <row r="2212" spans="29:29" x14ac:dyDescent="0.35">
      <c r="AC2212" t="str">
        <f t="shared" si="144"/>
        <v/>
      </c>
    </row>
    <row r="2213" spans="29:29" x14ac:dyDescent="0.35">
      <c r="AC2213" t="str">
        <f t="shared" si="144"/>
        <v/>
      </c>
    </row>
    <row r="2214" spans="29:29" x14ac:dyDescent="0.35">
      <c r="AC2214" t="str">
        <f t="shared" si="144"/>
        <v/>
      </c>
    </row>
    <row r="2215" spans="29:29" x14ac:dyDescent="0.35">
      <c r="AC2215" t="str">
        <f t="shared" si="144"/>
        <v/>
      </c>
    </row>
    <row r="2216" spans="29:29" x14ac:dyDescent="0.35">
      <c r="AC2216" t="str">
        <f t="shared" si="144"/>
        <v/>
      </c>
    </row>
    <row r="2217" spans="29:29" x14ac:dyDescent="0.35">
      <c r="AC2217" t="str">
        <f t="shared" si="144"/>
        <v/>
      </c>
    </row>
    <row r="2218" spans="29:29" x14ac:dyDescent="0.35">
      <c r="AC2218" t="str">
        <f t="shared" si="144"/>
        <v/>
      </c>
    </row>
    <row r="2219" spans="29:29" x14ac:dyDescent="0.35">
      <c r="AC2219" t="str">
        <f t="shared" si="144"/>
        <v/>
      </c>
    </row>
    <row r="2220" spans="29:29" x14ac:dyDescent="0.35">
      <c r="AC2220" t="str">
        <f t="shared" si="144"/>
        <v/>
      </c>
    </row>
    <row r="2221" spans="29:29" x14ac:dyDescent="0.35">
      <c r="AC2221" t="str">
        <f t="shared" si="144"/>
        <v/>
      </c>
    </row>
    <row r="2222" spans="29:29" x14ac:dyDescent="0.35">
      <c r="AC2222" t="str">
        <f t="shared" si="144"/>
        <v/>
      </c>
    </row>
    <row r="2223" spans="29:29" x14ac:dyDescent="0.35">
      <c r="AC2223" t="str">
        <f t="shared" si="144"/>
        <v/>
      </c>
    </row>
    <row r="2224" spans="29:29" x14ac:dyDescent="0.35">
      <c r="AC2224" t="str">
        <f t="shared" si="144"/>
        <v/>
      </c>
    </row>
    <row r="2225" spans="29:29" x14ac:dyDescent="0.35">
      <c r="AC2225" t="str">
        <f t="shared" si="144"/>
        <v/>
      </c>
    </row>
    <row r="2226" spans="29:29" x14ac:dyDescent="0.35">
      <c r="AC2226" t="str">
        <f t="shared" si="144"/>
        <v/>
      </c>
    </row>
    <row r="2227" spans="29:29" x14ac:dyDescent="0.35">
      <c r="AC2227" t="str">
        <f t="shared" si="144"/>
        <v/>
      </c>
    </row>
    <row r="2228" spans="29:29" x14ac:dyDescent="0.35">
      <c r="AC2228" t="str">
        <f t="shared" si="144"/>
        <v/>
      </c>
    </row>
    <row r="2229" spans="29:29" x14ac:dyDescent="0.35">
      <c r="AC2229" t="str">
        <f t="shared" si="144"/>
        <v/>
      </c>
    </row>
    <row r="2230" spans="29:29" x14ac:dyDescent="0.35">
      <c r="AC2230" t="str">
        <f t="shared" si="144"/>
        <v/>
      </c>
    </row>
    <row r="2231" spans="29:29" x14ac:dyDescent="0.35">
      <c r="AC2231" t="str">
        <f t="shared" si="144"/>
        <v/>
      </c>
    </row>
    <row r="2232" spans="29:29" x14ac:dyDescent="0.35">
      <c r="AC2232" t="str">
        <f t="shared" si="144"/>
        <v/>
      </c>
    </row>
    <row r="2233" spans="29:29" x14ac:dyDescent="0.35">
      <c r="AC2233" t="str">
        <f t="shared" si="144"/>
        <v/>
      </c>
    </row>
    <row r="2234" spans="29:29" x14ac:dyDescent="0.35">
      <c r="AC2234" t="str">
        <f t="shared" si="144"/>
        <v/>
      </c>
    </row>
    <row r="2235" spans="29:29" x14ac:dyDescent="0.35">
      <c r="AC2235" t="str">
        <f t="shared" si="144"/>
        <v/>
      </c>
    </row>
    <row r="2236" spans="29:29" x14ac:dyDescent="0.35">
      <c r="AC2236" t="str">
        <f t="shared" si="144"/>
        <v/>
      </c>
    </row>
    <row r="2237" spans="29:29" x14ac:dyDescent="0.35">
      <c r="AC2237" t="str">
        <f t="shared" si="144"/>
        <v/>
      </c>
    </row>
    <row r="2238" spans="29:29" x14ac:dyDescent="0.35">
      <c r="AC2238" t="str">
        <f t="shared" si="144"/>
        <v/>
      </c>
    </row>
    <row r="2239" spans="29:29" x14ac:dyDescent="0.35">
      <c r="AC2239" t="str">
        <f t="shared" si="144"/>
        <v/>
      </c>
    </row>
    <row r="2240" spans="29:29" x14ac:dyDescent="0.35">
      <c r="AC2240" t="str">
        <f t="shared" si="144"/>
        <v/>
      </c>
    </row>
    <row r="2241" spans="29:29" x14ac:dyDescent="0.35">
      <c r="AC2241" t="str">
        <f t="shared" si="144"/>
        <v/>
      </c>
    </row>
    <row r="2242" spans="29:29" x14ac:dyDescent="0.35">
      <c r="AC2242" t="str">
        <f t="shared" si="144"/>
        <v/>
      </c>
    </row>
    <row r="2243" spans="29:29" x14ac:dyDescent="0.35">
      <c r="AC2243" t="str">
        <f t="shared" si="144"/>
        <v/>
      </c>
    </row>
    <row r="2244" spans="29:29" x14ac:dyDescent="0.35">
      <c r="AC2244" t="str">
        <f t="shared" si="144"/>
        <v/>
      </c>
    </row>
    <row r="2245" spans="29:29" x14ac:dyDescent="0.35">
      <c r="AC2245" t="str">
        <f t="shared" si="144"/>
        <v/>
      </c>
    </row>
    <row r="2246" spans="29:29" x14ac:dyDescent="0.35">
      <c r="AC2246" t="str">
        <f t="shared" si="144"/>
        <v/>
      </c>
    </row>
    <row r="2247" spans="29:29" x14ac:dyDescent="0.35">
      <c r="AC2247" t="str">
        <f t="shared" ref="AC2247:AC2310" si="145">IFERROR(INDEX(AA:AA,MATCH(C2247,Z:Z,0)),"")</f>
        <v/>
      </c>
    </row>
    <row r="2248" spans="29:29" x14ac:dyDescent="0.35">
      <c r="AC2248" t="str">
        <f t="shared" si="145"/>
        <v/>
      </c>
    </row>
    <row r="2249" spans="29:29" x14ac:dyDescent="0.35">
      <c r="AC2249" t="str">
        <f t="shared" si="145"/>
        <v/>
      </c>
    </row>
    <row r="2250" spans="29:29" x14ac:dyDescent="0.35">
      <c r="AC2250" t="str">
        <f t="shared" si="145"/>
        <v/>
      </c>
    </row>
    <row r="2251" spans="29:29" x14ac:dyDescent="0.35">
      <c r="AC2251" t="str">
        <f t="shared" si="145"/>
        <v/>
      </c>
    </row>
    <row r="2252" spans="29:29" x14ac:dyDescent="0.35">
      <c r="AC2252" t="str">
        <f t="shared" si="145"/>
        <v/>
      </c>
    </row>
    <row r="2253" spans="29:29" x14ac:dyDescent="0.35">
      <c r="AC2253" t="str">
        <f t="shared" si="145"/>
        <v/>
      </c>
    </row>
    <row r="2254" spans="29:29" x14ac:dyDescent="0.35">
      <c r="AC2254" t="str">
        <f t="shared" si="145"/>
        <v/>
      </c>
    </row>
    <row r="2255" spans="29:29" x14ac:dyDescent="0.35">
      <c r="AC2255" t="str">
        <f t="shared" si="145"/>
        <v/>
      </c>
    </row>
    <row r="2256" spans="29:29" x14ac:dyDescent="0.35">
      <c r="AC2256" t="str">
        <f t="shared" si="145"/>
        <v/>
      </c>
    </row>
    <row r="2257" spans="29:29" x14ac:dyDescent="0.35">
      <c r="AC2257" t="str">
        <f t="shared" si="145"/>
        <v/>
      </c>
    </row>
    <row r="2258" spans="29:29" x14ac:dyDescent="0.35">
      <c r="AC2258" t="str">
        <f t="shared" si="145"/>
        <v/>
      </c>
    </row>
    <row r="2259" spans="29:29" x14ac:dyDescent="0.35">
      <c r="AC2259" t="str">
        <f t="shared" si="145"/>
        <v/>
      </c>
    </row>
    <row r="2260" spans="29:29" x14ac:dyDescent="0.35">
      <c r="AC2260" t="str">
        <f t="shared" si="145"/>
        <v/>
      </c>
    </row>
    <row r="2261" spans="29:29" x14ac:dyDescent="0.35">
      <c r="AC2261" t="str">
        <f t="shared" si="145"/>
        <v/>
      </c>
    </row>
    <row r="2262" spans="29:29" x14ac:dyDescent="0.35">
      <c r="AC2262" t="str">
        <f t="shared" si="145"/>
        <v/>
      </c>
    </row>
    <row r="2263" spans="29:29" x14ac:dyDescent="0.35">
      <c r="AC2263" t="str">
        <f t="shared" si="145"/>
        <v/>
      </c>
    </row>
    <row r="2264" spans="29:29" x14ac:dyDescent="0.35">
      <c r="AC2264" t="str">
        <f t="shared" si="145"/>
        <v/>
      </c>
    </row>
    <row r="2265" spans="29:29" x14ac:dyDescent="0.35">
      <c r="AC2265" t="str">
        <f t="shared" si="145"/>
        <v/>
      </c>
    </row>
    <row r="2266" spans="29:29" x14ac:dyDescent="0.35">
      <c r="AC2266" t="str">
        <f t="shared" si="145"/>
        <v/>
      </c>
    </row>
    <row r="2267" spans="29:29" x14ac:dyDescent="0.35">
      <c r="AC2267" t="str">
        <f t="shared" si="145"/>
        <v/>
      </c>
    </row>
    <row r="2268" spans="29:29" x14ac:dyDescent="0.35">
      <c r="AC2268" t="str">
        <f t="shared" si="145"/>
        <v/>
      </c>
    </row>
    <row r="2269" spans="29:29" x14ac:dyDescent="0.35">
      <c r="AC2269" t="str">
        <f t="shared" si="145"/>
        <v/>
      </c>
    </row>
    <row r="2270" spans="29:29" x14ac:dyDescent="0.35">
      <c r="AC2270" t="str">
        <f t="shared" si="145"/>
        <v/>
      </c>
    </row>
    <row r="2271" spans="29:29" x14ac:dyDescent="0.35">
      <c r="AC2271" t="str">
        <f t="shared" si="145"/>
        <v/>
      </c>
    </row>
    <row r="2272" spans="29:29" x14ac:dyDescent="0.35">
      <c r="AC2272" t="str">
        <f t="shared" si="145"/>
        <v/>
      </c>
    </row>
    <row r="2273" spans="29:29" x14ac:dyDescent="0.35">
      <c r="AC2273" t="str">
        <f t="shared" si="145"/>
        <v/>
      </c>
    </row>
    <row r="2274" spans="29:29" x14ac:dyDescent="0.35">
      <c r="AC2274" t="str">
        <f t="shared" si="145"/>
        <v/>
      </c>
    </row>
    <row r="2275" spans="29:29" x14ac:dyDescent="0.35">
      <c r="AC2275" t="str">
        <f t="shared" si="145"/>
        <v/>
      </c>
    </row>
    <row r="2276" spans="29:29" x14ac:dyDescent="0.35">
      <c r="AC2276" t="str">
        <f t="shared" si="145"/>
        <v/>
      </c>
    </row>
    <row r="2277" spans="29:29" x14ac:dyDescent="0.35">
      <c r="AC2277" t="str">
        <f t="shared" si="145"/>
        <v/>
      </c>
    </row>
    <row r="2278" spans="29:29" x14ac:dyDescent="0.35">
      <c r="AC2278" t="str">
        <f t="shared" si="145"/>
        <v/>
      </c>
    </row>
    <row r="2279" spans="29:29" x14ac:dyDescent="0.35">
      <c r="AC2279" t="str">
        <f t="shared" si="145"/>
        <v/>
      </c>
    </row>
    <row r="2280" spans="29:29" x14ac:dyDescent="0.35">
      <c r="AC2280" t="str">
        <f t="shared" si="145"/>
        <v/>
      </c>
    </row>
    <row r="2281" spans="29:29" x14ac:dyDescent="0.35">
      <c r="AC2281" t="str">
        <f t="shared" si="145"/>
        <v/>
      </c>
    </row>
    <row r="2282" spans="29:29" x14ac:dyDescent="0.35">
      <c r="AC2282" t="str">
        <f t="shared" si="145"/>
        <v/>
      </c>
    </row>
    <row r="2283" spans="29:29" x14ac:dyDescent="0.35">
      <c r="AC2283" t="str">
        <f t="shared" si="145"/>
        <v/>
      </c>
    </row>
    <row r="2284" spans="29:29" x14ac:dyDescent="0.35">
      <c r="AC2284" t="str">
        <f t="shared" si="145"/>
        <v/>
      </c>
    </row>
    <row r="2285" spans="29:29" x14ac:dyDescent="0.35">
      <c r="AC2285" t="str">
        <f t="shared" si="145"/>
        <v/>
      </c>
    </row>
    <row r="2286" spans="29:29" x14ac:dyDescent="0.35">
      <c r="AC2286" t="str">
        <f t="shared" si="145"/>
        <v/>
      </c>
    </row>
    <row r="2287" spans="29:29" x14ac:dyDescent="0.35">
      <c r="AC2287" t="str">
        <f t="shared" si="145"/>
        <v/>
      </c>
    </row>
    <row r="2288" spans="29:29" x14ac:dyDescent="0.35">
      <c r="AC2288" t="str">
        <f t="shared" si="145"/>
        <v/>
      </c>
    </row>
    <row r="2289" spans="29:29" x14ac:dyDescent="0.35">
      <c r="AC2289" t="str">
        <f t="shared" si="145"/>
        <v/>
      </c>
    </row>
    <row r="2290" spans="29:29" x14ac:dyDescent="0.35">
      <c r="AC2290" t="str">
        <f t="shared" si="145"/>
        <v/>
      </c>
    </row>
    <row r="2291" spans="29:29" x14ac:dyDescent="0.35">
      <c r="AC2291" t="str">
        <f t="shared" si="145"/>
        <v/>
      </c>
    </row>
    <row r="2292" spans="29:29" x14ac:dyDescent="0.35">
      <c r="AC2292" t="str">
        <f t="shared" si="145"/>
        <v/>
      </c>
    </row>
    <row r="2293" spans="29:29" x14ac:dyDescent="0.35">
      <c r="AC2293" t="str">
        <f t="shared" si="145"/>
        <v/>
      </c>
    </row>
    <row r="2294" spans="29:29" x14ac:dyDescent="0.35">
      <c r="AC2294" t="str">
        <f t="shared" si="145"/>
        <v/>
      </c>
    </row>
    <row r="2295" spans="29:29" x14ac:dyDescent="0.35">
      <c r="AC2295" t="str">
        <f t="shared" si="145"/>
        <v/>
      </c>
    </row>
    <row r="2296" spans="29:29" x14ac:dyDescent="0.35">
      <c r="AC2296" t="str">
        <f t="shared" si="145"/>
        <v/>
      </c>
    </row>
    <row r="2297" spans="29:29" x14ac:dyDescent="0.35">
      <c r="AC2297" t="str">
        <f t="shared" si="145"/>
        <v/>
      </c>
    </row>
    <row r="2298" spans="29:29" x14ac:dyDescent="0.35">
      <c r="AC2298" t="str">
        <f t="shared" si="145"/>
        <v/>
      </c>
    </row>
    <row r="2299" spans="29:29" x14ac:dyDescent="0.35">
      <c r="AC2299" t="str">
        <f t="shared" si="145"/>
        <v/>
      </c>
    </row>
    <row r="2300" spans="29:29" x14ac:dyDescent="0.35">
      <c r="AC2300" t="str">
        <f t="shared" si="145"/>
        <v/>
      </c>
    </row>
    <row r="2301" spans="29:29" x14ac:dyDescent="0.35">
      <c r="AC2301" t="str">
        <f t="shared" si="145"/>
        <v/>
      </c>
    </row>
    <row r="2302" spans="29:29" x14ac:dyDescent="0.35">
      <c r="AC2302" t="str">
        <f t="shared" si="145"/>
        <v/>
      </c>
    </row>
    <row r="2303" spans="29:29" x14ac:dyDescent="0.35">
      <c r="AC2303" t="str">
        <f t="shared" si="145"/>
        <v/>
      </c>
    </row>
    <row r="2304" spans="29:29" x14ac:dyDescent="0.35">
      <c r="AC2304" t="str">
        <f t="shared" si="145"/>
        <v/>
      </c>
    </row>
    <row r="2305" spans="29:29" x14ac:dyDescent="0.35">
      <c r="AC2305" t="str">
        <f t="shared" si="145"/>
        <v/>
      </c>
    </row>
    <row r="2306" spans="29:29" x14ac:dyDescent="0.35">
      <c r="AC2306" t="str">
        <f t="shared" si="145"/>
        <v/>
      </c>
    </row>
    <row r="2307" spans="29:29" x14ac:dyDescent="0.35">
      <c r="AC2307" t="str">
        <f t="shared" si="145"/>
        <v/>
      </c>
    </row>
    <row r="2308" spans="29:29" x14ac:dyDescent="0.35">
      <c r="AC2308" t="str">
        <f t="shared" si="145"/>
        <v/>
      </c>
    </row>
    <row r="2309" spans="29:29" x14ac:dyDescent="0.35">
      <c r="AC2309" t="str">
        <f t="shared" si="145"/>
        <v/>
      </c>
    </row>
    <row r="2310" spans="29:29" x14ac:dyDescent="0.35">
      <c r="AC2310" t="str">
        <f t="shared" si="145"/>
        <v/>
      </c>
    </row>
    <row r="2311" spans="29:29" x14ac:dyDescent="0.35">
      <c r="AC2311" t="str">
        <f t="shared" ref="AC2311:AC2374" si="146">IFERROR(INDEX(AA:AA,MATCH(C2311,Z:Z,0)),"")</f>
        <v/>
      </c>
    </row>
    <row r="2312" spans="29:29" x14ac:dyDescent="0.35">
      <c r="AC2312" t="str">
        <f t="shared" si="146"/>
        <v/>
      </c>
    </row>
    <row r="2313" spans="29:29" x14ac:dyDescent="0.35">
      <c r="AC2313" t="str">
        <f t="shared" si="146"/>
        <v/>
      </c>
    </row>
    <row r="2314" spans="29:29" x14ac:dyDescent="0.35">
      <c r="AC2314" t="str">
        <f t="shared" si="146"/>
        <v/>
      </c>
    </row>
    <row r="2315" spans="29:29" x14ac:dyDescent="0.35">
      <c r="AC2315" t="str">
        <f t="shared" si="146"/>
        <v/>
      </c>
    </row>
    <row r="2316" spans="29:29" x14ac:dyDescent="0.35">
      <c r="AC2316" t="str">
        <f t="shared" si="146"/>
        <v/>
      </c>
    </row>
    <row r="2317" spans="29:29" x14ac:dyDescent="0.35">
      <c r="AC2317" t="str">
        <f t="shared" si="146"/>
        <v/>
      </c>
    </row>
    <row r="2318" spans="29:29" x14ac:dyDescent="0.35">
      <c r="AC2318" t="str">
        <f t="shared" si="146"/>
        <v/>
      </c>
    </row>
    <row r="2319" spans="29:29" x14ac:dyDescent="0.35">
      <c r="AC2319" t="str">
        <f t="shared" si="146"/>
        <v/>
      </c>
    </row>
    <row r="2320" spans="29:29" x14ac:dyDescent="0.35">
      <c r="AC2320" t="str">
        <f t="shared" si="146"/>
        <v/>
      </c>
    </row>
    <row r="2321" spans="29:29" x14ac:dyDescent="0.35">
      <c r="AC2321" t="str">
        <f t="shared" si="146"/>
        <v/>
      </c>
    </row>
    <row r="2322" spans="29:29" x14ac:dyDescent="0.35">
      <c r="AC2322" t="str">
        <f t="shared" si="146"/>
        <v/>
      </c>
    </row>
    <row r="2323" spans="29:29" x14ac:dyDescent="0.35">
      <c r="AC2323" t="str">
        <f t="shared" si="146"/>
        <v/>
      </c>
    </row>
    <row r="2324" spans="29:29" x14ac:dyDescent="0.35">
      <c r="AC2324" t="str">
        <f t="shared" si="146"/>
        <v/>
      </c>
    </row>
    <row r="2325" spans="29:29" x14ac:dyDescent="0.35">
      <c r="AC2325" t="str">
        <f t="shared" si="146"/>
        <v/>
      </c>
    </row>
    <row r="2326" spans="29:29" x14ac:dyDescent="0.35">
      <c r="AC2326" t="str">
        <f t="shared" si="146"/>
        <v/>
      </c>
    </row>
    <row r="2327" spans="29:29" x14ac:dyDescent="0.35">
      <c r="AC2327" t="str">
        <f t="shared" si="146"/>
        <v/>
      </c>
    </row>
    <row r="2328" spans="29:29" x14ac:dyDescent="0.35">
      <c r="AC2328" t="str">
        <f t="shared" si="146"/>
        <v/>
      </c>
    </row>
    <row r="2329" spans="29:29" x14ac:dyDescent="0.35">
      <c r="AC2329" t="str">
        <f t="shared" si="146"/>
        <v/>
      </c>
    </row>
    <row r="2330" spans="29:29" x14ac:dyDescent="0.35">
      <c r="AC2330" t="str">
        <f t="shared" si="146"/>
        <v/>
      </c>
    </row>
    <row r="2331" spans="29:29" x14ac:dyDescent="0.35">
      <c r="AC2331" t="str">
        <f t="shared" si="146"/>
        <v/>
      </c>
    </row>
    <row r="2332" spans="29:29" x14ac:dyDescent="0.35">
      <c r="AC2332" t="str">
        <f t="shared" si="146"/>
        <v/>
      </c>
    </row>
    <row r="2333" spans="29:29" x14ac:dyDescent="0.35">
      <c r="AC2333" t="str">
        <f t="shared" si="146"/>
        <v/>
      </c>
    </row>
    <row r="2334" spans="29:29" x14ac:dyDescent="0.35">
      <c r="AC2334" t="str">
        <f t="shared" si="146"/>
        <v/>
      </c>
    </row>
    <row r="2335" spans="29:29" x14ac:dyDescent="0.35">
      <c r="AC2335" t="str">
        <f t="shared" si="146"/>
        <v/>
      </c>
    </row>
    <row r="2336" spans="29:29" x14ac:dyDescent="0.35">
      <c r="AC2336" t="str">
        <f t="shared" si="146"/>
        <v/>
      </c>
    </row>
    <row r="2337" spans="29:29" x14ac:dyDescent="0.35">
      <c r="AC2337" t="str">
        <f t="shared" si="146"/>
        <v/>
      </c>
    </row>
    <row r="2338" spans="29:29" x14ac:dyDescent="0.35">
      <c r="AC2338" t="str">
        <f t="shared" si="146"/>
        <v/>
      </c>
    </row>
    <row r="2339" spans="29:29" x14ac:dyDescent="0.35">
      <c r="AC2339" t="str">
        <f t="shared" si="146"/>
        <v/>
      </c>
    </row>
    <row r="2340" spans="29:29" x14ac:dyDescent="0.35">
      <c r="AC2340" t="str">
        <f t="shared" si="146"/>
        <v/>
      </c>
    </row>
    <row r="2341" spans="29:29" x14ac:dyDescent="0.35">
      <c r="AC2341" t="str">
        <f t="shared" si="146"/>
        <v/>
      </c>
    </row>
    <row r="2342" spans="29:29" x14ac:dyDescent="0.35">
      <c r="AC2342" t="str">
        <f t="shared" si="146"/>
        <v/>
      </c>
    </row>
    <row r="2343" spans="29:29" x14ac:dyDescent="0.35">
      <c r="AC2343" t="str">
        <f t="shared" si="146"/>
        <v/>
      </c>
    </row>
    <row r="2344" spans="29:29" x14ac:dyDescent="0.35">
      <c r="AC2344" t="str">
        <f t="shared" si="146"/>
        <v/>
      </c>
    </row>
    <row r="2345" spans="29:29" x14ac:dyDescent="0.35">
      <c r="AC2345" t="str">
        <f t="shared" si="146"/>
        <v/>
      </c>
    </row>
    <row r="2346" spans="29:29" x14ac:dyDescent="0.35">
      <c r="AC2346" t="str">
        <f t="shared" si="146"/>
        <v/>
      </c>
    </row>
    <row r="2347" spans="29:29" x14ac:dyDescent="0.35">
      <c r="AC2347" t="str">
        <f t="shared" si="146"/>
        <v/>
      </c>
    </row>
    <row r="2348" spans="29:29" x14ac:dyDescent="0.35">
      <c r="AC2348" t="str">
        <f t="shared" si="146"/>
        <v/>
      </c>
    </row>
    <row r="2349" spans="29:29" x14ac:dyDescent="0.35">
      <c r="AC2349" t="str">
        <f t="shared" si="146"/>
        <v/>
      </c>
    </row>
    <row r="2350" spans="29:29" x14ac:dyDescent="0.35">
      <c r="AC2350" t="str">
        <f t="shared" si="146"/>
        <v/>
      </c>
    </row>
    <row r="2351" spans="29:29" x14ac:dyDescent="0.35">
      <c r="AC2351" t="str">
        <f t="shared" si="146"/>
        <v/>
      </c>
    </row>
    <row r="2352" spans="29:29" x14ac:dyDescent="0.35">
      <c r="AC2352" t="str">
        <f t="shared" si="146"/>
        <v/>
      </c>
    </row>
    <row r="2353" spans="29:29" x14ac:dyDescent="0.35">
      <c r="AC2353" t="str">
        <f t="shared" si="146"/>
        <v/>
      </c>
    </row>
    <row r="2354" spans="29:29" x14ac:dyDescent="0.35">
      <c r="AC2354" t="str">
        <f t="shared" si="146"/>
        <v/>
      </c>
    </row>
    <row r="2355" spans="29:29" x14ac:dyDescent="0.35">
      <c r="AC2355" t="str">
        <f t="shared" si="146"/>
        <v/>
      </c>
    </row>
    <row r="2356" spans="29:29" x14ac:dyDescent="0.35">
      <c r="AC2356" t="str">
        <f t="shared" si="146"/>
        <v/>
      </c>
    </row>
    <row r="2357" spans="29:29" x14ac:dyDescent="0.35">
      <c r="AC2357" t="str">
        <f t="shared" si="146"/>
        <v/>
      </c>
    </row>
    <row r="2358" spans="29:29" x14ac:dyDescent="0.35">
      <c r="AC2358" t="str">
        <f t="shared" si="146"/>
        <v/>
      </c>
    </row>
    <row r="2359" spans="29:29" x14ac:dyDescent="0.35">
      <c r="AC2359" t="str">
        <f t="shared" si="146"/>
        <v/>
      </c>
    </row>
    <row r="2360" spans="29:29" x14ac:dyDescent="0.35">
      <c r="AC2360" t="str">
        <f t="shared" si="146"/>
        <v/>
      </c>
    </row>
    <row r="2361" spans="29:29" x14ac:dyDescent="0.35">
      <c r="AC2361" t="str">
        <f t="shared" si="146"/>
        <v/>
      </c>
    </row>
    <row r="2362" spans="29:29" x14ac:dyDescent="0.35">
      <c r="AC2362" t="str">
        <f t="shared" si="146"/>
        <v/>
      </c>
    </row>
    <row r="2363" spans="29:29" x14ac:dyDescent="0.35">
      <c r="AC2363" t="str">
        <f t="shared" si="146"/>
        <v/>
      </c>
    </row>
    <row r="2364" spans="29:29" x14ac:dyDescent="0.35">
      <c r="AC2364" t="str">
        <f t="shared" si="146"/>
        <v/>
      </c>
    </row>
    <row r="2365" spans="29:29" x14ac:dyDescent="0.35">
      <c r="AC2365" t="str">
        <f t="shared" si="146"/>
        <v/>
      </c>
    </row>
    <row r="2366" spans="29:29" x14ac:dyDescent="0.35">
      <c r="AC2366" t="str">
        <f t="shared" si="146"/>
        <v/>
      </c>
    </row>
    <row r="2367" spans="29:29" x14ac:dyDescent="0.35">
      <c r="AC2367" t="str">
        <f t="shared" si="146"/>
        <v/>
      </c>
    </row>
    <row r="2368" spans="29:29" x14ac:dyDescent="0.35">
      <c r="AC2368" t="str">
        <f t="shared" si="146"/>
        <v/>
      </c>
    </row>
    <row r="2369" spans="29:29" x14ac:dyDescent="0.35">
      <c r="AC2369" t="str">
        <f t="shared" si="146"/>
        <v/>
      </c>
    </row>
    <row r="2370" spans="29:29" x14ac:dyDescent="0.35">
      <c r="AC2370" t="str">
        <f t="shared" si="146"/>
        <v/>
      </c>
    </row>
    <row r="2371" spans="29:29" x14ac:dyDescent="0.35">
      <c r="AC2371" t="str">
        <f t="shared" si="146"/>
        <v/>
      </c>
    </row>
    <row r="2372" spans="29:29" x14ac:dyDescent="0.35">
      <c r="AC2372" t="str">
        <f t="shared" si="146"/>
        <v/>
      </c>
    </row>
    <row r="2373" spans="29:29" x14ac:dyDescent="0.35">
      <c r="AC2373" t="str">
        <f t="shared" si="146"/>
        <v/>
      </c>
    </row>
    <row r="2374" spans="29:29" x14ac:dyDescent="0.35">
      <c r="AC2374" t="str">
        <f t="shared" si="146"/>
        <v/>
      </c>
    </row>
    <row r="2375" spans="29:29" x14ac:dyDescent="0.35">
      <c r="AC2375" t="str">
        <f t="shared" ref="AC2375:AC2438" si="147">IFERROR(INDEX(AA:AA,MATCH(C2375,Z:Z,0)),"")</f>
        <v/>
      </c>
    </row>
    <row r="2376" spans="29:29" x14ac:dyDescent="0.35">
      <c r="AC2376" t="str">
        <f t="shared" si="147"/>
        <v/>
      </c>
    </row>
    <row r="2377" spans="29:29" x14ac:dyDescent="0.35">
      <c r="AC2377" t="str">
        <f t="shared" si="147"/>
        <v/>
      </c>
    </row>
    <row r="2378" spans="29:29" x14ac:dyDescent="0.35">
      <c r="AC2378" t="str">
        <f t="shared" si="147"/>
        <v/>
      </c>
    </row>
    <row r="2379" spans="29:29" x14ac:dyDescent="0.35">
      <c r="AC2379" t="str">
        <f t="shared" si="147"/>
        <v/>
      </c>
    </row>
    <row r="2380" spans="29:29" x14ac:dyDescent="0.35">
      <c r="AC2380" t="str">
        <f t="shared" si="147"/>
        <v/>
      </c>
    </row>
    <row r="2381" spans="29:29" x14ac:dyDescent="0.35">
      <c r="AC2381" t="str">
        <f t="shared" si="147"/>
        <v/>
      </c>
    </row>
    <row r="2382" spans="29:29" x14ac:dyDescent="0.35">
      <c r="AC2382" t="str">
        <f t="shared" si="147"/>
        <v/>
      </c>
    </row>
    <row r="2383" spans="29:29" x14ac:dyDescent="0.35">
      <c r="AC2383" t="str">
        <f t="shared" si="147"/>
        <v/>
      </c>
    </row>
    <row r="2384" spans="29:29" x14ac:dyDescent="0.35">
      <c r="AC2384" t="str">
        <f t="shared" si="147"/>
        <v/>
      </c>
    </row>
    <row r="2385" spans="29:29" x14ac:dyDescent="0.35">
      <c r="AC2385" t="str">
        <f t="shared" si="147"/>
        <v/>
      </c>
    </row>
    <row r="2386" spans="29:29" x14ac:dyDescent="0.35">
      <c r="AC2386" t="str">
        <f t="shared" si="147"/>
        <v/>
      </c>
    </row>
    <row r="2387" spans="29:29" x14ac:dyDescent="0.35">
      <c r="AC2387" t="str">
        <f t="shared" si="147"/>
        <v/>
      </c>
    </row>
    <row r="2388" spans="29:29" x14ac:dyDescent="0.35">
      <c r="AC2388" t="str">
        <f t="shared" si="147"/>
        <v/>
      </c>
    </row>
    <row r="2389" spans="29:29" x14ac:dyDescent="0.35">
      <c r="AC2389" t="str">
        <f t="shared" si="147"/>
        <v/>
      </c>
    </row>
    <row r="2390" spans="29:29" x14ac:dyDescent="0.35">
      <c r="AC2390" t="str">
        <f t="shared" si="147"/>
        <v/>
      </c>
    </row>
    <row r="2391" spans="29:29" x14ac:dyDescent="0.35">
      <c r="AC2391" t="str">
        <f t="shared" si="147"/>
        <v/>
      </c>
    </row>
    <row r="2392" spans="29:29" x14ac:dyDescent="0.35">
      <c r="AC2392" t="str">
        <f t="shared" si="147"/>
        <v/>
      </c>
    </row>
    <row r="2393" spans="29:29" x14ac:dyDescent="0.35">
      <c r="AC2393" t="str">
        <f t="shared" si="147"/>
        <v/>
      </c>
    </row>
    <row r="2394" spans="29:29" x14ac:dyDescent="0.35">
      <c r="AC2394" t="str">
        <f t="shared" si="147"/>
        <v/>
      </c>
    </row>
    <row r="2395" spans="29:29" x14ac:dyDescent="0.35">
      <c r="AC2395" t="str">
        <f t="shared" si="147"/>
        <v/>
      </c>
    </row>
    <row r="2396" spans="29:29" x14ac:dyDescent="0.35">
      <c r="AC2396" t="str">
        <f t="shared" si="147"/>
        <v/>
      </c>
    </row>
    <row r="2397" spans="29:29" x14ac:dyDescent="0.35">
      <c r="AC2397" t="str">
        <f t="shared" si="147"/>
        <v/>
      </c>
    </row>
    <row r="2398" spans="29:29" x14ac:dyDescent="0.35">
      <c r="AC2398" t="str">
        <f t="shared" si="147"/>
        <v/>
      </c>
    </row>
    <row r="2399" spans="29:29" x14ac:dyDescent="0.35">
      <c r="AC2399" t="str">
        <f t="shared" si="147"/>
        <v/>
      </c>
    </row>
    <row r="2400" spans="29:29" x14ac:dyDescent="0.35">
      <c r="AC2400" t="str">
        <f t="shared" si="147"/>
        <v/>
      </c>
    </row>
    <row r="2401" spans="29:29" x14ac:dyDescent="0.35">
      <c r="AC2401" t="str">
        <f t="shared" si="147"/>
        <v/>
      </c>
    </row>
    <row r="2402" spans="29:29" x14ac:dyDescent="0.35">
      <c r="AC2402" t="str">
        <f t="shared" si="147"/>
        <v/>
      </c>
    </row>
    <row r="2403" spans="29:29" x14ac:dyDescent="0.35">
      <c r="AC2403" t="str">
        <f t="shared" si="147"/>
        <v/>
      </c>
    </row>
    <row r="2404" spans="29:29" x14ac:dyDescent="0.35">
      <c r="AC2404" t="str">
        <f t="shared" si="147"/>
        <v/>
      </c>
    </row>
    <row r="2405" spans="29:29" x14ac:dyDescent="0.35">
      <c r="AC2405" t="str">
        <f t="shared" si="147"/>
        <v/>
      </c>
    </row>
    <row r="2406" spans="29:29" x14ac:dyDescent="0.35">
      <c r="AC2406" t="str">
        <f t="shared" si="147"/>
        <v/>
      </c>
    </row>
    <row r="2407" spans="29:29" x14ac:dyDescent="0.35">
      <c r="AC2407" t="str">
        <f t="shared" si="147"/>
        <v/>
      </c>
    </row>
    <row r="2408" spans="29:29" x14ac:dyDescent="0.35">
      <c r="AC2408" t="str">
        <f t="shared" si="147"/>
        <v/>
      </c>
    </row>
    <row r="2409" spans="29:29" x14ac:dyDescent="0.35">
      <c r="AC2409" t="str">
        <f t="shared" si="147"/>
        <v/>
      </c>
    </row>
    <row r="2410" spans="29:29" x14ac:dyDescent="0.35">
      <c r="AC2410" t="str">
        <f t="shared" si="147"/>
        <v/>
      </c>
    </row>
    <row r="2411" spans="29:29" x14ac:dyDescent="0.35">
      <c r="AC2411" t="str">
        <f t="shared" si="147"/>
        <v/>
      </c>
    </row>
    <row r="2412" spans="29:29" x14ac:dyDescent="0.35">
      <c r="AC2412" t="str">
        <f t="shared" si="147"/>
        <v/>
      </c>
    </row>
    <row r="2413" spans="29:29" x14ac:dyDescent="0.35">
      <c r="AC2413" t="str">
        <f t="shared" si="147"/>
        <v/>
      </c>
    </row>
    <row r="2414" spans="29:29" x14ac:dyDescent="0.35">
      <c r="AC2414" t="str">
        <f t="shared" si="147"/>
        <v/>
      </c>
    </row>
    <row r="2415" spans="29:29" x14ac:dyDescent="0.35">
      <c r="AC2415" t="str">
        <f t="shared" si="147"/>
        <v/>
      </c>
    </row>
    <row r="2416" spans="29:29" x14ac:dyDescent="0.35">
      <c r="AC2416" t="str">
        <f t="shared" si="147"/>
        <v/>
      </c>
    </row>
    <row r="2417" spans="29:29" x14ac:dyDescent="0.35">
      <c r="AC2417" t="str">
        <f t="shared" si="147"/>
        <v/>
      </c>
    </row>
    <row r="2418" spans="29:29" x14ac:dyDescent="0.35">
      <c r="AC2418" t="str">
        <f t="shared" si="147"/>
        <v/>
      </c>
    </row>
    <row r="2419" spans="29:29" x14ac:dyDescent="0.35">
      <c r="AC2419" t="str">
        <f t="shared" si="147"/>
        <v/>
      </c>
    </row>
    <row r="2420" spans="29:29" x14ac:dyDescent="0.35">
      <c r="AC2420" t="str">
        <f t="shared" si="147"/>
        <v/>
      </c>
    </row>
    <row r="2421" spans="29:29" x14ac:dyDescent="0.35">
      <c r="AC2421" t="str">
        <f t="shared" si="147"/>
        <v/>
      </c>
    </row>
    <row r="2422" spans="29:29" x14ac:dyDescent="0.35">
      <c r="AC2422" t="str">
        <f t="shared" si="147"/>
        <v/>
      </c>
    </row>
    <row r="2423" spans="29:29" x14ac:dyDescent="0.35">
      <c r="AC2423" t="str">
        <f t="shared" si="147"/>
        <v/>
      </c>
    </row>
    <row r="2424" spans="29:29" x14ac:dyDescent="0.35">
      <c r="AC2424" t="str">
        <f t="shared" si="147"/>
        <v/>
      </c>
    </row>
    <row r="2425" spans="29:29" x14ac:dyDescent="0.35">
      <c r="AC2425" t="str">
        <f t="shared" si="147"/>
        <v/>
      </c>
    </row>
    <row r="2426" spans="29:29" x14ac:dyDescent="0.35">
      <c r="AC2426" t="str">
        <f t="shared" si="147"/>
        <v/>
      </c>
    </row>
    <row r="2427" spans="29:29" x14ac:dyDescent="0.35">
      <c r="AC2427" t="str">
        <f t="shared" si="147"/>
        <v/>
      </c>
    </row>
    <row r="2428" spans="29:29" x14ac:dyDescent="0.35">
      <c r="AC2428" t="str">
        <f t="shared" si="147"/>
        <v/>
      </c>
    </row>
    <row r="2429" spans="29:29" x14ac:dyDescent="0.35">
      <c r="AC2429" t="str">
        <f t="shared" si="147"/>
        <v/>
      </c>
    </row>
    <row r="2430" spans="29:29" x14ac:dyDescent="0.35">
      <c r="AC2430" t="str">
        <f t="shared" si="147"/>
        <v/>
      </c>
    </row>
    <row r="2431" spans="29:29" x14ac:dyDescent="0.35">
      <c r="AC2431" t="str">
        <f t="shared" si="147"/>
        <v/>
      </c>
    </row>
    <row r="2432" spans="29:29" x14ac:dyDescent="0.35">
      <c r="AC2432" t="str">
        <f t="shared" si="147"/>
        <v/>
      </c>
    </row>
    <row r="2433" spans="29:29" x14ac:dyDescent="0.35">
      <c r="AC2433" t="str">
        <f t="shared" si="147"/>
        <v/>
      </c>
    </row>
    <row r="2434" spans="29:29" x14ac:dyDescent="0.35">
      <c r="AC2434" t="str">
        <f t="shared" si="147"/>
        <v/>
      </c>
    </row>
    <row r="2435" spans="29:29" x14ac:dyDescent="0.35">
      <c r="AC2435" t="str">
        <f t="shared" si="147"/>
        <v/>
      </c>
    </row>
    <row r="2436" spans="29:29" x14ac:dyDescent="0.35">
      <c r="AC2436" t="str">
        <f t="shared" si="147"/>
        <v/>
      </c>
    </row>
    <row r="2437" spans="29:29" x14ac:dyDescent="0.35">
      <c r="AC2437" t="str">
        <f t="shared" si="147"/>
        <v/>
      </c>
    </row>
    <row r="2438" spans="29:29" x14ac:dyDescent="0.35">
      <c r="AC2438" t="str">
        <f t="shared" si="147"/>
        <v/>
      </c>
    </row>
    <row r="2439" spans="29:29" x14ac:dyDescent="0.35">
      <c r="AC2439" t="str">
        <f t="shared" ref="AC2439:AC2502" si="148">IFERROR(INDEX(AA:AA,MATCH(C2439,Z:Z,0)),"")</f>
        <v/>
      </c>
    </row>
    <row r="2440" spans="29:29" x14ac:dyDescent="0.35">
      <c r="AC2440" t="str">
        <f t="shared" si="148"/>
        <v/>
      </c>
    </row>
    <row r="2441" spans="29:29" x14ac:dyDescent="0.35">
      <c r="AC2441" t="str">
        <f t="shared" si="148"/>
        <v/>
      </c>
    </row>
    <row r="2442" spans="29:29" x14ac:dyDescent="0.35">
      <c r="AC2442" t="str">
        <f t="shared" si="148"/>
        <v/>
      </c>
    </row>
    <row r="2443" spans="29:29" x14ac:dyDescent="0.35">
      <c r="AC2443" t="str">
        <f t="shared" si="148"/>
        <v/>
      </c>
    </row>
    <row r="2444" spans="29:29" x14ac:dyDescent="0.35">
      <c r="AC2444" t="str">
        <f t="shared" si="148"/>
        <v/>
      </c>
    </row>
    <row r="2445" spans="29:29" x14ac:dyDescent="0.35">
      <c r="AC2445" t="str">
        <f t="shared" si="148"/>
        <v/>
      </c>
    </row>
    <row r="2446" spans="29:29" x14ac:dyDescent="0.35">
      <c r="AC2446" t="str">
        <f t="shared" si="148"/>
        <v/>
      </c>
    </row>
    <row r="2447" spans="29:29" x14ac:dyDescent="0.35">
      <c r="AC2447" t="str">
        <f t="shared" si="148"/>
        <v/>
      </c>
    </row>
    <row r="2448" spans="29:29" x14ac:dyDescent="0.35">
      <c r="AC2448" t="str">
        <f t="shared" si="148"/>
        <v/>
      </c>
    </row>
    <row r="2449" spans="29:29" x14ac:dyDescent="0.35">
      <c r="AC2449" t="str">
        <f t="shared" si="148"/>
        <v/>
      </c>
    </row>
    <row r="2450" spans="29:29" x14ac:dyDescent="0.35">
      <c r="AC2450" t="str">
        <f t="shared" si="148"/>
        <v/>
      </c>
    </row>
    <row r="2451" spans="29:29" x14ac:dyDescent="0.35">
      <c r="AC2451" t="str">
        <f t="shared" si="148"/>
        <v/>
      </c>
    </row>
    <row r="2452" spans="29:29" x14ac:dyDescent="0.35">
      <c r="AC2452" t="str">
        <f t="shared" si="148"/>
        <v/>
      </c>
    </row>
    <row r="2453" spans="29:29" x14ac:dyDescent="0.35">
      <c r="AC2453" t="str">
        <f t="shared" si="148"/>
        <v/>
      </c>
    </row>
    <row r="2454" spans="29:29" x14ac:dyDescent="0.35">
      <c r="AC2454" t="str">
        <f t="shared" si="148"/>
        <v/>
      </c>
    </row>
    <row r="2455" spans="29:29" x14ac:dyDescent="0.35">
      <c r="AC2455" t="str">
        <f t="shared" si="148"/>
        <v/>
      </c>
    </row>
    <row r="2456" spans="29:29" x14ac:dyDescent="0.35">
      <c r="AC2456" t="str">
        <f t="shared" si="148"/>
        <v/>
      </c>
    </row>
    <row r="2457" spans="29:29" x14ac:dyDescent="0.35">
      <c r="AC2457" t="str">
        <f t="shared" si="148"/>
        <v/>
      </c>
    </row>
    <row r="2458" spans="29:29" x14ac:dyDescent="0.35">
      <c r="AC2458" t="str">
        <f t="shared" si="148"/>
        <v/>
      </c>
    </row>
    <row r="2459" spans="29:29" x14ac:dyDescent="0.35">
      <c r="AC2459" t="str">
        <f t="shared" si="148"/>
        <v/>
      </c>
    </row>
    <row r="2460" spans="29:29" x14ac:dyDescent="0.35">
      <c r="AC2460" t="str">
        <f t="shared" si="148"/>
        <v/>
      </c>
    </row>
    <row r="2461" spans="29:29" x14ac:dyDescent="0.35">
      <c r="AC2461" t="str">
        <f t="shared" si="148"/>
        <v/>
      </c>
    </row>
    <row r="2462" spans="29:29" x14ac:dyDescent="0.35">
      <c r="AC2462" t="str">
        <f t="shared" si="148"/>
        <v/>
      </c>
    </row>
    <row r="2463" spans="29:29" x14ac:dyDescent="0.35">
      <c r="AC2463" t="str">
        <f t="shared" si="148"/>
        <v/>
      </c>
    </row>
    <row r="2464" spans="29:29" x14ac:dyDescent="0.35">
      <c r="AC2464" t="str">
        <f t="shared" si="148"/>
        <v/>
      </c>
    </row>
    <row r="2465" spans="29:29" x14ac:dyDescent="0.35">
      <c r="AC2465" t="str">
        <f t="shared" si="148"/>
        <v/>
      </c>
    </row>
    <row r="2466" spans="29:29" x14ac:dyDescent="0.35">
      <c r="AC2466" t="str">
        <f t="shared" si="148"/>
        <v/>
      </c>
    </row>
    <row r="2467" spans="29:29" x14ac:dyDescent="0.35">
      <c r="AC2467" t="str">
        <f t="shared" si="148"/>
        <v/>
      </c>
    </row>
    <row r="2468" spans="29:29" x14ac:dyDescent="0.35">
      <c r="AC2468" t="str">
        <f t="shared" si="148"/>
        <v/>
      </c>
    </row>
    <row r="2469" spans="29:29" x14ac:dyDescent="0.35">
      <c r="AC2469" t="str">
        <f t="shared" si="148"/>
        <v/>
      </c>
    </row>
    <row r="2470" spans="29:29" x14ac:dyDescent="0.35">
      <c r="AC2470" t="str">
        <f t="shared" si="148"/>
        <v/>
      </c>
    </row>
    <row r="2471" spans="29:29" x14ac:dyDescent="0.35">
      <c r="AC2471" t="str">
        <f t="shared" si="148"/>
        <v/>
      </c>
    </row>
    <row r="2472" spans="29:29" x14ac:dyDescent="0.35">
      <c r="AC2472" t="str">
        <f t="shared" si="148"/>
        <v/>
      </c>
    </row>
    <row r="2473" spans="29:29" x14ac:dyDescent="0.35">
      <c r="AC2473" t="str">
        <f t="shared" si="148"/>
        <v/>
      </c>
    </row>
    <row r="2474" spans="29:29" x14ac:dyDescent="0.35">
      <c r="AC2474" t="str">
        <f t="shared" si="148"/>
        <v/>
      </c>
    </row>
    <row r="2475" spans="29:29" x14ac:dyDescent="0.35">
      <c r="AC2475" t="str">
        <f t="shared" si="148"/>
        <v/>
      </c>
    </row>
    <row r="2476" spans="29:29" x14ac:dyDescent="0.35">
      <c r="AC2476" t="str">
        <f t="shared" si="148"/>
        <v/>
      </c>
    </row>
    <row r="2477" spans="29:29" x14ac:dyDescent="0.35">
      <c r="AC2477" t="str">
        <f t="shared" si="148"/>
        <v/>
      </c>
    </row>
    <row r="2478" spans="29:29" x14ac:dyDescent="0.35">
      <c r="AC2478" t="str">
        <f t="shared" si="148"/>
        <v/>
      </c>
    </row>
    <row r="2479" spans="29:29" x14ac:dyDescent="0.35">
      <c r="AC2479" t="str">
        <f t="shared" si="148"/>
        <v/>
      </c>
    </row>
    <row r="2480" spans="29:29" x14ac:dyDescent="0.35">
      <c r="AC2480" t="str">
        <f t="shared" si="148"/>
        <v/>
      </c>
    </row>
    <row r="2481" spans="29:29" x14ac:dyDescent="0.35">
      <c r="AC2481" t="str">
        <f t="shared" si="148"/>
        <v/>
      </c>
    </row>
    <row r="2482" spans="29:29" x14ac:dyDescent="0.35">
      <c r="AC2482" t="str">
        <f t="shared" si="148"/>
        <v/>
      </c>
    </row>
    <row r="2483" spans="29:29" x14ac:dyDescent="0.35">
      <c r="AC2483" t="str">
        <f t="shared" si="148"/>
        <v/>
      </c>
    </row>
    <row r="2484" spans="29:29" x14ac:dyDescent="0.35">
      <c r="AC2484" t="str">
        <f t="shared" si="148"/>
        <v/>
      </c>
    </row>
    <row r="2485" spans="29:29" x14ac:dyDescent="0.35">
      <c r="AC2485" t="str">
        <f t="shared" si="148"/>
        <v/>
      </c>
    </row>
    <row r="2486" spans="29:29" x14ac:dyDescent="0.35">
      <c r="AC2486" t="str">
        <f t="shared" si="148"/>
        <v/>
      </c>
    </row>
    <row r="2487" spans="29:29" x14ac:dyDescent="0.35">
      <c r="AC2487" t="str">
        <f t="shared" si="148"/>
        <v/>
      </c>
    </row>
    <row r="2488" spans="29:29" x14ac:dyDescent="0.35">
      <c r="AC2488" t="str">
        <f t="shared" si="148"/>
        <v/>
      </c>
    </row>
    <row r="2489" spans="29:29" x14ac:dyDescent="0.35">
      <c r="AC2489" t="str">
        <f t="shared" si="148"/>
        <v/>
      </c>
    </row>
    <row r="2490" spans="29:29" x14ac:dyDescent="0.35">
      <c r="AC2490" t="str">
        <f t="shared" si="148"/>
        <v/>
      </c>
    </row>
    <row r="2491" spans="29:29" x14ac:dyDescent="0.35">
      <c r="AC2491" t="str">
        <f t="shared" si="148"/>
        <v/>
      </c>
    </row>
    <row r="2492" spans="29:29" x14ac:dyDescent="0.35">
      <c r="AC2492" t="str">
        <f t="shared" si="148"/>
        <v/>
      </c>
    </row>
    <row r="2493" spans="29:29" x14ac:dyDescent="0.35">
      <c r="AC2493" t="str">
        <f t="shared" si="148"/>
        <v/>
      </c>
    </row>
    <row r="2494" spans="29:29" x14ac:dyDescent="0.35">
      <c r="AC2494" t="str">
        <f t="shared" si="148"/>
        <v/>
      </c>
    </row>
    <row r="2495" spans="29:29" x14ac:dyDescent="0.35">
      <c r="AC2495" t="str">
        <f t="shared" si="148"/>
        <v/>
      </c>
    </row>
    <row r="2496" spans="29:29" x14ac:dyDescent="0.35">
      <c r="AC2496" t="str">
        <f t="shared" si="148"/>
        <v/>
      </c>
    </row>
    <row r="2497" spans="29:29" x14ac:dyDescent="0.35">
      <c r="AC2497" t="str">
        <f t="shared" si="148"/>
        <v/>
      </c>
    </row>
    <row r="2498" spans="29:29" x14ac:dyDescent="0.35">
      <c r="AC2498" t="str">
        <f t="shared" si="148"/>
        <v/>
      </c>
    </row>
    <row r="2499" spans="29:29" x14ac:dyDescent="0.35">
      <c r="AC2499" t="str">
        <f t="shared" si="148"/>
        <v/>
      </c>
    </row>
    <row r="2500" spans="29:29" x14ac:dyDescent="0.35">
      <c r="AC2500" t="str">
        <f t="shared" si="148"/>
        <v/>
      </c>
    </row>
    <row r="2501" spans="29:29" x14ac:dyDescent="0.35">
      <c r="AC2501" t="str">
        <f t="shared" si="148"/>
        <v/>
      </c>
    </row>
    <row r="2502" spans="29:29" x14ac:dyDescent="0.35">
      <c r="AC2502" t="str">
        <f t="shared" si="148"/>
        <v/>
      </c>
    </row>
    <row r="2503" spans="29:29" x14ac:dyDescent="0.35">
      <c r="AC2503" t="str">
        <f t="shared" ref="AC2503:AC2566" si="149">IFERROR(INDEX(AA:AA,MATCH(C2503,Z:Z,0)),"")</f>
        <v/>
      </c>
    </row>
    <row r="2504" spans="29:29" x14ac:dyDescent="0.35">
      <c r="AC2504" t="str">
        <f t="shared" si="149"/>
        <v/>
      </c>
    </row>
    <row r="2505" spans="29:29" x14ac:dyDescent="0.35">
      <c r="AC2505" t="str">
        <f t="shared" si="149"/>
        <v/>
      </c>
    </row>
    <row r="2506" spans="29:29" x14ac:dyDescent="0.35">
      <c r="AC2506" t="str">
        <f t="shared" si="149"/>
        <v/>
      </c>
    </row>
    <row r="2507" spans="29:29" x14ac:dyDescent="0.35">
      <c r="AC2507" t="str">
        <f t="shared" si="149"/>
        <v/>
      </c>
    </row>
    <row r="2508" spans="29:29" x14ac:dyDescent="0.35">
      <c r="AC2508" t="str">
        <f t="shared" si="149"/>
        <v/>
      </c>
    </row>
    <row r="2509" spans="29:29" x14ac:dyDescent="0.35">
      <c r="AC2509" t="str">
        <f t="shared" si="149"/>
        <v/>
      </c>
    </row>
    <row r="2510" spans="29:29" x14ac:dyDescent="0.35">
      <c r="AC2510" t="str">
        <f t="shared" si="149"/>
        <v/>
      </c>
    </row>
    <row r="2511" spans="29:29" x14ac:dyDescent="0.35">
      <c r="AC2511" t="str">
        <f t="shared" si="149"/>
        <v/>
      </c>
    </row>
    <row r="2512" spans="29:29" x14ac:dyDescent="0.35">
      <c r="AC2512" t="str">
        <f t="shared" si="149"/>
        <v/>
      </c>
    </row>
    <row r="2513" spans="29:29" x14ac:dyDescent="0.35">
      <c r="AC2513" t="str">
        <f t="shared" si="149"/>
        <v/>
      </c>
    </row>
    <row r="2514" spans="29:29" x14ac:dyDescent="0.35">
      <c r="AC2514" t="str">
        <f t="shared" si="149"/>
        <v/>
      </c>
    </row>
    <row r="2515" spans="29:29" x14ac:dyDescent="0.35">
      <c r="AC2515" t="str">
        <f t="shared" si="149"/>
        <v/>
      </c>
    </row>
    <row r="2516" spans="29:29" x14ac:dyDescent="0.35">
      <c r="AC2516" t="str">
        <f t="shared" si="149"/>
        <v/>
      </c>
    </row>
    <row r="2517" spans="29:29" x14ac:dyDescent="0.35">
      <c r="AC2517" t="str">
        <f t="shared" si="149"/>
        <v/>
      </c>
    </row>
    <row r="2518" spans="29:29" x14ac:dyDescent="0.35">
      <c r="AC2518" t="str">
        <f t="shared" si="149"/>
        <v/>
      </c>
    </row>
    <row r="2519" spans="29:29" x14ac:dyDescent="0.35">
      <c r="AC2519" t="str">
        <f t="shared" si="149"/>
        <v/>
      </c>
    </row>
    <row r="2520" spans="29:29" x14ac:dyDescent="0.35">
      <c r="AC2520" t="str">
        <f t="shared" si="149"/>
        <v/>
      </c>
    </row>
    <row r="2521" spans="29:29" x14ac:dyDescent="0.35">
      <c r="AC2521" t="str">
        <f t="shared" si="149"/>
        <v/>
      </c>
    </row>
    <row r="2522" spans="29:29" x14ac:dyDescent="0.35">
      <c r="AC2522" t="str">
        <f t="shared" si="149"/>
        <v/>
      </c>
    </row>
    <row r="2523" spans="29:29" x14ac:dyDescent="0.35">
      <c r="AC2523" t="str">
        <f t="shared" si="149"/>
        <v/>
      </c>
    </row>
    <row r="2524" spans="29:29" x14ac:dyDescent="0.35">
      <c r="AC2524" t="str">
        <f t="shared" si="149"/>
        <v/>
      </c>
    </row>
    <row r="2525" spans="29:29" x14ac:dyDescent="0.35">
      <c r="AC2525" t="str">
        <f t="shared" si="149"/>
        <v/>
      </c>
    </row>
    <row r="2526" spans="29:29" x14ac:dyDescent="0.35">
      <c r="AC2526" t="str">
        <f t="shared" si="149"/>
        <v/>
      </c>
    </row>
    <row r="2527" spans="29:29" x14ac:dyDescent="0.35">
      <c r="AC2527" t="str">
        <f t="shared" si="149"/>
        <v/>
      </c>
    </row>
    <row r="2528" spans="29:29" x14ac:dyDescent="0.35">
      <c r="AC2528" t="str">
        <f t="shared" si="149"/>
        <v/>
      </c>
    </row>
    <row r="2529" spans="29:29" x14ac:dyDescent="0.35">
      <c r="AC2529" t="str">
        <f t="shared" si="149"/>
        <v/>
      </c>
    </row>
    <row r="2530" spans="29:29" x14ac:dyDescent="0.35">
      <c r="AC2530" t="str">
        <f t="shared" si="149"/>
        <v/>
      </c>
    </row>
    <row r="2531" spans="29:29" x14ac:dyDescent="0.35">
      <c r="AC2531" t="str">
        <f t="shared" si="149"/>
        <v/>
      </c>
    </row>
    <row r="2532" spans="29:29" x14ac:dyDescent="0.35">
      <c r="AC2532" t="str">
        <f t="shared" si="149"/>
        <v/>
      </c>
    </row>
    <row r="2533" spans="29:29" x14ac:dyDescent="0.35">
      <c r="AC2533" t="str">
        <f t="shared" si="149"/>
        <v/>
      </c>
    </row>
    <row r="2534" spans="29:29" x14ac:dyDescent="0.35">
      <c r="AC2534" t="str">
        <f t="shared" si="149"/>
        <v/>
      </c>
    </row>
    <row r="2535" spans="29:29" x14ac:dyDescent="0.35">
      <c r="AC2535" t="str">
        <f t="shared" si="149"/>
        <v/>
      </c>
    </row>
    <row r="2536" spans="29:29" x14ac:dyDescent="0.35">
      <c r="AC2536" t="str">
        <f t="shared" si="149"/>
        <v/>
      </c>
    </row>
    <row r="2537" spans="29:29" x14ac:dyDescent="0.35">
      <c r="AC2537" t="str">
        <f t="shared" si="149"/>
        <v/>
      </c>
    </row>
    <row r="2538" spans="29:29" x14ac:dyDescent="0.35">
      <c r="AC2538" t="str">
        <f t="shared" si="149"/>
        <v/>
      </c>
    </row>
    <row r="2539" spans="29:29" x14ac:dyDescent="0.35">
      <c r="AC2539" t="str">
        <f t="shared" si="149"/>
        <v/>
      </c>
    </row>
    <row r="2540" spans="29:29" x14ac:dyDescent="0.35">
      <c r="AC2540" t="str">
        <f t="shared" si="149"/>
        <v/>
      </c>
    </row>
    <row r="2541" spans="29:29" x14ac:dyDescent="0.35">
      <c r="AC2541" t="str">
        <f t="shared" si="149"/>
        <v/>
      </c>
    </row>
    <row r="2542" spans="29:29" x14ac:dyDescent="0.35">
      <c r="AC2542" t="str">
        <f t="shared" si="149"/>
        <v/>
      </c>
    </row>
    <row r="2543" spans="29:29" x14ac:dyDescent="0.35">
      <c r="AC2543" t="str">
        <f t="shared" si="149"/>
        <v/>
      </c>
    </row>
    <row r="2544" spans="29:29" x14ac:dyDescent="0.35">
      <c r="AC2544" t="str">
        <f t="shared" si="149"/>
        <v/>
      </c>
    </row>
    <row r="2545" spans="29:29" x14ac:dyDescent="0.35">
      <c r="AC2545" t="str">
        <f t="shared" si="149"/>
        <v/>
      </c>
    </row>
    <row r="2546" spans="29:29" x14ac:dyDescent="0.35">
      <c r="AC2546" t="str">
        <f t="shared" si="149"/>
        <v/>
      </c>
    </row>
    <row r="2547" spans="29:29" x14ac:dyDescent="0.35">
      <c r="AC2547" t="str">
        <f t="shared" si="149"/>
        <v/>
      </c>
    </row>
    <row r="2548" spans="29:29" x14ac:dyDescent="0.35">
      <c r="AC2548" t="str">
        <f t="shared" si="149"/>
        <v/>
      </c>
    </row>
    <row r="2549" spans="29:29" x14ac:dyDescent="0.35">
      <c r="AC2549" t="str">
        <f t="shared" si="149"/>
        <v/>
      </c>
    </row>
    <row r="2550" spans="29:29" x14ac:dyDescent="0.35">
      <c r="AC2550" t="str">
        <f t="shared" si="149"/>
        <v/>
      </c>
    </row>
    <row r="2551" spans="29:29" x14ac:dyDescent="0.35">
      <c r="AC2551" t="str">
        <f t="shared" si="149"/>
        <v/>
      </c>
    </row>
    <row r="2552" spans="29:29" x14ac:dyDescent="0.35">
      <c r="AC2552" t="str">
        <f t="shared" si="149"/>
        <v/>
      </c>
    </row>
    <row r="2553" spans="29:29" x14ac:dyDescent="0.35">
      <c r="AC2553" t="str">
        <f t="shared" si="149"/>
        <v/>
      </c>
    </row>
    <row r="2554" spans="29:29" x14ac:dyDescent="0.35">
      <c r="AC2554" t="str">
        <f t="shared" si="149"/>
        <v/>
      </c>
    </row>
    <row r="2555" spans="29:29" x14ac:dyDescent="0.35">
      <c r="AC2555" t="str">
        <f t="shared" si="149"/>
        <v/>
      </c>
    </row>
    <row r="2556" spans="29:29" x14ac:dyDescent="0.35">
      <c r="AC2556" t="str">
        <f t="shared" si="149"/>
        <v/>
      </c>
    </row>
    <row r="2557" spans="29:29" x14ac:dyDescent="0.35">
      <c r="AC2557" t="str">
        <f t="shared" si="149"/>
        <v/>
      </c>
    </row>
    <row r="2558" spans="29:29" x14ac:dyDescent="0.35">
      <c r="AC2558" t="str">
        <f t="shared" si="149"/>
        <v/>
      </c>
    </row>
    <row r="2559" spans="29:29" x14ac:dyDescent="0.35">
      <c r="AC2559" t="str">
        <f t="shared" si="149"/>
        <v/>
      </c>
    </row>
    <row r="2560" spans="29:29" x14ac:dyDescent="0.35">
      <c r="AC2560" t="str">
        <f t="shared" si="149"/>
        <v/>
      </c>
    </row>
    <row r="2561" spans="29:29" x14ac:dyDescent="0.35">
      <c r="AC2561" t="str">
        <f t="shared" si="149"/>
        <v/>
      </c>
    </row>
    <row r="2562" spans="29:29" x14ac:dyDescent="0.35">
      <c r="AC2562" t="str">
        <f t="shared" si="149"/>
        <v/>
      </c>
    </row>
    <row r="2563" spans="29:29" x14ac:dyDescent="0.35">
      <c r="AC2563" t="str">
        <f t="shared" si="149"/>
        <v/>
      </c>
    </row>
    <row r="2564" spans="29:29" x14ac:dyDescent="0.35">
      <c r="AC2564" t="str">
        <f t="shared" si="149"/>
        <v/>
      </c>
    </row>
    <row r="2565" spans="29:29" x14ac:dyDescent="0.35">
      <c r="AC2565" t="str">
        <f t="shared" si="149"/>
        <v/>
      </c>
    </row>
    <row r="2566" spans="29:29" x14ac:dyDescent="0.35">
      <c r="AC2566" t="str">
        <f t="shared" si="149"/>
        <v/>
      </c>
    </row>
    <row r="2567" spans="29:29" x14ac:dyDescent="0.35">
      <c r="AC2567" t="str">
        <f t="shared" ref="AC2567:AC2630" si="150">IFERROR(INDEX(AA:AA,MATCH(C2567,Z:Z,0)),"")</f>
        <v/>
      </c>
    </row>
    <row r="2568" spans="29:29" x14ac:dyDescent="0.35">
      <c r="AC2568" t="str">
        <f t="shared" si="150"/>
        <v/>
      </c>
    </row>
    <row r="2569" spans="29:29" x14ac:dyDescent="0.35">
      <c r="AC2569" t="str">
        <f t="shared" si="150"/>
        <v/>
      </c>
    </row>
    <row r="2570" spans="29:29" x14ac:dyDescent="0.35">
      <c r="AC2570" t="str">
        <f t="shared" si="150"/>
        <v/>
      </c>
    </row>
    <row r="2571" spans="29:29" x14ac:dyDescent="0.35">
      <c r="AC2571" t="str">
        <f t="shared" si="150"/>
        <v/>
      </c>
    </row>
    <row r="2572" spans="29:29" x14ac:dyDescent="0.35">
      <c r="AC2572" t="str">
        <f t="shared" si="150"/>
        <v/>
      </c>
    </row>
    <row r="2573" spans="29:29" x14ac:dyDescent="0.35">
      <c r="AC2573" t="str">
        <f t="shared" si="150"/>
        <v/>
      </c>
    </row>
    <row r="2574" spans="29:29" x14ac:dyDescent="0.35">
      <c r="AC2574" t="str">
        <f t="shared" si="150"/>
        <v/>
      </c>
    </row>
    <row r="2575" spans="29:29" x14ac:dyDescent="0.35">
      <c r="AC2575" t="str">
        <f t="shared" si="150"/>
        <v/>
      </c>
    </row>
    <row r="2576" spans="29:29" x14ac:dyDescent="0.35">
      <c r="AC2576" t="str">
        <f t="shared" si="150"/>
        <v/>
      </c>
    </row>
    <row r="2577" spans="29:29" x14ac:dyDescent="0.35">
      <c r="AC2577" t="str">
        <f t="shared" si="150"/>
        <v/>
      </c>
    </row>
    <row r="2578" spans="29:29" x14ac:dyDescent="0.35">
      <c r="AC2578" t="str">
        <f t="shared" si="150"/>
        <v/>
      </c>
    </row>
    <row r="2579" spans="29:29" x14ac:dyDescent="0.35">
      <c r="AC2579" t="str">
        <f t="shared" si="150"/>
        <v/>
      </c>
    </row>
    <row r="2580" spans="29:29" x14ac:dyDescent="0.35">
      <c r="AC2580" t="str">
        <f t="shared" si="150"/>
        <v/>
      </c>
    </row>
    <row r="2581" spans="29:29" x14ac:dyDescent="0.35">
      <c r="AC2581" t="str">
        <f t="shared" si="150"/>
        <v/>
      </c>
    </row>
    <row r="2582" spans="29:29" x14ac:dyDescent="0.35">
      <c r="AC2582" t="str">
        <f t="shared" si="150"/>
        <v/>
      </c>
    </row>
    <row r="2583" spans="29:29" x14ac:dyDescent="0.35">
      <c r="AC2583" t="str">
        <f t="shared" si="150"/>
        <v/>
      </c>
    </row>
    <row r="2584" spans="29:29" x14ac:dyDescent="0.35">
      <c r="AC2584" t="str">
        <f t="shared" si="150"/>
        <v/>
      </c>
    </row>
    <row r="2585" spans="29:29" x14ac:dyDescent="0.35">
      <c r="AC2585" t="str">
        <f t="shared" si="150"/>
        <v/>
      </c>
    </row>
    <row r="2586" spans="29:29" x14ac:dyDescent="0.35">
      <c r="AC2586" t="str">
        <f t="shared" si="150"/>
        <v/>
      </c>
    </row>
    <row r="2587" spans="29:29" x14ac:dyDescent="0.35">
      <c r="AC2587" t="str">
        <f t="shared" si="150"/>
        <v/>
      </c>
    </row>
    <row r="2588" spans="29:29" x14ac:dyDescent="0.35">
      <c r="AC2588" t="str">
        <f t="shared" si="150"/>
        <v/>
      </c>
    </row>
    <row r="2589" spans="29:29" x14ac:dyDescent="0.35">
      <c r="AC2589" t="str">
        <f t="shared" si="150"/>
        <v/>
      </c>
    </row>
    <row r="2590" spans="29:29" x14ac:dyDescent="0.35">
      <c r="AC2590" t="str">
        <f t="shared" si="150"/>
        <v/>
      </c>
    </row>
    <row r="2591" spans="29:29" x14ac:dyDescent="0.35">
      <c r="AC2591" t="str">
        <f t="shared" si="150"/>
        <v/>
      </c>
    </row>
    <row r="2592" spans="29:29" x14ac:dyDescent="0.35">
      <c r="AC2592" t="str">
        <f t="shared" si="150"/>
        <v/>
      </c>
    </row>
    <row r="2593" spans="29:29" x14ac:dyDescent="0.35">
      <c r="AC2593" t="str">
        <f t="shared" si="150"/>
        <v/>
      </c>
    </row>
    <row r="2594" spans="29:29" x14ac:dyDescent="0.35">
      <c r="AC2594" t="str">
        <f t="shared" si="150"/>
        <v/>
      </c>
    </row>
    <row r="2595" spans="29:29" x14ac:dyDescent="0.35">
      <c r="AC2595" t="str">
        <f t="shared" si="150"/>
        <v/>
      </c>
    </row>
    <row r="2596" spans="29:29" x14ac:dyDescent="0.35">
      <c r="AC2596" t="str">
        <f t="shared" si="150"/>
        <v/>
      </c>
    </row>
    <row r="2597" spans="29:29" x14ac:dyDescent="0.35">
      <c r="AC2597" t="str">
        <f t="shared" si="150"/>
        <v/>
      </c>
    </row>
    <row r="2598" spans="29:29" x14ac:dyDescent="0.35">
      <c r="AC2598" t="str">
        <f t="shared" si="150"/>
        <v/>
      </c>
    </row>
    <row r="2599" spans="29:29" x14ac:dyDescent="0.35">
      <c r="AC2599" t="str">
        <f t="shared" si="150"/>
        <v/>
      </c>
    </row>
    <row r="2600" spans="29:29" x14ac:dyDescent="0.35">
      <c r="AC2600" t="str">
        <f t="shared" si="150"/>
        <v/>
      </c>
    </row>
    <row r="2601" spans="29:29" x14ac:dyDescent="0.35">
      <c r="AC2601" t="str">
        <f t="shared" si="150"/>
        <v/>
      </c>
    </row>
    <row r="2602" spans="29:29" x14ac:dyDescent="0.35">
      <c r="AC2602" t="str">
        <f t="shared" si="150"/>
        <v/>
      </c>
    </row>
    <row r="2603" spans="29:29" x14ac:dyDescent="0.35">
      <c r="AC2603" t="str">
        <f t="shared" si="150"/>
        <v/>
      </c>
    </row>
    <row r="2604" spans="29:29" x14ac:dyDescent="0.35">
      <c r="AC2604" t="str">
        <f t="shared" si="150"/>
        <v/>
      </c>
    </row>
    <row r="2605" spans="29:29" x14ac:dyDescent="0.35">
      <c r="AC2605" t="str">
        <f t="shared" si="150"/>
        <v/>
      </c>
    </row>
    <row r="2606" spans="29:29" x14ac:dyDescent="0.35">
      <c r="AC2606" t="str">
        <f t="shared" si="150"/>
        <v/>
      </c>
    </row>
    <row r="2607" spans="29:29" x14ac:dyDescent="0.35">
      <c r="AC2607" t="str">
        <f t="shared" si="150"/>
        <v/>
      </c>
    </row>
    <row r="2608" spans="29:29" x14ac:dyDescent="0.35">
      <c r="AC2608" t="str">
        <f t="shared" si="150"/>
        <v/>
      </c>
    </row>
    <row r="2609" spans="29:29" x14ac:dyDescent="0.35">
      <c r="AC2609" t="str">
        <f t="shared" si="150"/>
        <v/>
      </c>
    </row>
    <row r="2610" spans="29:29" x14ac:dyDescent="0.35">
      <c r="AC2610" t="str">
        <f t="shared" si="150"/>
        <v/>
      </c>
    </row>
    <row r="2611" spans="29:29" x14ac:dyDescent="0.35">
      <c r="AC2611" t="str">
        <f t="shared" si="150"/>
        <v/>
      </c>
    </row>
    <row r="2612" spans="29:29" x14ac:dyDescent="0.35">
      <c r="AC2612" t="str">
        <f t="shared" si="150"/>
        <v/>
      </c>
    </row>
    <row r="2613" spans="29:29" x14ac:dyDescent="0.35">
      <c r="AC2613" t="str">
        <f t="shared" si="150"/>
        <v/>
      </c>
    </row>
    <row r="2614" spans="29:29" x14ac:dyDescent="0.35">
      <c r="AC2614" t="str">
        <f t="shared" si="150"/>
        <v/>
      </c>
    </row>
    <row r="2615" spans="29:29" x14ac:dyDescent="0.35">
      <c r="AC2615" t="str">
        <f t="shared" si="150"/>
        <v/>
      </c>
    </row>
    <row r="2616" spans="29:29" x14ac:dyDescent="0.35">
      <c r="AC2616" t="str">
        <f t="shared" si="150"/>
        <v/>
      </c>
    </row>
    <row r="2617" spans="29:29" x14ac:dyDescent="0.35">
      <c r="AC2617" t="str">
        <f t="shared" si="150"/>
        <v/>
      </c>
    </row>
    <row r="2618" spans="29:29" x14ac:dyDescent="0.35">
      <c r="AC2618" t="str">
        <f t="shared" si="150"/>
        <v/>
      </c>
    </row>
    <row r="2619" spans="29:29" x14ac:dyDescent="0.35">
      <c r="AC2619" t="str">
        <f t="shared" si="150"/>
        <v/>
      </c>
    </row>
    <row r="2620" spans="29:29" x14ac:dyDescent="0.35">
      <c r="AC2620" t="str">
        <f t="shared" si="150"/>
        <v/>
      </c>
    </row>
    <row r="2621" spans="29:29" x14ac:dyDescent="0.35">
      <c r="AC2621" t="str">
        <f t="shared" si="150"/>
        <v/>
      </c>
    </row>
    <row r="2622" spans="29:29" x14ac:dyDescent="0.35">
      <c r="AC2622" t="str">
        <f t="shared" si="150"/>
        <v/>
      </c>
    </row>
    <row r="2623" spans="29:29" x14ac:dyDescent="0.35">
      <c r="AC2623" t="str">
        <f t="shared" si="150"/>
        <v/>
      </c>
    </row>
    <row r="2624" spans="29:29" x14ac:dyDescent="0.35">
      <c r="AC2624" t="str">
        <f t="shared" si="150"/>
        <v/>
      </c>
    </row>
    <row r="2625" spans="29:29" x14ac:dyDescent="0.35">
      <c r="AC2625" t="str">
        <f t="shared" si="150"/>
        <v/>
      </c>
    </row>
    <row r="2626" spans="29:29" x14ac:dyDescent="0.35">
      <c r="AC2626" t="str">
        <f t="shared" si="150"/>
        <v/>
      </c>
    </row>
    <row r="2627" spans="29:29" x14ac:dyDescent="0.35">
      <c r="AC2627" t="str">
        <f t="shared" si="150"/>
        <v/>
      </c>
    </row>
    <row r="2628" spans="29:29" x14ac:dyDescent="0.35">
      <c r="AC2628" t="str">
        <f t="shared" si="150"/>
        <v/>
      </c>
    </row>
    <row r="2629" spans="29:29" x14ac:dyDescent="0.35">
      <c r="AC2629" t="str">
        <f t="shared" si="150"/>
        <v/>
      </c>
    </row>
    <row r="2630" spans="29:29" x14ac:dyDescent="0.35">
      <c r="AC2630" t="str">
        <f t="shared" si="150"/>
        <v/>
      </c>
    </row>
    <row r="2631" spans="29:29" x14ac:dyDescent="0.35">
      <c r="AC2631" t="str">
        <f t="shared" ref="AC2631:AC2694" si="151">IFERROR(INDEX(AA:AA,MATCH(C2631,Z:Z,0)),"")</f>
        <v/>
      </c>
    </row>
    <row r="2632" spans="29:29" x14ac:dyDescent="0.35">
      <c r="AC2632" t="str">
        <f t="shared" si="151"/>
        <v/>
      </c>
    </row>
    <row r="2633" spans="29:29" x14ac:dyDescent="0.35">
      <c r="AC2633" t="str">
        <f t="shared" si="151"/>
        <v/>
      </c>
    </row>
    <row r="2634" spans="29:29" x14ac:dyDescent="0.35">
      <c r="AC2634" t="str">
        <f t="shared" si="151"/>
        <v/>
      </c>
    </row>
    <row r="2635" spans="29:29" x14ac:dyDescent="0.35">
      <c r="AC2635" t="str">
        <f t="shared" si="151"/>
        <v/>
      </c>
    </row>
    <row r="2636" spans="29:29" x14ac:dyDescent="0.35">
      <c r="AC2636" t="str">
        <f t="shared" si="151"/>
        <v/>
      </c>
    </row>
    <row r="2637" spans="29:29" x14ac:dyDescent="0.35">
      <c r="AC2637" t="str">
        <f t="shared" si="151"/>
        <v/>
      </c>
    </row>
    <row r="2638" spans="29:29" x14ac:dyDescent="0.35">
      <c r="AC2638" t="str">
        <f t="shared" si="151"/>
        <v/>
      </c>
    </row>
    <row r="2639" spans="29:29" x14ac:dyDescent="0.35">
      <c r="AC2639" t="str">
        <f t="shared" si="151"/>
        <v/>
      </c>
    </row>
    <row r="2640" spans="29:29" x14ac:dyDescent="0.35">
      <c r="AC2640" t="str">
        <f t="shared" si="151"/>
        <v/>
      </c>
    </row>
    <row r="2641" spans="29:29" x14ac:dyDescent="0.35">
      <c r="AC2641" t="str">
        <f t="shared" si="151"/>
        <v/>
      </c>
    </row>
    <row r="2642" spans="29:29" x14ac:dyDescent="0.35">
      <c r="AC2642" t="str">
        <f t="shared" si="151"/>
        <v/>
      </c>
    </row>
    <row r="2643" spans="29:29" x14ac:dyDescent="0.35">
      <c r="AC2643" t="str">
        <f t="shared" si="151"/>
        <v/>
      </c>
    </row>
    <row r="2644" spans="29:29" x14ac:dyDescent="0.35">
      <c r="AC2644" t="str">
        <f t="shared" si="151"/>
        <v/>
      </c>
    </row>
    <row r="2645" spans="29:29" x14ac:dyDescent="0.35">
      <c r="AC2645" t="str">
        <f t="shared" si="151"/>
        <v/>
      </c>
    </row>
    <row r="2646" spans="29:29" x14ac:dyDescent="0.35">
      <c r="AC2646" t="str">
        <f t="shared" si="151"/>
        <v/>
      </c>
    </row>
    <row r="2647" spans="29:29" x14ac:dyDescent="0.35">
      <c r="AC2647" t="str">
        <f t="shared" si="151"/>
        <v/>
      </c>
    </row>
    <row r="2648" spans="29:29" x14ac:dyDescent="0.35">
      <c r="AC2648" t="str">
        <f t="shared" si="151"/>
        <v/>
      </c>
    </row>
    <row r="2649" spans="29:29" x14ac:dyDescent="0.35">
      <c r="AC2649" t="str">
        <f t="shared" si="151"/>
        <v/>
      </c>
    </row>
    <row r="2650" spans="29:29" x14ac:dyDescent="0.35">
      <c r="AC2650" t="str">
        <f t="shared" si="151"/>
        <v/>
      </c>
    </row>
    <row r="2651" spans="29:29" x14ac:dyDescent="0.35">
      <c r="AC2651" t="str">
        <f t="shared" si="151"/>
        <v/>
      </c>
    </row>
    <row r="2652" spans="29:29" x14ac:dyDescent="0.35">
      <c r="AC2652" t="str">
        <f t="shared" si="151"/>
        <v/>
      </c>
    </row>
    <row r="2653" spans="29:29" x14ac:dyDescent="0.35">
      <c r="AC2653" t="str">
        <f t="shared" si="151"/>
        <v/>
      </c>
    </row>
    <row r="2654" spans="29:29" x14ac:dyDescent="0.35">
      <c r="AC2654" t="str">
        <f t="shared" si="151"/>
        <v/>
      </c>
    </row>
    <row r="2655" spans="29:29" x14ac:dyDescent="0.35">
      <c r="AC2655" t="str">
        <f t="shared" si="151"/>
        <v/>
      </c>
    </row>
    <row r="2656" spans="29:29" x14ac:dyDescent="0.35">
      <c r="AC2656" t="str">
        <f t="shared" si="151"/>
        <v/>
      </c>
    </row>
    <row r="2657" spans="29:29" x14ac:dyDescent="0.35">
      <c r="AC2657" t="str">
        <f t="shared" si="151"/>
        <v/>
      </c>
    </row>
    <row r="2658" spans="29:29" x14ac:dyDescent="0.35">
      <c r="AC2658" t="str">
        <f t="shared" si="151"/>
        <v/>
      </c>
    </row>
    <row r="2659" spans="29:29" x14ac:dyDescent="0.35">
      <c r="AC2659" t="str">
        <f t="shared" si="151"/>
        <v/>
      </c>
    </row>
    <row r="2660" spans="29:29" x14ac:dyDescent="0.35">
      <c r="AC2660" t="str">
        <f t="shared" si="151"/>
        <v/>
      </c>
    </row>
    <row r="2661" spans="29:29" x14ac:dyDescent="0.35">
      <c r="AC2661" t="str">
        <f t="shared" si="151"/>
        <v/>
      </c>
    </row>
    <row r="2662" spans="29:29" x14ac:dyDescent="0.35">
      <c r="AC2662" t="str">
        <f t="shared" si="151"/>
        <v/>
      </c>
    </row>
    <row r="2663" spans="29:29" x14ac:dyDescent="0.35">
      <c r="AC2663" t="str">
        <f t="shared" si="151"/>
        <v/>
      </c>
    </row>
    <row r="2664" spans="29:29" x14ac:dyDescent="0.35">
      <c r="AC2664" t="str">
        <f t="shared" si="151"/>
        <v/>
      </c>
    </row>
    <row r="2665" spans="29:29" x14ac:dyDescent="0.35">
      <c r="AC2665" t="str">
        <f t="shared" si="151"/>
        <v/>
      </c>
    </row>
    <row r="2666" spans="29:29" x14ac:dyDescent="0.35">
      <c r="AC2666" t="str">
        <f t="shared" si="151"/>
        <v/>
      </c>
    </row>
    <row r="2667" spans="29:29" x14ac:dyDescent="0.35">
      <c r="AC2667" t="str">
        <f t="shared" si="151"/>
        <v/>
      </c>
    </row>
    <row r="2668" spans="29:29" x14ac:dyDescent="0.35">
      <c r="AC2668" t="str">
        <f t="shared" si="151"/>
        <v/>
      </c>
    </row>
    <row r="2669" spans="29:29" x14ac:dyDescent="0.35">
      <c r="AC2669" t="str">
        <f t="shared" si="151"/>
        <v/>
      </c>
    </row>
    <row r="2670" spans="29:29" x14ac:dyDescent="0.35">
      <c r="AC2670" t="str">
        <f t="shared" si="151"/>
        <v/>
      </c>
    </row>
    <row r="2671" spans="29:29" x14ac:dyDescent="0.35">
      <c r="AC2671" t="str">
        <f t="shared" si="151"/>
        <v/>
      </c>
    </row>
    <row r="2672" spans="29:29" x14ac:dyDescent="0.35">
      <c r="AC2672" t="str">
        <f t="shared" si="151"/>
        <v/>
      </c>
    </row>
    <row r="2673" spans="29:29" x14ac:dyDescent="0.35">
      <c r="AC2673" t="str">
        <f t="shared" si="151"/>
        <v/>
      </c>
    </row>
    <row r="2674" spans="29:29" x14ac:dyDescent="0.35">
      <c r="AC2674" t="str">
        <f t="shared" si="151"/>
        <v/>
      </c>
    </row>
    <row r="2675" spans="29:29" x14ac:dyDescent="0.35">
      <c r="AC2675" t="str">
        <f t="shared" si="151"/>
        <v/>
      </c>
    </row>
    <row r="2676" spans="29:29" x14ac:dyDescent="0.35">
      <c r="AC2676" t="str">
        <f t="shared" si="151"/>
        <v/>
      </c>
    </row>
    <row r="2677" spans="29:29" x14ac:dyDescent="0.35">
      <c r="AC2677" t="str">
        <f t="shared" si="151"/>
        <v/>
      </c>
    </row>
    <row r="2678" spans="29:29" x14ac:dyDescent="0.35">
      <c r="AC2678" t="str">
        <f t="shared" si="151"/>
        <v/>
      </c>
    </row>
    <row r="2679" spans="29:29" x14ac:dyDescent="0.35">
      <c r="AC2679" t="str">
        <f t="shared" si="151"/>
        <v/>
      </c>
    </row>
    <row r="2680" spans="29:29" x14ac:dyDescent="0.35">
      <c r="AC2680" t="str">
        <f t="shared" si="151"/>
        <v/>
      </c>
    </row>
    <row r="2681" spans="29:29" x14ac:dyDescent="0.35">
      <c r="AC2681" t="str">
        <f t="shared" si="151"/>
        <v/>
      </c>
    </row>
    <row r="2682" spans="29:29" x14ac:dyDescent="0.35">
      <c r="AC2682" t="str">
        <f t="shared" si="151"/>
        <v/>
      </c>
    </row>
    <row r="2683" spans="29:29" x14ac:dyDescent="0.35">
      <c r="AC2683" t="str">
        <f t="shared" si="151"/>
        <v/>
      </c>
    </row>
    <row r="2684" spans="29:29" x14ac:dyDescent="0.35">
      <c r="AC2684" t="str">
        <f t="shared" si="151"/>
        <v/>
      </c>
    </row>
    <row r="2685" spans="29:29" x14ac:dyDescent="0.35">
      <c r="AC2685" t="str">
        <f t="shared" si="151"/>
        <v/>
      </c>
    </row>
    <row r="2686" spans="29:29" x14ac:dyDescent="0.35">
      <c r="AC2686" t="str">
        <f t="shared" si="151"/>
        <v/>
      </c>
    </row>
    <row r="2687" spans="29:29" x14ac:dyDescent="0.35">
      <c r="AC2687" t="str">
        <f t="shared" si="151"/>
        <v/>
      </c>
    </row>
    <row r="2688" spans="29:29" x14ac:dyDescent="0.35">
      <c r="AC2688" t="str">
        <f t="shared" si="151"/>
        <v/>
      </c>
    </row>
    <row r="2689" spans="29:29" x14ac:dyDescent="0.35">
      <c r="AC2689" t="str">
        <f t="shared" si="151"/>
        <v/>
      </c>
    </row>
    <row r="2690" spans="29:29" x14ac:dyDescent="0.35">
      <c r="AC2690" t="str">
        <f t="shared" si="151"/>
        <v/>
      </c>
    </row>
    <row r="2691" spans="29:29" x14ac:dyDescent="0.35">
      <c r="AC2691" t="str">
        <f t="shared" si="151"/>
        <v/>
      </c>
    </row>
    <row r="2692" spans="29:29" x14ac:dyDescent="0.35">
      <c r="AC2692" t="str">
        <f t="shared" si="151"/>
        <v/>
      </c>
    </row>
    <row r="2693" spans="29:29" x14ac:dyDescent="0.35">
      <c r="AC2693" t="str">
        <f t="shared" si="151"/>
        <v/>
      </c>
    </row>
    <row r="2694" spans="29:29" x14ac:dyDescent="0.35">
      <c r="AC2694" t="str">
        <f t="shared" si="151"/>
        <v/>
      </c>
    </row>
    <row r="2695" spans="29:29" x14ac:dyDescent="0.35">
      <c r="AC2695" t="str">
        <f t="shared" ref="AC2695:AC2758" si="152">IFERROR(INDEX(AA:AA,MATCH(C2695,Z:Z,0)),"")</f>
        <v/>
      </c>
    </row>
    <row r="2696" spans="29:29" x14ac:dyDescent="0.35">
      <c r="AC2696" t="str">
        <f t="shared" si="152"/>
        <v/>
      </c>
    </row>
    <row r="2697" spans="29:29" x14ac:dyDescent="0.35">
      <c r="AC2697" t="str">
        <f t="shared" si="152"/>
        <v/>
      </c>
    </row>
    <row r="2698" spans="29:29" x14ac:dyDescent="0.35">
      <c r="AC2698" t="str">
        <f t="shared" si="152"/>
        <v/>
      </c>
    </row>
    <row r="2699" spans="29:29" x14ac:dyDescent="0.35">
      <c r="AC2699" t="str">
        <f t="shared" si="152"/>
        <v/>
      </c>
    </row>
    <row r="2700" spans="29:29" x14ac:dyDescent="0.35">
      <c r="AC2700" t="str">
        <f t="shared" si="152"/>
        <v/>
      </c>
    </row>
    <row r="2701" spans="29:29" x14ac:dyDescent="0.35">
      <c r="AC2701" t="str">
        <f t="shared" si="152"/>
        <v/>
      </c>
    </row>
    <row r="2702" spans="29:29" x14ac:dyDescent="0.35">
      <c r="AC2702" t="str">
        <f t="shared" si="152"/>
        <v/>
      </c>
    </row>
    <row r="2703" spans="29:29" x14ac:dyDescent="0.35">
      <c r="AC2703" t="str">
        <f t="shared" si="152"/>
        <v/>
      </c>
    </row>
    <row r="2704" spans="29:29" x14ac:dyDescent="0.35">
      <c r="AC2704" t="str">
        <f t="shared" si="152"/>
        <v/>
      </c>
    </row>
    <row r="2705" spans="29:29" x14ac:dyDescent="0.35">
      <c r="AC2705" t="str">
        <f t="shared" si="152"/>
        <v/>
      </c>
    </row>
    <row r="2706" spans="29:29" x14ac:dyDescent="0.35">
      <c r="AC2706" t="str">
        <f t="shared" si="152"/>
        <v/>
      </c>
    </row>
    <row r="2707" spans="29:29" x14ac:dyDescent="0.35">
      <c r="AC2707" t="str">
        <f t="shared" si="152"/>
        <v/>
      </c>
    </row>
    <row r="2708" spans="29:29" x14ac:dyDescent="0.35">
      <c r="AC2708" t="str">
        <f t="shared" si="152"/>
        <v/>
      </c>
    </row>
    <row r="2709" spans="29:29" x14ac:dyDescent="0.35">
      <c r="AC2709" t="str">
        <f t="shared" si="152"/>
        <v/>
      </c>
    </row>
    <row r="2710" spans="29:29" x14ac:dyDescent="0.35">
      <c r="AC2710" t="str">
        <f t="shared" si="152"/>
        <v/>
      </c>
    </row>
    <row r="2711" spans="29:29" x14ac:dyDescent="0.35">
      <c r="AC2711" t="str">
        <f t="shared" si="152"/>
        <v/>
      </c>
    </row>
    <row r="2712" spans="29:29" x14ac:dyDescent="0.35">
      <c r="AC2712" t="str">
        <f t="shared" si="152"/>
        <v/>
      </c>
    </row>
    <row r="2713" spans="29:29" x14ac:dyDescent="0.35">
      <c r="AC2713" t="str">
        <f t="shared" si="152"/>
        <v/>
      </c>
    </row>
    <row r="2714" spans="29:29" x14ac:dyDescent="0.35">
      <c r="AC2714" t="str">
        <f t="shared" si="152"/>
        <v/>
      </c>
    </row>
    <row r="2715" spans="29:29" x14ac:dyDescent="0.35">
      <c r="AC2715" t="str">
        <f t="shared" si="152"/>
        <v/>
      </c>
    </row>
    <row r="2716" spans="29:29" x14ac:dyDescent="0.35">
      <c r="AC2716" t="str">
        <f t="shared" si="152"/>
        <v/>
      </c>
    </row>
    <row r="2717" spans="29:29" x14ac:dyDescent="0.35">
      <c r="AC2717" t="str">
        <f t="shared" si="152"/>
        <v/>
      </c>
    </row>
    <row r="2718" spans="29:29" x14ac:dyDescent="0.35">
      <c r="AC2718" t="str">
        <f t="shared" si="152"/>
        <v/>
      </c>
    </row>
    <row r="2719" spans="29:29" x14ac:dyDescent="0.35">
      <c r="AC2719" t="str">
        <f t="shared" si="152"/>
        <v/>
      </c>
    </row>
    <row r="2720" spans="29:29" x14ac:dyDescent="0.35">
      <c r="AC2720" t="str">
        <f t="shared" si="152"/>
        <v/>
      </c>
    </row>
    <row r="2721" spans="29:29" x14ac:dyDescent="0.35">
      <c r="AC2721" t="str">
        <f t="shared" si="152"/>
        <v/>
      </c>
    </row>
    <row r="2722" spans="29:29" x14ac:dyDescent="0.35">
      <c r="AC2722" t="str">
        <f t="shared" si="152"/>
        <v/>
      </c>
    </row>
    <row r="2723" spans="29:29" x14ac:dyDescent="0.35">
      <c r="AC2723" t="str">
        <f t="shared" si="152"/>
        <v/>
      </c>
    </row>
    <row r="2724" spans="29:29" x14ac:dyDescent="0.35">
      <c r="AC2724" t="str">
        <f t="shared" si="152"/>
        <v/>
      </c>
    </row>
    <row r="2725" spans="29:29" x14ac:dyDescent="0.35">
      <c r="AC2725" t="str">
        <f t="shared" si="152"/>
        <v/>
      </c>
    </row>
    <row r="2726" spans="29:29" x14ac:dyDescent="0.35">
      <c r="AC2726" t="str">
        <f t="shared" si="152"/>
        <v/>
      </c>
    </row>
    <row r="2727" spans="29:29" x14ac:dyDescent="0.35">
      <c r="AC2727" t="str">
        <f t="shared" si="152"/>
        <v/>
      </c>
    </row>
    <row r="2728" spans="29:29" x14ac:dyDescent="0.35">
      <c r="AC2728" t="str">
        <f t="shared" si="152"/>
        <v/>
      </c>
    </row>
    <row r="2729" spans="29:29" x14ac:dyDescent="0.35">
      <c r="AC2729" t="str">
        <f t="shared" si="152"/>
        <v/>
      </c>
    </row>
    <row r="2730" spans="29:29" x14ac:dyDescent="0.35">
      <c r="AC2730" t="str">
        <f t="shared" si="152"/>
        <v/>
      </c>
    </row>
    <row r="2731" spans="29:29" x14ac:dyDescent="0.35">
      <c r="AC2731" t="str">
        <f t="shared" si="152"/>
        <v/>
      </c>
    </row>
    <row r="2732" spans="29:29" x14ac:dyDescent="0.35">
      <c r="AC2732" t="str">
        <f t="shared" si="152"/>
        <v/>
      </c>
    </row>
    <row r="2733" spans="29:29" x14ac:dyDescent="0.35">
      <c r="AC2733" t="str">
        <f t="shared" si="152"/>
        <v/>
      </c>
    </row>
    <row r="2734" spans="29:29" x14ac:dyDescent="0.35">
      <c r="AC2734" t="str">
        <f t="shared" si="152"/>
        <v/>
      </c>
    </row>
    <row r="2735" spans="29:29" x14ac:dyDescent="0.35">
      <c r="AC2735" t="str">
        <f t="shared" si="152"/>
        <v/>
      </c>
    </row>
    <row r="2736" spans="29:29" x14ac:dyDescent="0.35">
      <c r="AC2736" t="str">
        <f t="shared" si="152"/>
        <v/>
      </c>
    </row>
    <row r="2737" spans="29:29" x14ac:dyDescent="0.35">
      <c r="AC2737" t="str">
        <f t="shared" si="152"/>
        <v/>
      </c>
    </row>
    <row r="2738" spans="29:29" x14ac:dyDescent="0.35">
      <c r="AC2738" t="str">
        <f t="shared" si="152"/>
        <v/>
      </c>
    </row>
    <row r="2739" spans="29:29" x14ac:dyDescent="0.35">
      <c r="AC2739" t="str">
        <f t="shared" si="152"/>
        <v/>
      </c>
    </row>
    <row r="2740" spans="29:29" x14ac:dyDescent="0.35">
      <c r="AC2740" t="str">
        <f t="shared" si="152"/>
        <v/>
      </c>
    </row>
    <row r="2741" spans="29:29" x14ac:dyDescent="0.35">
      <c r="AC2741" t="str">
        <f t="shared" si="152"/>
        <v/>
      </c>
    </row>
    <row r="2742" spans="29:29" x14ac:dyDescent="0.35">
      <c r="AC2742" t="str">
        <f t="shared" si="152"/>
        <v/>
      </c>
    </row>
    <row r="2743" spans="29:29" x14ac:dyDescent="0.35">
      <c r="AC2743" t="str">
        <f t="shared" si="152"/>
        <v/>
      </c>
    </row>
    <row r="2744" spans="29:29" x14ac:dyDescent="0.35">
      <c r="AC2744" t="str">
        <f t="shared" si="152"/>
        <v/>
      </c>
    </row>
    <row r="2745" spans="29:29" x14ac:dyDescent="0.35">
      <c r="AC2745" t="str">
        <f t="shared" si="152"/>
        <v/>
      </c>
    </row>
    <row r="2746" spans="29:29" x14ac:dyDescent="0.35">
      <c r="AC2746" t="str">
        <f t="shared" si="152"/>
        <v/>
      </c>
    </row>
    <row r="2747" spans="29:29" x14ac:dyDescent="0.35">
      <c r="AC2747" t="str">
        <f t="shared" si="152"/>
        <v/>
      </c>
    </row>
    <row r="2748" spans="29:29" x14ac:dyDescent="0.35">
      <c r="AC2748" t="str">
        <f t="shared" si="152"/>
        <v/>
      </c>
    </row>
    <row r="2749" spans="29:29" x14ac:dyDescent="0.35">
      <c r="AC2749" t="str">
        <f t="shared" si="152"/>
        <v/>
      </c>
    </row>
    <row r="2750" spans="29:29" x14ac:dyDescent="0.35">
      <c r="AC2750" t="str">
        <f t="shared" si="152"/>
        <v/>
      </c>
    </row>
    <row r="2751" spans="29:29" x14ac:dyDescent="0.35">
      <c r="AC2751" t="str">
        <f t="shared" si="152"/>
        <v/>
      </c>
    </row>
    <row r="2752" spans="29:29" x14ac:dyDescent="0.35">
      <c r="AC2752" t="str">
        <f t="shared" si="152"/>
        <v/>
      </c>
    </row>
    <row r="2753" spans="29:29" x14ac:dyDescent="0.35">
      <c r="AC2753" t="str">
        <f t="shared" si="152"/>
        <v/>
      </c>
    </row>
    <row r="2754" spans="29:29" x14ac:dyDescent="0.35">
      <c r="AC2754" t="str">
        <f t="shared" si="152"/>
        <v/>
      </c>
    </row>
    <row r="2755" spans="29:29" x14ac:dyDescent="0.35">
      <c r="AC2755" t="str">
        <f t="shared" si="152"/>
        <v/>
      </c>
    </row>
    <row r="2756" spans="29:29" x14ac:dyDescent="0.35">
      <c r="AC2756" t="str">
        <f t="shared" si="152"/>
        <v/>
      </c>
    </row>
    <row r="2757" spans="29:29" x14ac:dyDescent="0.35">
      <c r="AC2757" t="str">
        <f t="shared" si="152"/>
        <v/>
      </c>
    </row>
    <row r="2758" spans="29:29" x14ac:dyDescent="0.35">
      <c r="AC2758" t="str">
        <f t="shared" si="152"/>
        <v/>
      </c>
    </row>
    <row r="2759" spans="29:29" x14ac:dyDescent="0.35">
      <c r="AC2759" t="str">
        <f t="shared" ref="AC2759:AC2822" si="153">IFERROR(INDEX(AA:AA,MATCH(C2759,Z:Z,0)),"")</f>
        <v/>
      </c>
    </row>
    <row r="2760" spans="29:29" x14ac:dyDescent="0.35">
      <c r="AC2760" t="str">
        <f t="shared" si="153"/>
        <v/>
      </c>
    </row>
    <row r="2761" spans="29:29" x14ac:dyDescent="0.35">
      <c r="AC2761" t="str">
        <f t="shared" si="153"/>
        <v/>
      </c>
    </row>
    <row r="2762" spans="29:29" x14ac:dyDescent="0.35">
      <c r="AC2762" t="str">
        <f t="shared" si="153"/>
        <v/>
      </c>
    </row>
    <row r="2763" spans="29:29" x14ac:dyDescent="0.35">
      <c r="AC2763" t="str">
        <f t="shared" si="153"/>
        <v/>
      </c>
    </row>
    <row r="2764" spans="29:29" x14ac:dyDescent="0.35">
      <c r="AC2764" t="str">
        <f t="shared" si="153"/>
        <v/>
      </c>
    </row>
    <row r="2765" spans="29:29" x14ac:dyDescent="0.35">
      <c r="AC2765" t="str">
        <f t="shared" si="153"/>
        <v/>
      </c>
    </row>
    <row r="2766" spans="29:29" x14ac:dyDescent="0.35">
      <c r="AC2766" t="str">
        <f t="shared" si="153"/>
        <v/>
      </c>
    </row>
    <row r="2767" spans="29:29" x14ac:dyDescent="0.35">
      <c r="AC2767" t="str">
        <f t="shared" si="153"/>
        <v/>
      </c>
    </row>
    <row r="2768" spans="29:29" x14ac:dyDescent="0.35">
      <c r="AC2768" t="str">
        <f t="shared" si="153"/>
        <v/>
      </c>
    </row>
    <row r="2769" spans="29:29" x14ac:dyDescent="0.35">
      <c r="AC2769" t="str">
        <f t="shared" si="153"/>
        <v/>
      </c>
    </row>
    <row r="2770" spans="29:29" x14ac:dyDescent="0.35">
      <c r="AC2770" t="str">
        <f t="shared" si="153"/>
        <v/>
      </c>
    </row>
    <row r="2771" spans="29:29" x14ac:dyDescent="0.35">
      <c r="AC2771" t="str">
        <f t="shared" si="153"/>
        <v/>
      </c>
    </row>
    <row r="2772" spans="29:29" x14ac:dyDescent="0.35">
      <c r="AC2772" t="str">
        <f t="shared" si="153"/>
        <v/>
      </c>
    </row>
    <row r="2773" spans="29:29" x14ac:dyDescent="0.35">
      <c r="AC2773" t="str">
        <f t="shared" si="153"/>
        <v/>
      </c>
    </row>
    <row r="2774" spans="29:29" x14ac:dyDescent="0.35">
      <c r="AC2774" t="str">
        <f t="shared" si="153"/>
        <v/>
      </c>
    </row>
    <row r="2775" spans="29:29" x14ac:dyDescent="0.35">
      <c r="AC2775" t="str">
        <f t="shared" si="153"/>
        <v/>
      </c>
    </row>
    <row r="2776" spans="29:29" x14ac:dyDescent="0.35">
      <c r="AC2776" t="str">
        <f t="shared" si="153"/>
        <v/>
      </c>
    </row>
    <row r="2777" spans="29:29" x14ac:dyDescent="0.35">
      <c r="AC2777" t="str">
        <f t="shared" si="153"/>
        <v/>
      </c>
    </row>
    <row r="2778" spans="29:29" x14ac:dyDescent="0.35">
      <c r="AC2778" t="str">
        <f t="shared" si="153"/>
        <v/>
      </c>
    </row>
    <row r="2779" spans="29:29" x14ac:dyDescent="0.35">
      <c r="AC2779" t="str">
        <f t="shared" si="153"/>
        <v/>
      </c>
    </row>
    <row r="2780" spans="29:29" x14ac:dyDescent="0.35">
      <c r="AC2780" t="str">
        <f t="shared" si="153"/>
        <v/>
      </c>
    </row>
    <row r="2781" spans="29:29" x14ac:dyDescent="0.35">
      <c r="AC2781" t="str">
        <f t="shared" si="153"/>
        <v/>
      </c>
    </row>
    <row r="2782" spans="29:29" x14ac:dyDescent="0.35">
      <c r="AC2782" t="str">
        <f t="shared" si="153"/>
        <v/>
      </c>
    </row>
    <row r="2783" spans="29:29" x14ac:dyDescent="0.35">
      <c r="AC2783" t="str">
        <f t="shared" si="153"/>
        <v/>
      </c>
    </row>
    <row r="2784" spans="29:29" x14ac:dyDescent="0.35">
      <c r="AC2784" t="str">
        <f t="shared" si="153"/>
        <v/>
      </c>
    </row>
    <row r="2785" spans="29:29" x14ac:dyDescent="0.35">
      <c r="AC2785" t="str">
        <f t="shared" si="153"/>
        <v/>
      </c>
    </row>
    <row r="2786" spans="29:29" x14ac:dyDescent="0.35">
      <c r="AC2786" t="str">
        <f t="shared" si="153"/>
        <v/>
      </c>
    </row>
    <row r="2787" spans="29:29" x14ac:dyDescent="0.35">
      <c r="AC2787" t="str">
        <f t="shared" si="153"/>
        <v/>
      </c>
    </row>
    <row r="2788" spans="29:29" x14ac:dyDescent="0.35">
      <c r="AC2788" t="str">
        <f t="shared" si="153"/>
        <v/>
      </c>
    </row>
    <row r="2789" spans="29:29" x14ac:dyDescent="0.35">
      <c r="AC2789" t="str">
        <f t="shared" si="153"/>
        <v/>
      </c>
    </row>
    <row r="2790" spans="29:29" x14ac:dyDescent="0.35">
      <c r="AC2790" t="str">
        <f t="shared" si="153"/>
        <v/>
      </c>
    </row>
    <row r="2791" spans="29:29" x14ac:dyDescent="0.35">
      <c r="AC2791" t="str">
        <f t="shared" si="153"/>
        <v/>
      </c>
    </row>
    <row r="2792" spans="29:29" x14ac:dyDescent="0.35">
      <c r="AC2792" t="str">
        <f t="shared" si="153"/>
        <v/>
      </c>
    </row>
    <row r="2793" spans="29:29" x14ac:dyDescent="0.35">
      <c r="AC2793" t="str">
        <f t="shared" si="153"/>
        <v/>
      </c>
    </row>
    <row r="2794" spans="29:29" x14ac:dyDescent="0.35">
      <c r="AC2794" t="str">
        <f t="shared" si="153"/>
        <v/>
      </c>
    </row>
    <row r="2795" spans="29:29" x14ac:dyDescent="0.35">
      <c r="AC2795" t="str">
        <f t="shared" si="153"/>
        <v/>
      </c>
    </row>
    <row r="2796" spans="29:29" x14ac:dyDescent="0.35">
      <c r="AC2796" t="str">
        <f t="shared" si="153"/>
        <v/>
      </c>
    </row>
    <row r="2797" spans="29:29" x14ac:dyDescent="0.35">
      <c r="AC2797" t="str">
        <f t="shared" si="153"/>
        <v/>
      </c>
    </row>
    <row r="2798" spans="29:29" x14ac:dyDescent="0.35">
      <c r="AC2798" t="str">
        <f t="shared" si="153"/>
        <v/>
      </c>
    </row>
    <row r="2799" spans="29:29" x14ac:dyDescent="0.35">
      <c r="AC2799" t="str">
        <f t="shared" si="153"/>
        <v/>
      </c>
    </row>
    <row r="2800" spans="29:29" x14ac:dyDescent="0.35">
      <c r="AC2800" t="str">
        <f t="shared" si="153"/>
        <v/>
      </c>
    </row>
    <row r="2801" spans="29:29" x14ac:dyDescent="0.35">
      <c r="AC2801" t="str">
        <f t="shared" si="153"/>
        <v/>
      </c>
    </row>
    <row r="2802" spans="29:29" x14ac:dyDescent="0.35">
      <c r="AC2802" t="str">
        <f t="shared" si="153"/>
        <v/>
      </c>
    </row>
    <row r="2803" spans="29:29" x14ac:dyDescent="0.35">
      <c r="AC2803" t="str">
        <f t="shared" si="153"/>
        <v/>
      </c>
    </row>
    <row r="2804" spans="29:29" x14ac:dyDescent="0.35">
      <c r="AC2804" t="str">
        <f t="shared" si="153"/>
        <v/>
      </c>
    </row>
    <row r="2805" spans="29:29" x14ac:dyDescent="0.35">
      <c r="AC2805" t="str">
        <f t="shared" si="153"/>
        <v/>
      </c>
    </row>
    <row r="2806" spans="29:29" x14ac:dyDescent="0.35">
      <c r="AC2806" t="str">
        <f t="shared" si="153"/>
        <v/>
      </c>
    </row>
    <row r="2807" spans="29:29" x14ac:dyDescent="0.35">
      <c r="AC2807" t="str">
        <f t="shared" si="153"/>
        <v/>
      </c>
    </row>
    <row r="2808" spans="29:29" x14ac:dyDescent="0.35">
      <c r="AC2808" t="str">
        <f t="shared" si="153"/>
        <v/>
      </c>
    </row>
    <row r="2809" spans="29:29" x14ac:dyDescent="0.35">
      <c r="AC2809" t="str">
        <f t="shared" si="153"/>
        <v/>
      </c>
    </row>
    <row r="2810" spans="29:29" x14ac:dyDescent="0.35">
      <c r="AC2810" t="str">
        <f t="shared" si="153"/>
        <v/>
      </c>
    </row>
    <row r="2811" spans="29:29" x14ac:dyDescent="0.35">
      <c r="AC2811" t="str">
        <f t="shared" si="153"/>
        <v/>
      </c>
    </row>
    <row r="2812" spans="29:29" x14ac:dyDescent="0.35">
      <c r="AC2812" t="str">
        <f t="shared" si="153"/>
        <v/>
      </c>
    </row>
    <row r="2813" spans="29:29" x14ac:dyDescent="0.35">
      <c r="AC2813" t="str">
        <f t="shared" si="153"/>
        <v/>
      </c>
    </row>
    <row r="2814" spans="29:29" x14ac:dyDescent="0.35">
      <c r="AC2814" t="str">
        <f t="shared" si="153"/>
        <v/>
      </c>
    </row>
    <row r="2815" spans="29:29" x14ac:dyDescent="0.35">
      <c r="AC2815" t="str">
        <f t="shared" si="153"/>
        <v/>
      </c>
    </row>
    <row r="2816" spans="29:29" x14ac:dyDescent="0.35">
      <c r="AC2816" t="str">
        <f t="shared" si="153"/>
        <v/>
      </c>
    </row>
    <row r="2817" spans="29:29" x14ac:dyDescent="0.35">
      <c r="AC2817" t="str">
        <f t="shared" si="153"/>
        <v/>
      </c>
    </row>
    <row r="2818" spans="29:29" x14ac:dyDescent="0.35">
      <c r="AC2818" t="str">
        <f t="shared" si="153"/>
        <v/>
      </c>
    </row>
    <row r="2819" spans="29:29" x14ac:dyDescent="0.35">
      <c r="AC2819" t="str">
        <f t="shared" si="153"/>
        <v/>
      </c>
    </row>
    <row r="2820" spans="29:29" x14ac:dyDescent="0.35">
      <c r="AC2820" t="str">
        <f t="shared" si="153"/>
        <v/>
      </c>
    </row>
    <row r="2821" spans="29:29" x14ac:dyDescent="0.35">
      <c r="AC2821" t="str">
        <f t="shared" si="153"/>
        <v/>
      </c>
    </row>
    <row r="2822" spans="29:29" x14ac:dyDescent="0.35">
      <c r="AC2822" t="str">
        <f t="shared" si="153"/>
        <v/>
      </c>
    </row>
    <row r="2823" spans="29:29" x14ac:dyDescent="0.35">
      <c r="AC2823" t="str">
        <f t="shared" ref="AC2823:AC2886" si="154">IFERROR(INDEX(AA:AA,MATCH(C2823,Z:Z,0)),"")</f>
        <v/>
      </c>
    </row>
    <row r="2824" spans="29:29" x14ac:dyDescent="0.35">
      <c r="AC2824" t="str">
        <f t="shared" si="154"/>
        <v/>
      </c>
    </row>
    <row r="2825" spans="29:29" x14ac:dyDescent="0.35">
      <c r="AC2825" t="str">
        <f t="shared" si="154"/>
        <v/>
      </c>
    </row>
    <row r="2826" spans="29:29" x14ac:dyDescent="0.35">
      <c r="AC2826" t="str">
        <f t="shared" si="154"/>
        <v/>
      </c>
    </row>
    <row r="2827" spans="29:29" x14ac:dyDescent="0.35">
      <c r="AC2827" t="str">
        <f t="shared" si="154"/>
        <v/>
      </c>
    </row>
    <row r="2828" spans="29:29" x14ac:dyDescent="0.35">
      <c r="AC2828" t="str">
        <f t="shared" si="154"/>
        <v/>
      </c>
    </row>
    <row r="2829" spans="29:29" x14ac:dyDescent="0.35">
      <c r="AC2829" t="str">
        <f t="shared" si="154"/>
        <v/>
      </c>
    </row>
    <row r="2830" spans="29:29" x14ac:dyDescent="0.35">
      <c r="AC2830" t="str">
        <f t="shared" si="154"/>
        <v/>
      </c>
    </row>
    <row r="2831" spans="29:29" x14ac:dyDescent="0.35">
      <c r="AC2831" t="str">
        <f t="shared" si="154"/>
        <v/>
      </c>
    </row>
    <row r="2832" spans="29:29" x14ac:dyDescent="0.35">
      <c r="AC2832" t="str">
        <f t="shared" si="154"/>
        <v/>
      </c>
    </row>
    <row r="2833" spans="29:29" x14ac:dyDescent="0.35">
      <c r="AC2833" t="str">
        <f t="shared" si="154"/>
        <v/>
      </c>
    </row>
    <row r="2834" spans="29:29" x14ac:dyDescent="0.35">
      <c r="AC2834" t="str">
        <f t="shared" si="154"/>
        <v/>
      </c>
    </row>
    <row r="2835" spans="29:29" x14ac:dyDescent="0.35">
      <c r="AC2835" t="str">
        <f t="shared" si="154"/>
        <v/>
      </c>
    </row>
    <row r="2836" spans="29:29" x14ac:dyDescent="0.35">
      <c r="AC2836" t="str">
        <f t="shared" si="154"/>
        <v/>
      </c>
    </row>
    <row r="2837" spans="29:29" x14ac:dyDescent="0.35">
      <c r="AC2837" t="str">
        <f t="shared" si="154"/>
        <v/>
      </c>
    </row>
    <row r="2838" spans="29:29" x14ac:dyDescent="0.35">
      <c r="AC2838" t="str">
        <f t="shared" si="154"/>
        <v/>
      </c>
    </row>
    <row r="2839" spans="29:29" x14ac:dyDescent="0.35">
      <c r="AC2839" t="str">
        <f t="shared" si="154"/>
        <v/>
      </c>
    </row>
    <row r="2840" spans="29:29" x14ac:dyDescent="0.35">
      <c r="AC2840" t="str">
        <f t="shared" si="154"/>
        <v/>
      </c>
    </row>
    <row r="2841" spans="29:29" x14ac:dyDescent="0.35">
      <c r="AC2841" t="str">
        <f t="shared" si="154"/>
        <v/>
      </c>
    </row>
    <row r="2842" spans="29:29" x14ac:dyDescent="0.35">
      <c r="AC2842" t="str">
        <f t="shared" si="154"/>
        <v/>
      </c>
    </row>
    <row r="2843" spans="29:29" x14ac:dyDescent="0.35">
      <c r="AC2843" t="str">
        <f t="shared" si="154"/>
        <v/>
      </c>
    </row>
    <row r="2844" spans="29:29" x14ac:dyDescent="0.35">
      <c r="AC2844" t="str">
        <f t="shared" si="154"/>
        <v/>
      </c>
    </row>
    <row r="2845" spans="29:29" x14ac:dyDescent="0.35">
      <c r="AC2845" t="str">
        <f t="shared" si="154"/>
        <v/>
      </c>
    </row>
    <row r="2846" spans="29:29" x14ac:dyDescent="0.35">
      <c r="AC2846" t="str">
        <f t="shared" si="154"/>
        <v/>
      </c>
    </row>
    <row r="2847" spans="29:29" x14ac:dyDescent="0.35">
      <c r="AC2847" t="str">
        <f t="shared" si="154"/>
        <v/>
      </c>
    </row>
    <row r="2848" spans="29:29" x14ac:dyDescent="0.35">
      <c r="AC2848" t="str">
        <f t="shared" si="154"/>
        <v/>
      </c>
    </row>
    <row r="2849" spans="29:29" x14ac:dyDescent="0.35">
      <c r="AC2849" t="str">
        <f t="shared" si="154"/>
        <v/>
      </c>
    </row>
    <row r="2850" spans="29:29" x14ac:dyDescent="0.35">
      <c r="AC2850" t="str">
        <f t="shared" si="154"/>
        <v/>
      </c>
    </row>
    <row r="2851" spans="29:29" x14ac:dyDescent="0.35">
      <c r="AC2851" t="str">
        <f t="shared" si="154"/>
        <v/>
      </c>
    </row>
    <row r="2852" spans="29:29" x14ac:dyDescent="0.35">
      <c r="AC2852" t="str">
        <f t="shared" si="154"/>
        <v/>
      </c>
    </row>
    <row r="2853" spans="29:29" x14ac:dyDescent="0.35">
      <c r="AC2853" t="str">
        <f t="shared" si="154"/>
        <v/>
      </c>
    </row>
    <row r="2854" spans="29:29" x14ac:dyDescent="0.35">
      <c r="AC2854" t="str">
        <f t="shared" si="154"/>
        <v/>
      </c>
    </row>
    <row r="2855" spans="29:29" x14ac:dyDescent="0.35">
      <c r="AC2855" t="str">
        <f t="shared" si="154"/>
        <v/>
      </c>
    </row>
    <row r="2856" spans="29:29" x14ac:dyDescent="0.35">
      <c r="AC2856" t="str">
        <f t="shared" si="154"/>
        <v/>
      </c>
    </row>
    <row r="2857" spans="29:29" x14ac:dyDescent="0.35">
      <c r="AC2857" t="str">
        <f t="shared" si="154"/>
        <v/>
      </c>
    </row>
    <row r="2858" spans="29:29" x14ac:dyDescent="0.35">
      <c r="AC2858" t="str">
        <f t="shared" si="154"/>
        <v/>
      </c>
    </row>
    <row r="2859" spans="29:29" x14ac:dyDescent="0.35">
      <c r="AC2859" t="str">
        <f t="shared" si="154"/>
        <v/>
      </c>
    </row>
    <row r="2860" spans="29:29" x14ac:dyDescent="0.35">
      <c r="AC2860" t="str">
        <f t="shared" si="154"/>
        <v/>
      </c>
    </row>
    <row r="2861" spans="29:29" x14ac:dyDescent="0.35">
      <c r="AC2861" t="str">
        <f t="shared" si="154"/>
        <v/>
      </c>
    </row>
    <row r="2862" spans="29:29" x14ac:dyDescent="0.35">
      <c r="AC2862" t="str">
        <f t="shared" si="154"/>
        <v/>
      </c>
    </row>
    <row r="2863" spans="29:29" x14ac:dyDescent="0.35">
      <c r="AC2863" t="str">
        <f t="shared" si="154"/>
        <v/>
      </c>
    </row>
    <row r="2864" spans="29:29" x14ac:dyDescent="0.35">
      <c r="AC2864" t="str">
        <f t="shared" si="154"/>
        <v/>
      </c>
    </row>
    <row r="2865" spans="29:29" x14ac:dyDescent="0.35">
      <c r="AC2865" t="str">
        <f t="shared" si="154"/>
        <v/>
      </c>
    </row>
    <row r="2866" spans="29:29" x14ac:dyDescent="0.35">
      <c r="AC2866" t="str">
        <f t="shared" si="154"/>
        <v/>
      </c>
    </row>
    <row r="2867" spans="29:29" x14ac:dyDescent="0.35">
      <c r="AC2867" t="str">
        <f t="shared" si="154"/>
        <v/>
      </c>
    </row>
    <row r="2868" spans="29:29" x14ac:dyDescent="0.35">
      <c r="AC2868" t="str">
        <f t="shared" si="154"/>
        <v/>
      </c>
    </row>
    <row r="2869" spans="29:29" x14ac:dyDescent="0.35">
      <c r="AC2869" t="str">
        <f t="shared" si="154"/>
        <v/>
      </c>
    </row>
    <row r="2870" spans="29:29" x14ac:dyDescent="0.35">
      <c r="AC2870" t="str">
        <f t="shared" si="154"/>
        <v/>
      </c>
    </row>
    <row r="2871" spans="29:29" x14ac:dyDescent="0.35">
      <c r="AC2871" t="str">
        <f t="shared" si="154"/>
        <v/>
      </c>
    </row>
    <row r="2872" spans="29:29" x14ac:dyDescent="0.35">
      <c r="AC2872" t="str">
        <f t="shared" si="154"/>
        <v/>
      </c>
    </row>
    <row r="2873" spans="29:29" x14ac:dyDescent="0.35">
      <c r="AC2873" t="str">
        <f t="shared" si="154"/>
        <v/>
      </c>
    </row>
    <row r="2874" spans="29:29" x14ac:dyDescent="0.35">
      <c r="AC2874" t="str">
        <f t="shared" si="154"/>
        <v/>
      </c>
    </row>
    <row r="2875" spans="29:29" x14ac:dyDescent="0.35">
      <c r="AC2875" t="str">
        <f t="shared" si="154"/>
        <v/>
      </c>
    </row>
    <row r="2876" spans="29:29" x14ac:dyDescent="0.35">
      <c r="AC2876" t="str">
        <f t="shared" si="154"/>
        <v/>
      </c>
    </row>
    <row r="2877" spans="29:29" x14ac:dyDescent="0.35">
      <c r="AC2877" t="str">
        <f t="shared" si="154"/>
        <v/>
      </c>
    </row>
    <row r="2878" spans="29:29" x14ac:dyDescent="0.35">
      <c r="AC2878" t="str">
        <f t="shared" si="154"/>
        <v/>
      </c>
    </row>
    <row r="2879" spans="29:29" x14ac:dyDescent="0.35">
      <c r="AC2879" t="str">
        <f t="shared" si="154"/>
        <v/>
      </c>
    </row>
    <row r="2880" spans="29:29" x14ac:dyDescent="0.35">
      <c r="AC2880" t="str">
        <f t="shared" si="154"/>
        <v/>
      </c>
    </row>
    <row r="2881" spans="29:29" x14ac:dyDescent="0.35">
      <c r="AC2881" t="str">
        <f t="shared" si="154"/>
        <v/>
      </c>
    </row>
    <row r="2882" spans="29:29" x14ac:dyDescent="0.35">
      <c r="AC2882" t="str">
        <f t="shared" si="154"/>
        <v/>
      </c>
    </row>
    <row r="2883" spans="29:29" x14ac:dyDescent="0.35">
      <c r="AC2883" t="str">
        <f t="shared" si="154"/>
        <v/>
      </c>
    </row>
    <row r="2884" spans="29:29" x14ac:dyDescent="0.35">
      <c r="AC2884" t="str">
        <f t="shared" si="154"/>
        <v/>
      </c>
    </row>
    <row r="2885" spans="29:29" x14ac:dyDescent="0.35">
      <c r="AC2885" t="str">
        <f t="shared" si="154"/>
        <v/>
      </c>
    </row>
    <row r="2886" spans="29:29" x14ac:dyDescent="0.35">
      <c r="AC2886" t="str">
        <f t="shared" si="154"/>
        <v/>
      </c>
    </row>
    <row r="2887" spans="29:29" x14ac:dyDescent="0.35">
      <c r="AC2887" t="str">
        <f t="shared" ref="AC2887:AC2945" si="155">IFERROR(INDEX(AA:AA,MATCH(C2887,Z:Z,0)),"")</f>
        <v/>
      </c>
    </row>
    <row r="2888" spans="29:29" x14ac:dyDescent="0.35">
      <c r="AC2888" t="str">
        <f t="shared" si="155"/>
        <v/>
      </c>
    </row>
    <row r="2889" spans="29:29" x14ac:dyDescent="0.35">
      <c r="AC2889" t="str">
        <f t="shared" si="155"/>
        <v/>
      </c>
    </row>
    <row r="2890" spans="29:29" x14ac:dyDescent="0.35">
      <c r="AC2890" t="str">
        <f t="shared" si="155"/>
        <v/>
      </c>
    </row>
    <row r="2891" spans="29:29" x14ac:dyDescent="0.35">
      <c r="AC2891" t="str">
        <f t="shared" si="155"/>
        <v/>
      </c>
    </row>
    <row r="2892" spans="29:29" x14ac:dyDescent="0.35">
      <c r="AC2892" t="str">
        <f t="shared" si="155"/>
        <v/>
      </c>
    </row>
    <row r="2893" spans="29:29" x14ac:dyDescent="0.35">
      <c r="AC2893" t="str">
        <f t="shared" si="155"/>
        <v/>
      </c>
    </row>
    <row r="2894" spans="29:29" x14ac:dyDescent="0.35">
      <c r="AC2894" t="str">
        <f t="shared" si="155"/>
        <v/>
      </c>
    </row>
    <row r="2895" spans="29:29" x14ac:dyDescent="0.35">
      <c r="AC2895" t="str">
        <f t="shared" si="155"/>
        <v/>
      </c>
    </row>
    <row r="2896" spans="29:29" x14ac:dyDescent="0.35">
      <c r="AC2896" t="str">
        <f t="shared" si="155"/>
        <v/>
      </c>
    </row>
    <row r="2897" spans="29:29" x14ac:dyDescent="0.35">
      <c r="AC2897" t="str">
        <f t="shared" si="155"/>
        <v/>
      </c>
    </row>
    <row r="2898" spans="29:29" x14ac:dyDescent="0.35">
      <c r="AC2898" t="str">
        <f t="shared" si="155"/>
        <v/>
      </c>
    </row>
    <row r="2899" spans="29:29" x14ac:dyDescent="0.35">
      <c r="AC2899" t="str">
        <f t="shared" si="155"/>
        <v/>
      </c>
    </row>
    <row r="2900" spans="29:29" x14ac:dyDescent="0.35">
      <c r="AC2900" t="str">
        <f t="shared" si="155"/>
        <v/>
      </c>
    </row>
    <row r="2901" spans="29:29" x14ac:dyDescent="0.35">
      <c r="AC2901" t="str">
        <f t="shared" si="155"/>
        <v/>
      </c>
    </row>
    <row r="2902" spans="29:29" x14ac:dyDescent="0.35">
      <c r="AC2902" t="str">
        <f t="shared" si="155"/>
        <v/>
      </c>
    </row>
    <row r="2903" spans="29:29" x14ac:dyDescent="0.35">
      <c r="AC2903" t="str">
        <f t="shared" si="155"/>
        <v/>
      </c>
    </row>
    <row r="2904" spans="29:29" x14ac:dyDescent="0.35">
      <c r="AC2904" t="str">
        <f t="shared" si="155"/>
        <v/>
      </c>
    </row>
    <row r="2905" spans="29:29" x14ac:dyDescent="0.35">
      <c r="AC2905" t="str">
        <f t="shared" si="155"/>
        <v/>
      </c>
    </row>
    <row r="2906" spans="29:29" x14ac:dyDescent="0.35">
      <c r="AC2906" t="str">
        <f t="shared" si="155"/>
        <v/>
      </c>
    </row>
    <row r="2907" spans="29:29" x14ac:dyDescent="0.35">
      <c r="AC2907" t="str">
        <f t="shared" si="155"/>
        <v/>
      </c>
    </row>
    <row r="2908" spans="29:29" x14ac:dyDescent="0.35">
      <c r="AC2908" t="str">
        <f t="shared" si="155"/>
        <v/>
      </c>
    </row>
    <row r="2909" spans="29:29" x14ac:dyDescent="0.35">
      <c r="AC2909" t="str">
        <f t="shared" si="155"/>
        <v/>
      </c>
    </row>
    <row r="2910" spans="29:29" x14ac:dyDescent="0.35">
      <c r="AC2910" t="str">
        <f t="shared" si="155"/>
        <v/>
      </c>
    </row>
    <row r="2911" spans="29:29" x14ac:dyDescent="0.35">
      <c r="AC2911" t="str">
        <f t="shared" si="155"/>
        <v/>
      </c>
    </row>
    <row r="2912" spans="29:29" x14ac:dyDescent="0.35">
      <c r="AC2912" t="str">
        <f t="shared" si="155"/>
        <v/>
      </c>
    </row>
    <row r="2913" spans="29:29" x14ac:dyDescent="0.35">
      <c r="AC2913" t="str">
        <f t="shared" si="155"/>
        <v/>
      </c>
    </row>
    <row r="2914" spans="29:29" x14ac:dyDescent="0.35">
      <c r="AC2914" t="str">
        <f t="shared" si="155"/>
        <v/>
      </c>
    </row>
    <row r="2915" spans="29:29" x14ac:dyDescent="0.35">
      <c r="AC2915" t="str">
        <f t="shared" si="155"/>
        <v/>
      </c>
    </row>
    <row r="2916" spans="29:29" x14ac:dyDescent="0.35">
      <c r="AC2916" t="str">
        <f t="shared" si="155"/>
        <v/>
      </c>
    </row>
    <row r="2917" spans="29:29" x14ac:dyDescent="0.35">
      <c r="AC2917" t="str">
        <f t="shared" si="155"/>
        <v/>
      </c>
    </row>
    <row r="2918" spans="29:29" x14ac:dyDescent="0.35">
      <c r="AC2918" t="str">
        <f t="shared" si="155"/>
        <v/>
      </c>
    </row>
    <row r="2919" spans="29:29" x14ac:dyDescent="0.35">
      <c r="AC2919" t="str">
        <f t="shared" si="155"/>
        <v/>
      </c>
    </row>
    <row r="2920" spans="29:29" x14ac:dyDescent="0.35">
      <c r="AC2920" t="str">
        <f t="shared" si="155"/>
        <v/>
      </c>
    </row>
    <row r="2921" spans="29:29" x14ac:dyDescent="0.35">
      <c r="AC2921" t="str">
        <f t="shared" si="155"/>
        <v/>
      </c>
    </row>
    <row r="2922" spans="29:29" x14ac:dyDescent="0.35">
      <c r="AC2922" t="str">
        <f t="shared" si="155"/>
        <v/>
      </c>
    </row>
    <row r="2923" spans="29:29" x14ac:dyDescent="0.35">
      <c r="AC2923" t="str">
        <f t="shared" si="155"/>
        <v/>
      </c>
    </row>
    <row r="2924" spans="29:29" x14ac:dyDescent="0.35">
      <c r="AC2924" t="str">
        <f t="shared" si="155"/>
        <v/>
      </c>
    </row>
    <row r="2925" spans="29:29" x14ac:dyDescent="0.35">
      <c r="AC2925" t="str">
        <f t="shared" si="155"/>
        <v/>
      </c>
    </row>
    <row r="2926" spans="29:29" x14ac:dyDescent="0.35">
      <c r="AC2926" t="str">
        <f t="shared" si="155"/>
        <v/>
      </c>
    </row>
    <row r="2927" spans="29:29" x14ac:dyDescent="0.35">
      <c r="AC2927" t="str">
        <f t="shared" si="155"/>
        <v/>
      </c>
    </row>
    <row r="2928" spans="29:29" x14ac:dyDescent="0.35">
      <c r="AC2928" t="str">
        <f t="shared" si="155"/>
        <v/>
      </c>
    </row>
    <row r="2929" spans="29:29" x14ac:dyDescent="0.35">
      <c r="AC2929" t="str">
        <f t="shared" si="155"/>
        <v/>
      </c>
    </row>
    <row r="2930" spans="29:29" x14ac:dyDescent="0.35">
      <c r="AC2930" t="str">
        <f t="shared" si="155"/>
        <v/>
      </c>
    </row>
    <row r="2931" spans="29:29" x14ac:dyDescent="0.35">
      <c r="AC2931" t="str">
        <f t="shared" si="155"/>
        <v/>
      </c>
    </row>
    <row r="2932" spans="29:29" x14ac:dyDescent="0.35">
      <c r="AC2932" t="str">
        <f t="shared" si="155"/>
        <v/>
      </c>
    </row>
    <row r="2933" spans="29:29" x14ac:dyDescent="0.35">
      <c r="AC2933" t="str">
        <f t="shared" si="155"/>
        <v/>
      </c>
    </row>
    <row r="2934" spans="29:29" x14ac:dyDescent="0.35">
      <c r="AC2934" t="str">
        <f t="shared" si="155"/>
        <v/>
      </c>
    </row>
    <row r="2935" spans="29:29" x14ac:dyDescent="0.35">
      <c r="AC2935" t="str">
        <f t="shared" si="155"/>
        <v/>
      </c>
    </row>
    <row r="2936" spans="29:29" x14ac:dyDescent="0.35">
      <c r="AC2936" t="str">
        <f t="shared" si="155"/>
        <v/>
      </c>
    </row>
    <row r="2937" spans="29:29" x14ac:dyDescent="0.35">
      <c r="AC2937" t="str">
        <f t="shared" si="155"/>
        <v/>
      </c>
    </row>
    <row r="2938" spans="29:29" x14ac:dyDescent="0.35">
      <c r="AC2938" t="str">
        <f t="shared" si="155"/>
        <v/>
      </c>
    </row>
    <row r="2939" spans="29:29" x14ac:dyDescent="0.35">
      <c r="AC2939" t="str">
        <f t="shared" si="155"/>
        <v/>
      </c>
    </row>
    <row r="2940" spans="29:29" x14ac:dyDescent="0.35">
      <c r="AC2940" t="str">
        <f t="shared" si="155"/>
        <v/>
      </c>
    </row>
    <row r="2941" spans="29:29" x14ac:dyDescent="0.35">
      <c r="AC2941" t="str">
        <f t="shared" si="155"/>
        <v/>
      </c>
    </row>
    <row r="2942" spans="29:29" x14ac:dyDescent="0.35">
      <c r="AC2942" t="str">
        <f t="shared" si="155"/>
        <v/>
      </c>
    </row>
    <row r="2943" spans="29:29" x14ac:dyDescent="0.35">
      <c r="AC2943" t="str">
        <f t="shared" si="155"/>
        <v/>
      </c>
    </row>
    <row r="2944" spans="29:29" x14ac:dyDescent="0.35">
      <c r="AC2944" t="str">
        <f t="shared" si="155"/>
        <v/>
      </c>
    </row>
    <row r="2945" spans="29:29" x14ac:dyDescent="0.35">
      <c r="AC2945" t="str">
        <f t="shared" si="155"/>
        <v/>
      </c>
    </row>
  </sheetData>
  <autoFilter ref="B5:M2172" xr:uid="{E4DF9A0B-C9AA-4F26-9286-73D691705713}">
    <sortState xmlns:xlrd2="http://schemas.microsoft.com/office/spreadsheetml/2017/richdata2" ref="B6:M432">
      <sortCondition ref="C5:C432"/>
    </sortState>
  </autoFilter>
  <dataValidations count="1">
    <dataValidation type="list" allowBlank="1" showInputMessage="1" showErrorMessage="1" sqref="F6:F432" xr:uid="{E49E94F3-0F54-4556-9A08-17ABAC43B27B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C4DFB98-227C-4675-B3CC-2036C7BA50B5}">
          <x14:formula1>
            <xm:f>'قائمة عملاء - موردين'!$C$6:$C$305</xm:f>
          </x14:formula1>
          <xm:sqref>H6:H434</xm:sqref>
        </x14:dataValidation>
        <x14:dataValidation type="list" allowBlank="1" showInputMessage="1" showErrorMessage="1" xr:uid="{E886DF0C-9290-4B06-924C-67744105F2DA}">
          <x14:formula1>
            <xm:f>الاعدادات!$D$3:$D$6</xm:f>
          </x14:formula1>
          <xm:sqref>E6:E432</xm:sqref>
        </x14:dataValidation>
        <x14:dataValidation type="list" allowBlank="1" showInputMessage="1" showErrorMessage="1" xr:uid="{1C3F93C2-9454-49CC-B100-57CF7A08F7A3}">
          <x14:formula1>
            <xm:f>الاعدادات!$D$2:$D$6</xm:f>
          </x14:formula1>
          <xm:sqref>E433:E3489</xm:sqref>
        </x14:dataValidation>
        <x14:dataValidation type="list" allowBlank="1" showInputMessage="1" showErrorMessage="1" xr:uid="{20932C0F-CC09-4831-B528-2CAFFF17D4CA}">
          <x14:formula1>
            <xm:f>الاعدادات!$A:$A</xm:f>
          </x14:formula1>
          <xm:sqref>D433:D434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0BB0-CC2E-4F35-BB17-458E67AA7D05}">
  <dimension ref="A2:G140"/>
  <sheetViews>
    <sheetView showGridLines="0" rightToLeft="1" topLeftCell="A3" workbookViewId="0">
      <selection activeCell="A8" sqref="A6:A15"/>
      <pivotSelection pane="bottomRight" showHeader="1" axis="axisRow" activeRow="7" previousRow="7" click="1" r:id="rId1">
        <pivotArea dataOnly="0" labelOnly="1" outline="0" fieldPosition="0">
          <references count="1">
            <reference field="6" count="0"/>
          </references>
        </pivotArea>
      </pivotSelection>
    </sheetView>
  </sheetViews>
  <sheetFormatPr defaultRowHeight="14.4" x14ac:dyDescent="0.3"/>
  <cols>
    <col min="1" max="1" width="12.44140625" style="86" bestFit="1" customWidth="1"/>
    <col min="2" max="2" width="23.109375" style="86" bestFit="1" customWidth="1"/>
    <col min="3" max="3" width="21.5546875" style="8" bestFit="1" customWidth="1"/>
    <col min="4" max="4" width="17.109375" bestFit="1" customWidth="1"/>
    <col min="5" max="7" width="17.33203125" bestFit="1" customWidth="1"/>
    <col min="8" max="8" width="6.21875" bestFit="1" customWidth="1"/>
    <col min="9" max="9" width="9.44140625" bestFit="1" customWidth="1"/>
    <col min="10" max="10" width="6.21875" bestFit="1" customWidth="1"/>
    <col min="11" max="11" width="9.44140625" bestFit="1" customWidth="1"/>
    <col min="12" max="12" width="5.6640625" bestFit="1" customWidth="1"/>
    <col min="13" max="13" width="8.88671875" bestFit="1" customWidth="1"/>
    <col min="14" max="14" width="6.6640625" bestFit="1" customWidth="1"/>
    <col min="15" max="15" width="9.88671875" bestFit="1" customWidth="1"/>
    <col min="16" max="16" width="6.6640625" bestFit="1" customWidth="1"/>
    <col min="17" max="17" width="9.88671875" bestFit="1" customWidth="1"/>
    <col min="18" max="18" width="6.6640625" bestFit="1" customWidth="1"/>
    <col min="19" max="19" width="9.88671875" bestFit="1" customWidth="1"/>
    <col min="20" max="20" width="7.21875" bestFit="1" customWidth="1"/>
    <col min="21" max="21" width="10.44140625" bestFit="1" customWidth="1"/>
    <col min="22" max="22" width="7.21875" bestFit="1" customWidth="1"/>
    <col min="23" max="23" width="10.44140625" bestFit="1" customWidth="1"/>
    <col min="24" max="24" width="5.6640625" bestFit="1" customWidth="1"/>
    <col min="25" max="25" width="8.88671875" bestFit="1" customWidth="1"/>
    <col min="26" max="26" width="5.6640625" bestFit="1" customWidth="1"/>
    <col min="27" max="27" width="8.88671875" bestFit="1" customWidth="1"/>
    <col min="28" max="28" width="7.6640625" bestFit="1" customWidth="1"/>
    <col min="29" max="29" width="10.88671875" bestFit="1" customWidth="1"/>
    <col min="30" max="30" width="7.21875" bestFit="1" customWidth="1"/>
    <col min="31" max="31" width="10.44140625" bestFit="1" customWidth="1"/>
    <col min="32" max="32" width="5.6640625" bestFit="1" customWidth="1"/>
    <col min="33" max="33" width="8.88671875" bestFit="1" customWidth="1"/>
    <col min="34" max="34" width="6.6640625" bestFit="1" customWidth="1"/>
    <col min="35" max="35" width="9.88671875" bestFit="1" customWidth="1"/>
    <col min="36" max="36" width="6.6640625" bestFit="1" customWidth="1"/>
    <col min="37" max="37" width="9.88671875" bestFit="1" customWidth="1"/>
    <col min="38" max="38" width="6.6640625" bestFit="1" customWidth="1"/>
    <col min="39" max="39" width="9.88671875" bestFit="1" customWidth="1"/>
    <col min="40" max="40" width="6.6640625" bestFit="1" customWidth="1"/>
    <col min="41" max="41" width="9.88671875" bestFit="1" customWidth="1"/>
    <col min="42" max="42" width="6.6640625" bestFit="1" customWidth="1"/>
    <col min="43" max="43" width="9.88671875" bestFit="1" customWidth="1"/>
    <col min="44" max="44" width="6.6640625" bestFit="1" customWidth="1"/>
    <col min="45" max="45" width="9.88671875" bestFit="1" customWidth="1"/>
    <col min="46" max="46" width="6.6640625" bestFit="1" customWidth="1"/>
    <col min="47" max="47" width="9.88671875" bestFit="1" customWidth="1"/>
    <col min="48" max="48" width="6.6640625" bestFit="1" customWidth="1"/>
    <col min="49" max="49" width="9.88671875" bestFit="1" customWidth="1"/>
    <col min="50" max="50" width="6.6640625" bestFit="1" customWidth="1"/>
    <col min="51" max="51" width="9.88671875" bestFit="1" customWidth="1"/>
    <col min="52" max="52" width="6.6640625" bestFit="1" customWidth="1"/>
    <col min="53" max="53" width="9.88671875" bestFit="1" customWidth="1"/>
    <col min="54" max="54" width="6.6640625" bestFit="1" customWidth="1"/>
    <col min="55" max="55" width="9.88671875" bestFit="1" customWidth="1"/>
    <col min="56" max="56" width="6.6640625" bestFit="1" customWidth="1"/>
    <col min="57" max="57" width="9.88671875" bestFit="1" customWidth="1"/>
    <col min="58" max="58" width="6.6640625" bestFit="1" customWidth="1"/>
    <col min="59" max="59" width="9.88671875" bestFit="1" customWidth="1"/>
    <col min="60" max="60" width="5.21875" bestFit="1" customWidth="1"/>
    <col min="61" max="61" width="8.44140625" bestFit="1" customWidth="1"/>
    <col min="62" max="62" width="6.21875" bestFit="1" customWidth="1"/>
    <col min="63" max="63" width="9.44140625" bestFit="1" customWidth="1"/>
    <col min="64" max="64" width="6.21875" bestFit="1" customWidth="1"/>
    <col min="65" max="65" width="9.44140625" bestFit="1" customWidth="1"/>
    <col min="66" max="66" width="6.21875" bestFit="1" customWidth="1"/>
    <col min="67" max="67" width="9.44140625" bestFit="1" customWidth="1"/>
    <col min="68" max="68" width="7.21875" bestFit="1" customWidth="1"/>
    <col min="69" max="69" width="10.44140625" bestFit="1" customWidth="1"/>
    <col min="70" max="70" width="6.21875" bestFit="1" customWidth="1"/>
    <col min="71" max="71" width="9.44140625" bestFit="1" customWidth="1"/>
    <col min="72" max="72" width="5.6640625" bestFit="1" customWidth="1"/>
    <col min="73" max="73" width="8.88671875" bestFit="1" customWidth="1"/>
    <col min="74" max="74" width="5.6640625" bestFit="1" customWidth="1"/>
    <col min="75" max="75" width="8.88671875" bestFit="1" customWidth="1"/>
    <col min="76" max="76" width="5.6640625" bestFit="1" customWidth="1"/>
    <col min="77" max="77" width="8.88671875" bestFit="1" customWidth="1"/>
    <col min="78" max="78" width="5.6640625" bestFit="1" customWidth="1"/>
    <col min="79" max="79" width="8.88671875" bestFit="1" customWidth="1"/>
    <col min="80" max="80" width="5.6640625" bestFit="1" customWidth="1"/>
    <col min="81" max="81" width="8.88671875" bestFit="1" customWidth="1"/>
    <col min="82" max="82" width="6.6640625" bestFit="1" customWidth="1"/>
    <col min="83" max="83" width="9.88671875" bestFit="1" customWidth="1"/>
    <col min="84" max="84" width="5.6640625" bestFit="1" customWidth="1"/>
    <col min="85" max="85" width="8.88671875" bestFit="1" customWidth="1"/>
    <col min="86" max="86" width="6.6640625" bestFit="1" customWidth="1"/>
    <col min="87" max="87" width="9.88671875" bestFit="1" customWidth="1"/>
    <col min="88" max="88" width="5.6640625" bestFit="1" customWidth="1"/>
    <col min="89" max="89" width="8.88671875" bestFit="1" customWidth="1"/>
    <col min="90" max="90" width="6.6640625" bestFit="1" customWidth="1"/>
    <col min="91" max="91" width="9.88671875" bestFit="1" customWidth="1"/>
    <col min="92" max="92" width="6.6640625" bestFit="1" customWidth="1"/>
    <col min="93" max="93" width="9.88671875" bestFit="1" customWidth="1"/>
    <col min="94" max="94" width="5.6640625" bestFit="1" customWidth="1"/>
    <col min="95" max="95" width="8.88671875" bestFit="1" customWidth="1"/>
    <col min="96" max="96" width="6.6640625" bestFit="1" customWidth="1"/>
    <col min="97" max="97" width="9.88671875" bestFit="1" customWidth="1"/>
    <col min="98" max="98" width="5.21875" bestFit="1" customWidth="1"/>
    <col min="99" max="99" width="8.44140625" bestFit="1" customWidth="1"/>
    <col min="100" max="100" width="6.21875" bestFit="1" customWidth="1"/>
    <col min="101" max="101" width="9.44140625" bestFit="1" customWidth="1"/>
    <col min="102" max="102" width="5.21875" bestFit="1" customWidth="1"/>
    <col min="103" max="103" width="8.44140625" bestFit="1" customWidth="1"/>
    <col min="104" max="104" width="6.21875" bestFit="1" customWidth="1"/>
    <col min="105" max="105" width="9.44140625" bestFit="1" customWidth="1"/>
    <col min="106" max="106" width="6.21875" bestFit="1" customWidth="1"/>
    <col min="107" max="107" width="9.44140625" bestFit="1" customWidth="1"/>
    <col min="108" max="108" width="5.21875" bestFit="1" customWidth="1"/>
    <col min="109" max="109" width="8.44140625" bestFit="1" customWidth="1"/>
    <col min="110" max="110" width="5.21875" bestFit="1" customWidth="1"/>
    <col min="111" max="111" width="8.44140625" bestFit="1" customWidth="1"/>
    <col min="112" max="112" width="6.21875" bestFit="1" customWidth="1"/>
    <col min="113" max="113" width="9.44140625" bestFit="1" customWidth="1"/>
    <col min="114" max="114" width="6.21875" bestFit="1" customWidth="1"/>
    <col min="115" max="115" width="9.44140625" bestFit="1" customWidth="1"/>
    <col min="116" max="116" width="7.21875" bestFit="1" customWidth="1"/>
    <col min="117" max="117" width="10.44140625" bestFit="1" customWidth="1"/>
    <col min="118" max="118" width="6.21875" bestFit="1" customWidth="1"/>
    <col min="119" max="119" width="9.44140625" bestFit="1" customWidth="1"/>
    <col min="120" max="120" width="8.21875" bestFit="1" customWidth="1"/>
    <col min="121" max="121" width="11.44140625" bestFit="1" customWidth="1"/>
    <col min="122" max="122" width="4.6640625" bestFit="1" customWidth="1"/>
    <col min="123" max="123" width="7.88671875" bestFit="1" customWidth="1"/>
    <col min="124" max="124" width="7.21875" bestFit="1" customWidth="1"/>
    <col min="125" max="125" width="10.44140625" bestFit="1" customWidth="1"/>
    <col min="126" max="126" width="6.6640625" bestFit="1" customWidth="1"/>
    <col min="127" max="127" width="9.88671875" bestFit="1" customWidth="1"/>
    <col min="128" max="128" width="6.6640625" bestFit="1" customWidth="1"/>
    <col min="129" max="129" width="9.88671875" bestFit="1" customWidth="1"/>
    <col min="130" max="130" width="6.6640625" bestFit="1" customWidth="1"/>
    <col min="131" max="131" width="9.88671875" bestFit="1" customWidth="1"/>
    <col min="132" max="132" width="7.21875" bestFit="1" customWidth="1"/>
    <col min="133" max="133" width="10.44140625" bestFit="1" customWidth="1"/>
    <col min="134" max="134" width="6.6640625" bestFit="1" customWidth="1"/>
    <col min="135" max="135" width="9.88671875" bestFit="1" customWidth="1"/>
    <col min="136" max="136" width="5.6640625" bestFit="1" customWidth="1"/>
    <col min="137" max="137" width="8.88671875" bestFit="1" customWidth="1"/>
    <col min="138" max="138" width="5.21875" bestFit="1" customWidth="1"/>
    <col min="139" max="139" width="8.44140625" bestFit="1" customWidth="1"/>
    <col min="140" max="140" width="6.21875" bestFit="1" customWidth="1"/>
    <col min="141" max="141" width="9.44140625" bestFit="1" customWidth="1"/>
    <col min="142" max="142" width="5.6640625" bestFit="1" customWidth="1"/>
    <col min="143" max="143" width="8.88671875" bestFit="1" customWidth="1"/>
    <col min="144" max="144" width="5.6640625" bestFit="1" customWidth="1"/>
    <col min="145" max="145" width="8.88671875" bestFit="1" customWidth="1"/>
    <col min="146" max="146" width="7.6640625" bestFit="1" customWidth="1"/>
    <col min="147" max="147" width="10.88671875" bestFit="1" customWidth="1"/>
    <col min="148" max="148" width="5.6640625" bestFit="1" customWidth="1"/>
    <col min="149" max="149" width="8.88671875" bestFit="1" customWidth="1"/>
    <col min="150" max="150" width="7.21875" bestFit="1" customWidth="1"/>
    <col min="151" max="151" width="10.44140625" bestFit="1" customWidth="1"/>
    <col min="152" max="152" width="7.21875" bestFit="1" customWidth="1"/>
    <col min="153" max="153" width="10.44140625" bestFit="1" customWidth="1"/>
    <col min="154" max="154" width="5.6640625" bestFit="1" customWidth="1"/>
    <col min="155" max="155" width="8.88671875" bestFit="1" customWidth="1"/>
    <col min="156" max="156" width="6.6640625" bestFit="1" customWidth="1"/>
    <col min="157" max="157" width="9.88671875" bestFit="1" customWidth="1"/>
    <col min="158" max="158" width="6.6640625" bestFit="1" customWidth="1"/>
    <col min="159" max="159" width="9.88671875" bestFit="1" customWidth="1"/>
    <col min="160" max="160" width="6.6640625" bestFit="1" customWidth="1"/>
    <col min="161" max="161" width="9.88671875" bestFit="1" customWidth="1"/>
    <col min="162" max="162" width="6.6640625" bestFit="1" customWidth="1"/>
    <col min="163" max="163" width="9.88671875" bestFit="1" customWidth="1"/>
    <col min="164" max="164" width="7.6640625" bestFit="1" customWidth="1"/>
    <col min="165" max="165" width="10.88671875" bestFit="1" customWidth="1"/>
    <col min="166" max="166" width="6.6640625" bestFit="1" customWidth="1"/>
    <col min="167" max="167" width="9.88671875" bestFit="1" customWidth="1"/>
    <col min="168" max="168" width="6.6640625" bestFit="1" customWidth="1"/>
    <col min="169" max="169" width="9.88671875" bestFit="1" customWidth="1"/>
    <col min="170" max="170" width="7.6640625" bestFit="1" customWidth="1"/>
    <col min="171" max="171" width="10.88671875" bestFit="1" customWidth="1"/>
    <col min="172" max="172" width="6.6640625" bestFit="1" customWidth="1"/>
    <col min="173" max="173" width="9.88671875" bestFit="1" customWidth="1"/>
    <col min="174" max="174" width="6.6640625" bestFit="1" customWidth="1"/>
    <col min="175" max="175" width="9.88671875" bestFit="1" customWidth="1"/>
    <col min="176" max="176" width="6.6640625" bestFit="1" customWidth="1"/>
    <col min="177" max="177" width="9.88671875" bestFit="1" customWidth="1"/>
    <col min="178" max="178" width="6.6640625" bestFit="1" customWidth="1"/>
    <col min="179" max="179" width="9.88671875" bestFit="1" customWidth="1"/>
    <col min="180" max="180" width="5.6640625" bestFit="1" customWidth="1"/>
    <col min="181" max="181" width="8.88671875" bestFit="1" customWidth="1"/>
    <col min="182" max="182" width="6.6640625" bestFit="1" customWidth="1"/>
    <col min="183" max="183" width="9.88671875" bestFit="1" customWidth="1"/>
    <col min="184" max="184" width="5.6640625" bestFit="1" customWidth="1"/>
    <col min="185" max="185" width="8.88671875" bestFit="1" customWidth="1"/>
    <col min="186" max="186" width="6.6640625" bestFit="1" customWidth="1"/>
    <col min="187" max="187" width="9.88671875" bestFit="1" customWidth="1"/>
    <col min="188" max="188" width="6.6640625" bestFit="1" customWidth="1"/>
    <col min="189" max="189" width="9.88671875" bestFit="1" customWidth="1"/>
    <col min="190" max="190" width="6.6640625" bestFit="1" customWidth="1"/>
    <col min="191" max="191" width="9.88671875" bestFit="1" customWidth="1"/>
    <col min="192" max="192" width="6.6640625" bestFit="1" customWidth="1"/>
    <col min="193" max="193" width="9.88671875" bestFit="1" customWidth="1"/>
    <col min="194" max="194" width="6.6640625" bestFit="1" customWidth="1"/>
    <col min="195" max="195" width="9.88671875" bestFit="1" customWidth="1"/>
    <col min="196" max="196" width="5.6640625" bestFit="1" customWidth="1"/>
    <col min="197" max="197" width="8.88671875" bestFit="1" customWidth="1"/>
    <col min="198" max="198" width="5.6640625" bestFit="1" customWidth="1"/>
    <col min="199" max="199" width="8.88671875" bestFit="1" customWidth="1"/>
    <col min="200" max="200" width="6.6640625" bestFit="1" customWidth="1"/>
    <col min="201" max="201" width="9.88671875" bestFit="1" customWidth="1"/>
    <col min="202" max="202" width="6.6640625" bestFit="1" customWidth="1"/>
    <col min="203" max="203" width="9.88671875" bestFit="1" customWidth="1"/>
    <col min="204" max="204" width="6.6640625" bestFit="1" customWidth="1"/>
    <col min="205" max="205" width="9.88671875" bestFit="1" customWidth="1"/>
    <col min="206" max="206" width="6.6640625" bestFit="1" customWidth="1"/>
    <col min="207" max="207" width="9.88671875" bestFit="1" customWidth="1"/>
    <col min="208" max="208" width="5.6640625" bestFit="1" customWidth="1"/>
    <col min="209" max="209" width="8.88671875" bestFit="1" customWidth="1"/>
    <col min="210" max="210" width="5.6640625" bestFit="1" customWidth="1"/>
    <col min="211" max="211" width="8.88671875" bestFit="1" customWidth="1"/>
    <col min="212" max="212" width="6.6640625" bestFit="1" customWidth="1"/>
    <col min="213" max="213" width="9.88671875" bestFit="1" customWidth="1"/>
    <col min="214" max="214" width="6.6640625" bestFit="1" customWidth="1"/>
    <col min="215" max="215" width="9.88671875" bestFit="1" customWidth="1"/>
    <col min="216" max="216" width="6.6640625" bestFit="1" customWidth="1"/>
    <col min="217" max="217" width="9.88671875" bestFit="1" customWidth="1"/>
    <col min="218" max="218" width="6.6640625" bestFit="1" customWidth="1"/>
    <col min="219" max="219" width="9.88671875" bestFit="1" customWidth="1"/>
    <col min="220" max="220" width="6.6640625" bestFit="1" customWidth="1"/>
    <col min="221" max="221" width="9.88671875" bestFit="1" customWidth="1"/>
    <col min="222" max="222" width="6.6640625" bestFit="1" customWidth="1"/>
    <col min="223" max="223" width="9.88671875" bestFit="1" customWidth="1"/>
    <col min="224" max="224" width="6.6640625" bestFit="1" customWidth="1"/>
    <col min="225" max="225" width="9.88671875" bestFit="1" customWidth="1"/>
    <col min="226" max="226" width="5.6640625" bestFit="1" customWidth="1"/>
    <col min="227" max="227" width="8.88671875" bestFit="1" customWidth="1"/>
    <col min="228" max="228" width="6.6640625" bestFit="1" customWidth="1"/>
    <col min="229" max="229" width="9.88671875" bestFit="1" customWidth="1"/>
    <col min="230" max="230" width="6.6640625" bestFit="1" customWidth="1"/>
    <col min="231" max="231" width="9.88671875" bestFit="1" customWidth="1"/>
    <col min="232" max="232" width="5.6640625" bestFit="1" customWidth="1"/>
    <col min="233" max="233" width="8.88671875" bestFit="1" customWidth="1"/>
    <col min="234" max="234" width="6.21875" bestFit="1" customWidth="1"/>
    <col min="235" max="235" width="9.44140625" bestFit="1" customWidth="1"/>
    <col min="236" max="236" width="7.21875" bestFit="1" customWidth="1"/>
    <col min="237" max="237" width="10.44140625" bestFit="1" customWidth="1"/>
    <col min="238" max="238" width="7.21875" bestFit="1" customWidth="1"/>
    <col min="239" max="239" width="10.44140625" bestFit="1" customWidth="1"/>
    <col min="240" max="240" width="7.21875" bestFit="1" customWidth="1"/>
    <col min="241" max="241" width="10.44140625" bestFit="1" customWidth="1"/>
    <col min="242" max="242" width="8.21875" bestFit="1" customWidth="1"/>
    <col min="243" max="243" width="11.44140625" bestFit="1" customWidth="1"/>
    <col min="244" max="244" width="8.21875" bestFit="1" customWidth="1"/>
    <col min="245" max="245" width="11.44140625" bestFit="1" customWidth="1"/>
    <col min="246" max="246" width="7.21875" bestFit="1" customWidth="1"/>
    <col min="247" max="247" width="10.44140625" bestFit="1" customWidth="1"/>
    <col min="248" max="248" width="6.21875" bestFit="1" customWidth="1"/>
    <col min="249" max="249" width="9.44140625" bestFit="1" customWidth="1"/>
    <col min="250" max="250" width="7.21875" bestFit="1" customWidth="1"/>
    <col min="251" max="251" width="10.44140625" bestFit="1" customWidth="1"/>
    <col min="252" max="252" width="8.21875" bestFit="1" customWidth="1"/>
    <col min="253" max="253" width="11.44140625" bestFit="1" customWidth="1"/>
    <col min="254" max="254" width="8.21875" bestFit="1" customWidth="1"/>
    <col min="255" max="255" width="11.44140625" bestFit="1" customWidth="1"/>
    <col min="256" max="256" width="7.21875" bestFit="1" customWidth="1"/>
    <col min="257" max="257" width="10.44140625" bestFit="1" customWidth="1"/>
    <col min="258" max="258" width="7.21875" bestFit="1" customWidth="1"/>
    <col min="259" max="259" width="10.44140625" bestFit="1" customWidth="1"/>
    <col min="260" max="260" width="6.6640625" bestFit="1" customWidth="1"/>
    <col min="261" max="261" width="9.88671875" bestFit="1" customWidth="1"/>
    <col min="262" max="262" width="6.6640625" bestFit="1" customWidth="1"/>
    <col min="263" max="263" width="9.88671875" bestFit="1" customWidth="1"/>
    <col min="264" max="264" width="6.6640625" bestFit="1" customWidth="1"/>
    <col min="265" max="265" width="9.88671875" bestFit="1" customWidth="1"/>
    <col min="266" max="266" width="6.6640625" bestFit="1" customWidth="1"/>
    <col min="267" max="267" width="9.88671875" bestFit="1" customWidth="1"/>
    <col min="268" max="268" width="6.21875" bestFit="1" customWidth="1"/>
    <col min="269" max="269" width="9.44140625" bestFit="1" customWidth="1"/>
    <col min="270" max="271" width="11.33203125" bestFit="1" customWidth="1"/>
  </cols>
  <sheetData>
    <row r="2" spans="1:7" s="27" customFormat="1" ht="27" customHeight="1" x14ac:dyDescent="0.4">
      <c r="A2" s="98" t="s">
        <v>202</v>
      </c>
      <c r="B2" s="95" t="s">
        <v>515</v>
      </c>
      <c r="C2" s="26"/>
    </row>
    <row r="3" spans="1:7" s="27" customFormat="1" ht="21" x14ac:dyDescent="0.4">
      <c r="A3" s="96" t="s">
        <v>244</v>
      </c>
      <c r="B3" s="97" t="s">
        <v>412</v>
      </c>
      <c r="C3" s="26"/>
      <c r="D3" s="100">
        <f>SUBTOTAL(9,D6:D1048576)/2</f>
        <v>188900</v>
      </c>
    </row>
    <row r="4" spans="1:7" s="27" customFormat="1" ht="21" x14ac:dyDescent="0.4">
      <c r="A4" s="31"/>
      <c r="B4" s="31"/>
      <c r="C4" s="26"/>
    </row>
    <row r="5" spans="1:7" s="27" customFormat="1" ht="30.6" customHeight="1" x14ac:dyDescent="0.4">
      <c r="A5" s="92" t="s">
        <v>251</v>
      </c>
      <c r="B5" s="92" t="s">
        <v>264</v>
      </c>
      <c r="C5" s="92" t="s">
        <v>263</v>
      </c>
      <c r="D5" s="92" t="s">
        <v>262</v>
      </c>
      <c r="E5"/>
      <c r="F5"/>
      <c r="G5"/>
    </row>
    <row r="6" spans="1:7" s="27" customFormat="1" ht="21" x14ac:dyDescent="0.4">
      <c r="A6" s="164" t="s">
        <v>418</v>
      </c>
      <c r="B6" s="99">
        <v>1000</v>
      </c>
      <c r="C6" s="91"/>
      <c r="D6" s="165">
        <v>1000</v>
      </c>
      <c r="E6"/>
      <c r="F6"/>
      <c r="G6"/>
    </row>
    <row r="7" spans="1:7" s="27" customFormat="1" ht="21" x14ac:dyDescent="0.4">
      <c r="A7" s="164" t="s">
        <v>487</v>
      </c>
      <c r="B7" s="99">
        <v>44550</v>
      </c>
      <c r="C7" s="91"/>
      <c r="D7" s="165">
        <v>44550</v>
      </c>
      <c r="E7"/>
      <c r="F7"/>
      <c r="G7"/>
    </row>
    <row r="8" spans="1:7" s="27" customFormat="1" ht="21" x14ac:dyDescent="0.4">
      <c r="A8" s="164" t="s">
        <v>483</v>
      </c>
      <c r="B8" s="99">
        <v>66550</v>
      </c>
      <c r="C8" s="91"/>
      <c r="D8" s="165">
        <v>66550</v>
      </c>
      <c r="E8"/>
      <c r="F8"/>
      <c r="G8"/>
    </row>
    <row r="9" spans="1:7" s="27" customFormat="1" ht="21" x14ac:dyDescent="0.4">
      <c r="A9" s="164" t="s">
        <v>478</v>
      </c>
      <c r="B9" s="99">
        <v>24350</v>
      </c>
      <c r="C9" s="91"/>
      <c r="D9" s="165">
        <v>24350</v>
      </c>
      <c r="E9"/>
      <c r="F9"/>
      <c r="G9"/>
    </row>
    <row r="10" spans="1:7" ht="21" x14ac:dyDescent="0.4">
      <c r="A10" s="164" t="s">
        <v>485</v>
      </c>
      <c r="B10" s="99">
        <v>8000</v>
      </c>
      <c r="C10" s="91"/>
      <c r="D10" s="165">
        <v>8000</v>
      </c>
    </row>
    <row r="11" spans="1:7" ht="21" x14ac:dyDescent="0.4">
      <c r="A11" s="164" t="s">
        <v>482</v>
      </c>
      <c r="B11" s="99">
        <v>7100</v>
      </c>
      <c r="C11" s="91"/>
      <c r="D11" s="165">
        <v>7100</v>
      </c>
    </row>
    <row r="12" spans="1:7" ht="21" x14ac:dyDescent="0.4">
      <c r="A12" s="164" t="s">
        <v>486</v>
      </c>
      <c r="B12" s="99">
        <v>6700</v>
      </c>
      <c r="C12" s="91"/>
      <c r="D12" s="165">
        <v>6700</v>
      </c>
    </row>
    <row r="13" spans="1:7" ht="21" x14ac:dyDescent="0.4">
      <c r="A13" s="164" t="s">
        <v>488</v>
      </c>
      <c r="B13" s="99">
        <v>13150</v>
      </c>
      <c r="C13" s="91"/>
      <c r="D13" s="165">
        <v>13150</v>
      </c>
    </row>
    <row r="14" spans="1:7" ht="21" x14ac:dyDescent="0.4">
      <c r="A14" s="164" t="s">
        <v>479</v>
      </c>
      <c r="B14" s="99">
        <v>7950</v>
      </c>
      <c r="C14" s="91"/>
      <c r="D14" s="165">
        <v>7950</v>
      </c>
    </row>
    <row r="15" spans="1:7" ht="21" x14ac:dyDescent="0.4">
      <c r="A15" s="164" t="s">
        <v>476</v>
      </c>
      <c r="B15" s="99">
        <v>9550</v>
      </c>
      <c r="C15" s="91"/>
      <c r="D15" s="165">
        <v>9550</v>
      </c>
    </row>
    <row r="16" spans="1:7" ht="21" x14ac:dyDescent="0.3">
      <c r="A16" s="92" t="s">
        <v>5</v>
      </c>
      <c r="B16" s="93">
        <v>188900</v>
      </c>
      <c r="C16" s="94"/>
      <c r="D16" s="93">
        <v>188900</v>
      </c>
    </row>
    <row r="17" spans="1:3" ht="21" x14ac:dyDescent="0.4">
      <c r="A17"/>
      <c r="B17"/>
      <c r="C17"/>
    </row>
    <row r="18" spans="1:3" ht="21" x14ac:dyDescent="0.4">
      <c r="A18"/>
      <c r="B18"/>
      <c r="C18"/>
    </row>
    <row r="19" spans="1:3" ht="21" x14ac:dyDescent="0.4">
      <c r="A19"/>
      <c r="B19"/>
      <c r="C19"/>
    </row>
    <row r="20" spans="1:3" ht="21" x14ac:dyDescent="0.4">
      <c r="A20"/>
      <c r="B20"/>
      <c r="C20"/>
    </row>
    <row r="21" spans="1:3" ht="21" x14ac:dyDescent="0.4">
      <c r="A21"/>
      <c r="B21"/>
      <c r="C21"/>
    </row>
    <row r="22" spans="1:3" ht="21" x14ac:dyDescent="0.4">
      <c r="A22"/>
      <c r="B22"/>
      <c r="C22"/>
    </row>
    <row r="23" spans="1:3" ht="40.5" customHeight="1" x14ac:dyDescent="0.4">
      <c r="A23"/>
      <c r="B23"/>
      <c r="C23"/>
    </row>
    <row r="24" spans="1:3" ht="21" x14ac:dyDescent="0.4">
      <c r="A24"/>
      <c r="B24"/>
      <c r="C24"/>
    </row>
    <row r="25" spans="1:3" ht="38.25" customHeight="1" x14ac:dyDescent="0.3">
      <c r="A25"/>
      <c r="B25"/>
      <c r="C25"/>
    </row>
    <row r="26" spans="1:3" x14ac:dyDescent="0.3">
      <c r="C26"/>
    </row>
    <row r="27" spans="1:3" x14ac:dyDescent="0.3">
      <c r="C27"/>
    </row>
    <row r="28" spans="1:3" x14ac:dyDescent="0.3">
      <c r="C28"/>
    </row>
    <row r="29" spans="1:3" x14ac:dyDescent="0.3">
      <c r="C29"/>
    </row>
    <row r="30" spans="1:3" x14ac:dyDescent="0.3">
      <c r="C30"/>
    </row>
    <row r="31" spans="1:3" x14ac:dyDescent="0.3">
      <c r="C31"/>
    </row>
    <row r="32" spans="1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9C4E-0297-4210-BF60-55D140DB85FE}">
  <dimension ref="A1:U54"/>
  <sheetViews>
    <sheetView showGridLines="0" rightToLeft="1" topLeftCell="A5" zoomScale="70" zoomScaleNormal="70" workbookViewId="0">
      <selection activeCell="D36" sqref="D36"/>
    </sheetView>
  </sheetViews>
  <sheetFormatPr defaultColWidth="0" defaultRowHeight="14.4" x14ac:dyDescent="0.3"/>
  <cols>
    <col min="1" max="2" width="8.88671875" customWidth="1"/>
    <col min="3" max="3" width="17.6640625" bestFit="1" customWidth="1"/>
    <col min="4" max="4" width="9.44140625" customWidth="1"/>
    <col min="5" max="5" width="16.109375" bestFit="1" customWidth="1"/>
    <col min="6" max="6" width="8.88671875" customWidth="1"/>
    <col min="7" max="7" width="20.33203125" style="110" bestFit="1" customWidth="1"/>
    <col min="8" max="8" width="8.88671875" customWidth="1"/>
    <col min="9" max="9" width="17.77734375" bestFit="1" customWidth="1"/>
    <col min="10" max="10" width="8.88671875" customWidth="1"/>
    <col min="11" max="11" width="17.44140625" bestFit="1" customWidth="1"/>
    <col min="12" max="12" width="8.88671875" customWidth="1"/>
    <col min="13" max="13" width="17.5546875" customWidth="1"/>
    <col min="14" max="14" width="8.88671875" customWidth="1"/>
    <col min="15" max="15" width="16.77734375" customWidth="1"/>
    <col min="16" max="21" width="8.88671875" customWidth="1"/>
    <col min="22" max="16384" width="8.88671875" hidden="1"/>
  </cols>
  <sheetData>
    <row r="1" spans="3:15" ht="63.6" customHeight="1" x14ac:dyDescent="0.3">
      <c r="C1" s="162" t="s">
        <v>443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3" spans="3:15" ht="18" x14ac:dyDescent="0.35">
      <c r="C3" s="123" t="s">
        <v>266</v>
      </c>
      <c r="D3" s="154"/>
      <c r="E3" s="123" t="s">
        <v>267</v>
      </c>
      <c r="F3" s="154"/>
      <c r="G3" s="155" t="s">
        <v>268</v>
      </c>
      <c r="H3" s="154"/>
      <c r="I3" s="156" t="s">
        <v>411</v>
      </c>
      <c r="J3" s="154"/>
      <c r="K3" s="123" t="s">
        <v>446</v>
      </c>
      <c r="L3" s="154"/>
      <c r="M3" s="123" t="s">
        <v>259</v>
      </c>
      <c r="N3" s="154"/>
      <c r="O3" s="156" t="s">
        <v>261</v>
      </c>
    </row>
    <row r="4" spans="3:15" s="7" customFormat="1" ht="50.4" customHeight="1" x14ac:dyDescent="0.35">
      <c r="C4" s="157">
        <f>SUMIFS('دفتر اليومية'!K:K,'دفتر اليومية'!E:E,"مبيعات كاش")+ SUMIFS('دفتر اليومية'!K:K,'دفتر اليومية'!E:E,"مبيعات آجل")</f>
        <v>556855</v>
      </c>
      <c r="D4" s="161"/>
      <c r="E4" s="158">
        <f>SUM(المشتريات!I:I)</f>
        <v>2750</v>
      </c>
      <c r="F4" s="161"/>
      <c r="G4" s="159">
        <f>SUMIFS('دفتر اليومية'!K:K,'دفتر اليومية'!E:E,"مصروفات")</f>
        <v>1000</v>
      </c>
      <c r="H4" s="161"/>
      <c r="I4" s="158">
        <f>C4-E4-G4</f>
        <v>553105</v>
      </c>
      <c r="J4" s="161"/>
      <c r="K4" s="157">
        <f>SUM('دفتر اليومية'!L3)</f>
        <v>370955</v>
      </c>
      <c r="L4" s="161"/>
      <c r="M4" s="159">
        <f>'حركة المخزن'!L5</f>
        <v>110375</v>
      </c>
      <c r="N4" s="161"/>
      <c r="O4" s="160">
        <f>SUM('⁠حسابات عملاء'!B2:B1169)</f>
        <v>187900</v>
      </c>
    </row>
    <row r="5" spans="3:15" ht="50.4" customHeight="1" x14ac:dyDescent="0.3"/>
    <row r="6" spans="3:15" ht="50.4" customHeight="1" x14ac:dyDescent="0.3"/>
    <row r="7" spans="3:15" ht="50.4" customHeight="1" x14ac:dyDescent="0.3"/>
    <row r="35" spans="1:5" ht="16.2" thickBot="1" x14ac:dyDescent="0.35">
      <c r="A35" s="113" t="s">
        <v>244</v>
      </c>
      <c r="B35" s="113" t="s">
        <v>212</v>
      </c>
      <c r="C35" s="113" t="s">
        <v>432</v>
      </c>
      <c r="D35" s="113" t="s">
        <v>445</v>
      </c>
      <c r="E35" s="113" t="s">
        <v>433</v>
      </c>
    </row>
    <row r="36" spans="1:5" ht="15" thickBot="1" x14ac:dyDescent="0.35">
      <c r="A36" s="114" t="s">
        <v>423</v>
      </c>
      <c r="B36" s="124">
        <f>SUMIFS('دفتر اليومية'!K:K,'دفتر اليومية'!AC:AC,A36,'دفتر اليومية'!E:E,"مبيعات كاش")
+SUMIFS('دفتر اليومية'!K:K,'دفتر اليومية'!AC:AC,A36,'دفتر اليومية'!E:E,"مبيعات اجل")</f>
        <v>0</v>
      </c>
      <c r="C36" s="115">
        <f>SUMIFS('دفتر اليومية'!K:K, 'دفتر اليومية'!E:E, "مصروفات", 'دفتر اليومية'!AC:AC, Dashboard!A36)</f>
        <v>0</v>
      </c>
      <c r="D36" s="115">
        <f>SUMIFS('دفتر اليومية'!K:K, 'دفتر اليومية'!E:E, "مشتريات", 'دفتر اليومية'!AC:AC, Dashboard!A36)</f>
        <v>0</v>
      </c>
      <c r="E36" s="124">
        <f>B36-C36-D36</f>
        <v>0</v>
      </c>
    </row>
    <row r="37" spans="1:5" ht="15" thickBot="1" x14ac:dyDescent="0.35">
      <c r="A37" s="114" t="s">
        <v>424</v>
      </c>
      <c r="B37" s="124">
        <f>SUMIFS('دفتر اليومية'!K:K,'دفتر اليومية'!AC:AC,A37,'دفتر اليومية'!E:E,"مبيعات كاش")
+SUMIFS('دفتر اليومية'!K:K,'دفتر اليومية'!AC:AC,A37,'دفتر اليومية'!E:E,"مبيعات اجل")</f>
        <v>0</v>
      </c>
      <c r="C37" s="115">
        <f>SUMIFS('دفتر اليومية'!K:K, 'دفتر اليومية'!E:E, "مصروفات", 'دفتر اليومية'!AC:AC, Dashboard!A37)</f>
        <v>0</v>
      </c>
      <c r="D37" s="115">
        <f>SUMIFS('دفتر اليومية'!K:K, 'دفتر اليومية'!E:E, "مشتريات", 'دفتر اليومية'!AC:AC, Dashboard!A37)</f>
        <v>0</v>
      </c>
      <c r="E37" s="124">
        <f t="shared" ref="E37:E47" si="0">B37-C37-D37</f>
        <v>0</v>
      </c>
    </row>
    <row r="38" spans="1:5" ht="15" thickBot="1" x14ac:dyDescent="0.35">
      <c r="A38" s="114" t="s">
        <v>425</v>
      </c>
      <c r="B38" s="124">
        <f>SUMIFS('دفتر اليومية'!K:K,'دفتر اليومية'!AC:AC,A38,'دفتر اليومية'!E:E,"مبيعات كاش")
+SUMIFS('دفتر اليومية'!K:K,'دفتر اليومية'!AC:AC,A38,'دفتر اليومية'!E:E,"مبيعات اجل")</f>
        <v>0</v>
      </c>
      <c r="C38" s="115">
        <f>SUMIFS('دفتر اليومية'!K:K, 'دفتر اليومية'!E:E, "مصروفات", 'دفتر اليومية'!AC:AC, Dashboard!A38)</f>
        <v>0</v>
      </c>
      <c r="D38" s="115">
        <f>SUMIFS('دفتر اليومية'!K:K, 'دفتر اليومية'!E:E, "مشتريات", 'دفتر اليومية'!AC:AC, Dashboard!A38)</f>
        <v>0</v>
      </c>
      <c r="E38" s="124">
        <f t="shared" si="0"/>
        <v>0</v>
      </c>
    </row>
    <row r="39" spans="1:5" ht="15" thickBot="1" x14ac:dyDescent="0.35">
      <c r="A39" s="114" t="s">
        <v>434</v>
      </c>
      <c r="B39" s="124">
        <f>SUMIFS('دفتر اليومية'!K:K,'دفتر اليومية'!AC:AC,A39,'دفتر اليومية'!E:E,"مبيعات كاش")
+SUMIFS('دفتر اليومية'!K:K,'دفتر اليومية'!AC:AC,A39,'دفتر اليومية'!E:E,"مبيعات اجل")</f>
        <v>0</v>
      </c>
      <c r="C39" s="115">
        <f>SUMIFS('دفتر اليومية'!K:K, 'دفتر اليومية'!E:E, "مصروفات", 'دفتر اليومية'!AC:AC, Dashboard!A39)</f>
        <v>0</v>
      </c>
      <c r="D39" s="115">
        <f>SUMIFS('دفتر اليومية'!K:K, 'دفتر اليومية'!E:E, "مشتريات", 'دفتر اليومية'!AC:AC, Dashboard!A39)</f>
        <v>0</v>
      </c>
      <c r="E39" s="124">
        <f t="shared" si="0"/>
        <v>0</v>
      </c>
    </row>
    <row r="40" spans="1:5" ht="15" thickBot="1" x14ac:dyDescent="0.35">
      <c r="A40" s="114" t="s">
        <v>426</v>
      </c>
      <c r="B40" s="124">
        <f>SUMIFS('دفتر اليومية'!K:K,'دفتر اليومية'!AC:AC,A40,'دفتر اليومية'!E:E,"مبيعات كاش")
+SUMIFS('دفتر اليومية'!K:K,'دفتر اليومية'!AC:AC,A40,'دفتر اليومية'!E:E,"مبيعات اجل")</f>
        <v>0</v>
      </c>
      <c r="C40" s="115">
        <f>SUMIFS('دفتر اليومية'!K:K, 'دفتر اليومية'!E:E, "مصروفات", 'دفتر اليومية'!AC:AC, Dashboard!A40)</f>
        <v>0</v>
      </c>
      <c r="D40" s="115">
        <f>SUMIFS('دفتر اليومية'!K:K, 'دفتر اليومية'!E:E, "مشتريات", 'دفتر اليومية'!AC:AC, Dashboard!A40)</f>
        <v>2000</v>
      </c>
      <c r="E40" s="124">
        <f t="shared" si="0"/>
        <v>-2000</v>
      </c>
    </row>
    <row r="41" spans="1:5" ht="15" thickBot="1" x14ac:dyDescent="0.35">
      <c r="A41" s="114" t="s">
        <v>436</v>
      </c>
      <c r="B41" s="124">
        <f>SUMIFS('دفتر اليومية'!K:K,'دفتر اليومية'!AC:AC,A41,'دفتر اليومية'!E:E,"مبيعات كاش")
+SUMIFS('دفتر اليومية'!K:K,'دفتر اليومية'!AC:AC,A41,'دفتر اليومية'!E:E,"مبيعات اجل")</f>
        <v>16550</v>
      </c>
      <c r="C41" s="115">
        <f>SUMIFS('دفتر اليومية'!K:K, 'دفتر اليومية'!E:E, "مصروفات", 'دفتر اليومية'!AC:AC, Dashboard!A41)</f>
        <v>0</v>
      </c>
      <c r="D41" s="115">
        <f>SUMIFS('دفتر اليومية'!K:K, 'دفتر اليومية'!E:E, "مشتريات", 'دفتر اليومية'!AC:AC, Dashboard!A41)</f>
        <v>0</v>
      </c>
      <c r="E41" s="124">
        <f t="shared" si="0"/>
        <v>16550</v>
      </c>
    </row>
    <row r="42" spans="1:5" ht="15" thickBot="1" x14ac:dyDescent="0.35">
      <c r="A42" s="114" t="s">
        <v>435</v>
      </c>
      <c r="B42" s="124">
        <f>SUMIFS('دفتر اليومية'!K:K,'دفتر اليومية'!AC:AC,A42,'دفتر اليومية'!E:E,"مبيعات كاش")
+SUMIFS('دفتر اليومية'!K:K,'دفتر اليومية'!AC:AC,A42,'دفتر اليومية'!E:E,"مبيعات اجل")</f>
        <v>528080</v>
      </c>
      <c r="C42" s="115">
        <f>SUMIFS('دفتر اليومية'!K:K, 'دفتر اليومية'!E:E, "مصروفات", 'دفتر اليومية'!AC:AC, Dashboard!A42)</f>
        <v>0</v>
      </c>
      <c r="D42" s="115">
        <f>SUMIFS('دفتر اليومية'!K:K, 'دفتر اليومية'!E:E, "مشتريات", 'دفتر اليومية'!AC:AC, Dashboard!A42)</f>
        <v>0</v>
      </c>
      <c r="E42" s="124">
        <f t="shared" si="0"/>
        <v>528080</v>
      </c>
    </row>
    <row r="43" spans="1:5" ht="15" thickBot="1" x14ac:dyDescent="0.35">
      <c r="A43" s="114" t="s">
        <v>427</v>
      </c>
      <c r="B43" s="124">
        <f>SUMIFS('دفتر اليومية'!K:K,'دفتر اليومية'!AC:AC,A43,'دفتر اليومية'!E:E,"مبيعات كاش")
+SUMIFS('دفتر اليومية'!K:K,'دفتر اليومية'!AC:AC,A43,'دفتر اليومية'!E:E,"مبيعات اجل")</f>
        <v>12225</v>
      </c>
      <c r="C43" s="115">
        <f>SUMIFS('دفتر اليومية'!K:K, 'دفتر اليومية'!E:E, "مصروفات", 'دفتر اليومية'!AC:AC, Dashboard!A43)</f>
        <v>1000</v>
      </c>
      <c r="D43" s="115">
        <f>SUMIFS('دفتر اليومية'!K:K, 'دفتر اليومية'!E:E, "مشتريات", 'دفتر اليومية'!AC:AC, Dashboard!A43)</f>
        <v>750</v>
      </c>
      <c r="E43" s="124">
        <f t="shared" si="0"/>
        <v>10475</v>
      </c>
    </row>
    <row r="44" spans="1:5" ht="15" thickBot="1" x14ac:dyDescent="0.35">
      <c r="A44" s="114" t="s">
        <v>428</v>
      </c>
      <c r="B44" s="124">
        <f>SUMIFS('دفتر اليومية'!K:K,'دفتر اليومية'!AC:AC,A44,'دفتر اليومية'!E:E,"مبيعات كاش")
+SUMIFS('دفتر اليومية'!K:K,'دفتر اليومية'!AC:AC,A44,'دفتر اليومية'!E:E,"مبيعات اجل")</f>
        <v>0</v>
      </c>
      <c r="C44" s="115">
        <f>SUMIFS('دفتر اليومية'!K:K, 'دفتر اليومية'!E:E, "مصروفات", 'دفتر اليومية'!AC:AC, Dashboard!A44)</f>
        <v>0</v>
      </c>
      <c r="D44" s="115">
        <f>SUMIFS('دفتر اليومية'!K:K, 'دفتر اليومية'!E:E, "مشتريات", 'دفتر اليومية'!AC:AC, Dashboard!A44)</f>
        <v>0</v>
      </c>
      <c r="E44" s="124">
        <f t="shared" si="0"/>
        <v>0</v>
      </c>
    </row>
    <row r="45" spans="1:5" ht="15" thickBot="1" x14ac:dyDescent="0.35">
      <c r="A45" s="114" t="s">
        <v>429</v>
      </c>
      <c r="B45" s="124">
        <f>SUMIFS('دفتر اليومية'!K:K,'دفتر اليومية'!AC:AC,A45,'دفتر اليومية'!E:E,"مبيعات كاش")
+SUMIFS('دفتر اليومية'!K:K,'دفتر اليومية'!AC:AC,A45,'دفتر اليومية'!E:E,"مبيعات اجل")</f>
        <v>0</v>
      </c>
      <c r="C45" s="115">
        <f>SUMIFS('دفتر اليومية'!K:K, 'دفتر اليومية'!E:E, "مصروفات", 'دفتر اليومية'!AC:AC, Dashboard!A45)</f>
        <v>0</v>
      </c>
      <c r="D45" s="115">
        <f>SUMIFS('دفتر اليومية'!K:K, 'دفتر اليومية'!E:E, "مشتريات", 'دفتر اليومية'!AC:AC, Dashboard!A45)</f>
        <v>0</v>
      </c>
      <c r="E45" s="124">
        <f t="shared" si="0"/>
        <v>0</v>
      </c>
    </row>
    <row r="46" spans="1:5" ht="15" thickBot="1" x14ac:dyDescent="0.35">
      <c r="A46" s="114" t="s">
        <v>430</v>
      </c>
      <c r="B46" s="124">
        <f>SUMIFS('دفتر اليومية'!K:K,'دفتر اليومية'!AC:AC,A46,'دفتر اليومية'!E:E,"مبيعات كاش")
+SUMIFS('دفتر اليومية'!K:K,'دفتر اليومية'!AC:AC,A46,'دفتر اليومية'!E:E,"مبيعات اجل")</f>
        <v>0</v>
      </c>
      <c r="C46" s="115">
        <f>SUMIFS('دفتر اليومية'!K:K, 'دفتر اليومية'!E:E, "مصروفات", 'دفتر اليومية'!AC:AC, Dashboard!A46)</f>
        <v>0</v>
      </c>
      <c r="D46" s="115">
        <f>SUMIFS('دفتر اليومية'!K:K, 'دفتر اليومية'!E:E, "مشتريات", 'دفتر اليومية'!AC:AC, Dashboard!A46)</f>
        <v>0</v>
      </c>
      <c r="E46" s="124">
        <f t="shared" si="0"/>
        <v>0</v>
      </c>
    </row>
    <row r="47" spans="1:5" ht="15" thickBot="1" x14ac:dyDescent="0.35">
      <c r="A47" s="114" t="s">
        <v>431</v>
      </c>
      <c r="B47" s="124">
        <f>SUMIFS('دفتر اليومية'!K:K,'دفتر اليومية'!AC:AC,A47,'دفتر اليومية'!E:E,"مبيعات كاش")
+SUMIFS('دفتر اليومية'!K:K,'دفتر اليومية'!AC:AC,A47,'دفتر اليومية'!E:E,"مبيعات اجل")</f>
        <v>0</v>
      </c>
      <c r="C47" s="115">
        <f>SUMIFS('دفتر اليومية'!K:K, 'دفتر اليومية'!E:E, "مصروفات", 'دفتر اليومية'!AC:AC, Dashboard!A47)</f>
        <v>0</v>
      </c>
      <c r="D47" s="115">
        <f>SUMIFS('دفتر اليومية'!K:K, 'دفتر اليومية'!E:E, "مشتريات", 'دفتر اليومية'!AC:AC, Dashboard!A47)</f>
        <v>0</v>
      </c>
      <c r="E47" s="124">
        <f t="shared" si="0"/>
        <v>0</v>
      </c>
    </row>
    <row r="48" spans="1:5" ht="15" thickBot="1" x14ac:dyDescent="0.35">
      <c r="A48" s="117" t="s">
        <v>437</v>
      </c>
      <c r="B48" s="118">
        <f>SUM(B36:B47)</f>
        <v>556855</v>
      </c>
      <c r="C48" s="118">
        <f t="shared" ref="C48:E48" si="1">SUM(C36:C47)</f>
        <v>1000</v>
      </c>
      <c r="D48" s="118">
        <f t="shared" si="1"/>
        <v>2750</v>
      </c>
      <c r="E48" s="118">
        <f t="shared" si="1"/>
        <v>553105</v>
      </c>
    </row>
    <row r="50" spans="1:5" x14ac:dyDescent="0.3">
      <c r="A50" s="120" t="s">
        <v>232</v>
      </c>
      <c r="B50" s="121" t="s">
        <v>439</v>
      </c>
      <c r="C50" s="121" t="s">
        <v>440</v>
      </c>
      <c r="D50" s="121" t="s">
        <v>441</v>
      </c>
      <c r="E50" s="121" t="s">
        <v>442</v>
      </c>
    </row>
    <row r="51" spans="1:5" x14ac:dyDescent="0.3">
      <c r="A51" s="122" t="str" cm="1">
        <f t="array" ref="A51:A53">_xlfn.UNIQUE(_xlfn._xlws.FILTER('تحليل مبيعات'!F10:F3996, 'تحليل مبيعات'!F10:F3996&lt;&gt;""))</f>
        <v>بطارية</v>
      </c>
      <c r="B51">
        <f>SUMIFS('تحليل مبيعات'!H:H,'تحليل مبيعات'!F:F,A51)</f>
        <v>35</v>
      </c>
      <c r="C51">
        <f>SUMIFS('تحليل مبيعات'!L:L,'تحليل مبيعات'!F:F,A51)</f>
        <v>68650</v>
      </c>
      <c r="D51">
        <f>SUMIFS('تحليل مبيعات'!M:M,'تحليل مبيعات'!F:F,A51)</f>
        <v>55945</v>
      </c>
      <c r="E51" s="40">
        <f>D51/D54</f>
        <v>0.12174607526951919</v>
      </c>
    </row>
    <row r="52" spans="1:5" x14ac:dyDescent="0.3">
      <c r="A52" s="122" t="str">
        <v>كاوتش</v>
      </c>
      <c r="B52">
        <f>SUMIFS('تحليل مبيعات'!H:H,'تحليل مبيعات'!F:F,A52)</f>
        <v>94</v>
      </c>
      <c r="C52">
        <f>SUMIFS('تحليل مبيعات'!L:L,'تحليل مبيعات'!F:F,A52)</f>
        <v>336100</v>
      </c>
      <c r="D52">
        <f>SUMIFS('تحليل مبيعات'!M:M,'تحليل مبيعات'!F:F,A52)</f>
        <v>323570</v>
      </c>
      <c r="E52" s="40">
        <f>D52/D54</f>
        <v>0.70414474170986374</v>
      </c>
    </row>
    <row r="53" spans="1:5" x14ac:dyDescent="0.3">
      <c r="A53" s="122" t="str">
        <v>قطع غيار</v>
      </c>
      <c r="B53">
        <f>SUMIFS('تحليل مبيعات'!H:H,'تحليل مبيعات'!F:F,A53)</f>
        <v>508</v>
      </c>
      <c r="C53">
        <f>SUMIFS('تحليل مبيعات'!L:L,'تحليل مبيعات'!F:F,A53)</f>
        <v>154280</v>
      </c>
      <c r="D53">
        <f>SUMIFS('تحليل مبيعات'!M:M,'تحليل مبيعات'!F:F,A53)</f>
        <v>80007</v>
      </c>
      <c r="E53" s="40">
        <f>D53/D54</f>
        <v>0.17410918302061706</v>
      </c>
    </row>
    <row r="54" spans="1:5" x14ac:dyDescent="0.3">
      <c r="A54" t="s">
        <v>438</v>
      </c>
      <c r="B54">
        <f>SUM(B51:B53)</f>
        <v>637</v>
      </c>
      <c r="C54">
        <f t="shared" ref="C54:E54" si="2">SUM(C51:C53)</f>
        <v>559030</v>
      </c>
      <c r="D54">
        <f t="shared" si="2"/>
        <v>459522</v>
      </c>
      <c r="E54">
        <f t="shared" si="2"/>
        <v>1</v>
      </c>
    </row>
  </sheetData>
  <mergeCells count="1">
    <mergeCell ref="C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990D-CFAA-4FAB-ACD6-AFF161C7D15A}">
  <dimension ref="A1:AS1169"/>
  <sheetViews>
    <sheetView rightToLeft="1" workbookViewId="0">
      <selection activeCell="E9" sqref="E9"/>
    </sheetView>
  </sheetViews>
  <sheetFormatPr defaultRowHeight="14.4" x14ac:dyDescent="0.3"/>
  <cols>
    <col min="1" max="1" width="13.88671875" bestFit="1" customWidth="1"/>
    <col min="2" max="2" width="19.5546875" bestFit="1" customWidth="1"/>
    <col min="3" max="3" width="13.109375" bestFit="1" customWidth="1"/>
    <col min="4" max="4" width="9.44140625" bestFit="1" customWidth="1"/>
    <col min="42" max="42" width="13.88671875" bestFit="1" customWidth="1"/>
    <col min="43" max="43" width="11.109375" bestFit="1" customWidth="1"/>
    <col min="44" max="44" width="16.5546875" bestFit="1" customWidth="1"/>
    <col min="45" max="45" width="7" bestFit="1" customWidth="1"/>
  </cols>
  <sheetData>
    <row r="1" spans="1:45" ht="22.2" customHeight="1" x14ac:dyDescent="0.3">
      <c r="A1" s="106" t="s">
        <v>413</v>
      </c>
      <c r="B1" s="106" t="s">
        <v>414</v>
      </c>
      <c r="C1" s="106" t="s">
        <v>415</v>
      </c>
      <c r="D1" s="107" t="s">
        <v>416</v>
      </c>
      <c r="E1" s="112"/>
      <c r="P1">
        <v>3</v>
      </c>
      <c r="AP1" s="109" t="s">
        <v>417</v>
      </c>
      <c r="AQ1" t="s">
        <v>420</v>
      </c>
      <c r="AR1" t="s">
        <v>421</v>
      </c>
      <c r="AS1" t="s">
        <v>422</v>
      </c>
    </row>
    <row r="2" spans="1:45" x14ac:dyDescent="0.3">
      <c r="A2" s="10" t="str" cm="1">
        <f t="array" ref="A2:A10">_xlfn.UNIQUE(_xlfn._xlws.FILTER('دفتر اليومية'!H:H, 'دفتر اليومية'!E:E="مبيعات اجل"))</f>
        <v>Client 19</v>
      </c>
      <c r="B2" s="10">
        <f>SUMIFS('دفتر اليومية'!K:K, 'دفتر اليومية'!H:H, A2, 'دفتر اليومية'!E:E, "مبيعات اجل")</f>
        <v>44550</v>
      </c>
      <c r="C2" s="10">
        <f>SUMIFS('دفتر اليومية'!L:L, 'دفتر اليومية'!H:H, A2, 'دفتر اليومية'!E:E, "مبيعات اجل")</f>
        <v>0</v>
      </c>
      <c r="D2" s="108">
        <f>B2-C2</f>
        <v>44550</v>
      </c>
      <c r="AP2" s="110" t="s">
        <v>175</v>
      </c>
      <c r="AQ2" s="111">
        <v>0</v>
      </c>
      <c r="AR2" s="111">
        <v>9550</v>
      </c>
      <c r="AS2" s="111">
        <v>9550</v>
      </c>
    </row>
    <row r="3" spans="1:45" x14ac:dyDescent="0.3">
      <c r="A3" s="10" t="str">
        <v>Client 15</v>
      </c>
      <c r="B3" s="10">
        <f>SUMIFS('دفتر اليومية'!K:K, 'دفتر اليومية'!H:H, A3, 'دفتر اليومية'!E:E, "مبيعات اجل")</f>
        <v>66550</v>
      </c>
      <c r="C3" s="10">
        <f>SUMIFS('دفتر اليومية'!L:L, 'دفتر اليومية'!H:H, A3, 'دفتر اليومية'!E:E, "مبيعات اجل")</f>
        <v>0</v>
      </c>
      <c r="D3" s="108">
        <f t="shared" ref="D3:D66" si="0">B3-C3</f>
        <v>66550</v>
      </c>
      <c r="AP3" s="110" t="s">
        <v>15</v>
      </c>
      <c r="AQ3" s="111">
        <v>0</v>
      </c>
      <c r="AR3" s="111">
        <v>2850</v>
      </c>
      <c r="AS3" s="111">
        <v>2850</v>
      </c>
    </row>
    <row r="4" spans="1:45" x14ac:dyDescent="0.3">
      <c r="A4" s="10" t="str">
        <v>Client 10</v>
      </c>
      <c r="B4" s="10">
        <f>SUMIFS('دفتر اليومية'!K:K, 'دفتر اليومية'!H:H, A4, 'دفتر اليومية'!E:E, "مبيعات اجل")</f>
        <v>24350</v>
      </c>
      <c r="C4" s="10">
        <f>SUMIFS('دفتر اليومية'!L:L, 'دفتر اليومية'!H:H, A4, 'دفتر اليومية'!E:E, "مبيعات اجل")</f>
        <v>0</v>
      </c>
      <c r="D4" s="108">
        <f t="shared" si="0"/>
        <v>24350</v>
      </c>
      <c r="AP4" s="110" t="s">
        <v>41</v>
      </c>
      <c r="AQ4" s="111">
        <v>0</v>
      </c>
      <c r="AR4" s="111">
        <v>18450</v>
      </c>
      <c r="AS4" s="111">
        <v>18450</v>
      </c>
    </row>
    <row r="5" spans="1:45" x14ac:dyDescent="0.3">
      <c r="A5" s="10" t="str">
        <v>Client 20</v>
      </c>
      <c r="B5" s="10">
        <f>SUMIFS('دفتر اليومية'!K:K, 'دفتر اليومية'!H:H, A5, 'دفتر اليومية'!E:E, "مبيعات اجل")</f>
        <v>13150</v>
      </c>
      <c r="C5" s="10">
        <f>SUMIFS('دفتر اليومية'!L:L, 'دفتر اليومية'!H:H, A5, 'دفتر اليومية'!E:E, "مبيعات اجل")</f>
        <v>0</v>
      </c>
      <c r="D5" s="108">
        <f t="shared" si="0"/>
        <v>13150</v>
      </c>
      <c r="AP5" s="110" t="s">
        <v>199</v>
      </c>
      <c r="AQ5" s="111">
        <v>0</v>
      </c>
      <c r="AR5" s="111">
        <v>3050</v>
      </c>
      <c r="AS5" s="111">
        <v>3050</v>
      </c>
    </row>
    <row r="6" spans="1:45" x14ac:dyDescent="0.3">
      <c r="A6" s="10" t="str">
        <v>Client 14</v>
      </c>
      <c r="B6" s="10">
        <f>SUMIFS('دفتر اليومية'!K:K, 'دفتر اليومية'!H:H, A6, 'دفتر اليومية'!E:E, "مبيعات اجل")</f>
        <v>7100</v>
      </c>
      <c r="C6" s="10">
        <f>SUMIFS('دفتر اليومية'!L:L, 'دفتر اليومية'!H:H, A6, 'دفتر اليومية'!E:E, "مبيعات اجل")</f>
        <v>0</v>
      </c>
      <c r="D6" s="108">
        <f t="shared" si="0"/>
        <v>7100</v>
      </c>
      <c r="AP6" s="110" t="s">
        <v>144</v>
      </c>
      <c r="AQ6" s="111">
        <v>0</v>
      </c>
      <c r="AR6" s="111">
        <v>7950</v>
      </c>
      <c r="AS6" s="111">
        <v>7950</v>
      </c>
    </row>
    <row r="7" spans="1:45" x14ac:dyDescent="0.3">
      <c r="A7" s="10" t="str">
        <v>Client 17</v>
      </c>
      <c r="B7" s="10">
        <f>SUMIFS('دفتر اليومية'!K:K, 'دفتر اليومية'!H:H, A7, 'دفتر اليومية'!E:E, "مبيعات اجل")</f>
        <v>8000</v>
      </c>
      <c r="C7" s="10">
        <f>SUMIFS('دفتر اليومية'!L:L, 'دفتر اليومية'!H:H, A7, 'دفتر اليومية'!E:E, "مبيعات اجل")</f>
        <v>0</v>
      </c>
      <c r="D7" s="108">
        <f t="shared" si="0"/>
        <v>8000</v>
      </c>
      <c r="AP7" s="110" t="s">
        <v>201</v>
      </c>
      <c r="AQ7" s="111">
        <v>0</v>
      </c>
      <c r="AR7" s="111">
        <v>1950</v>
      </c>
      <c r="AS7" s="111">
        <v>1950</v>
      </c>
    </row>
    <row r="8" spans="1:45" x14ac:dyDescent="0.3">
      <c r="A8" s="10" t="str">
        <v>Client 18</v>
      </c>
      <c r="B8" s="10">
        <f>SUMIFS('دفتر اليومية'!K:K, 'دفتر اليومية'!H:H, A8, 'دفتر اليومية'!E:E, "مبيعات اجل")</f>
        <v>6700</v>
      </c>
      <c r="C8" s="10">
        <f>SUMIFS('دفتر اليومية'!L:L, 'دفتر اليومية'!H:H, A8, 'دفتر اليومية'!E:E, "مبيعات اجل")</f>
        <v>0</v>
      </c>
      <c r="D8" s="108">
        <f t="shared" si="0"/>
        <v>6700</v>
      </c>
      <c r="AP8" s="110" t="s">
        <v>36</v>
      </c>
      <c r="AQ8" s="111">
        <v>0</v>
      </c>
      <c r="AR8" s="111">
        <v>5150</v>
      </c>
      <c r="AS8" s="111">
        <v>5150</v>
      </c>
    </row>
    <row r="9" spans="1:45" x14ac:dyDescent="0.3">
      <c r="A9" s="10" t="str">
        <v>Client 11</v>
      </c>
      <c r="B9" s="10">
        <f>SUMIFS('دفتر اليومية'!K:K, 'دفتر اليومية'!H:H, A9, 'دفتر اليومية'!E:E, "مبيعات اجل")</f>
        <v>7950</v>
      </c>
      <c r="C9" s="10">
        <f>SUMIFS('دفتر اليومية'!L:L, 'دفتر اليومية'!H:H, A9, 'دفتر اليومية'!E:E, "مبيعات اجل")</f>
        <v>0</v>
      </c>
      <c r="D9" s="108">
        <f t="shared" si="0"/>
        <v>7950</v>
      </c>
      <c r="AP9" s="110" t="s">
        <v>57</v>
      </c>
      <c r="AQ9" s="111">
        <v>0</v>
      </c>
      <c r="AR9" s="111">
        <v>20000</v>
      </c>
      <c r="AS9" s="111">
        <v>20000</v>
      </c>
    </row>
    <row r="10" spans="1:45" x14ac:dyDescent="0.3">
      <c r="A10" s="10" t="str">
        <v>Client 8</v>
      </c>
      <c r="B10" s="10">
        <f>SUMIFS('دفتر اليومية'!K:K, 'دفتر اليومية'!H:H, A10, 'دفتر اليومية'!E:E, "مبيعات اجل")</f>
        <v>9550</v>
      </c>
      <c r="C10" s="10">
        <f>SUMIFS('دفتر اليومية'!L:L, 'دفتر اليومية'!H:H, A10, 'دفتر اليومية'!E:E, "مبيعات اجل")</f>
        <v>0</v>
      </c>
      <c r="D10" s="108">
        <f t="shared" si="0"/>
        <v>9550</v>
      </c>
      <c r="AP10" s="110" t="s">
        <v>163</v>
      </c>
      <c r="AQ10" s="111">
        <v>0</v>
      </c>
      <c r="AR10" s="111">
        <v>33550</v>
      </c>
      <c r="AS10" s="111">
        <v>33550</v>
      </c>
    </row>
    <row r="11" spans="1:45" x14ac:dyDescent="0.3">
      <c r="A11" s="10"/>
      <c r="B11" s="10">
        <f>SUMIFS('دفتر اليومية'!K:K, 'دفتر اليومية'!H:H, A11, 'دفتر اليومية'!E:E, "مبيعات اجل")</f>
        <v>0</v>
      </c>
      <c r="C11" s="10">
        <f>SUMIFS('دفتر اليومية'!L:L, 'دفتر اليومية'!H:H, A11, 'دفتر اليومية'!E:E, "مبيعات اجل")</f>
        <v>0</v>
      </c>
      <c r="D11" s="108">
        <f t="shared" si="0"/>
        <v>0</v>
      </c>
      <c r="AP11" s="110" t="s">
        <v>83</v>
      </c>
      <c r="AQ11" s="111">
        <v>0</v>
      </c>
      <c r="AR11" s="111">
        <v>7950</v>
      </c>
      <c r="AS11" s="111">
        <v>7950</v>
      </c>
    </row>
    <row r="12" spans="1:45" x14ac:dyDescent="0.3">
      <c r="A12" s="10"/>
      <c r="B12" s="10">
        <f>SUMIFS('دفتر اليومية'!K:K, 'دفتر اليومية'!H:H, A12, 'دفتر اليومية'!E:E, "مبيعات اجل")</f>
        <v>0</v>
      </c>
      <c r="C12" s="10">
        <f>SUMIFS('دفتر اليومية'!L:L, 'دفتر اليومية'!H:H, A12, 'دفتر اليومية'!E:E, "مبيعات اجل")</f>
        <v>0</v>
      </c>
      <c r="D12" s="108">
        <f t="shared" si="0"/>
        <v>0</v>
      </c>
      <c r="AP12" s="110" t="s">
        <v>14</v>
      </c>
      <c r="AQ12" s="111">
        <v>0</v>
      </c>
      <c r="AR12" s="111">
        <v>5050</v>
      </c>
      <c r="AS12" s="111">
        <v>5050</v>
      </c>
    </row>
    <row r="13" spans="1:45" x14ac:dyDescent="0.3">
      <c r="A13" s="10"/>
      <c r="B13" s="10">
        <f>SUMIFS('دفتر اليومية'!K:K, 'دفتر اليومية'!H:H, A13, 'دفتر اليومية'!E:E, "مبيعات اجل")</f>
        <v>0</v>
      </c>
      <c r="C13" s="10">
        <f>SUMIFS('دفتر اليومية'!L:L, 'دفتر اليومية'!H:H, A13, 'دفتر اليومية'!E:E, "مبيعات اجل")</f>
        <v>0</v>
      </c>
      <c r="D13" s="108">
        <f t="shared" si="0"/>
        <v>0</v>
      </c>
      <c r="AP13" s="110" t="s">
        <v>81</v>
      </c>
      <c r="AQ13" s="111">
        <v>0</v>
      </c>
      <c r="AR13" s="111">
        <v>8000</v>
      </c>
      <c r="AS13" s="111">
        <v>8000</v>
      </c>
    </row>
    <row r="14" spans="1:45" x14ac:dyDescent="0.3">
      <c r="A14" s="10"/>
      <c r="B14" s="10">
        <f>SUMIFS('دفتر اليومية'!K:K, 'دفتر اليومية'!H:H, A14, 'دفتر اليومية'!E:E, "مبيعات اجل")</f>
        <v>0</v>
      </c>
      <c r="C14" s="10">
        <f>SUMIFS('دفتر اليومية'!L:L, 'دفتر اليومية'!H:H, A14, 'دفتر اليومية'!E:E, "مبيعات اجل")</f>
        <v>0</v>
      </c>
      <c r="D14" s="108">
        <f t="shared" si="0"/>
        <v>0</v>
      </c>
      <c r="AP14" s="110" t="s">
        <v>150</v>
      </c>
      <c r="AQ14" s="111">
        <v>0</v>
      </c>
      <c r="AR14" s="111">
        <v>17150</v>
      </c>
      <c r="AS14" s="111">
        <v>17150</v>
      </c>
    </row>
    <row r="15" spans="1:45" x14ac:dyDescent="0.3">
      <c r="A15" s="10"/>
      <c r="B15" s="10">
        <f>SUMIFS('دفتر اليومية'!K:K, 'دفتر اليومية'!H:H, A15, 'دفتر اليومية'!E:E, "مبيعات اجل")</f>
        <v>0</v>
      </c>
      <c r="C15" s="10">
        <f>SUMIFS('دفتر اليومية'!L:L, 'دفتر اليومية'!H:H, A15, 'دفتر اليومية'!E:E, "مبيعات اجل")</f>
        <v>0</v>
      </c>
      <c r="D15" s="108">
        <f t="shared" si="0"/>
        <v>0</v>
      </c>
      <c r="AP15" s="110" t="s">
        <v>166</v>
      </c>
      <c r="AQ15" s="111">
        <v>0</v>
      </c>
      <c r="AR15" s="111">
        <v>4200</v>
      </c>
      <c r="AS15" s="111">
        <v>4200</v>
      </c>
    </row>
    <row r="16" spans="1:45" x14ac:dyDescent="0.3">
      <c r="A16" s="10"/>
      <c r="B16" s="10">
        <f>SUMIFS('دفتر اليومية'!K:K, 'دفتر اليومية'!H:H, A16, 'دفتر اليومية'!E:E, "مبيعات اجل")</f>
        <v>0</v>
      </c>
      <c r="C16" s="10">
        <f>SUMIFS('دفتر اليومية'!L:L, 'دفتر اليومية'!H:H, A16, 'دفتر اليومية'!E:E, "مبيعات اجل")</f>
        <v>0</v>
      </c>
      <c r="D16" s="108">
        <f t="shared" si="0"/>
        <v>0</v>
      </c>
      <c r="AP16" s="110" t="s">
        <v>8</v>
      </c>
      <c r="AQ16" s="111">
        <v>0</v>
      </c>
      <c r="AR16" s="111">
        <v>9750</v>
      </c>
      <c r="AS16" s="111">
        <v>9750</v>
      </c>
    </row>
    <row r="17" spans="1:45" x14ac:dyDescent="0.3">
      <c r="A17" s="10"/>
      <c r="B17" s="10">
        <f>SUMIFS('دفتر اليومية'!K:K, 'دفتر اليومية'!H:H, A17, 'دفتر اليومية'!E:E, "مبيعات اجل")</f>
        <v>0</v>
      </c>
      <c r="C17" s="10">
        <f>SUMIFS('دفتر اليومية'!L:L, 'دفتر اليومية'!H:H, A17, 'دفتر اليومية'!E:E, "مبيعات اجل")</f>
        <v>0</v>
      </c>
      <c r="D17" s="108">
        <f t="shared" si="0"/>
        <v>0</v>
      </c>
      <c r="AP17" s="110" t="s">
        <v>42</v>
      </c>
      <c r="AQ17" s="111">
        <v>0</v>
      </c>
      <c r="AR17" s="111">
        <v>17650</v>
      </c>
      <c r="AS17" s="111">
        <v>17650</v>
      </c>
    </row>
    <row r="18" spans="1:45" x14ac:dyDescent="0.3">
      <c r="A18" s="10"/>
      <c r="B18" s="10">
        <f>SUMIFS('دفتر اليومية'!K:K, 'دفتر اليومية'!H:H, A18, 'دفتر اليومية'!E:E, "مبيعات اجل")</f>
        <v>0</v>
      </c>
      <c r="C18" s="10">
        <f>SUMIFS('دفتر اليومية'!L:L, 'دفتر اليومية'!H:H, A18, 'دفتر اليومية'!E:E, "مبيعات اجل")</f>
        <v>0</v>
      </c>
      <c r="D18" s="108">
        <f t="shared" si="0"/>
        <v>0</v>
      </c>
      <c r="AP18" s="110" t="s">
        <v>31</v>
      </c>
      <c r="AQ18" s="111">
        <v>0</v>
      </c>
      <c r="AR18" s="111">
        <v>3800</v>
      </c>
      <c r="AS18" s="111">
        <v>3800</v>
      </c>
    </row>
    <row r="19" spans="1:45" x14ac:dyDescent="0.3">
      <c r="A19" s="10"/>
      <c r="B19" s="10">
        <f>SUMIFS('دفتر اليومية'!K:K, 'دفتر اليومية'!H:H, A19, 'دفتر اليومية'!E:E, "مبيعات اجل")</f>
        <v>0</v>
      </c>
      <c r="C19" s="10">
        <f>SUMIFS('دفتر اليومية'!L:L, 'دفتر اليومية'!H:H, A19, 'دفتر اليومية'!E:E, "مبيعات اجل")</f>
        <v>0</v>
      </c>
      <c r="D19" s="108">
        <f t="shared" si="0"/>
        <v>0</v>
      </c>
      <c r="AP19" s="110" t="s">
        <v>142</v>
      </c>
      <c r="AQ19" s="111">
        <v>0</v>
      </c>
      <c r="AR19" s="111">
        <v>2500</v>
      </c>
      <c r="AS19" s="111">
        <v>2500</v>
      </c>
    </row>
    <row r="20" spans="1:45" x14ac:dyDescent="0.3">
      <c r="A20" s="10"/>
      <c r="B20" s="10">
        <f>SUMIFS('دفتر اليومية'!K:K, 'دفتر اليومية'!H:H, A20, 'دفتر اليومية'!E:E, "مبيعات اجل")</f>
        <v>0</v>
      </c>
      <c r="C20" s="10">
        <f>SUMIFS('دفتر اليومية'!L:L, 'دفتر اليومية'!H:H, A20, 'دفتر اليومية'!E:E, "مبيعات اجل")</f>
        <v>0</v>
      </c>
      <c r="D20" s="108">
        <f t="shared" si="0"/>
        <v>0</v>
      </c>
      <c r="AP20" s="110" t="s">
        <v>40</v>
      </c>
      <c r="AQ20" s="111">
        <v>0</v>
      </c>
      <c r="AR20" s="111">
        <v>9350</v>
      </c>
      <c r="AS20" s="111">
        <v>9350</v>
      </c>
    </row>
    <row r="21" spans="1:45" x14ac:dyDescent="0.3">
      <c r="A21" s="10"/>
      <c r="B21" s="10">
        <f>SUMIFS('دفتر اليومية'!K:K, 'دفتر اليومية'!H:H, A21, 'دفتر اليومية'!E:E, "مبيعات اجل")</f>
        <v>0</v>
      </c>
      <c r="C21" s="10">
        <f>SUMIFS('دفتر اليومية'!L:L, 'دفتر اليومية'!H:H, A21, 'دفتر اليومية'!E:E, "مبيعات اجل")</f>
        <v>0</v>
      </c>
      <c r="D21" s="108">
        <f t="shared" si="0"/>
        <v>0</v>
      </c>
      <c r="AP21" s="110" t="s">
        <v>418</v>
      </c>
      <c r="AQ21" s="111">
        <v>0</v>
      </c>
      <c r="AR21" s="111">
        <v>0</v>
      </c>
      <c r="AS21" s="111">
        <v>0</v>
      </c>
    </row>
    <row r="22" spans="1:45" x14ac:dyDescent="0.3">
      <c r="A22" s="10"/>
      <c r="B22" s="10">
        <f>SUMIFS('دفتر اليومية'!K:K, 'دفتر اليومية'!H:H, A22, 'دفتر اليومية'!E:E, "مبيعات اجل")</f>
        <v>0</v>
      </c>
      <c r="C22" s="10">
        <f>SUMIFS('دفتر اليومية'!L:L, 'دفتر اليومية'!H:H, A22, 'دفتر اليومية'!E:E, "مبيعات اجل")</f>
        <v>0</v>
      </c>
      <c r="D22" s="108">
        <f t="shared" si="0"/>
        <v>0</v>
      </c>
      <c r="AP22" s="110" t="s">
        <v>419</v>
      </c>
      <c r="AQ22" s="111">
        <v>0</v>
      </c>
      <c r="AR22" s="111">
        <v>187900</v>
      </c>
      <c r="AS22" s="111">
        <v>187900</v>
      </c>
    </row>
    <row r="23" spans="1:45" x14ac:dyDescent="0.3">
      <c r="A23" s="10"/>
      <c r="B23" s="10">
        <f>SUMIFS('دفتر اليومية'!K:K, 'دفتر اليومية'!H:H, A23, 'دفتر اليومية'!E:E, "مبيعات اجل")</f>
        <v>0</v>
      </c>
      <c r="C23" s="10">
        <f>SUMIFS('دفتر اليومية'!L:L, 'دفتر اليومية'!H:H, A23, 'دفتر اليومية'!E:E, "مبيعات اجل")</f>
        <v>0</v>
      </c>
      <c r="D23" s="108">
        <f t="shared" si="0"/>
        <v>0</v>
      </c>
    </row>
    <row r="24" spans="1:45" x14ac:dyDescent="0.3">
      <c r="A24" s="10"/>
      <c r="B24" s="10">
        <f>SUMIFS('دفتر اليومية'!K:K, 'دفتر اليومية'!H:H, A24, 'دفتر اليومية'!E:E, "مبيعات اجل")</f>
        <v>0</v>
      </c>
      <c r="C24" s="10">
        <f>SUMIFS('دفتر اليومية'!L:L, 'دفتر اليومية'!H:H, A24, 'دفتر اليومية'!E:E, "مبيعات اجل")</f>
        <v>0</v>
      </c>
      <c r="D24" s="108">
        <f t="shared" si="0"/>
        <v>0</v>
      </c>
    </row>
    <row r="25" spans="1:45" x14ac:dyDescent="0.3">
      <c r="A25" s="10"/>
      <c r="B25" s="10">
        <f>SUMIFS('دفتر اليومية'!K:K, 'دفتر اليومية'!H:H, A25, 'دفتر اليومية'!E:E, "مبيعات اجل")</f>
        <v>0</v>
      </c>
      <c r="C25" s="10">
        <f>SUMIFS('دفتر اليومية'!L:L, 'دفتر اليومية'!H:H, A25, 'دفتر اليومية'!E:E, "مبيعات اجل")</f>
        <v>0</v>
      </c>
      <c r="D25" s="108">
        <f t="shared" si="0"/>
        <v>0</v>
      </c>
    </row>
    <row r="26" spans="1:45" x14ac:dyDescent="0.3">
      <c r="A26" s="10"/>
      <c r="B26" s="10">
        <f>SUMIFS('دفتر اليومية'!K:K, 'دفتر اليومية'!H:H, A26, 'دفتر اليومية'!E:E, "مبيعات اجل")</f>
        <v>0</v>
      </c>
      <c r="C26" s="10">
        <f>SUMIFS('دفتر اليومية'!L:L, 'دفتر اليومية'!H:H, A26, 'دفتر اليومية'!E:E, "مبيعات اجل")</f>
        <v>0</v>
      </c>
      <c r="D26" s="108">
        <f t="shared" si="0"/>
        <v>0</v>
      </c>
    </row>
    <row r="27" spans="1:45" x14ac:dyDescent="0.3">
      <c r="A27" s="10"/>
      <c r="B27" s="10">
        <f>SUMIFS('دفتر اليومية'!K:K, 'دفتر اليومية'!H:H, A27, 'دفتر اليومية'!E:E, "مبيعات اجل")</f>
        <v>0</v>
      </c>
      <c r="C27" s="10">
        <f>SUMIFS('دفتر اليومية'!L:L, 'دفتر اليومية'!H:H, A27, 'دفتر اليومية'!E:E, "مبيعات اجل")</f>
        <v>0</v>
      </c>
      <c r="D27" s="108">
        <f t="shared" si="0"/>
        <v>0</v>
      </c>
    </row>
    <row r="28" spans="1:45" x14ac:dyDescent="0.3">
      <c r="A28" s="10"/>
      <c r="B28" s="10">
        <f>SUMIFS('دفتر اليومية'!K:K, 'دفتر اليومية'!H:H, A28, 'دفتر اليومية'!E:E, "مبيعات اجل")</f>
        <v>0</v>
      </c>
      <c r="C28" s="10">
        <f>SUMIFS('دفتر اليومية'!L:L, 'دفتر اليومية'!H:H, A28, 'دفتر اليومية'!E:E, "مبيعات اجل")</f>
        <v>0</v>
      </c>
      <c r="D28" s="108">
        <f t="shared" si="0"/>
        <v>0</v>
      </c>
    </row>
    <row r="29" spans="1:45" x14ac:dyDescent="0.3">
      <c r="A29" s="10"/>
      <c r="B29" s="10">
        <f>SUMIFS('دفتر اليومية'!K:K, 'دفتر اليومية'!H:H, A29, 'دفتر اليومية'!E:E, "مبيعات اجل")</f>
        <v>0</v>
      </c>
      <c r="C29" s="10">
        <f>SUMIFS('دفتر اليومية'!L:L, 'دفتر اليومية'!H:H, A29, 'دفتر اليومية'!E:E, "مبيعات اجل")</f>
        <v>0</v>
      </c>
      <c r="D29" s="108">
        <f t="shared" si="0"/>
        <v>0</v>
      </c>
    </row>
    <row r="30" spans="1:45" x14ac:dyDescent="0.3">
      <c r="A30" s="10"/>
      <c r="B30" s="10">
        <f>SUMIFS('دفتر اليومية'!K:K, 'دفتر اليومية'!H:H, A30, 'دفتر اليومية'!E:E, "مبيعات اجل")</f>
        <v>0</v>
      </c>
      <c r="C30" s="10">
        <f>SUMIFS('دفتر اليومية'!L:L, 'دفتر اليومية'!H:H, A30, 'دفتر اليومية'!E:E, "مبيعات اجل")</f>
        <v>0</v>
      </c>
      <c r="D30" s="108">
        <f t="shared" si="0"/>
        <v>0</v>
      </c>
    </row>
    <row r="31" spans="1:45" x14ac:dyDescent="0.3">
      <c r="A31" s="10"/>
      <c r="B31" s="10">
        <f>SUMIFS('دفتر اليومية'!K:K, 'دفتر اليومية'!H:H, A31, 'دفتر اليومية'!E:E, "مبيعات اجل")</f>
        <v>0</v>
      </c>
      <c r="C31" s="10">
        <f>SUMIFS('دفتر اليومية'!L:L, 'دفتر اليومية'!H:H, A31, 'دفتر اليومية'!E:E, "مبيعات اجل")</f>
        <v>0</v>
      </c>
      <c r="D31" s="108">
        <f t="shared" si="0"/>
        <v>0</v>
      </c>
    </row>
    <row r="32" spans="1:45" x14ac:dyDescent="0.3">
      <c r="A32" s="10"/>
      <c r="B32" s="10">
        <f>SUMIFS('دفتر اليومية'!K:K, 'دفتر اليومية'!H:H, A32, 'دفتر اليومية'!E:E, "مبيعات اجل")</f>
        <v>0</v>
      </c>
      <c r="C32" s="10">
        <f>SUMIFS('دفتر اليومية'!L:L, 'دفتر اليومية'!H:H, A32, 'دفتر اليومية'!E:E, "مبيعات اجل")</f>
        <v>0</v>
      </c>
      <c r="D32" s="108">
        <f t="shared" si="0"/>
        <v>0</v>
      </c>
    </row>
    <row r="33" spans="1:4" x14ac:dyDescent="0.3">
      <c r="A33" s="10"/>
      <c r="B33" s="10">
        <f>SUMIFS('دفتر اليومية'!K:K, 'دفتر اليومية'!H:H, A33, 'دفتر اليومية'!E:E, "مبيعات اجل")</f>
        <v>0</v>
      </c>
      <c r="C33" s="10">
        <f>SUMIFS('دفتر اليومية'!L:L, 'دفتر اليومية'!H:H, A33, 'دفتر اليومية'!E:E, "مبيعات اجل")</f>
        <v>0</v>
      </c>
      <c r="D33" s="108">
        <f t="shared" si="0"/>
        <v>0</v>
      </c>
    </row>
    <row r="34" spans="1:4" x14ac:dyDescent="0.3">
      <c r="A34" s="10"/>
      <c r="B34" s="10">
        <f>SUMIFS('دفتر اليومية'!K:K, 'دفتر اليومية'!H:H, A34, 'دفتر اليومية'!E:E, "مبيعات اجل")</f>
        <v>0</v>
      </c>
      <c r="C34" s="10">
        <f>SUMIFS('دفتر اليومية'!L:L, 'دفتر اليومية'!H:H, A34, 'دفتر اليومية'!E:E, "مبيعات اجل")</f>
        <v>0</v>
      </c>
      <c r="D34" s="108">
        <f t="shared" si="0"/>
        <v>0</v>
      </c>
    </row>
    <row r="35" spans="1:4" x14ac:dyDescent="0.3">
      <c r="A35" s="10"/>
      <c r="B35" s="10">
        <f>SUMIFS('دفتر اليومية'!K:K, 'دفتر اليومية'!H:H, A35, 'دفتر اليومية'!E:E, "مبيعات اجل")</f>
        <v>0</v>
      </c>
      <c r="C35" s="10">
        <f>SUMIFS('دفتر اليومية'!L:L, 'دفتر اليومية'!H:H, A35, 'دفتر اليومية'!E:E, "مبيعات اجل")</f>
        <v>0</v>
      </c>
      <c r="D35" s="108">
        <f t="shared" si="0"/>
        <v>0</v>
      </c>
    </row>
    <row r="36" spans="1:4" x14ac:dyDescent="0.3">
      <c r="A36" s="10"/>
      <c r="B36" s="10">
        <f>SUMIFS('دفتر اليومية'!K:K, 'دفتر اليومية'!H:H, A36, 'دفتر اليومية'!E:E, "مبيعات اجل")</f>
        <v>0</v>
      </c>
      <c r="C36" s="10">
        <f>SUMIFS('دفتر اليومية'!L:L, 'دفتر اليومية'!H:H, A36, 'دفتر اليومية'!E:E, "مبيعات اجل")</f>
        <v>0</v>
      </c>
      <c r="D36" s="108">
        <f t="shared" si="0"/>
        <v>0</v>
      </c>
    </row>
    <row r="37" spans="1:4" x14ac:dyDescent="0.3">
      <c r="A37" s="10"/>
      <c r="B37" s="10">
        <f>SUMIFS('دفتر اليومية'!K:K, 'دفتر اليومية'!H:H, A37, 'دفتر اليومية'!E:E, "مبيعات اجل")</f>
        <v>0</v>
      </c>
      <c r="C37" s="10">
        <f>SUMIFS('دفتر اليومية'!L:L, 'دفتر اليومية'!H:H, A37, 'دفتر اليومية'!E:E, "مبيعات اجل")</f>
        <v>0</v>
      </c>
      <c r="D37" s="108">
        <f t="shared" si="0"/>
        <v>0</v>
      </c>
    </row>
    <row r="38" spans="1:4" x14ac:dyDescent="0.3">
      <c r="A38" s="10"/>
      <c r="B38" s="10">
        <f>SUMIFS('دفتر اليومية'!K:K, 'دفتر اليومية'!H:H, A38, 'دفتر اليومية'!E:E, "مبيعات اجل")</f>
        <v>0</v>
      </c>
      <c r="C38" s="10">
        <f>SUMIFS('دفتر اليومية'!L:L, 'دفتر اليومية'!H:H, A38, 'دفتر اليومية'!E:E, "مبيعات اجل")</f>
        <v>0</v>
      </c>
      <c r="D38" s="108">
        <f t="shared" si="0"/>
        <v>0</v>
      </c>
    </row>
    <row r="39" spans="1:4" x14ac:dyDescent="0.3">
      <c r="A39" s="10"/>
      <c r="B39" s="10">
        <f>SUMIFS('دفتر اليومية'!K:K, 'دفتر اليومية'!H:H, A39, 'دفتر اليومية'!E:E, "مبيعات اجل")</f>
        <v>0</v>
      </c>
      <c r="C39" s="10">
        <f>SUMIFS('دفتر اليومية'!L:L, 'دفتر اليومية'!H:H, A39, 'دفتر اليومية'!E:E, "مبيعات اجل")</f>
        <v>0</v>
      </c>
      <c r="D39" s="108">
        <f t="shared" si="0"/>
        <v>0</v>
      </c>
    </row>
    <row r="40" spans="1:4" x14ac:dyDescent="0.3">
      <c r="A40" s="10"/>
      <c r="B40" s="10">
        <f>SUMIFS('دفتر اليومية'!K:K, 'دفتر اليومية'!H:H, A40, 'دفتر اليومية'!E:E, "مبيعات اجل")</f>
        <v>0</v>
      </c>
      <c r="C40" s="10">
        <f>SUMIFS('دفتر اليومية'!L:L, 'دفتر اليومية'!H:H, A40, 'دفتر اليومية'!E:E, "مبيعات اجل")</f>
        <v>0</v>
      </c>
      <c r="D40" s="108">
        <f t="shared" si="0"/>
        <v>0</v>
      </c>
    </row>
    <row r="41" spans="1:4" x14ac:dyDescent="0.3">
      <c r="A41" s="10"/>
      <c r="B41" s="10">
        <f>SUMIFS('دفتر اليومية'!K:K, 'دفتر اليومية'!H:H, A41, 'دفتر اليومية'!E:E, "مبيعات اجل")</f>
        <v>0</v>
      </c>
      <c r="C41" s="10">
        <f>SUMIFS('دفتر اليومية'!L:L, 'دفتر اليومية'!H:H, A41, 'دفتر اليومية'!E:E, "مبيعات اجل")</f>
        <v>0</v>
      </c>
      <c r="D41" s="108">
        <f t="shared" si="0"/>
        <v>0</v>
      </c>
    </row>
    <row r="42" spans="1:4" x14ac:dyDescent="0.3">
      <c r="A42" s="10"/>
      <c r="B42" s="10">
        <f>SUMIFS('دفتر اليومية'!K:K, 'دفتر اليومية'!H:H, A42, 'دفتر اليومية'!E:E, "مبيعات اجل")</f>
        <v>0</v>
      </c>
      <c r="C42" s="10">
        <f>SUMIFS('دفتر اليومية'!L:L, 'دفتر اليومية'!H:H, A42, 'دفتر اليومية'!E:E, "مبيعات اجل")</f>
        <v>0</v>
      </c>
      <c r="D42" s="108">
        <f t="shared" si="0"/>
        <v>0</v>
      </c>
    </row>
    <row r="43" spans="1:4" x14ac:dyDescent="0.3">
      <c r="A43" s="10"/>
      <c r="B43" s="10">
        <f>SUMIFS('دفتر اليومية'!K:K, 'دفتر اليومية'!H:H, A43, 'دفتر اليومية'!E:E, "مبيعات اجل")</f>
        <v>0</v>
      </c>
      <c r="C43" s="10">
        <f>SUMIFS('دفتر اليومية'!L:L, 'دفتر اليومية'!H:H, A43, 'دفتر اليومية'!E:E, "مبيعات اجل")</f>
        <v>0</v>
      </c>
      <c r="D43" s="108">
        <f t="shared" si="0"/>
        <v>0</v>
      </c>
    </row>
    <row r="44" spans="1:4" x14ac:dyDescent="0.3">
      <c r="A44" s="10"/>
      <c r="B44" s="10">
        <f>SUMIFS('دفتر اليومية'!K:K, 'دفتر اليومية'!H:H, A44, 'دفتر اليومية'!E:E, "مبيعات اجل")</f>
        <v>0</v>
      </c>
      <c r="C44" s="10">
        <f>SUMIFS('دفتر اليومية'!L:L, 'دفتر اليومية'!H:H, A44, 'دفتر اليومية'!E:E, "مبيعات اجل")</f>
        <v>0</v>
      </c>
      <c r="D44" s="108">
        <f t="shared" si="0"/>
        <v>0</v>
      </c>
    </row>
    <row r="45" spans="1:4" x14ac:dyDescent="0.3">
      <c r="A45" s="10"/>
      <c r="B45" s="10">
        <f>SUMIFS('دفتر اليومية'!K:K, 'دفتر اليومية'!H:H, A45, 'دفتر اليومية'!E:E, "مبيعات اجل")</f>
        <v>0</v>
      </c>
      <c r="C45" s="10">
        <f>SUMIFS('دفتر اليومية'!L:L, 'دفتر اليومية'!H:H, A45, 'دفتر اليومية'!E:E, "مبيعات اجل")</f>
        <v>0</v>
      </c>
      <c r="D45" s="108">
        <f t="shared" si="0"/>
        <v>0</v>
      </c>
    </row>
    <row r="46" spans="1:4" x14ac:dyDescent="0.3">
      <c r="A46" s="10"/>
      <c r="B46" s="10">
        <f>SUMIFS('دفتر اليومية'!K:K, 'دفتر اليومية'!H:H, A46, 'دفتر اليومية'!E:E, "مبيعات اجل")</f>
        <v>0</v>
      </c>
      <c r="C46" s="10">
        <f>SUMIFS('دفتر اليومية'!L:L, 'دفتر اليومية'!H:H, A46, 'دفتر اليومية'!E:E, "مبيعات اجل")</f>
        <v>0</v>
      </c>
      <c r="D46" s="108">
        <f t="shared" si="0"/>
        <v>0</v>
      </c>
    </row>
    <row r="47" spans="1:4" x14ac:dyDescent="0.3">
      <c r="A47" s="10"/>
      <c r="B47" s="10">
        <f>SUMIFS('دفتر اليومية'!K:K, 'دفتر اليومية'!H:H, A47, 'دفتر اليومية'!E:E, "مبيعات اجل")</f>
        <v>0</v>
      </c>
      <c r="C47" s="10">
        <f>SUMIFS('دفتر اليومية'!L:L, 'دفتر اليومية'!H:H, A47, 'دفتر اليومية'!E:E, "مبيعات اجل")</f>
        <v>0</v>
      </c>
      <c r="D47" s="108">
        <f t="shared" si="0"/>
        <v>0</v>
      </c>
    </row>
    <row r="48" spans="1:4" x14ac:dyDescent="0.3">
      <c r="A48" s="10"/>
      <c r="B48" s="10">
        <f>SUMIFS('دفتر اليومية'!K:K, 'دفتر اليومية'!H:H, A48, 'دفتر اليومية'!E:E, "مبيعات اجل")</f>
        <v>0</v>
      </c>
      <c r="C48" s="10">
        <f>SUMIFS('دفتر اليومية'!L:L, 'دفتر اليومية'!H:H, A48, 'دفتر اليومية'!E:E, "مبيعات اجل")</f>
        <v>0</v>
      </c>
      <c r="D48" s="108">
        <f t="shared" si="0"/>
        <v>0</v>
      </c>
    </row>
    <row r="49" spans="1:4" x14ac:dyDescent="0.3">
      <c r="A49" s="10"/>
      <c r="B49" s="10">
        <f>SUMIFS('دفتر اليومية'!K:K, 'دفتر اليومية'!H:H, A49, 'دفتر اليومية'!E:E, "مبيعات اجل")</f>
        <v>0</v>
      </c>
      <c r="C49" s="10">
        <f>SUMIFS('دفتر اليومية'!L:L, 'دفتر اليومية'!H:H, A49, 'دفتر اليومية'!E:E, "مبيعات اجل")</f>
        <v>0</v>
      </c>
      <c r="D49" s="108">
        <f t="shared" si="0"/>
        <v>0</v>
      </c>
    </row>
    <row r="50" spans="1:4" x14ac:dyDescent="0.3">
      <c r="A50" s="10"/>
      <c r="B50" s="10">
        <f>SUMIFS('دفتر اليومية'!K:K, 'دفتر اليومية'!H:H, A50, 'دفتر اليومية'!E:E, "مبيعات اجل")</f>
        <v>0</v>
      </c>
      <c r="C50" s="10">
        <f>SUMIFS('دفتر اليومية'!L:L, 'دفتر اليومية'!H:H, A50, 'دفتر اليومية'!E:E, "مبيعات اجل")</f>
        <v>0</v>
      </c>
      <c r="D50" s="108">
        <f t="shared" si="0"/>
        <v>0</v>
      </c>
    </row>
    <row r="51" spans="1:4" x14ac:dyDescent="0.3">
      <c r="A51" s="10"/>
      <c r="B51" s="10">
        <f>SUMIFS('دفتر اليومية'!K:K, 'دفتر اليومية'!H:H, A51, 'دفتر اليومية'!E:E, "مبيعات اجل")</f>
        <v>0</v>
      </c>
      <c r="C51" s="10">
        <f>SUMIFS('دفتر اليومية'!L:L, 'دفتر اليومية'!H:H, A51, 'دفتر اليومية'!E:E, "مبيعات اجل")</f>
        <v>0</v>
      </c>
      <c r="D51" s="108">
        <f t="shared" si="0"/>
        <v>0</v>
      </c>
    </row>
    <row r="52" spans="1:4" x14ac:dyDescent="0.3">
      <c r="A52" s="10"/>
      <c r="B52" s="10">
        <f>SUMIFS('دفتر اليومية'!K:K, 'دفتر اليومية'!H:H, A52, 'دفتر اليومية'!E:E, "مبيعات اجل")</f>
        <v>0</v>
      </c>
      <c r="C52" s="10">
        <f>SUMIFS('دفتر اليومية'!L:L, 'دفتر اليومية'!H:H, A52, 'دفتر اليومية'!E:E, "مبيعات اجل")</f>
        <v>0</v>
      </c>
      <c r="D52" s="108">
        <f t="shared" si="0"/>
        <v>0</v>
      </c>
    </row>
    <row r="53" spans="1:4" x14ac:dyDescent="0.3">
      <c r="A53" s="10"/>
      <c r="B53" s="10">
        <f>SUMIFS('دفتر اليومية'!K:K, 'دفتر اليومية'!H:H, A53, 'دفتر اليومية'!E:E, "مبيعات اجل")</f>
        <v>0</v>
      </c>
      <c r="C53" s="10">
        <f>SUMIFS('دفتر اليومية'!L:L, 'دفتر اليومية'!H:H, A53, 'دفتر اليومية'!E:E, "مبيعات اجل")</f>
        <v>0</v>
      </c>
      <c r="D53" s="108">
        <f t="shared" si="0"/>
        <v>0</v>
      </c>
    </row>
    <row r="54" spans="1:4" x14ac:dyDescent="0.3">
      <c r="A54" s="10"/>
      <c r="B54" s="10">
        <f>SUMIFS('دفتر اليومية'!K:K, 'دفتر اليومية'!H:H, A54, 'دفتر اليومية'!E:E, "مبيعات اجل")</f>
        <v>0</v>
      </c>
      <c r="C54" s="10">
        <f>SUMIFS('دفتر اليومية'!L:L, 'دفتر اليومية'!H:H, A54, 'دفتر اليومية'!E:E, "مبيعات اجل")</f>
        <v>0</v>
      </c>
      <c r="D54" s="108">
        <f t="shared" si="0"/>
        <v>0</v>
      </c>
    </row>
    <row r="55" spans="1:4" x14ac:dyDescent="0.3">
      <c r="A55" s="10"/>
      <c r="B55" s="10">
        <f>SUMIFS('دفتر اليومية'!K:K, 'دفتر اليومية'!H:H, A55, 'دفتر اليومية'!E:E, "مبيعات اجل")</f>
        <v>0</v>
      </c>
      <c r="C55" s="10">
        <f>SUMIFS('دفتر اليومية'!L:L, 'دفتر اليومية'!H:H, A55, 'دفتر اليومية'!E:E, "مبيعات اجل")</f>
        <v>0</v>
      </c>
      <c r="D55" s="108">
        <f t="shared" si="0"/>
        <v>0</v>
      </c>
    </row>
    <row r="56" spans="1:4" x14ac:dyDescent="0.3">
      <c r="A56" s="10"/>
      <c r="B56" s="10">
        <f>SUMIFS('دفتر اليومية'!K:K, 'دفتر اليومية'!H:H, A56, 'دفتر اليومية'!E:E, "مبيعات اجل")</f>
        <v>0</v>
      </c>
      <c r="C56" s="10">
        <f>SUMIFS('دفتر اليومية'!L:L, 'دفتر اليومية'!H:H, A56, 'دفتر اليومية'!E:E, "مبيعات اجل")</f>
        <v>0</v>
      </c>
      <c r="D56" s="108">
        <f t="shared" si="0"/>
        <v>0</v>
      </c>
    </row>
    <row r="57" spans="1:4" x14ac:dyDescent="0.3">
      <c r="A57" s="10"/>
      <c r="B57" s="10">
        <f>SUMIFS('دفتر اليومية'!K:K, 'دفتر اليومية'!H:H, A57, 'دفتر اليومية'!E:E, "مبيعات اجل")</f>
        <v>0</v>
      </c>
      <c r="C57" s="10">
        <f>SUMIFS('دفتر اليومية'!L:L, 'دفتر اليومية'!H:H, A57, 'دفتر اليومية'!E:E, "مبيعات اجل")</f>
        <v>0</v>
      </c>
      <c r="D57" s="108">
        <f t="shared" si="0"/>
        <v>0</v>
      </c>
    </row>
    <row r="58" spans="1:4" x14ac:dyDescent="0.3">
      <c r="A58" s="10"/>
      <c r="B58" s="10">
        <f>SUMIFS('دفتر اليومية'!K:K, 'دفتر اليومية'!H:H, A58, 'دفتر اليومية'!E:E, "مبيعات اجل")</f>
        <v>0</v>
      </c>
      <c r="C58" s="10">
        <f>SUMIFS('دفتر اليومية'!L:L, 'دفتر اليومية'!H:H, A58, 'دفتر اليومية'!E:E, "مبيعات اجل")</f>
        <v>0</v>
      </c>
      <c r="D58" s="108">
        <f t="shared" si="0"/>
        <v>0</v>
      </c>
    </row>
    <row r="59" spans="1:4" x14ac:dyDescent="0.3">
      <c r="A59" s="10"/>
      <c r="B59" s="10">
        <f>SUMIFS('دفتر اليومية'!K:K, 'دفتر اليومية'!H:H, A59, 'دفتر اليومية'!E:E, "مبيعات اجل")</f>
        <v>0</v>
      </c>
      <c r="C59" s="10">
        <f>SUMIFS('دفتر اليومية'!L:L, 'دفتر اليومية'!H:H, A59, 'دفتر اليومية'!E:E, "مبيعات اجل")</f>
        <v>0</v>
      </c>
      <c r="D59" s="108">
        <f t="shared" si="0"/>
        <v>0</v>
      </c>
    </row>
    <row r="60" spans="1:4" x14ac:dyDescent="0.3">
      <c r="A60" s="10"/>
      <c r="B60" s="10">
        <f>SUMIFS('دفتر اليومية'!K:K, 'دفتر اليومية'!H:H, A60, 'دفتر اليومية'!E:E, "مبيعات اجل")</f>
        <v>0</v>
      </c>
      <c r="C60" s="10">
        <f>SUMIFS('دفتر اليومية'!L:L, 'دفتر اليومية'!H:H, A60, 'دفتر اليومية'!E:E, "مبيعات اجل")</f>
        <v>0</v>
      </c>
      <c r="D60" s="108">
        <f t="shared" si="0"/>
        <v>0</v>
      </c>
    </row>
    <row r="61" spans="1:4" x14ac:dyDescent="0.3">
      <c r="A61" s="10"/>
      <c r="B61" s="10">
        <f>SUMIFS('دفتر اليومية'!K:K, 'دفتر اليومية'!H:H, A61, 'دفتر اليومية'!E:E, "مبيعات اجل")</f>
        <v>0</v>
      </c>
      <c r="C61" s="10">
        <f>SUMIFS('دفتر اليومية'!L:L, 'دفتر اليومية'!H:H, A61, 'دفتر اليومية'!E:E, "مبيعات اجل")</f>
        <v>0</v>
      </c>
      <c r="D61" s="108">
        <f t="shared" si="0"/>
        <v>0</v>
      </c>
    </row>
    <row r="62" spans="1:4" x14ac:dyDescent="0.3">
      <c r="A62" s="10"/>
      <c r="B62" s="10">
        <f>SUMIFS('دفتر اليومية'!K:K, 'دفتر اليومية'!H:H, A62, 'دفتر اليومية'!E:E, "مبيعات اجل")</f>
        <v>0</v>
      </c>
      <c r="C62" s="10">
        <f>SUMIFS('دفتر اليومية'!L:L, 'دفتر اليومية'!H:H, A62, 'دفتر اليومية'!E:E, "مبيعات اجل")</f>
        <v>0</v>
      </c>
      <c r="D62" s="108">
        <f t="shared" si="0"/>
        <v>0</v>
      </c>
    </row>
    <row r="63" spans="1:4" x14ac:dyDescent="0.3">
      <c r="A63" s="10"/>
      <c r="B63" s="10">
        <f>SUMIFS('دفتر اليومية'!K:K, 'دفتر اليومية'!H:H, A63, 'دفتر اليومية'!E:E, "مبيعات اجل")</f>
        <v>0</v>
      </c>
      <c r="C63" s="10">
        <f>SUMIFS('دفتر اليومية'!L:L, 'دفتر اليومية'!H:H, A63, 'دفتر اليومية'!E:E, "مبيعات اجل")</f>
        <v>0</v>
      </c>
      <c r="D63" s="108">
        <f t="shared" si="0"/>
        <v>0</v>
      </c>
    </row>
    <row r="64" spans="1:4" x14ac:dyDescent="0.3">
      <c r="A64" s="10"/>
      <c r="B64" s="10">
        <f>SUMIFS('دفتر اليومية'!K:K, 'دفتر اليومية'!H:H, A64, 'دفتر اليومية'!E:E, "مبيعات اجل")</f>
        <v>0</v>
      </c>
      <c r="C64" s="10">
        <f>SUMIFS('دفتر اليومية'!L:L, 'دفتر اليومية'!H:H, A64, 'دفتر اليومية'!E:E, "مبيعات اجل")</f>
        <v>0</v>
      </c>
      <c r="D64" s="108">
        <f t="shared" si="0"/>
        <v>0</v>
      </c>
    </row>
    <row r="65" spans="1:4" x14ac:dyDescent="0.3">
      <c r="A65" s="10"/>
      <c r="B65" s="10">
        <f>SUMIFS('دفتر اليومية'!K:K, 'دفتر اليومية'!H:H, A65, 'دفتر اليومية'!E:E, "مبيعات اجل")</f>
        <v>0</v>
      </c>
      <c r="C65" s="10">
        <f>SUMIFS('دفتر اليومية'!L:L, 'دفتر اليومية'!H:H, A65, 'دفتر اليومية'!E:E, "مبيعات اجل")</f>
        <v>0</v>
      </c>
      <c r="D65" s="108">
        <f t="shared" si="0"/>
        <v>0</v>
      </c>
    </row>
    <row r="66" spans="1:4" x14ac:dyDescent="0.3">
      <c r="A66" s="10"/>
      <c r="B66" s="10">
        <f>SUMIFS('دفتر اليومية'!K:K, 'دفتر اليومية'!H:H, A66, 'دفتر اليومية'!E:E, "مبيعات اجل")</f>
        <v>0</v>
      </c>
      <c r="C66" s="10">
        <f>SUMIFS('دفتر اليومية'!L:L, 'دفتر اليومية'!H:H, A66, 'دفتر اليومية'!E:E, "مبيعات اجل")</f>
        <v>0</v>
      </c>
      <c r="D66" s="108">
        <f t="shared" si="0"/>
        <v>0</v>
      </c>
    </row>
    <row r="67" spans="1:4" x14ac:dyDescent="0.3">
      <c r="A67" s="10"/>
      <c r="B67" s="10">
        <f>SUMIFS('دفتر اليومية'!K:K, 'دفتر اليومية'!H:H, A67, 'دفتر اليومية'!E:E, "مبيعات اجل")</f>
        <v>0</v>
      </c>
      <c r="C67" s="10">
        <f>SUMIFS('دفتر اليومية'!L:L, 'دفتر اليومية'!H:H, A67, 'دفتر اليومية'!E:E, "مبيعات اجل")</f>
        <v>0</v>
      </c>
      <c r="D67" s="108">
        <f t="shared" ref="D67:D130" si="1">B67-C67</f>
        <v>0</v>
      </c>
    </row>
    <row r="68" spans="1:4" x14ac:dyDescent="0.3">
      <c r="A68" s="10"/>
      <c r="B68" s="10">
        <f>SUMIFS('دفتر اليومية'!K:K, 'دفتر اليومية'!H:H, A68, 'دفتر اليومية'!E:E, "مبيعات اجل")</f>
        <v>0</v>
      </c>
      <c r="C68" s="10">
        <f>SUMIFS('دفتر اليومية'!L:L, 'دفتر اليومية'!H:H, A68, 'دفتر اليومية'!E:E, "مبيعات اجل")</f>
        <v>0</v>
      </c>
      <c r="D68" s="108">
        <f t="shared" si="1"/>
        <v>0</v>
      </c>
    </row>
    <row r="69" spans="1:4" x14ac:dyDescent="0.3">
      <c r="A69" s="10"/>
      <c r="B69" s="10">
        <f>SUMIFS('دفتر اليومية'!K:K, 'دفتر اليومية'!H:H, A69, 'دفتر اليومية'!E:E, "مبيعات اجل")</f>
        <v>0</v>
      </c>
      <c r="C69" s="10">
        <f>SUMIFS('دفتر اليومية'!L:L, 'دفتر اليومية'!H:H, A69, 'دفتر اليومية'!E:E, "مبيعات اجل")</f>
        <v>0</v>
      </c>
      <c r="D69" s="108">
        <f t="shared" si="1"/>
        <v>0</v>
      </c>
    </row>
    <row r="70" spans="1:4" x14ac:dyDescent="0.3">
      <c r="A70" s="10"/>
      <c r="B70" s="10">
        <f>SUMIFS('دفتر اليومية'!K:K, 'دفتر اليومية'!H:H, A70, 'دفتر اليومية'!E:E, "مبيعات اجل")</f>
        <v>0</v>
      </c>
      <c r="C70" s="10">
        <f>SUMIFS('دفتر اليومية'!L:L, 'دفتر اليومية'!H:H, A70, 'دفتر اليومية'!E:E, "مبيعات اجل")</f>
        <v>0</v>
      </c>
      <c r="D70" s="108">
        <f t="shared" si="1"/>
        <v>0</v>
      </c>
    </row>
    <row r="71" spans="1:4" x14ac:dyDescent="0.3">
      <c r="A71" s="10"/>
      <c r="B71" s="10">
        <f>SUMIFS('دفتر اليومية'!K:K, 'دفتر اليومية'!H:H, A71, 'دفتر اليومية'!E:E, "مبيعات اجل")</f>
        <v>0</v>
      </c>
      <c r="C71" s="10">
        <f>SUMIFS('دفتر اليومية'!L:L, 'دفتر اليومية'!H:H, A71, 'دفتر اليومية'!E:E, "مبيعات اجل")</f>
        <v>0</v>
      </c>
      <c r="D71" s="108">
        <f t="shared" si="1"/>
        <v>0</v>
      </c>
    </row>
    <row r="72" spans="1:4" x14ac:dyDescent="0.3">
      <c r="A72" s="10"/>
      <c r="B72" s="10">
        <f>SUMIFS('دفتر اليومية'!K:K, 'دفتر اليومية'!H:H, A72, 'دفتر اليومية'!E:E, "مبيعات اجل")</f>
        <v>0</v>
      </c>
      <c r="C72" s="10">
        <f>SUMIFS('دفتر اليومية'!L:L, 'دفتر اليومية'!H:H, A72, 'دفتر اليومية'!E:E, "مبيعات اجل")</f>
        <v>0</v>
      </c>
      <c r="D72" s="108">
        <f t="shared" si="1"/>
        <v>0</v>
      </c>
    </row>
    <row r="73" spans="1:4" x14ac:dyDescent="0.3">
      <c r="A73" s="10"/>
      <c r="B73" s="10">
        <f>SUMIFS('دفتر اليومية'!K:K, 'دفتر اليومية'!H:H, A73, 'دفتر اليومية'!E:E, "مبيعات اجل")</f>
        <v>0</v>
      </c>
      <c r="C73" s="10">
        <f>SUMIFS('دفتر اليومية'!L:L, 'دفتر اليومية'!H:H, A73, 'دفتر اليومية'!E:E, "مبيعات اجل")</f>
        <v>0</v>
      </c>
      <c r="D73" s="108">
        <f t="shared" si="1"/>
        <v>0</v>
      </c>
    </row>
    <row r="74" spans="1:4" x14ac:dyDescent="0.3">
      <c r="A74" s="10"/>
      <c r="B74" s="10">
        <f>SUMIFS('دفتر اليومية'!K:K, 'دفتر اليومية'!H:H, A74, 'دفتر اليومية'!E:E, "مبيعات اجل")</f>
        <v>0</v>
      </c>
      <c r="C74" s="10">
        <f>SUMIFS('دفتر اليومية'!L:L, 'دفتر اليومية'!H:H, A74, 'دفتر اليومية'!E:E, "مبيعات اجل")</f>
        <v>0</v>
      </c>
      <c r="D74" s="108">
        <f t="shared" si="1"/>
        <v>0</v>
      </c>
    </row>
    <row r="75" spans="1:4" x14ac:dyDescent="0.3">
      <c r="A75" s="10"/>
      <c r="B75" s="10">
        <f>SUMIFS('دفتر اليومية'!K:K, 'دفتر اليومية'!H:H, A75, 'دفتر اليومية'!E:E, "مبيعات اجل")</f>
        <v>0</v>
      </c>
      <c r="C75" s="10">
        <f>SUMIFS('دفتر اليومية'!L:L, 'دفتر اليومية'!H:H, A75, 'دفتر اليومية'!E:E, "مبيعات اجل")</f>
        <v>0</v>
      </c>
      <c r="D75" s="108">
        <f t="shared" si="1"/>
        <v>0</v>
      </c>
    </row>
    <row r="76" spans="1:4" x14ac:dyDescent="0.3">
      <c r="A76" s="10"/>
      <c r="B76" s="10">
        <f>SUMIFS('دفتر اليومية'!K:K, 'دفتر اليومية'!H:H, A76, 'دفتر اليومية'!E:E, "مبيعات اجل")</f>
        <v>0</v>
      </c>
      <c r="C76" s="10">
        <f>SUMIFS('دفتر اليومية'!L:L, 'دفتر اليومية'!H:H, A76, 'دفتر اليومية'!E:E, "مبيعات اجل")</f>
        <v>0</v>
      </c>
      <c r="D76" s="108">
        <f t="shared" si="1"/>
        <v>0</v>
      </c>
    </row>
    <row r="77" spans="1:4" x14ac:dyDescent="0.3">
      <c r="A77" s="10"/>
      <c r="B77" s="10">
        <f>SUMIFS('دفتر اليومية'!K:K, 'دفتر اليومية'!H:H, A77, 'دفتر اليومية'!E:E, "مبيعات اجل")</f>
        <v>0</v>
      </c>
      <c r="C77" s="10">
        <f>SUMIFS('دفتر اليومية'!L:L, 'دفتر اليومية'!H:H, A77, 'دفتر اليومية'!E:E, "مبيعات اجل")</f>
        <v>0</v>
      </c>
      <c r="D77" s="108">
        <f t="shared" si="1"/>
        <v>0</v>
      </c>
    </row>
    <row r="78" spans="1:4" x14ac:dyDescent="0.3">
      <c r="A78" s="10"/>
      <c r="B78" s="10">
        <f>SUMIFS('دفتر اليومية'!K:K, 'دفتر اليومية'!H:H, A78, 'دفتر اليومية'!E:E, "مبيعات اجل")</f>
        <v>0</v>
      </c>
      <c r="C78" s="10">
        <f>SUMIFS('دفتر اليومية'!L:L, 'دفتر اليومية'!H:H, A78, 'دفتر اليومية'!E:E, "مبيعات اجل")</f>
        <v>0</v>
      </c>
      <c r="D78" s="108">
        <f t="shared" si="1"/>
        <v>0</v>
      </c>
    </row>
    <row r="79" spans="1:4" x14ac:dyDescent="0.3">
      <c r="A79" s="10"/>
      <c r="B79" s="10">
        <f>SUMIFS('دفتر اليومية'!K:K, 'دفتر اليومية'!H:H, A79, 'دفتر اليومية'!E:E, "مبيعات اجل")</f>
        <v>0</v>
      </c>
      <c r="C79" s="10">
        <f>SUMIFS('دفتر اليومية'!L:L, 'دفتر اليومية'!H:H, A79, 'دفتر اليومية'!E:E, "مبيعات اجل")</f>
        <v>0</v>
      </c>
      <c r="D79" s="108">
        <f t="shared" si="1"/>
        <v>0</v>
      </c>
    </row>
    <row r="80" spans="1:4" x14ac:dyDescent="0.3">
      <c r="A80" s="10"/>
      <c r="B80" s="10">
        <f>SUMIFS('دفتر اليومية'!K:K, 'دفتر اليومية'!H:H, A80, 'دفتر اليومية'!E:E, "مبيعات اجل")</f>
        <v>0</v>
      </c>
      <c r="C80" s="10">
        <f>SUMIFS('دفتر اليومية'!L:L, 'دفتر اليومية'!H:H, A80, 'دفتر اليومية'!E:E, "مبيعات اجل")</f>
        <v>0</v>
      </c>
      <c r="D80" s="108">
        <f t="shared" si="1"/>
        <v>0</v>
      </c>
    </row>
    <row r="81" spans="1:4" x14ac:dyDescent="0.3">
      <c r="A81" s="10"/>
      <c r="B81" s="10">
        <f>SUMIFS('دفتر اليومية'!K:K, 'دفتر اليومية'!H:H, A81, 'دفتر اليومية'!E:E, "مبيعات اجل")</f>
        <v>0</v>
      </c>
      <c r="C81" s="10">
        <f>SUMIFS('دفتر اليومية'!L:L, 'دفتر اليومية'!H:H, A81, 'دفتر اليومية'!E:E, "مبيعات اجل")</f>
        <v>0</v>
      </c>
      <c r="D81" s="108">
        <f t="shared" si="1"/>
        <v>0</v>
      </c>
    </row>
    <row r="82" spans="1:4" x14ac:dyDescent="0.3">
      <c r="A82" s="10"/>
      <c r="B82" s="10">
        <f>SUMIFS('دفتر اليومية'!K:K, 'دفتر اليومية'!H:H, A82, 'دفتر اليومية'!E:E, "مبيعات اجل")</f>
        <v>0</v>
      </c>
      <c r="C82" s="10">
        <f>SUMIFS('دفتر اليومية'!L:L, 'دفتر اليومية'!H:H, A82, 'دفتر اليومية'!E:E, "مبيعات اجل")</f>
        <v>0</v>
      </c>
      <c r="D82" s="108">
        <f t="shared" si="1"/>
        <v>0</v>
      </c>
    </row>
    <row r="83" spans="1:4" x14ac:dyDescent="0.3">
      <c r="A83" s="10"/>
      <c r="B83" s="10">
        <f>SUMIFS('دفتر اليومية'!K:K, 'دفتر اليومية'!H:H, A83, 'دفتر اليومية'!E:E, "مبيعات اجل")</f>
        <v>0</v>
      </c>
      <c r="C83" s="10">
        <f>SUMIFS('دفتر اليومية'!L:L, 'دفتر اليومية'!H:H, A83, 'دفتر اليومية'!E:E, "مبيعات اجل")</f>
        <v>0</v>
      </c>
      <c r="D83" s="108">
        <f t="shared" si="1"/>
        <v>0</v>
      </c>
    </row>
    <row r="84" spans="1:4" x14ac:dyDescent="0.3">
      <c r="A84" s="10"/>
      <c r="B84" s="10">
        <f>SUMIFS('دفتر اليومية'!K:K, 'دفتر اليومية'!H:H, A84, 'دفتر اليومية'!E:E, "مبيعات اجل")</f>
        <v>0</v>
      </c>
      <c r="C84" s="10">
        <f>SUMIFS('دفتر اليومية'!L:L, 'دفتر اليومية'!H:H, A84, 'دفتر اليومية'!E:E, "مبيعات اجل")</f>
        <v>0</v>
      </c>
      <c r="D84" s="108">
        <f t="shared" si="1"/>
        <v>0</v>
      </c>
    </row>
    <row r="85" spans="1:4" x14ac:dyDescent="0.3">
      <c r="A85" s="10"/>
      <c r="B85" s="10">
        <f>SUMIFS('دفتر اليومية'!K:K, 'دفتر اليومية'!H:H, A85, 'دفتر اليومية'!E:E, "مبيعات اجل")</f>
        <v>0</v>
      </c>
      <c r="C85" s="10">
        <f>SUMIFS('دفتر اليومية'!L:L, 'دفتر اليومية'!H:H, A85, 'دفتر اليومية'!E:E, "مبيعات اجل")</f>
        <v>0</v>
      </c>
      <c r="D85" s="108">
        <f t="shared" si="1"/>
        <v>0</v>
      </c>
    </row>
    <row r="86" spans="1:4" x14ac:dyDescent="0.3">
      <c r="A86" s="10"/>
      <c r="B86" s="10">
        <f>SUMIFS('دفتر اليومية'!K:K, 'دفتر اليومية'!H:H, A86, 'دفتر اليومية'!E:E, "مبيعات اجل")</f>
        <v>0</v>
      </c>
      <c r="C86" s="10">
        <f>SUMIFS('دفتر اليومية'!L:L, 'دفتر اليومية'!H:H, A86, 'دفتر اليومية'!E:E, "مبيعات اجل")</f>
        <v>0</v>
      </c>
      <c r="D86" s="108">
        <f t="shared" si="1"/>
        <v>0</v>
      </c>
    </row>
    <row r="87" spans="1:4" x14ac:dyDescent="0.3">
      <c r="A87" s="10"/>
      <c r="B87" s="10">
        <f>SUMIFS('دفتر اليومية'!K:K, 'دفتر اليومية'!H:H, A87, 'دفتر اليومية'!E:E, "مبيعات اجل")</f>
        <v>0</v>
      </c>
      <c r="C87" s="10">
        <f>SUMIFS('دفتر اليومية'!L:L, 'دفتر اليومية'!H:H, A87, 'دفتر اليومية'!E:E, "مبيعات اجل")</f>
        <v>0</v>
      </c>
      <c r="D87" s="108">
        <f t="shared" si="1"/>
        <v>0</v>
      </c>
    </row>
    <row r="88" spans="1:4" x14ac:dyDescent="0.3">
      <c r="A88" s="10"/>
      <c r="B88" s="10">
        <f>SUMIFS('دفتر اليومية'!K:K, 'دفتر اليومية'!H:H, A88, 'دفتر اليومية'!E:E, "مبيعات اجل")</f>
        <v>0</v>
      </c>
      <c r="C88" s="10">
        <f>SUMIFS('دفتر اليومية'!L:L, 'دفتر اليومية'!H:H, A88, 'دفتر اليومية'!E:E, "مبيعات اجل")</f>
        <v>0</v>
      </c>
      <c r="D88" s="108">
        <f t="shared" si="1"/>
        <v>0</v>
      </c>
    </row>
    <row r="89" spans="1:4" x14ac:dyDescent="0.3">
      <c r="A89" s="10"/>
      <c r="B89" s="10">
        <f>SUMIFS('دفتر اليومية'!K:K, 'دفتر اليومية'!H:H, A89, 'دفتر اليومية'!E:E, "مبيعات اجل")</f>
        <v>0</v>
      </c>
      <c r="C89" s="10">
        <f>SUMIFS('دفتر اليومية'!L:L, 'دفتر اليومية'!H:H, A89, 'دفتر اليومية'!E:E, "مبيعات اجل")</f>
        <v>0</v>
      </c>
      <c r="D89" s="108">
        <f t="shared" si="1"/>
        <v>0</v>
      </c>
    </row>
    <row r="90" spans="1:4" x14ac:dyDescent="0.3">
      <c r="A90" s="10"/>
      <c r="B90" s="10">
        <f>SUMIFS('دفتر اليومية'!K:K, 'دفتر اليومية'!H:H, A90, 'دفتر اليومية'!E:E, "مبيعات اجل")</f>
        <v>0</v>
      </c>
      <c r="C90" s="10">
        <f>SUMIFS('دفتر اليومية'!L:L, 'دفتر اليومية'!H:H, A90, 'دفتر اليومية'!E:E, "مبيعات اجل")</f>
        <v>0</v>
      </c>
      <c r="D90" s="108">
        <f t="shared" si="1"/>
        <v>0</v>
      </c>
    </row>
    <row r="91" spans="1:4" x14ac:dyDescent="0.3">
      <c r="A91" s="10"/>
      <c r="B91" s="10">
        <f>SUMIFS('دفتر اليومية'!K:K, 'دفتر اليومية'!H:H, A91, 'دفتر اليومية'!E:E, "مبيعات اجل")</f>
        <v>0</v>
      </c>
      <c r="C91" s="10">
        <f>SUMIFS('دفتر اليومية'!L:L, 'دفتر اليومية'!H:H, A91, 'دفتر اليومية'!E:E, "مبيعات اجل")</f>
        <v>0</v>
      </c>
      <c r="D91" s="108">
        <f t="shared" si="1"/>
        <v>0</v>
      </c>
    </row>
    <row r="92" spans="1:4" x14ac:dyDescent="0.3">
      <c r="A92" s="10"/>
      <c r="B92" s="10">
        <f>SUMIFS('دفتر اليومية'!K:K, 'دفتر اليومية'!H:H, A92, 'دفتر اليومية'!E:E, "مبيعات اجل")</f>
        <v>0</v>
      </c>
      <c r="C92" s="10">
        <f>SUMIFS('دفتر اليومية'!L:L, 'دفتر اليومية'!H:H, A92, 'دفتر اليومية'!E:E, "مبيعات اجل")</f>
        <v>0</v>
      </c>
      <c r="D92" s="108">
        <f t="shared" si="1"/>
        <v>0</v>
      </c>
    </row>
    <row r="93" spans="1:4" x14ac:dyDescent="0.3">
      <c r="A93" s="10"/>
      <c r="B93" s="10">
        <f>SUMIFS('دفتر اليومية'!K:K, 'دفتر اليومية'!H:H, A93, 'دفتر اليومية'!E:E, "مبيعات اجل")</f>
        <v>0</v>
      </c>
      <c r="C93" s="10">
        <f>SUMIFS('دفتر اليومية'!L:L, 'دفتر اليومية'!H:H, A93, 'دفتر اليومية'!E:E, "مبيعات اجل")</f>
        <v>0</v>
      </c>
      <c r="D93" s="108">
        <f t="shared" si="1"/>
        <v>0</v>
      </c>
    </row>
    <row r="94" spans="1:4" x14ac:dyDescent="0.3">
      <c r="A94" s="10"/>
      <c r="B94" s="10">
        <f>SUMIFS('دفتر اليومية'!K:K, 'دفتر اليومية'!H:H, A94, 'دفتر اليومية'!E:E, "مبيعات اجل")</f>
        <v>0</v>
      </c>
      <c r="C94" s="10">
        <f>SUMIFS('دفتر اليومية'!L:L, 'دفتر اليومية'!H:H, A94, 'دفتر اليومية'!E:E, "مبيعات اجل")</f>
        <v>0</v>
      </c>
      <c r="D94" s="108">
        <f t="shared" si="1"/>
        <v>0</v>
      </c>
    </row>
    <row r="95" spans="1:4" x14ac:dyDescent="0.3">
      <c r="A95" s="10"/>
      <c r="B95" s="10">
        <f>SUMIFS('دفتر اليومية'!K:K, 'دفتر اليومية'!H:H, A95, 'دفتر اليومية'!E:E, "مبيعات اجل")</f>
        <v>0</v>
      </c>
      <c r="C95" s="10">
        <f>SUMIFS('دفتر اليومية'!L:L, 'دفتر اليومية'!H:H, A95, 'دفتر اليومية'!E:E, "مبيعات اجل")</f>
        <v>0</v>
      </c>
      <c r="D95" s="108">
        <f t="shared" si="1"/>
        <v>0</v>
      </c>
    </row>
    <row r="96" spans="1:4" x14ac:dyDescent="0.3">
      <c r="A96" s="10"/>
      <c r="B96" s="10">
        <f>SUMIFS('دفتر اليومية'!K:K, 'دفتر اليومية'!H:H, A96, 'دفتر اليومية'!E:E, "مبيعات اجل")</f>
        <v>0</v>
      </c>
      <c r="C96" s="10">
        <f>SUMIFS('دفتر اليومية'!L:L, 'دفتر اليومية'!H:H, A96, 'دفتر اليومية'!E:E, "مبيعات اجل")</f>
        <v>0</v>
      </c>
      <c r="D96" s="108">
        <f t="shared" si="1"/>
        <v>0</v>
      </c>
    </row>
    <row r="97" spans="1:4" x14ac:dyDescent="0.3">
      <c r="A97" s="10"/>
      <c r="B97" s="10">
        <f>SUMIFS('دفتر اليومية'!K:K, 'دفتر اليومية'!H:H, A97, 'دفتر اليومية'!E:E, "مبيعات اجل")</f>
        <v>0</v>
      </c>
      <c r="C97" s="10">
        <f>SUMIFS('دفتر اليومية'!L:L, 'دفتر اليومية'!H:H, A97, 'دفتر اليومية'!E:E, "مبيعات اجل")</f>
        <v>0</v>
      </c>
      <c r="D97" s="108">
        <f t="shared" si="1"/>
        <v>0</v>
      </c>
    </row>
    <row r="98" spans="1:4" x14ac:dyDescent="0.3">
      <c r="A98" s="10"/>
      <c r="B98" s="10">
        <f>SUMIFS('دفتر اليومية'!K:K, 'دفتر اليومية'!H:H, A98, 'دفتر اليومية'!E:E, "مبيعات اجل")</f>
        <v>0</v>
      </c>
      <c r="C98" s="10">
        <f>SUMIFS('دفتر اليومية'!L:L, 'دفتر اليومية'!H:H, A98, 'دفتر اليومية'!E:E, "مبيعات اجل")</f>
        <v>0</v>
      </c>
      <c r="D98" s="108">
        <f t="shared" si="1"/>
        <v>0</v>
      </c>
    </row>
    <row r="99" spans="1:4" x14ac:dyDescent="0.3">
      <c r="A99" s="10"/>
      <c r="B99" s="10">
        <f>SUMIFS('دفتر اليومية'!K:K, 'دفتر اليومية'!H:H, A99, 'دفتر اليومية'!E:E, "مبيعات اجل")</f>
        <v>0</v>
      </c>
      <c r="C99" s="10">
        <f>SUMIFS('دفتر اليومية'!L:L, 'دفتر اليومية'!H:H, A99, 'دفتر اليومية'!E:E, "مبيعات اجل")</f>
        <v>0</v>
      </c>
      <c r="D99" s="108">
        <f t="shared" si="1"/>
        <v>0</v>
      </c>
    </row>
    <row r="100" spans="1:4" x14ac:dyDescent="0.3">
      <c r="A100" s="10"/>
      <c r="B100" s="10">
        <f>SUMIFS('دفتر اليومية'!K:K, 'دفتر اليومية'!H:H, A100, 'دفتر اليومية'!E:E, "مبيعات اجل")</f>
        <v>0</v>
      </c>
      <c r="C100" s="10">
        <f>SUMIFS('دفتر اليومية'!L:L, 'دفتر اليومية'!H:H, A100, 'دفتر اليومية'!E:E, "مبيعات اجل")</f>
        <v>0</v>
      </c>
      <c r="D100" s="108">
        <f t="shared" si="1"/>
        <v>0</v>
      </c>
    </row>
    <row r="101" spans="1:4" x14ac:dyDescent="0.3">
      <c r="A101" s="10"/>
      <c r="B101" s="10">
        <f>SUMIFS('دفتر اليومية'!K:K, 'دفتر اليومية'!H:H, A101, 'دفتر اليومية'!E:E, "مبيعات اجل")</f>
        <v>0</v>
      </c>
      <c r="C101" s="10">
        <f>SUMIFS('دفتر اليومية'!L:L, 'دفتر اليومية'!H:H, A101, 'دفتر اليومية'!E:E, "مبيعات اجل")</f>
        <v>0</v>
      </c>
      <c r="D101" s="108">
        <f t="shared" si="1"/>
        <v>0</v>
      </c>
    </row>
    <row r="102" spans="1:4" x14ac:dyDescent="0.3">
      <c r="A102" s="10"/>
      <c r="B102" s="10">
        <f>SUMIFS('دفتر اليومية'!K:K, 'دفتر اليومية'!H:H, A102, 'دفتر اليومية'!E:E, "مبيعات اجل")</f>
        <v>0</v>
      </c>
      <c r="C102" s="10">
        <f>SUMIFS('دفتر اليومية'!L:L, 'دفتر اليومية'!H:H, A102, 'دفتر اليومية'!E:E, "مبيعات اجل")</f>
        <v>0</v>
      </c>
      <c r="D102" s="108">
        <f t="shared" si="1"/>
        <v>0</v>
      </c>
    </row>
    <row r="103" spans="1:4" x14ac:dyDescent="0.3">
      <c r="A103" s="10"/>
      <c r="B103" s="10">
        <f>SUMIFS('دفتر اليومية'!K:K, 'دفتر اليومية'!H:H, A103, 'دفتر اليومية'!E:E, "مبيعات اجل")</f>
        <v>0</v>
      </c>
      <c r="C103" s="10">
        <f>SUMIFS('دفتر اليومية'!L:L, 'دفتر اليومية'!H:H, A103, 'دفتر اليومية'!E:E, "مبيعات اجل")</f>
        <v>0</v>
      </c>
      <c r="D103" s="108">
        <f t="shared" si="1"/>
        <v>0</v>
      </c>
    </row>
    <row r="104" spans="1:4" x14ac:dyDescent="0.3">
      <c r="A104" s="10"/>
      <c r="B104" s="10">
        <f>SUMIFS('دفتر اليومية'!K:K, 'دفتر اليومية'!H:H, A104, 'دفتر اليومية'!E:E, "مبيعات اجل")</f>
        <v>0</v>
      </c>
      <c r="C104" s="10">
        <f>SUMIFS('دفتر اليومية'!L:L, 'دفتر اليومية'!H:H, A104, 'دفتر اليومية'!E:E, "مبيعات اجل")</f>
        <v>0</v>
      </c>
      <c r="D104" s="108">
        <f t="shared" si="1"/>
        <v>0</v>
      </c>
    </row>
    <row r="105" spans="1:4" x14ac:dyDescent="0.3">
      <c r="A105" s="10"/>
      <c r="B105" s="10">
        <f>SUMIFS('دفتر اليومية'!K:K, 'دفتر اليومية'!H:H, A105, 'دفتر اليومية'!E:E, "مبيعات اجل")</f>
        <v>0</v>
      </c>
      <c r="C105" s="10">
        <f>SUMIFS('دفتر اليومية'!L:L, 'دفتر اليومية'!H:H, A105, 'دفتر اليومية'!E:E, "مبيعات اجل")</f>
        <v>0</v>
      </c>
      <c r="D105" s="108">
        <f t="shared" si="1"/>
        <v>0</v>
      </c>
    </row>
    <row r="106" spans="1:4" x14ac:dyDescent="0.3">
      <c r="A106" s="10"/>
      <c r="B106" s="10">
        <f>SUMIFS('دفتر اليومية'!K:K, 'دفتر اليومية'!H:H, A106, 'دفتر اليومية'!E:E, "مبيعات اجل")</f>
        <v>0</v>
      </c>
      <c r="C106" s="10">
        <f>SUMIFS('دفتر اليومية'!L:L, 'دفتر اليومية'!H:H, A106, 'دفتر اليومية'!E:E, "مبيعات اجل")</f>
        <v>0</v>
      </c>
      <c r="D106" s="108">
        <f t="shared" si="1"/>
        <v>0</v>
      </c>
    </row>
    <row r="107" spans="1:4" x14ac:dyDescent="0.3">
      <c r="A107" s="10"/>
      <c r="B107" s="10">
        <f>SUMIFS('دفتر اليومية'!K:K, 'دفتر اليومية'!H:H, A107, 'دفتر اليومية'!E:E, "مبيعات اجل")</f>
        <v>0</v>
      </c>
      <c r="C107" s="10">
        <f>SUMIFS('دفتر اليومية'!L:L, 'دفتر اليومية'!H:H, A107, 'دفتر اليومية'!E:E, "مبيعات اجل")</f>
        <v>0</v>
      </c>
      <c r="D107" s="108">
        <f t="shared" si="1"/>
        <v>0</v>
      </c>
    </row>
    <row r="108" spans="1:4" x14ac:dyDescent="0.3">
      <c r="A108" s="10"/>
      <c r="B108" s="10">
        <f>SUMIFS('دفتر اليومية'!K:K, 'دفتر اليومية'!H:H, A108, 'دفتر اليومية'!E:E, "مبيعات اجل")</f>
        <v>0</v>
      </c>
      <c r="C108" s="10">
        <f>SUMIFS('دفتر اليومية'!L:L, 'دفتر اليومية'!H:H, A108, 'دفتر اليومية'!E:E, "مبيعات اجل")</f>
        <v>0</v>
      </c>
      <c r="D108" s="108">
        <f t="shared" si="1"/>
        <v>0</v>
      </c>
    </row>
    <row r="109" spans="1:4" x14ac:dyDescent="0.3">
      <c r="A109" s="10"/>
      <c r="B109" s="10">
        <f>SUMIFS('دفتر اليومية'!K:K, 'دفتر اليومية'!H:H, A109, 'دفتر اليومية'!E:E, "مبيعات اجل")</f>
        <v>0</v>
      </c>
      <c r="C109" s="10">
        <f>SUMIFS('دفتر اليومية'!L:L, 'دفتر اليومية'!H:H, A109, 'دفتر اليومية'!E:E, "مبيعات اجل")</f>
        <v>0</v>
      </c>
      <c r="D109" s="108">
        <f t="shared" si="1"/>
        <v>0</v>
      </c>
    </row>
    <row r="110" spans="1:4" x14ac:dyDescent="0.3">
      <c r="A110" s="10"/>
      <c r="B110" s="10">
        <f>SUMIFS('دفتر اليومية'!K:K, 'دفتر اليومية'!H:H, A110, 'دفتر اليومية'!E:E, "مبيعات اجل")</f>
        <v>0</v>
      </c>
      <c r="C110" s="10">
        <f>SUMIFS('دفتر اليومية'!L:L, 'دفتر اليومية'!H:H, A110, 'دفتر اليومية'!E:E, "مبيعات اجل")</f>
        <v>0</v>
      </c>
      <c r="D110" s="108">
        <f t="shared" si="1"/>
        <v>0</v>
      </c>
    </row>
    <row r="111" spans="1:4" x14ac:dyDescent="0.3">
      <c r="A111" s="10"/>
      <c r="B111" s="10">
        <f>SUMIFS('دفتر اليومية'!K:K, 'دفتر اليومية'!H:H, A111, 'دفتر اليومية'!E:E, "مبيعات اجل")</f>
        <v>0</v>
      </c>
      <c r="C111" s="10">
        <f>SUMIFS('دفتر اليومية'!L:L, 'دفتر اليومية'!H:H, A111, 'دفتر اليومية'!E:E, "مبيعات اجل")</f>
        <v>0</v>
      </c>
      <c r="D111" s="108">
        <f t="shared" si="1"/>
        <v>0</v>
      </c>
    </row>
    <row r="112" spans="1:4" x14ac:dyDescent="0.3">
      <c r="A112" s="10"/>
      <c r="B112" s="10">
        <f>SUMIFS('دفتر اليومية'!K:K, 'دفتر اليومية'!H:H, A112, 'دفتر اليومية'!E:E, "مبيعات اجل")</f>
        <v>0</v>
      </c>
      <c r="C112" s="10">
        <f>SUMIFS('دفتر اليومية'!L:L, 'دفتر اليومية'!H:H, A112, 'دفتر اليومية'!E:E, "مبيعات اجل")</f>
        <v>0</v>
      </c>
      <c r="D112" s="108">
        <f t="shared" si="1"/>
        <v>0</v>
      </c>
    </row>
    <row r="113" spans="1:4" x14ac:dyDescent="0.3">
      <c r="A113" s="10"/>
      <c r="B113" s="10">
        <f>SUMIFS('دفتر اليومية'!K:K, 'دفتر اليومية'!H:H, A113, 'دفتر اليومية'!E:E, "مبيعات اجل")</f>
        <v>0</v>
      </c>
      <c r="C113" s="10">
        <f>SUMIFS('دفتر اليومية'!L:L, 'دفتر اليومية'!H:H, A113, 'دفتر اليومية'!E:E, "مبيعات اجل")</f>
        <v>0</v>
      </c>
      <c r="D113" s="108">
        <f t="shared" si="1"/>
        <v>0</v>
      </c>
    </row>
    <row r="114" spans="1:4" x14ac:dyDescent="0.3">
      <c r="A114" s="10"/>
      <c r="B114" s="10">
        <f>SUMIFS('دفتر اليومية'!K:K, 'دفتر اليومية'!H:H, A114, 'دفتر اليومية'!E:E, "مبيعات اجل")</f>
        <v>0</v>
      </c>
      <c r="C114" s="10">
        <f>SUMIFS('دفتر اليومية'!L:L, 'دفتر اليومية'!H:H, A114, 'دفتر اليومية'!E:E, "مبيعات اجل")</f>
        <v>0</v>
      </c>
      <c r="D114" s="108">
        <f t="shared" si="1"/>
        <v>0</v>
      </c>
    </row>
    <row r="115" spans="1:4" x14ac:dyDescent="0.3">
      <c r="A115" s="10"/>
      <c r="B115" s="10">
        <f>SUMIFS('دفتر اليومية'!K:K, 'دفتر اليومية'!H:H, A115, 'دفتر اليومية'!E:E, "مبيعات اجل")</f>
        <v>0</v>
      </c>
      <c r="C115" s="10">
        <f>SUMIFS('دفتر اليومية'!L:L, 'دفتر اليومية'!H:H, A115, 'دفتر اليومية'!E:E, "مبيعات اجل")</f>
        <v>0</v>
      </c>
      <c r="D115" s="108">
        <f t="shared" si="1"/>
        <v>0</v>
      </c>
    </row>
    <row r="116" spans="1:4" x14ac:dyDescent="0.3">
      <c r="A116" s="10"/>
      <c r="B116" s="10">
        <f>SUMIFS('دفتر اليومية'!K:K, 'دفتر اليومية'!H:H, A116, 'دفتر اليومية'!E:E, "مبيعات اجل")</f>
        <v>0</v>
      </c>
      <c r="C116" s="10">
        <f>SUMIFS('دفتر اليومية'!L:L, 'دفتر اليومية'!H:H, A116, 'دفتر اليومية'!E:E, "مبيعات اجل")</f>
        <v>0</v>
      </c>
      <c r="D116" s="108">
        <f t="shared" si="1"/>
        <v>0</v>
      </c>
    </row>
    <row r="117" spans="1:4" x14ac:dyDescent="0.3">
      <c r="A117" s="10"/>
      <c r="B117" s="10">
        <f>SUMIFS('دفتر اليومية'!K:K, 'دفتر اليومية'!H:H, A117, 'دفتر اليومية'!E:E, "مبيعات اجل")</f>
        <v>0</v>
      </c>
      <c r="C117" s="10">
        <f>SUMIFS('دفتر اليومية'!L:L, 'دفتر اليومية'!H:H, A117, 'دفتر اليومية'!E:E, "مبيعات اجل")</f>
        <v>0</v>
      </c>
      <c r="D117" s="108">
        <f t="shared" si="1"/>
        <v>0</v>
      </c>
    </row>
    <row r="118" spans="1:4" x14ac:dyDescent="0.3">
      <c r="A118" s="10"/>
      <c r="B118" s="10">
        <f>SUMIFS('دفتر اليومية'!K:K, 'دفتر اليومية'!H:H, A118, 'دفتر اليومية'!E:E, "مبيعات اجل")</f>
        <v>0</v>
      </c>
      <c r="C118" s="10">
        <f>SUMIFS('دفتر اليومية'!L:L, 'دفتر اليومية'!H:H, A118, 'دفتر اليومية'!E:E, "مبيعات اجل")</f>
        <v>0</v>
      </c>
      <c r="D118" s="108">
        <f t="shared" si="1"/>
        <v>0</v>
      </c>
    </row>
    <row r="119" spans="1:4" x14ac:dyDescent="0.3">
      <c r="A119" s="10"/>
      <c r="B119" s="10">
        <f>SUMIFS('دفتر اليومية'!K:K, 'دفتر اليومية'!H:H, A119, 'دفتر اليومية'!E:E, "مبيعات اجل")</f>
        <v>0</v>
      </c>
      <c r="C119" s="10">
        <f>SUMIFS('دفتر اليومية'!L:L, 'دفتر اليومية'!H:H, A119, 'دفتر اليومية'!E:E, "مبيعات اجل")</f>
        <v>0</v>
      </c>
      <c r="D119" s="108">
        <f t="shared" si="1"/>
        <v>0</v>
      </c>
    </row>
    <row r="120" spans="1:4" x14ac:dyDescent="0.3">
      <c r="A120" s="10"/>
      <c r="B120" s="10">
        <f>SUMIFS('دفتر اليومية'!K:K, 'دفتر اليومية'!H:H, A120, 'دفتر اليومية'!E:E, "مبيعات اجل")</f>
        <v>0</v>
      </c>
      <c r="C120" s="10">
        <f>SUMIFS('دفتر اليومية'!L:L, 'دفتر اليومية'!H:H, A120, 'دفتر اليومية'!E:E, "مبيعات اجل")</f>
        <v>0</v>
      </c>
      <c r="D120" s="108">
        <f t="shared" si="1"/>
        <v>0</v>
      </c>
    </row>
    <row r="121" spans="1:4" x14ac:dyDescent="0.3">
      <c r="A121" s="10"/>
      <c r="B121" s="10">
        <f>SUMIFS('دفتر اليومية'!K:K, 'دفتر اليومية'!H:H, A121, 'دفتر اليومية'!E:E, "مبيعات اجل")</f>
        <v>0</v>
      </c>
      <c r="C121" s="10">
        <f>SUMIFS('دفتر اليومية'!L:L, 'دفتر اليومية'!H:H, A121, 'دفتر اليومية'!E:E, "مبيعات اجل")</f>
        <v>0</v>
      </c>
      <c r="D121" s="108">
        <f t="shared" si="1"/>
        <v>0</v>
      </c>
    </row>
    <row r="122" spans="1:4" x14ac:dyDescent="0.3">
      <c r="A122" s="10"/>
      <c r="B122" s="10">
        <f>SUMIFS('دفتر اليومية'!K:K, 'دفتر اليومية'!H:H, A122, 'دفتر اليومية'!E:E, "مبيعات اجل")</f>
        <v>0</v>
      </c>
      <c r="C122" s="10">
        <f>SUMIFS('دفتر اليومية'!L:L, 'دفتر اليومية'!H:H, A122, 'دفتر اليومية'!E:E, "مبيعات اجل")</f>
        <v>0</v>
      </c>
      <c r="D122" s="108">
        <f t="shared" si="1"/>
        <v>0</v>
      </c>
    </row>
    <row r="123" spans="1:4" x14ac:dyDescent="0.3">
      <c r="A123" s="10"/>
      <c r="B123" s="10">
        <f>SUMIFS('دفتر اليومية'!K:K, 'دفتر اليومية'!H:H, A123, 'دفتر اليومية'!E:E, "مبيعات اجل")</f>
        <v>0</v>
      </c>
      <c r="C123" s="10">
        <f>SUMIFS('دفتر اليومية'!L:L, 'دفتر اليومية'!H:H, A123, 'دفتر اليومية'!E:E, "مبيعات اجل")</f>
        <v>0</v>
      </c>
      <c r="D123" s="108">
        <f t="shared" si="1"/>
        <v>0</v>
      </c>
    </row>
    <row r="124" spans="1:4" x14ac:dyDescent="0.3">
      <c r="A124" s="10"/>
      <c r="B124" s="10">
        <f>SUMIFS('دفتر اليومية'!K:K, 'دفتر اليومية'!H:H, A124, 'دفتر اليومية'!E:E, "مبيعات اجل")</f>
        <v>0</v>
      </c>
      <c r="C124" s="10">
        <f>SUMIFS('دفتر اليومية'!L:L, 'دفتر اليومية'!H:H, A124, 'دفتر اليومية'!E:E, "مبيعات اجل")</f>
        <v>0</v>
      </c>
      <c r="D124" s="108">
        <f t="shared" si="1"/>
        <v>0</v>
      </c>
    </row>
    <row r="125" spans="1:4" x14ac:dyDescent="0.3">
      <c r="A125" s="10"/>
      <c r="B125" s="10">
        <f>SUMIFS('دفتر اليومية'!K:K, 'دفتر اليومية'!H:H, A125, 'دفتر اليومية'!E:E, "مبيعات اجل")</f>
        <v>0</v>
      </c>
      <c r="C125" s="10">
        <f>SUMIFS('دفتر اليومية'!L:L, 'دفتر اليومية'!H:H, A125, 'دفتر اليومية'!E:E, "مبيعات اجل")</f>
        <v>0</v>
      </c>
      <c r="D125" s="108">
        <f t="shared" si="1"/>
        <v>0</v>
      </c>
    </row>
    <row r="126" spans="1:4" x14ac:dyDescent="0.3">
      <c r="A126" s="10"/>
      <c r="B126" s="10">
        <f>SUMIFS('دفتر اليومية'!K:K, 'دفتر اليومية'!H:H, A126, 'دفتر اليومية'!E:E, "مبيعات اجل")</f>
        <v>0</v>
      </c>
      <c r="C126" s="10">
        <f>SUMIFS('دفتر اليومية'!L:L, 'دفتر اليومية'!H:H, A126, 'دفتر اليومية'!E:E, "مبيعات اجل")</f>
        <v>0</v>
      </c>
      <c r="D126" s="108">
        <f t="shared" si="1"/>
        <v>0</v>
      </c>
    </row>
    <row r="127" spans="1:4" x14ac:dyDescent="0.3">
      <c r="A127" s="10"/>
      <c r="B127" s="10">
        <f>SUMIFS('دفتر اليومية'!K:K, 'دفتر اليومية'!H:H, A127, 'دفتر اليومية'!E:E, "مبيعات اجل")</f>
        <v>0</v>
      </c>
      <c r="C127" s="10">
        <f>SUMIFS('دفتر اليومية'!L:L, 'دفتر اليومية'!H:H, A127, 'دفتر اليومية'!E:E, "مبيعات اجل")</f>
        <v>0</v>
      </c>
      <c r="D127" s="108">
        <f t="shared" si="1"/>
        <v>0</v>
      </c>
    </row>
    <row r="128" spans="1:4" x14ac:dyDescent="0.3">
      <c r="A128" s="10"/>
      <c r="B128" s="10">
        <f>SUMIFS('دفتر اليومية'!K:K, 'دفتر اليومية'!H:H, A128, 'دفتر اليومية'!E:E, "مبيعات اجل")</f>
        <v>0</v>
      </c>
      <c r="C128" s="10">
        <f>SUMIFS('دفتر اليومية'!L:L, 'دفتر اليومية'!H:H, A128, 'دفتر اليومية'!E:E, "مبيعات اجل")</f>
        <v>0</v>
      </c>
      <c r="D128" s="108">
        <f t="shared" si="1"/>
        <v>0</v>
      </c>
    </row>
    <row r="129" spans="1:4" x14ac:dyDescent="0.3">
      <c r="A129" s="10"/>
      <c r="B129" s="10">
        <f>SUMIFS('دفتر اليومية'!K:K, 'دفتر اليومية'!H:H, A129, 'دفتر اليومية'!E:E, "مبيعات اجل")</f>
        <v>0</v>
      </c>
      <c r="C129" s="10">
        <f>SUMIFS('دفتر اليومية'!L:L, 'دفتر اليومية'!H:H, A129, 'دفتر اليومية'!E:E, "مبيعات اجل")</f>
        <v>0</v>
      </c>
      <c r="D129" s="108">
        <f t="shared" si="1"/>
        <v>0</v>
      </c>
    </row>
    <row r="130" spans="1:4" x14ac:dyDescent="0.3">
      <c r="A130" s="10"/>
      <c r="B130" s="10">
        <f>SUMIFS('دفتر اليومية'!K:K, 'دفتر اليومية'!H:H, A130, 'دفتر اليومية'!E:E, "مبيعات اجل")</f>
        <v>0</v>
      </c>
      <c r="C130" s="10">
        <f>SUMIFS('دفتر اليومية'!L:L, 'دفتر اليومية'!H:H, A130, 'دفتر اليومية'!E:E, "مبيعات اجل")</f>
        <v>0</v>
      </c>
      <c r="D130" s="108">
        <f t="shared" si="1"/>
        <v>0</v>
      </c>
    </row>
    <row r="131" spans="1:4" x14ac:dyDescent="0.3">
      <c r="A131" s="10"/>
      <c r="B131" s="10">
        <f>SUMIFS('دفتر اليومية'!K:K, 'دفتر اليومية'!H:H, A131, 'دفتر اليومية'!E:E, "مبيعات اجل")</f>
        <v>0</v>
      </c>
      <c r="C131" s="10">
        <f>SUMIFS('دفتر اليومية'!L:L, 'دفتر اليومية'!H:H, A131, 'دفتر اليومية'!E:E, "مبيعات اجل")</f>
        <v>0</v>
      </c>
      <c r="D131" s="108">
        <f t="shared" ref="D131:D194" si="2">B131-C131</f>
        <v>0</v>
      </c>
    </row>
    <row r="132" spans="1:4" x14ac:dyDescent="0.3">
      <c r="A132" s="10"/>
      <c r="B132" s="10">
        <f>SUMIFS('دفتر اليومية'!K:K, 'دفتر اليومية'!H:H, A132, 'دفتر اليومية'!E:E, "مبيعات اجل")</f>
        <v>0</v>
      </c>
      <c r="C132" s="10">
        <f>SUMIFS('دفتر اليومية'!L:L, 'دفتر اليومية'!H:H, A132, 'دفتر اليومية'!E:E, "مبيعات اجل")</f>
        <v>0</v>
      </c>
      <c r="D132" s="108">
        <f t="shared" si="2"/>
        <v>0</v>
      </c>
    </row>
    <row r="133" spans="1:4" x14ac:dyDescent="0.3">
      <c r="A133" s="10"/>
      <c r="B133" s="10">
        <f>SUMIFS('دفتر اليومية'!K:K, 'دفتر اليومية'!H:H, A133, 'دفتر اليومية'!E:E, "مبيعات اجل")</f>
        <v>0</v>
      </c>
      <c r="C133" s="10">
        <f>SUMIFS('دفتر اليومية'!L:L, 'دفتر اليومية'!H:H, A133, 'دفتر اليومية'!E:E, "مبيعات اجل")</f>
        <v>0</v>
      </c>
      <c r="D133" s="108">
        <f t="shared" si="2"/>
        <v>0</v>
      </c>
    </row>
    <row r="134" spans="1:4" x14ac:dyDescent="0.3">
      <c r="A134" s="10"/>
      <c r="B134" s="10">
        <f>SUMIFS('دفتر اليومية'!K:K, 'دفتر اليومية'!H:H, A134, 'دفتر اليومية'!E:E, "مبيعات اجل")</f>
        <v>0</v>
      </c>
      <c r="C134" s="10">
        <f>SUMIFS('دفتر اليومية'!L:L, 'دفتر اليومية'!H:H, A134, 'دفتر اليومية'!E:E, "مبيعات اجل")</f>
        <v>0</v>
      </c>
      <c r="D134" s="108">
        <f t="shared" si="2"/>
        <v>0</v>
      </c>
    </row>
    <row r="135" spans="1:4" x14ac:dyDescent="0.3">
      <c r="A135" s="10"/>
      <c r="B135" s="10">
        <f>SUMIFS('دفتر اليومية'!K:K, 'دفتر اليومية'!H:H, A135, 'دفتر اليومية'!E:E, "مبيعات اجل")</f>
        <v>0</v>
      </c>
      <c r="C135" s="10">
        <f>SUMIFS('دفتر اليومية'!L:L, 'دفتر اليومية'!H:H, A135, 'دفتر اليومية'!E:E, "مبيعات اجل")</f>
        <v>0</v>
      </c>
      <c r="D135" s="108">
        <f t="shared" si="2"/>
        <v>0</v>
      </c>
    </row>
    <row r="136" spans="1:4" x14ac:dyDescent="0.3">
      <c r="A136" s="10"/>
      <c r="B136" s="10">
        <f>SUMIFS('دفتر اليومية'!K:K, 'دفتر اليومية'!H:H, A136, 'دفتر اليومية'!E:E, "مبيعات اجل")</f>
        <v>0</v>
      </c>
      <c r="C136" s="10">
        <f>SUMIFS('دفتر اليومية'!L:L, 'دفتر اليومية'!H:H, A136, 'دفتر اليومية'!E:E, "مبيعات اجل")</f>
        <v>0</v>
      </c>
      <c r="D136" s="108">
        <f t="shared" si="2"/>
        <v>0</v>
      </c>
    </row>
    <row r="137" spans="1:4" x14ac:dyDescent="0.3">
      <c r="A137" s="10"/>
      <c r="B137" s="10">
        <f>SUMIFS('دفتر اليومية'!K:K, 'دفتر اليومية'!H:H, A137, 'دفتر اليومية'!E:E, "مبيعات اجل")</f>
        <v>0</v>
      </c>
      <c r="C137" s="10">
        <f>SUMIFS('دفتر اليومية'!L:L, 'دفتر اليومية'!H:H, A137, 'دفتر اليومية'!E:E, "مبيعات اجل")</f>
        <v>0</v>
      </c>
      <c r="D137" s="108">
        <f t="shared" si="2"/>
        <v>0</v>
      </c>
    </row>
    <row r="138" spans="1:4" x14ac:dyDescent="0.3">
      <c r="A138" s="10"/>
      <c r="B138" s="10">
        <f>SUMIFS('دفتر اليومية'!K:K, 'دفتر اليومية'!H:H, A138, 'دفتر اليومية'!E:E, "مبيعات اجل")</f>
        <v>0</v>
      </c>
      <c r="C138" s="10">
        <f>SUMIFS('دفتر اليومية'!L:L, 'دفتر اليومية'!H:H, A138, 'دفتر اليومية'!E:E, "مبيعات اجل")</f>
        <v>0</v>
      </c>
      <c r="D138" s="108">
        <f t="shared" si="2"/>
        <v>0</v>
      </c>
    </row>
    <row r="139" spans="1:4" x14ac:dyDescent="0.3">
      <c r="A139" s="10"/>
      <c r="B139" s="10">
        <f>SUMIFS('دفتر اليومية'!K:K, 'دفتر اليومية'!H:H, A139, 'دفتر اليومية'!E:E, "مبيعات اجل")</f>
        <v>0</v>
      </c>
      <c r="C139" s="10">
        <f>SUMIFS('دفتر اليومية'!L:L, 'دفتر اليومية'!H:H, A139, 'دفتر اليومية'!E:E, "مبيعات اجل")</f>
        <v>0</v>
      </c>
      <c r="D139" s="108">
        <f t="shared" si="2"/>
        <v>0</v>
      </c>
    </row>
    <row r="140" spans="1:4" x14ac:dyDescent="0.3">
      <c r="A140" s="10"/>
      <c r="B140" s="10">
        <f>SUMIFS('دفتر اليومية'!K:K, 'دفتر اليومية'!H:H, A140, 'دفتر اليومية'!E:E, "مبيعات اجل")</f>
        <v>0</v>
      </c>
      <c r="C140" s="10">
        <f>SUMIFS('دفتر اليومية'!L:L, 'دفتر اليومية'!H:H, A140, 'دفتر اليومية'!E:E, "مبيعات اجل")</f>
        <v>0</v>
      </c>
      <c r="D140" s="108">
        <f t="shared" si="2"/>
        <v>0</v>
      </c>
    </row>
    <row r="141" spans="1:4" x14ac:dyDescent="0.3">
      <c r="A141" s="10"/>
      <c r="B141" s="10">
        <f>SUMIFS('دفتر اليومية'!K:K, 'دفتر اليومية'!H:H, A141, 'دفتر اليومية'!E:E, "مبيعات اجل")</f>
        <v>0</v>
      </c>
      <c r="C141" s="10">
        <f>SUMIFS('دفتر اليومية'!L:L, 'دفتر اليومية'!H:H, A141, 'دفتر اليومية'!E:E, "مبيعات اجل")</f>
        <v>0</v>
      </c>
      <c r="D141" s="108">
        <f t="shared" si="2"/>
        <v>0</v>
      </c>
    </row>
    <row r="142" spans="1:4" x14ac:dyDescent="0.3">
      <c r="A142" s="10"/>
      <c r="B142" s="10">
        <f>SUMIFS('دفتر اليومية'!K:K, 'دفتر اليومية'!H:H, A142, 'دفتر اليومية'!E:E, "مبيعات اجل")</f>
        <v>0</v>
      </c>
      <c r="C142" s="10">
        <f>SUMIFS('دفتر اليومية'!L:L, 'دفتر اليومية'!H:H, A142, 'دفتر اليومية'!E:E, "مبيعات اجل")</f>
        <v>0</v>
      </c>
      <c r="D142" s="108">
        <f t="shared" si="2"/>
        <v>0</v>
      </c>
    </row>
    <row r="143" spans="1:4" x14ac:dyDescent="0.3">
      <c r="A143" s="10"/>
      <c r="B143" s="10">
        <f>SUMIFS('دفتر اليومية'!K:K, 'دفتر اليومية'!H:H, A143, 'دفتر اليومية'!E:E, "مبيعات اجل")</f>
        <v>0</v>
      </c>
      <c r="C143" s="10">
        <f>SUMIFS('دفتر اليومية'!L:L, 'دفتر اليومية'!H:H, A143, 'دفتر اليومية'!E:E, "مبيعات اجل")</f>
        <v>0</v>
      </c>
      <c r="D143" s="108">
        <f t="shared" si="2"/>
        <v>0</v>
      </c>
    </row>
    <row r="144" spans="1:4" x14ac:dyDescent="0.3">
      <c r="A144" s="10"/>
      <c r="B144" s="10">
        <f>SUMIFS('دفتر اليومية'!K:K, 'دفتر اليومية'!H:H, A144, 'دفتر اليومية'!E:E, "مبيعات اجل")</f>
        <v>0</v>
      </c>
      <c r="C144" s="10">
        <f>SUMIFS('دفتر اليومية'!L:L, 'دفتر اليومية'!H:H, A144, 'دفتر اليومية'!E:E, "مبيعات اجل")</f>
        <v>0</v>
      </c>
      <c r="D144" s="108">
        <f t="shared" si="2"/>
        <v>0</v>
      </c>
    </row>
    <row r="145" spans="1:4" x14ac:dyDescent="0.3">
      <c r="A145" s="10"/>
      <c r="B145" s="10">
        <f>SUMIFS('دفتر اليومية'!K:K, 'دفتر اليومية'!H:H, A145, 'دفتر اليومية'!E:E, "مبيعات اجل")</f>
        <v>0</v>
      </c>
      <c r="C145" s="10">
        <f>SUMIFS('دفتر اليومية'!L:L, 'دفتر اليومية'!H:H, A145, 'دفتر اليومية'!E:E, "مبيعات اجل")</f>
        <v>0</v>
      </c>
      <c r="D145" s="108">
        <f t="shared" si="2"/>
        <v>0</v>
      </c>
    </row>
    <row r="146" spans="1:4" x14ac:dyDescent="0.3">
      <c r="A146" s="10"/>
      <c r="B146" s="10">
        <f>SUMIFS('دفتر اليومية'!K:K, 'دفتر اليومية'!H:H, A146, 'دفتر اليومية'!E:E, "مبيعات اجل")</f>
        <v>0</v>
      </c>
      <c r="C146" s="10">
        <f>SUMIFS('دفتر اليومية'!L:L, 'دفتر اليومية'!H:H, A146, 'دفتر اليومية'!E:E, "مبيعات اجل")</f>
        <v>0</v>
      </c>
      <c r="D146" s="108">
        <f t="shared" si="2"/>
        <v>0</v>
      </c>
    </row>
    <row r="147" spans="1:4" x14ac:dyDescent="0.3">
      <c r="A147" s="10"/>
      <c r="B147" s="10">
        <f>SUMIFS('دفتر اليومية'!K:K, 'دفتر اليومية'!H:H, A147, 'دفتر اليومية'!E:E, "مبيعات اجل")</f>
        <v>0</v>
      </c>
      <c r="C147" s="10">
        <f>SUMIFS('دفتر اليومية'!L:L, 'دفتر اليومية'!H:H, A147, 'دفتر اليومية'!E:E, "مبيعات اجل")</f>
        <v>0</v>
      </c>
      <c r="D147" s="108">
        <f t="shared" si="2"/>
        <v>0</v>
      </c>
    </row>
    <row r="148" spans="1:4" x14ac:dyDescent="0.3">
      <c r="A148" s="10"/>
      <c r="B148" s="10">
        <f>SUMIFS('دفتر اليومية'!K:K, 'دفتر اليومية'!H:H, A148, 'دفتر اليومية'!E:E, "مبيعات اجل")</f>
        <v>0</v>
      </c>
      <c r="C148" s="10">
        <f>SUMIFS('دفتر اليومية'!L:L, 'دفتر اليومية'!H:H, A148, 'دفتر اليومية'!E:E, "مبيعات اجل")</f>
        <v>0</v>
      </c>
      <c r="D148" s="108">
        <f t="shared" si="2"/>
        <v>0</v>
      </c>
    </row>
    <row r="149" spans="1:4" x14ac:dyDescent="0.3">
      <c r="A149" s="10"/>
      <c r="B149" s="10">
        <f>SUMIFS('دفتر اليومية'!K:K, 'دفتر اليومية'!H:H, A149, 'دفتر اليومية'!E:E, "مبيعات اجل")</f>
        <v>0</v>
      </c>
      <c r="C149" s="10">
        <f>SUMIFS('دفتر اليومية'!L:L, 'دفتر اليومية'!H:H, A149, 'دفتر اليومية'!E:E, "مبيعات اجل")</f>
        <v>0</v>
      </c>
      <c r="D149" s="108">
        <f t="shared" si="2"/>
        <v>0</v>
      </c>
    </row>
    <row r="150" spans="1:4" x14ac:dyDescent="0.3">
      <c r="A150" s="10"/>
      <c r="B150" s="10">
        <f>SUMIFS('دفتر اليومية'!K:K, 'دفتر اليومية'!H:H, A150, 'دفتر اليومية'!E:E, "مبيعات اجل")</f>
        <v>0</v>
      </c>
      <c r="C150" s="10">
        <f>SUMIFS('دفتر اليومية'!L:L, 'دفتر اليومية'!H:H, A150, 'دفتر اليومية'!E:E, "مبيعات اجل")</f>
        <v>0</v>
      </c>
      <c r="D150" s="108">
        <f t="shared" si="2"/>
        <v>0</v>
      </c>
    </row>
    <row r="151" spans="1:4" x14ac:dyDescent="0.3">
      <c r="A151" s="10"/>
      <c r="B151" s="10">
        <f>SUMIFS('دفتر اليومية'!K:K, 'دفتر اليومية'!H:H, A151, 'دفتر اليومية'!E:E, "مبيعات اجل")</f>
        <v>0</v>
      </c>
      <c r="C151" s="10">
        <f>SUMIFS('دفتر اليومية'!L:L, 'دفتر اليومية'!H:H, A151, 'دفتر اليومية'!E:E, "مبيعات اجل")</f>
        <v>0</v>
      </c>
      <c r="D151" s="108">
        <f t="shared" si="2"/>
        <v>0</v>
      </c>
    </row>
    <row r="152" spans="1:4" x14ac:dyDescent="0.3">
      <c r="A152" s="10"/>
      <c r="B152" s="10">
        <f>SUMIFS('دفتر اليومية'!K:K, 'دفتر اليومية'!H:H, A152, 'دفتر اليومية'!E:E, "مبيعات اجل")</f>
        <v>0</v>
      </c>
      <c r="C152" s="10">
        <f>SUMIFS('دفتر اليومية'!L:L, 'دفتر اليومية'!H:H, A152, 'دفتر اليومية'!E:E, "مبيعات اجل")</f>
        <v>0</v>
      </c>
      <c r="D152" s="108">
        <f t="shared" si="2"/>
        <v>0</v>
      </c>
    </row>
    <row r="153" spans="1:4" x14ac:dyDescent="0.3">
      <c r="A153" s="10"/>
      <c r="B153" s="10">
        <f>SUMIFS('دفتر اليومية'!K:K, 'دفتر اليومية'!H:H, A153, 'دفتر اليومية'!E:E, "مبيعات اجل")</f>
        <v>0</v>
      </c>
      <c r="C153" s="10">
        <f>SUMIFS('دفتر اليومية'!L:L, 'دفتر اليومية'!H:H, A153, 'دفتر اليومية'!E:E, "مبيعات اجل")</f>
        <v>0</v>
      </c>
      <c r="D153" s="108">
        <f t="shared" si="2"/>
        <v>0</v>
      </c>
    </row>
    <row r="154" spans="1:4" x14ac:dyDescent="0.3">
      <c r="A154" s="10"/>
      <c r="B154" s="10">
        <f>SUMIFS('دفتر اليومية'!K:K, 'دفتر اليومية'!H:H, A154, 'دفتر اليومية'!E:E, "مبيعات اجل")</f>
        <v>0</v>
      </c>
      <c r="C154" s="10">
        <f>SUMIFS('دفتر اليومية'!L:L, 'دفتر اليومية'!H:H, A154, 'دفتر اليومية'!E:E, "مبيعات اجل")</f>
        <v>0</v>
      </c>
      <c r="D154" s="108">
        <f t="shared" si="2"/>
        <v>0</v>
      </c>
    </row>
    <row r="155" spans="1:4" x14ac:dyDescent="0.3">
      <c r="A155" s="10"/>
      <c r="B155" s="10">
        <f>SUMIFS('دفتر اليومية'!K:K, 'دفتر اليومية'!H:H, A155, 'دفتر اليومية'!E:E, "مبيعات اجل")</f>
        <v>0</v>
      </c>
      <c r="C155" s="10">
        <f>SUMIFS('دفتر اليومية'!L:L, 'دفتر اليومية'!H:H, A155, 'دفتر اليومية'!E:E, "مبيعات اجل")</f>
        <v>0</v>
      </c>
      <c r="D155" s="108">
        <f t="shared" si="2"/>
        <v>0</v>
      </c>
    </row>
    <row r="156" spans="1:4" x14ac:dyDescent="0.3">
      <c r="A156" s="10"/>
      <c r="B156" s="10">
        <f>SUMIFS('دفتر اليومية'!K:K, 'دفتر اليومية'!H:H, A156, 'دفتر اليومية'!E:E, "مبيعات اجل")</f>
        <v>0</v>
      </c>
      <c r="C156" s="10">
        <f>SUMIFS('دفتر اليومية'!L:L, 'دفتر اليومية'!H:H, A156, 'دفتر اليومية'!E:E, "مبيعات اجل")</f>
        <v>0</v>
      </c>
      <c r="D156" s="108">
        <f t="shared" si="2"/>
        <v>0</v>
      </c>
    </row>
    <row r="157" spans="1:4" x14ac:dyDescent="0.3">
      <c r="A157" s="10"/>
      <c r="B157" s="10">
        <f>SUMIFS('دفتر اليومية'!K:K, 'دفتر اليومية'!H:H, A157, 'دفتر اليومية'!E:E, "مبيعات اجل")</f>
        <v>0</v>
      </c>
      <c r="C157" s="10">
        <f>SUMIFS('دفتر اليومية'!L:L, 'دفتر اليومية'!H:H, A157, 'دفتر اليومية'!E:E, "مبيعات اجل")</f>
        <v>0</v>
      </c>
      <c r="D157" s="108">
        <f t="shared" si="2"/>
        <v>0</v>
      </c>
    </row>
    <row r="158" spans="1:4" x14ac:dyDescent="0.3">
      <c r="A158" s="10"/>
      <c r="B158" s="10">
        <f>SUMIFS('دفتر اليومية'!K:K, 'دفتر اليومية'!H:H, A158, 'دفتر اليومية'!E:E, "مبيعات اجل")</f>
        <v>0</v>
      </c>
      <c r="C158" s="10">
        <f>SUMIFS('دفتر اليومية'!L:L, 'دفتر اليومية'!H:H, A158, 'دفتر اليومية'!E:E, "مبيعات اجل")</f>
        <v>0</v>
      </c>
      <c r="D158" s="108">
        <f t="shared" si="2"/>
        <v>0</v>
      </c>
    </row>
    <row r="159" spans="1:4" x14ac:dyDescent="0.3">
      <c r="A159" s="10"/>
      <c r="B159" s="10">
        <f>SUMIFS('دفتر اليومية'!K:K, 'دفتر اليومية'!H:H, A159, 'دفتر اليومية'!E:E, "مبيعات اجل")</f>
        <v>0</v>
      </c>
      <c r="C159" s="10">
        <f>SUMIFS('دفتر اليومية'!L:L, 'دفتر اليومية'!H:H, A159, 'دفتر اليومية'!E:E, "مبيعات اجل")</f>
        <v>0</v>
      </c>
      <c r="D159" s="108">
        <f t="shared" si="2"/>
        <v>0</v>
      </c>
    </row>
    <row r="160" spans="1:4" x14ac:dyDescent="0.3">
      <c r="A160" s="10"/>
      <c r="B160" s="10">
        <f>SUMIFS('دفتر اليومية'!K:K, 'دفتر اليومية'!H:H, A160, 'دفتر اليومية'!E:E, "مبيعات اجل")</f>
        <v>0</v>
      </c>
      <c r="C160" s="10">
        <f>SUMIFS('دفتر اليومية'!L:L, 'دفتر اليومية'!H:H, A160, 'دفتر اليومية'!E:E, "مبيعات اجل")</f>
        <v>0</v>
      </c>
      <c r="D160" s="108">
        <f t="shared" si="2"/>
        <v>0</v>
      </c>
    </row>
    <row r="161" spans="1:4" x14ac:dyDescent="0.3">
      <c r="A161" s="10"/>
      <c r="B161" s="10">
        <f>SUMIFS('دفتر اليومية'!K:K, 'دفتر اليومية'!H:H, A161, 'دفتر اليومية'!E:E, "مبيعات اجل")</f>
        <v>0</v>
      </c>
      <c r="C161" s="10">
        <f>SUMIFS('دفتر اليومية'!L:L, 'دفتر اليومية'!H:H, A161, 'دفتر اليومية'!E:E, "مبيعات اجل")</f>
        <v>0</v>
      </c>
      <c r="D161" s="108">
        <f t="shared" si="2"/>
        <v>0</v>
      </c>
    </row>
    <row r="162" spans="1:4" x14ac:dyDescent="0.3">
      <c r="A162" s="10"/>
      <c r="B162" s="10">
        <f>SUMIFS('دفتر اليومية'!K:K, 'دفتر اليومية'!H:H, A162, 'دفتر اليومية'!E:E, "مبيعات اجل")</f>
        <v>0</v>
      </c>
      <c r="C162" s="10">
        <f>SUMIFS('دفتر اليومية'!L:L, 'دفتر اليومية'!H:H, A162, 'دفتر اليومية'!E:E, "مبيعات اجل")</f>
        <v>0</v>
      </c>
      <c r="D162" s="108">
        <f t="shared" si="2"/>
        <v>0</v>
      </c>
    </row>
    <row r="163" spans="1:4" x14ac:dyDescent="0.3">
      <c r="A163" s="10"/>
      <c r="B163" s="10">
        <f>SUMIFS('دفتر اليومية'!K:K, 'دفتر اليومية'!H:H, A163, 'دفتر اليومية'!E:E, "مبيعات اجل")</f>
        <v>0</v>
      </c>
      <c r="C163" s="10">
        <f>SUMIFS('دفتر اليومية'!L:L, 'دفتر اليومية'!H:H, A163, 'دفتر اليومية'!E:E, "مبيعات اجل")</f>
        <v>0</v>
      </c>
      <c r="D163" s="108">
        <f t="shared" si="2"/>
        <v>0</v>
      </c>
    </row>
    <row r="164" spans="1:4" x14ac:dyDescent="0.3">
      <c r="A164" s="10"/>
      <c r="B164" s="10">
        <f>SUMIFS('دفتر اليومية'!K:K, 'دفتر اليومية'!H:H, A164, 'دفتر اليومية'!E:E, "مبيعات اجل")</f>
        <v>0</v>
      </c>
      <c r="C164" s="10">
        <f>SUMIFS('دفتر اليومية'!L:L, 'دفتر اليومية'!H:H, A164, 'دفتر اليومية'!E:E, "مبيعات اجل")</f>
        <v>0</v>
      </c>
      <c r="D164" s="108">
        <f t="shared" si="2"/>
        <v>0</v>
      </c>
    </row>
    <row r="165" spans="1:4" x14ac:dyDescent="0.3">
      <c r="A165" s="10"/>
      <c r="B165" s="10">
        <f>SUMIFS('دفتر اليومية'!K:K, 'دفتر اليومية'!H:H, A165, 'دفتر اليومية'!E:E, "مبيعات اجل")</f>
        <v>0</v>
      </c>
      <c r="C165" s="10">
        <f>SUMIFS('دفتر اليومية'!L:L, 'دفتر اليومية'!H:H, A165, 'دفتر اليومية'!E:E, "مبيعات اجل")</f>
        <v>0</v>
      </c>
      <c r="D165" s="108">
        <f t="shared" si="2"/>
        <v>0</v>
      </c>
    </row>
    <row r="166" spans="1:4" x14ac:dyDescent="0.3">
      <c r="A166" s="10"/>
      <c r="B166" s="10">
        <f>SUMIFS('دفتر اليومية'!K:K, 'دفتر اليومية'!H:H, A166, 'دفتر اليومية'!E:E, "مبيعات اجل")</f>
        <v>0</v>
      </c>
      <c r="C166" s="10">
        <f>SUMIFS('دفتر اليومية'!L:L, 'دفتر اليومية'!H:H, A166, 'دفتر اليومية'!E:E, "مبيعات اجل")</f>
        <v>0</v>
      </c>
      <c r="D166" s="108">
        <f t="shared" si="2"/>
        <v>0</v>
      </c>
    </row>
    <row r="167" spans="1:4" x14ac:dyDescent="0.3">
      <c r="A167" s="10"/>
      <c r="B167" s="10">
        <f>SUMIFS('دفتر اليومية'!K:K, 'دفتر اليومية'!H:H, A167, 'دفتر اليومية'!E:E, "مبيعات اجل")</f>
        <v>0</v>
      </c>
      <c r="C167" s="10">
        <f>SUMIFS('دفتر اليومية'!L:L, 'دفتر اليومية'!H:H, A167, 'دفتر اليومية'!E:E, "مبيعات اجل")</f>
        <v>0</v>
      </c>
      <c r="D167" s="108">
        <f t="shared" si="2"/>
        <v>0</v>
      </c>
    </row>
    <row r="168" spans="1:4" x14ac:dyDescent="0.3">
      <c r="A168" s="10"/>
      <c r="B168" s="10">
        <f>SUMIFS('دفتر اليومية'!K:K, 'دفتر اليومية'!H:H, A168, 'دفتر اليومية'!E:E, "مبيعات اجل")</f>
        <v>0</v>
      </c>
      <c r="C168" s="10">
        <f>SUMIFS('دفتر اليومية'!L:L, 'دفتر اليومية'!H:H, A168, 'دفتر اليومية'!E:E, "مبيعات اجل")</f>
        <v>0</v>
      </c>
      <c r="D168" s="108">
        <f t="shared" si="2"/>
        <v>0</v>
      </c>
    </row>
    <row r="169" spans="1:4" x14ac:dyDescent="0.3">
      <c r="A169" s="10"/>
      <c r="B169" s="10">
        <f>SUMIFS('دفتر اليومية'!K:K, 'دفتر اليومية'!H:H, A169, 'دفتر اليومية'!E:E, "مبيعات اجل")</f>
        <v>0</v>
      </c>
      <c r="C169" s="10">
        <f>SUMIFS('دفتر اليومية'!L:L, 'دفتر اليومية'!H:H, A169, 'دفتر اليومية'!E:E, "مبيعات اجل")</f>
        <v>0</v>
      </c>
      <c r="D169" s="108">
        <f t="shared" si="2"/>
        <v>0</v>
      </c>
    </row>
    <row r="170" spans="1:4" x14ac:dyDescent="0.3">
      <c r="A170" s="10"/>
      <c r="B170" s="10">
        <f>SUMIFS('دفتر اليومية'!K:K, 'دفتر اليومية'!H:H, A170, 'دفتر اليومية'!E:E, "مبيعات اجل")</f>
        <v>0</v>
      </c>
      <c r="C170" s="10">
        <f>SUMIFS('دفتر اليومية'!L:L, 'دفتر اليومية'!H:H, A170, 'دفتر اليومية'!E:E, "مبيعات اجل")</f>
        <v>0</v>
      </c>
      <c r="D170" s="108">
        <f t="shared" si="2"/>
        <v>0</v>
      </c>
    </row>
    <row r="171" spans="1:4" x14ac:dyDescent="0.3">
      <c r="A171" s="10"/>
      <c r="B171" s="10">
        <f>SUMIFS('دفتر اليومية'!K:K, 'دفتر اليومية'!H:H, A171, 'دفتر اليومية'!E:E, "مبيعات اجل")</f>
        <v>0</v>
      </c>
      <c r="C171" s="10">
        <f>SUMIFS('دفتر اليومية'!L:L, 'دفتر اليومية'!H:H, A171, 'دفتر اليومية'!E:E, "مبيعات اجل")</f>
        <v>0</v>
      </c>
      <c r="D171" s="108">
        <f t="shared" si="2"/>
        <v>0</v>
      </c>
    </row>
    <row r="172" spans="1:4" x14ac:dyDescent="0.3">
      <c r="A172" s="10"/>
      <c r="B172" s="10">
        <f>SUMIFS('دفتر اليومية'!K:K, 'دفتر اليومية'!H:H, A172, 'دفتر اليومية'!E:E, "مبيعات اجل")</f>
        <v>0</v>
      </c>
      <c r="C172" s="10">
        <f>SUMIFS('دفتر اليومية'!L:L, 'دفتر اليومية'!H:H, A172, 'دفتر اليومية'!E:E, "مبيعات اجل")</f>
        <v>0</v>
      </c>
      <c r="D172" s="108">
        <f t="shared" si="2"/>
        <v>0</v>
      </c>
    </row>
    <row r="173" spans="1:4" x14ac:dyDescent="0.3">
      <c r="A173" s="10"/>
      <c r="B173" s="10">
        <f>SUMIFS('دفتر اليومية'!K:K, 'دفتر اليومية'!H:H, A173, 'دفتر اليومية'!E:E, "مبيعات اجل")</f>
        <v>0</v>
      </c>
      <c r="C173" s="10">
        <f>SUMIFS('دفتر اليومية'!L:L, 'دفتر اليومية'!H:H, A173, 'دفتر اليومية'!E:E, "مبيعات اجل")</f>
        <v>0</v>
      </c>
      <c r="D173" s="108">
        <f t="shared" si="2"/>
        <v>0</v>
      </c>
    </row>
    <row r="174" spans="1:4" x14ac:dyDescent="0.3">
      <c r="A174" s="10"/>
      <c r="B174" s="10">
        <f>SUMIFS('دفتر اليومية'!K:K, 'دفتر اليومية'!H:H, A174, 'دفتر اليومية'!E:E, "مبيعات اجل")</f>
        <v>0</v>
      </c>
      <c r="C174" s="10">
        <f>SUMIFS('دفتر اليومية'!L:L, 'دفتر اليومية'!H:H, A174, 'دفتر اليومية'!E:E, "مبيعات اجل")</f>
        <v>0</v>
      </c>
      <c r="D174" s="108">
        <f t="shared" si="2"/>
        <v>0</v>
      </c>
    </row>
    <row r="175" spans="1:4" x14ac:dyDescent="0.3">
      <c r="A175" s="10"/>
      <c r="B175" s="10">
        <f>SUMIFS('دفتر اليومية'!K:K, 'دفتر اليومية'!H:H, A175, 'دفتر اليومية'!E:E, "مبيعات اجل")</f>
        <v>0</v>
      </c>
      <c r="C175" s="10">
        <f>SUMIFS('دفتر اليومية'!L:L, 'دفتر اليومية'!H:H, A175, 'دفتر اليومية'!E:E, "مبيعات اجل")</f>
        <v>0</v>
      </c>
      <c r="D175" s="108">
        <f t="shared" si="2"/>
        <v>0</v>
      </c>
    </row>
    <row r="176" spans="1:4" x14ac:dyDescent="0.3">
      <c r="A176" s="10"/>
      <c r="B176" s="10">
        <f>SUMIFS('دفتر اليومية'!K:K, 'دفتر اليومية'!H:H, A176, 'دفتر اليومية'!E:E, "مبيعات اجل")</f>
        <v>0</v>
      </c>
      <c r="C176" s="10">
        <f>SUMIFS('دفتر اليومية'!L:L, 'دفتر اليومية'!H:H, A176, 'دفتر اليومية'!E:E, "مبيعات اجل")</f>
        <v>0</v>
      </c>
      <c r="D176" s="108">
        <f t="shared" si="2"/>
        <v>0</v>
      </c>
    </row>
    <row r="177" spans="1:4" x14ac:dyDescent="0.3">
      <c r="A177" s="10"/>
      <c r="B177" s="10">
        <f>SUMIFS('دفتر اليومية'!K:K, 'دفتر اليومية'!H:H, A177, 'دفتر اليومية'!E:E, "مبيعات اجل")</f>
        <v>0</v>
      </c>
      <c r="C177" s="10">
        <f>SUMIFS('دفتر اليومية'!L:L, 'دفتر اليومية'!H:H, A177, 'دفتر اليومية'!E:E, "مبيعات اجل")</f>
        <v>0</v>
      </c>
      <c r="D177" s="108">
        <f t="shared" si="2"/>
        <v>0</v>
      </c>
    </row>
    <row r="178" spans="1:4" x14ac:dyDescent="0.3">
      <c r="A178" s="10"/>
      <c r="B178" s="10">
        <f>SUMIFS('دفتر اليومية'!K:K, 'دفتر اليومية'!H:H, A178, 'دفتر اليومية'!E:E, "مبيعات اجل")</f>
        <v>0</v>
      </c>
      <c r="C178" s="10">
        <f>SUMIFS('دفتر اليومية'!L:L, 'دفتر اليومية'!H:H, A178, 'دفتر اليومية'!E:E, "مبيعات اجل")</f>
        <v>0</v>
      </c>
      <c r="D178" s="108">
        <f t="shared" si="2"/>
        <v>0</v>
      </c>
    </row>
    <row r="179" spans="1:4" x14ac:dyDescent="0.3">
      <c r="A179" s="10"/>
      <c r="B179" s="10">
        <f>SUMIFS('دفتر اليومية'!K:K, 'دفتر اليومية'!H:H, A179, 'دفتر اليومية'!E:E, "مبيعات اجل")</f>
        <v>0</v>
      </c>
      <c r="C179" s="10">
        <f>SUMIFS('دفتر اليومية'!L:L, 'دفتر اليومية'!H:H, A179, 'دفتر اليومية'!E:E, "مبيعات اجل")</f>
        <v>0</v>
      </c>
      <c r="D179" s="108">
        <f t="shared" si="2"/>
        <v>0</v>
      </c>
    </row>
    <row r="180" spans="1:4" x14ac:dyDescent="0.3">
      <c r="A180" s="10"/>
      <c r="B180" s="10">
        <f>SUMIFS('دفتر اليومية'!K:K, 'دفتر اليومية'!H:H, A180, 'دفتر اليومية'!E:E, "مبيعات اجل")</f>
        <v>0</v>
      </c>
      <c r="C180" s="10">
        <f>SUMIFS('دفتر اليومية'!L:L, 'دفتر اليومية'!H:H, A180, 'دفتر اليومية'!E:E, "مبيعات اجل")</f>
        <v>0</v>
      </c>
      <c r="D180" s="108">
        <f t="shared" si="2"/>
        <v>0</v>
      </c>
    </row>
    <row r="181" spans="1:4" x14ac:dyDescent="0.3">
      <c r="A181" s="10"/>
      <c r="B181" s="10">
        <f>SUMIFS('دفتر اليومية'!K:K, 'دفتر اليومية'!H:H, A181, 'دفتر اليومية'!E:E, "مبيعات اجل")</f>
        <v>0</v>
      </c>
      <c r="C181" s="10">
        <f>SUMIFS('دفتر اليومية'!L:L, 'دفتر اليومية'!H:H, A181, 'دفتر اليومية'!E:E, "مبيعات اجل")</f>
        <v>0</v>
      </c>
      <c r="D181" s="108">
        <f t="shared" si="2"/>
        <v>0</v>
      </c>
    </row>
    <row r="182" spans="1:4" x14ac:dyDescent="0.3">
      <c r="A182" s="10"/>
      <c r="B182" s="10">
        <f>SUMIFS('دفتر اليومية'!K:K, 'دفتر اليومية'!H:H, A182, 'دفتر اليومية'!E:E, "مبيعات اجل")</f>
        <v>0</v>
      </c>
      <c r="C182" s="10">
        <f>SUMIFS('دفتر اليومية'!L:L, 'دفتر اليومية'!H:H, A182, 'دفتر اليومية'!E:E, "مبيعات اجل")</f>
        <v>0</v>
      </c>
      <c r="D182" s="108">
        <f t="shared" si="2"/>
        <v>0</v>
      </c>
    </row>
    <row r="183" spans="1:4" x14ac:dyDescent="0.3">
      <c r="A183" s="10"/>
      <c r="B183" s="10">
        <f>SUMIFS('دفتر اليومية'!K:K, 'دفتر اليومية'!H:H, A183, 'دفتر اليومية'!E:E, "مبيعات اجل")</f>
        <v>0</v>
      </c>
      <c r="C183" s="10">
        <f>SUMIFS('دفتر اليومية'!L:L, 'دفتر اليومية'!H:H, A183, 'دفتر اليومية'!E:E, "مبيعات اجل")</f>
        <v>0</v>
      </c>
      <c r="D183" s="108">
        <f t="shared" si="2"/>
        <v>0</v>
      </c>
    </row>
    <row r="184" spans="1:4" x14ac:dyDescent="0.3">
      <c r="A184" s="10"/>
      <c r="B184" s="10">
        <f>SUMIFS('دفتر اليومية'!K:K, 'دفتر اليومية'!H:H, A184, 'دفتر اليومية'!E:E, "مبيعات اجل")</f>
        <v>0</v>
      </c>
      <c r="C184" s="10">
        <f>SUMIFS('دفتر اليومية'!L:L, 'دفتر اليومية'!H:H, A184, 'دفتر اليومية'!E:E, "مبيعات اجل")</f>
        <v>0</v>
      </c>
      <c r="D184" s="108">
        <f t="shared" si="2"/>
        <v>0</v>
      </c>
    </row>
    <row r="185" spans="1:4" x14ac:dyDescent="0.3">
      <c r="A185" s="10"/>
      <c r="B185" s="10">
        <f>SUMIFS('دفتر اليومية'!K:K, 'دفتر اليومية'!H:H, A185, 'دفتر اليومية'!E:E, "مبيعات اجل")</f>
        <v>0</v>
      </c>
      <c r="C185" s="10">
        <f>SUMIFS('دفتر اليومية'!L:L, 'دفتر اليومية'!H:H, A185, 'دفتر اليومية'!E:E, "مبيعات اجل")</f>
        <v>0</v>
      </c>
      <c r="D185" s="108">
        <f t="shared" si="2"/>
        <v>0</v>
      </c>
    </row>
    <row r="186" spans="1:4" x14ac:dyDescent="0.3">
      <c r="A186" s="10"/>
      <c r="B186" s="10">
        <f>SUMIFS('دفتر اليومية'!K:K, 'دفتر اليومية'!H:H, A186, 'دفتر اليومية'!E:E, "مبيعات اجل")</f>
        <v>0</v>
      </c>
      <c r="C186" s="10">
        <f>SUMIFS('دفتر اليومية'!L:L, 'دفتر اليومية'!H:H, A186, 'دفتر اليومية'!E:E, "مبيعات اجل")</f>
        <v>0</v>
      </c>
      <c r="D186" s="108">
        <f t="shared" si="2"/>
        <v>0</v>
      </c>
    </row>
    <row r="187" spans="1:4" x14ac:dyDescent="0.3">
      <c r="A187" s="10"/>
      <c r="B187" s="10">
        <f>SUMIFS('دفتر اليومية'!K:K, 'دفتر اليومية'!H:H, A187, 'دفتر اليومية'!E:E, "مبيعات اجل")</f>
        <v>0</v>
      </c>
      <c r="C187" s="10">
        <f>SUMIFS('دفتر اليومية'!L:L, 'دفتر اليومية'!H:H, A187, 'دفتر اليومية'!E:E, "مبيعات اجل")</f>
        <v>0</v>
      </c>
      <c r="D187" s="108">
        <f t="shared" si="2"/>
        <v>0</v>
      </c>
    </row>
    <row r="188" spans="1:4" x14ac:dyDescent="0.3">
      <c r="A188" s="10"/>
      <c r="B188" s="10">
        <f>SUMIFS('دفتر اليومية'!K:K, 'دفتر اليومية'!H:H, A188, 'دفتر اليومية'!E:E, "مبيعات اجل")</f>
        <v>0</v>
      </c>
      <c r="C188" s="10">
        <f>SUMIFS('دفتر اليومية'!L:L, 'دفتر اليومية'!H:H, A188, 'دفتر اليومية'!E:E, "مبيعات اجل")</f>
        <v>0</v>
      </c>
      <c r="D188" s="108">
        <f t="shared" si="2"/>
        <v>0</v>
      </c>
    </row>
    <row r="189" spans="1:4" x14ac:dyDescent="0.3">
      <c r="A189" s="10"/>
      <c r="B189" s="10">
        <f>SUMIFS('دفتر اليومية'!K:K, 'دفتر اليومية'!H:H, A189, 'دفتر اليومية'!E:E, "مبيعات اجل")</f>
        <v>0</v>
      </c>
      <c r="C189" s="10">
        <f>SUMIFS('دفتر اليومية'!L:L, 'دفتر اليومية'!H:H, A189, 'دفتر اليومية'!E:E, "مبيعات اجل")</f>
        <v>0</v>
      </c>
      <c r="D189" s="108">
        <f t="shared" si="2"/>
        <v>0</v>
      </c>
    </row>
    <row r="190" spans="1:4" x14ac:dyDescent="0.3">
      <c r="A190" s="10"/>
      <c r="B190" s="10">
        <f>SUMIFS('دفتر اليومية'!K:K, 'دفتر اليومية'!H:H, A190, 'دفتر اليومية'!E:E, "مبيعات اجل")</f>
        <v>0</v>
      </c>
      <c r="C190" s="10">
        <f>SUMIFS('دفتر اليومية'!L:L, 'دفتر اليومية'!H:H, A190, 'دفتر اليومية'!E:E, "مبيعات اجل")</f>
        <v>0</v>
      </c>
      <c r="D190" s="108">
        <f t="shared" si="2"/>
        <v>0</v>
      </c>
    </row>
    <row r="191" spans="1:4" x14ac:dyDescent="0.3">
      <c r="A191" s="10"/>
      <c r="B191" s="10">
        <f>SUMIFS('دفتر اليومية'!K:K, 'دفتر اليومية'!H:H, A191, 'دفتر اليومية'!E:E, "مبيعات اجل")</f>
        <v>0</v>
      </c>
      <c r="C191" s="10">
        <f>SUMIFS('دفتر اليومية'!L:L, 'دفتر اليومية'!H:H, A191, 'دفتر اليومية'!E:E, "مبيعات اجل")</f>
        <v>0</v>
      </c>
      <c r="D191" s="108">
        <f t="shared" si="2"/>
        <v>0</v>
      </c>
    </row>
    <row r="192" spans="1:4" x14ac:dyDescent="0.3">
      <c r="A192" s="10"/>
      <c r="B192" s="10">
        <f>SUMIFS('دفتر اليومية'!K:K, 'دفتر اليومية'!H:H, A192, 'دفتر اليومية'!E:E, "مبيعات اجل")</f>
        <v>0</v>
      </c>
      <c r="C192" s="10">
        <f>SUMIFS('دفتر اليومية'!L:L, 'دفتر اليومية'!H:H, A192, 'دفتر اليومية'!E:E, "مبيعات اجل")</f>
        <v>0</v>
      </c>
      <c r="D192" s="108">
        <f t="shared" si="2"/>
        <v>0</v>
      </c>
    </row>
    <row r="193" spans="1:4" x14ac:dyDescent="0.3">
      <c r="A193" s="10"/>
      <c r="B193" s="10">
        <f>SUMIFS('دفتر اليومية'!K:K, 'دفتر اليومية'!H:H, A193, 'دفتر اليومية'!E:E, "مبيعات اجل")</f>
        <v>0</v>
      </c>
      <c r="C193" s="10">
        <f>SUMIFS('دفتر اليومية'!L:L, 'دفتر اليومية'!H:H, A193, 'دفتر اليومية'!E:E, "مبيعات اجل")</f>
        <v>0</v>
      </c>
      <c r="D193" s="108">
        <f t="shared" si="2"/>
        <v>0</v>
      </c>
    </row>
    <row r="194" spans="1:4" x14ac:dyDescent="0.3">
      <c r="A194" s="10"/>
      <c r="B194" s="10">
        <f>SUMIFS('دفتر اليومية'!K:K, 'دفتر اليومية'!H:H, A194, 'دفتر اليومية'!E:E, "مبيعات اجل")</f>
        <v>0</v>
      </c>
      <c r="C194" s="10">
        <f>SUMIFS('دفتر اليومية'!L:L, 'دفتر اليومية'!H:H, A194, 'دفتر اليومية'!E:E, "مبيعات اجل")</f>
        <v>0</v>
      </c>
      <c r="D194" s="108">
        <f t="shared" si="2"/>
        <v>0</v>
      </c>
    </row>
    <row r="195" spans="1:4" x14ac:dyDescent="0.3">
      <c r="A195" s="10"/>
      <c r="B195" s="10">
        <f>SUMIFS('دفتر اليومية'!K:K, 'دفتر اليومية'!H:H, A195, 'دفتر اليومية'!E:E, "مبيعات اجل")</f>
        <v>0</v>
      </c>
      <c r="C195" s="10">
        <f>SUMIFS('دفتر اليومية'!L:L, 'دفتر اليومية'!H:H, A195, 'دفتر اليومية'!E:E, "مبيعات اجل")</f>
        <v>0</v>
      </c>
      <c r="D195" s="108">
        <f t="shared" ref="D195:D258" si="3">B195-C195</f>
        <v>0</v>
      </c>
    </row>
    <row r="196" spans="1:4" x14ac:dyDescent="0.3">
      <c r="A196" s="10"/>
      <c r="B196" s="10">
        <f>SUMIFS('دفتر اليومية'!K:K, 'دفتر اليومية'!H:H, A196, 'دفتر اليومية'!E:E, "مبيعات اجل")</f>
        <v>0</v>
      </c>
      <c r="C196" s="10">
        <f>SUMIFS('دفتر اليومية'!L:L, 'دفتر اليومية'!H:H, A196, 'دفتر اليومية'!E:E, "مبيعات اجل")</f>
        <v>0</v>
      </c>
      <c r="D196" s="108">
        <f t="shared" si="3"/>
        <v>0</v>
      </c>
    </row>
    <row r="197" spans="1:4" x14ac:dyDescent="0.3">
      <c r="A197" s="10"/>
      <c r="B197" s="10">
        <f>SUMIFS('دفتر اليومية'!K:K, 'دفتر اليومية'!H:H, A197, 'دفتر اليومية'!E:E, "مبيعات اجل")</f>
        <v>0</v>
      </c>
      <c r="C197" s="10">
        <f>SUMIFS('دفتر اليومية'!L:L, 'دفتر اليومية'!H:H, A197, 'دفتر اليومية'!E:E, "مبيعات اجل")</f>
        <v>0</v>
      </c>
      <c r="D197" s="108">
        <f t="shared" si="3"/>
        <v>0</v>
      </c>
    </row>
    <row r="198" spans="1:4" x14ac:dyDescent="0.3">
      <c r="A198" s="10"/>
      <c r="B198" s="10">
        <f>SUMIFS('دفتر اليومية'!K:K, 'دفتر اليومية'!H:H, A198, 'دفتر اليومية'!E:E, "مبيعات اجل")</f>
        <v>0</v>
      </c>
      <c r="C198" s="10">
        <f>SUMIFS('دفتر اليومية'!L:L, 'دفتر اليومية'!H:H, A198, 'دفتر اليومية'!E:E, "مبيعات اجل")</f>
        <v>0</v>
      </c>
      <c r="D198" s="108">
        <f t="shared" si="3"/>
        <v>0</v>
      </c>
    </row>
    <row r="199" spans="1:4" x14ac:dyDescent="0.3">
      <c r="A199" s="10"/>
      <c r="B199" s="10">
        <f>SUMIFS('دفتر اليومية'!K:K, 'دفتر اليومية'!H:H, A199, 'دفتر اليومية'!E:E, "مبيعات اجل")</f>
        <v>0</v>
      </c>
      <c r="C199" s="10">
        <f>SUMIFS('دفتر اليومية'!L:L, 'دفتر اليومية'!H:H, A199, 'دفتر اليومية'!E:E, "مبيعات اجل")</f>
        <v>0</v>
      </c>
      <c r="D199" s="108">
        <f t="shared" si="3"/>
        <v>0</v>
      </c>
    </row>
    <row r="200" spans="1:4" x14ac:dyDescent="0.3">
      <c r="A200" s="10"/>
      <c r="B200" s="10">
        <f>SUMIFS('دفتر اليومية'!K:K, 'دفتر اليومية'!H:H, A200, 'دفتر اليومية'!E:E, "مبيعات اجل")</f>
        <v>0</v>
      </c>
      <c r="C200" s="10">
        <f>SUMIFS('دفتر اليومية'!L:L, 'دفتر اليومية'!H:H, A200, 'دفتر اليومية'!E:E, "مبيعات اجل")</f>
        <v>0</v>
      </c>
      <c r="D200" s="108">
        <f t="shared" si="3"/>
        <v>0</v>
      </c>
    </row>
    <row r="201" spans="1:4" x14ac:dyDescent="0.3">
      <c r="A201" s="10"/>
      <c r="B201" s="10">
        <f>SUMIFS('دفتر اليومية'!K:K, 'دفتر اليومية'!H:H, A201, 'دفتر اليومية'!E:E, "مبيعات اجل")</f>
        <v>0</v>
      </c>
      <c r="C201" s="10">
        <f>SUMIFS('دفتر اليومية'!L:L, 'دفتر اليومية'!H:H, A201, 'دفتر اليومية'!E:E, "مبيعات اجل")</f>
        <v>0</v>
      </c>
      <c r="D201" s="108">
        <f t="shared" si="3"/>
        <v>0</v>
      </c>
    </row>
    <row r="202" spans="1:4" x14ac:dyDescent="0.3">
      <c r="A202" s="10"/>
      <c r="B202" s="10">
        <f>SUMIFS('دفتر اليومية'!K:K, 'دفتر اليومية'!H:H, A202, 'دفتر اليومية'!E:E, "مبيعات اجل")</f>
        <v>0</v>
      </c>
      <c r="C202" s="10">
        <f>SUMIFS('دفتر اليومية'!L:L, 'دفتر اليومية'!H:H, A202, 'دفتر اليومية'!E:E, "مبيعات اجل")</f>
        <v>0</v>
      </c>
      <c r="D202" s="108">
        <f t="shared" si="3"/>
        <v>0</v>
      </c>
    </row>
    <row r="203" spans="1:4" x14ac:dyDescent="0.3">
      <c r="A203" s="10"/>
      <c r="B203" s="10">
        <f>SUMIFS('دفتر اليومية'!K:K, 'دفتر اليومية'!H:H, A203, 'دفتر اليومية'!E:E, "مبيعات اجل")</f>
        <v>0</v>
      </c>
      <c r="C203" s="10">
        <f>SUMIFS('دفتر اليومية'!L:L, 'دفتر اليومية'!H:H, A203, 'دفتر اليومية'!E:E, "مبيعات اجل")</f>
        <v>0</v>
      </c>
      <c r="D203" s="108">
        <f t="shared" si="3"/>
        <v>0</v>
      </c>
    </row>
    <row r="204" spans="1:4" x14ac:dyDescent="0.3">
      <c r="A204" s="10"/>
      <c r="B204" s="10">
        <f>SUMIFS('دفتر اليومية'!K:K, 'دفتر اليومية'!H:H, A204, 'دفتر اليومية'!E:E, "مبيعات اجل")</f>
        <v>0</v>
      </c>
      <c r="C204" s="10">
        <f>SUMIFS('دفتر اليومية'!L:L, 'دفتر اليومية'!H:H, A204, 'دفتر اليومية'!E:E, "مبيعات اجل")</f>
        <v>0</v>
      </c>
      <c r="D204" s="108">
        <f t="shared" si="3"/>
        <v>0</v>
      </c>
    </row>
    <row r="205" spans="1:4" x14ac:dyDescent="0.3">
      <c r="A205" s="10"/>
      <c r="B205" s="10">
        <f>SUMIFS('دفتر اليومية'!K:K, 'دفتر اليومية'!H:H, A205, 'دفتر اليومية'!E:E, "مبيعات اجل")</f>
        <v>0</v>
      </c>
      <c r="C205" s="10">
        <f>SUMIFS('دفتر اليومية'!L:L, 'دفتر اليومية'!H:H, A205, 'دفتر اليومية'!E:E, "مبيعات اجل")</f>
        <v>0</v>
      </c>
      <c r="D205" s="108">
        <f t="shared" si="3"/>
        <v>0</v>
      </c>
    </row>
    <row r="206" spans="1:4" x14ac:dyDescent="0.3">
      <c r="A206" s="10"/>
      <c r="B206" s="10">
        <f>SUMIFS('دفتر اليومية'!K:K, 'دفتر اليومية'!H:H, A206, 'دفتر اليومية'!E:E, "مبيعات اجل")</f>
        <v>0</v>
      </c>
      <c r="C206" s="10">
        <f>SUMIFS('دفتر اليومية'!L:L, 'دفتر اليومية'!H:H, A206, 'دفتر اليومية'!E:E, "مبيعات اجل")</f>
        <v>0</v>
      </c>
      <c r="D206" s="108">
        <f t="shared" si="3"/>
        <v>0</v>
      </c>
    </row>
    <row r="207" spans="1:4" x14ac:dyDescent="0.3">
      <c r="A207" s="10"/>
      <c r="B207" s="10">
        <f>SUMIFS('دفتر اليومية'!K:K, 'دفتر اليومية'!H:H, A207, 'دفتر اليومية'!E:E, "مبيعات اجل")</f>
        <v>0</v>
      </c>
      <c r="C207" s="10">
        <f>SUMIFS('دفتر اليومية'!L:L, 'دفتر اليومية'!H:H, A207, 'دفتر اليومية'!E:E, "مبيعات اجل")</f>
        <v>0</v>
      </c>
      <c r="D207" s="108">
        <f t="shared" si="3"/>
        <v>0</v>
      </c>
    </row>
    <row r="208" spans="1:4" x14ac:dyDescent="0.3">
      <c r="A208" s="10"/>
      <c r="B208" s="10">
        <f>SUMIFS('دفتر اليومية'!K:K, 'دفتر اليومية'!H:H, A208, 'دفتر اليومية'!E:E, "مبيعات اجل")</f>
        <v>0</v>
      </c>
      <c r="C208" s="10">
        <f>SUMIFS('دفتر اليومية'!L:L, 'دفتر اليومية'!H:H, A208, 'دفتر اليومية'!E:E, "مبيعات اجل")</f>
        <v>0</v>
      </c>
      <c r="D208" s="108">
        <f t="shared" si="3"/>
        <v>0</v>
      </c>
    </row>
    <row r="209" spans="1:4" x14ac:dyDescent="0.3">
      <c r="A209" s="10"/>
      <c r="B209" s="10">
        <f>SUMIFS('دفتر اليومية'!K:K, 'دفتر اليومية'!H:H, A209, 'دفتر اليومية'!E:E, "مبيعات اجل")</f>
        <v>0</v>
      </c>
      <c r="C209" s="10">
        <f>SUMIFS('دفتر اليومية'!L:L, 'دفتر اليومية'!H:H, A209, 'دفتر اليومية'!E:E, "مبيعات اجل")</f>
        <v>0</v>
      </c>
      <c r="D209" s="108">
        <f t="shared" si="3"/>
        <v>0</v>
      </c>
    </row>
    <row r="210" spans="1:4" x14ac:dyDescent="0.3">
      <c r="A210" s="10"/>
      <c r="B210" s="10">
        <f>SUMIFS('دفتر اليومية'!K:K, 'دفتر اليومية'!H:H, A210, 'دفتر اليومية'!E:E, "مبيعات اجل")</f>
        <v>0</v>
      </c>
      <c r="C210" s="10">
        <f>SUMIFS('دفتر اليومية'!L:L, 'دفتر اليومية'!H:H, A210, 'دفتر اليومية'!E:E, "مبيعات اجل")</f>
        <v>0</v>
      </c>
      <c r="D210" s="108">
        <f t="shared" si="3"/>
        <v>0</v>
      </c>
    </row>
    <row r="211" spans="1:4" x14ac:dyDescent="0.3">
      <c r="A211" s="10"/>
      <c r="B211" s="10">
        <f>SUMIFS('دفتر اليومية'!K:K, 'دفتر اليومية'!H:H, A211, 'دفتر اليومية'!E:E, "مبيعات اجل")</f>
        <v>0</v>
      </c>
      <c r="C211" s="10">
        <f>SUMIFS('دفتر اليومية'!L:L, 'دفتر اليومية'!H:H, A211, 'دفتر اليومية'!E:E, "مبيعات اجل")</f>
        <v>0</v>
      </c>
      <c r="D211" s="108">
        <f t="shared" si="3"/>
        <v>0</v>
      </c>
    </row>
    <row r="212" spans="1:4" x14ac:dyDescent="0.3">
      <c r="A212" s="10"/>
      <c r="B212" s="10">
        <f>SUMIFS('دفتر اليومية'!K:K, 'دفتر اليومية'!H:H, A212, 'دفتر اليومية'!E:E, "مبيعات اجل")</f>
        <v>0</v>
      </c>
      <c r="C212" s="10">
        <f>SUMIFS('دفتر اليومية'!L:L, 'دفتر اليومية'!H:H, A212, 'دفتر اليومية'!E:E, "مبيعات اجل")</f>
        <v>0</v>
      </c>
      <c r="D212" s="108">
        <f t="shared" si="3"/>
        <v>0</v>
      </c>
    </row>
    <row r="213" spans="1:4" x14ac:dyDescent="0.3">
      <c r="A213" s="10"/>
      <c r="B213" s="10">
        <f>SUMIFS('دفتر اليومية'!K:K, 'دفتر اليومية'!H:H, A213, 'دفتر اليومية'!E:E, "مبيعات اجل")</f>
        <v>0</v>
      </c>
      <c r="C213" s="10">
        <f>SUMIFS('دفتر اليومية'!L:L, 'دفتر اليومية'!H:H, A213, 'دفتر اليومية'!E:E, "مبيعات اجل")</f>
        <v>0</v>
      </c>
      <c r="D213" s="108">
        <f t="shared" si="3"/>
        <v>0</v>
      </c>
    </row>
    <row r="214" spans="1:4" x14ac:dyDescent="0.3">
      <c r="A214" s="10"/>
      <c r="B214" s="10">
        <f>SUMIFS('دفتر اليومية'!K:K, 'دفتر اليومية'!H:H, A214, 'دفتر اليومية'!E:E, "مبيعات اجل")</f>
        <v>0</v>
      </c>
      <c r="C214" s="10">
        <f>SUMIFS('دفتر اليومية'!L:L, 'دفتر اليومية'!H:H, A214, 'دفتر اليومية'!E:E, "مبيعات اجل")</f>
        <v>0</v>
      </c>
      <c r="D214" s="108">
        <f t="shared" si="3"/>
        <v>0</v>
      </c>
    </row>
    <row r="215" spans="1:4" x14ac:dyDescent="0.3">
      <c r="A215" s="10"/>
      <c r="B215" s="10">
        <f>SUMIFS('دفتر اليومية'!K:K, 'دفتر اليومية'!H:H, A215, 'دفتر اليومية'!E:E, "مبيعات اجل")</f>
        <v>0</v>
      </c>
      <c r="C215" s="10">
        <f>SUMIFS('دفتر اليومية'!L:L, 'دفتر اليومية'!H:H, A215, 'دفتر اليومية'!E:E, "مبيعات اجل")</f>
        <v>0</v>
      </c>
      <c r="D215" s="108">
        <f t="shared" si="3"/>
        <v>0</v>
      </c>
    </row>
    <row r="216" spans="1:4" x14ac:dyDescent="0.3">
      <c r="A216" s="10"/>
      <c r="B216" s="10">
        <f>SUMIFS('دفتر اليومية'!K:K, 'دفتر اليومية'!H:H, A216, 'دفتر اليومية'!E:E, "مبيعات اجل")</f>
        <v>0</v>
      </c>
      <c r="C216" s="10">
        <f>SUMIFS('دفتر اليومية'!L:L, 'دفتر اليومية'!H:H, A216, 'دفتر اليومية'!E:E, "مبيعات اجل")</f>
        <v>0</v>
      </c>
      <c r="D216" s="108">
        <f t="shared" si="3"/>
        <v>0</v>
      </c>
    </row>
    <row r="217" spans="1:4" x14ac:dyDescent="0.3">
      <c r="A217" s="10"/>
      <c r="B217" s="10">
        <f>SUMIFS('دفتر اليومية'!K:K, 'دفتر اليومية'!H:H, A217, 'دفتر اليومية'!E:E, "مبيعات اجل")</f>
        <v>0</v>
      </c>
      <c r="C217" s="10">
        <f>SUMIFS('دفتر اليومية'!L:L, 'دفتر اليومية'!H:H, A217, 'دفتر اليومية'!E:E, "مبيعات اجل")</f>
        <v>0</v>
      </c>
      <c r="D217" s="108">
        <f t="shared" si="3"/>
        <v>0</v>
      </c>
    </row>
    <row r="218" spans="1:4" x14ac:dyDescent="0.3">
      <c r="A218" s="10"/>
      <c r="B218" s="10">
        <f>SUMIFS('دفتر اليومية'!K:K, 'دفتر اليومية'!H:H, A218, 'دفتر اليومية'!E:E, "مبيعات اجل")</f>
        <v>0</v>
      </c>
      <c r="C218" s="10">
        <f>SUMIFS('دفتر اليومية'!L:L, 'دفتر اليومية'!H:H, A218, 'دفتر اليومية'!E:E, "مبيعات اجل")</f>
        <v>0</v>
      </c>
      <c r="D218" s="108">
        <f t="shared" si="3"/>
        <v>0</v>
      </c>
    </row>
    <row r="219" spans="1:4" x14ac:dyDescent="0.3">
      <c r="A219" s="10"/>
      <c r="B219" s="10">
        <f>SUMIFS('دفتر اليومية'!K:K, 'دفتر اليومية'!H:H, A219, 'دفتر اليومية'!E:E, "مبيعات اجل")</f>
        <v>0</v>
      </c>
      <c r="C219" s="10">
        <f>SUMIFS('دفتر اليومية'!L:L, 'دفتر اليومية'!H:H, A219, 'دفتر اليومية'!E:E, "مبيعات اجل")</f>
        <v>0</v>
      </c>
      <c r="D219" s="108">
        <f t="shared" si="3"/>
        <v>0</v>
      </c>
    </row>
    <row r="220" spans="1:4" x14ac:dyDescent="0.3">
      <c r="A220" s="10"/>
      <c r="B220" s="10">
        <f>SUMIFS('دفتر اليومية'!K:K, 'دفتر اليومية'!H:H, A220, 'دفتر اليومية'!E:E, "مبيعات اجل")</f>
        <v>0</v>
      </c>
      <c r="C220" s="10">
        <f>SUMIFS('دفتر اليومية'!L:L, 'دفتر اليومية'!H:H, A220, 'دفتر اليومية'!E:E, "مبيعات اجل")</f>
        <v>0</v>
      </c>
      <c r="D220" s="108">
        <f t="shared" si="3"/>
        <v>0</v>
      </c>
    </row>
    <row r="221" spans="1:4" x14ac:dyDescent="0.3">
      <c r="A221" s="10"/>
      <c r="B221" s="10">
        <f>SUMIFS('دفتر اليومية'!K:K, 'دفتر اليومية'!H:H, A221, 'دفتر اليومية'!E:E, "مبيعات اجل")</f>
        <v>0</v>
      </c>
      <c r="C221" s="10">
        <f>SUMIFS('دفتر اليومية'!L:L, 'دفتر اليومية'!H:H, A221, 'دفتر اليومية'!E:E, "مبيعات اجل")</f>
        <v>0</v>
      </c>
      <c r="D221" s="108">
        <f t="shared" si="3"/>
        <v>0</v>
      </c>
    </row>
    <row r="222" spans="1:4" x14ac:dyDescent="0.3">
      <c r="A222" s="10"/>
      <c r="B222" s="10">
        <f>SUMIFS('دفتر اليومية'!K:K, 'دفتر اليومية'!H:H, A222, 'دفتر اليومية'!E:E, "مبيعات اجل")</f>
        <v>0</v>
      </c>
      <c r="C222" s="10">
        <f>SUMIFS('دفتر اليومية'!L:L, 'دفتر اليومية'!H:H, A222, 'دفتر اليومية'!E:E, "مبيعات اجل")</f>
        <v>0</v>
      </c>
      <c r="D222" s="108">
        <f t="shared" si="3"/>
        <v>0</v>
      </c>
    </row>
    <row r="223" spans="1:4" x14ac:dyDescent="0.3">
      <c r="A223" s="10"/>
      <c r="B223" s="10">
        <f>SUMIFS('دفتر اليومية'!K:K, 'دفتر اليومية'!H:H, A223, 'دفتر اليومية'!E:E, "مبيعات اجل")</f>
        <v>0</v>
      </c>
      <c r="C223" s="10">
        <f>SUMIFS('دفتر اليومية'!L:L, 'دفتر اليومية'!H:H, A223, 'دفتر اليومية'!E:E, "مبيعات اجل")</f>
        <v>0</v>
      </c>
      <c r="D223" s="108">
        <f t="shared" si="3"/>
        <v>0</v>
      </c>
    </row>
    <row r="224" spans="1:4" x14ac:dyDescent="0.3">
      <c r="A224" s="10"/>
      <c r="B224" s="10">
        <f>SUMIFS('دفتر اليومية'!K:K, 'دفتر اليومية'!H:H, A224, 'دفتر اليومية'!E:E, "مبيعات اجل")</f>
        <v>0</v>
      </c>
      <c r="C224" s="10">
        <f>SUMIFS('دفتر اليومية'!L:L, 'دفتر اليومية'!H:H, A224, 'دفتر اليومية'!E:E, "مبيعات اجل")</f>
        <v>0</v>
      </c>
      <c r="D224" s="108">
        <f t="shared" si="3"/>
        <v>0</v>
      </c>
    </row>
    <row r="225" spans="1:4" x14ac:dyDescent="0.3">
      <c r="A225" s="10"/>
      <c r="B225" s="10">
        <f>SUMIFS('دفتر اليومية'!K:K, 'دفتر اليومية'!H:H, A225, 'دفتر اليومية'!E:E, "مبيعات اجل")</f>
        <v>0</v>
      </c>
      <c r="C225" s="10">
        <f>SUMIFS('دفتر اليومية'!L:L, 'دفتر اليومية'!H:H, A225, 'دفتر اليومية'!E:E, "مبيعات اجل")</f>
        <v>0</v>
      </c>
      <c r="D225" s="108">
        <f t="shared" si="3"/>
        <v>0</v>
      </c>
    </row>
    <row r="226" spans="1:4" x14ac:dyDescent="0.3">
      <c r="A226" s="10"/>
      <c r="B226" s="10">
        <f>SUMIFS('دفتر اليومية'!K:K, 'دفتر اليومية'!H:H, A226, 'دفتر اليومية'!E:E, "مبيعات اجل")</f>
        <v>0</v>
      </c>
      <c r="C226" s="10">
        <f>SUMIFS('دفتر اليومية'!L:L, 'دفتر اليومية'!H:H, A226, 'دفتر اليومية'!E:E, "مبيعات اجل")</f>
        <v>0</v>
      </c>
      <c r="D226" s="108">
        <f t="shared" si="3"/>
        <v>0</v>
      </c>
    </row>
    <row r="227" spans="1:4" x14ac:dyDescent="0.3">
      <c r="A227" s="10"/>
      <c r="B227" s="10">
        <f>SUMIFS('دفتر اليومية'!K:K, 'دفتر اليومية'!H:H, A227, 'دفتر اليومية'!E:E, "مبيعات اجل")</f>
        <v>0</v>
      </c>
      <c r="C227" s="10">
        <f>SUMIFS('دفتر اليومية'!L:L, 'دفتر اليومية'!H:H, A227, 'دفتر اليومية'!E:E, "مبيعات اجل")</f>
        <v>0</v>
      </c>
      <c r="D227" s="108">
        <f t="shared" si="3"/>
        <v>0</v>
      </c>
    </row>
    <row r="228" spans="1:4" x14ac:dyDescent="0.3">
      <c r="A228" s="10"/>
      <c r="B228" s="10">
        <f>SUMIFS('دفتر اليومية'!K:K, 'دفتر اليومية'!H:H, A228, 'دفتر اليومية'!E:E, "مبيعات اجل")</f>
        <v>0</v>
      </c>
      <c r="C228" s="10">
        <f>SUMIFS('دفتر اليومية'!L:L, 'دفتر اليومية'!H:H, A228, 'دفتر اليومية'!E:E, "مبيعات اجل")</f>
        <v>0</v>
      </c>
      <c r="D228" s="108">
        <f t="shared" si="3"/>
        <v>0</v>
      </c>
    </row>
    <row r="229" spans="1:4" x14ac:dyDescent="0.3">
      <c r="A229" s="10"/>
      <c r="B229" s="10">
        <f>SUMIFS('دفتر اليومية'!K:K, 'دفتر اليومية'!H:H, A229, 'دفتر اليومية'!E:E, "مبيعات اجل")</f>
        <v>0</v>
      </c>
      <c r="C229" s="10">
        <f>SUMIFS('دفتر اليومية'!L:L, 'دفتر اليومية'!H:H, A229, 'دفتر اليومية'!E:E, "مبيعات اجل")</f>
        <v>0</v>
      </c>
      <c r="D229" s="108">
        <f t="shared" si="3"/>
        <v>0</v>
      </c>
    </row>
    <row r="230" spans="1:4" x14ac:dyDescent="0.3">
      <c r="A230" s="10"/>
      <c r="B230" s="10">
        <f>SUMIFS('دفتر اليومية'!K:K, 'دفتر اليومية'!H:H, A230, 'دفتر اليومية'!E:E, "مبيعات اجل")</f>
        <v>0</v>
      </c>
      <c r="C230" s="10">
        <f>SUMIFS('دفتر اليومية'!L:L, 'دفتر اليومية'!H:H, A230, 'دفتر اليومية'!E:E, "مبيعات اجل")</f>
        <v>0</v>
      </c>
      <c r="D230" s="108">
        <f t="shared" si="3"/>
        <v>0</v>
      </c>
    </row>
    <row r="231" spans="1:4" x14ac:dyDescent="0.3">
      <c r="A231" s="10"/>
      <c r="B231" s="10">
        <f>SUMIFS('دفتر اليومية'!K:K, 'دفتر اليومية'!H:H, A231, 'دفتر اليومية'!E:E, "مبيعات اجل")</f>
        <v>0</v>
      </c>
      <c r="C231" s="10">
        <f>SUMIFS('دفتر اليومية'!L:L, 'دفتر اليومية'!H:H, A231, 'دفتر اليومية'!E:E, "مبيعات اجل")</f>
        <v>0</v>
      </c>
      <c r="D231" s="108">
        <f t="shared" si="3"/>
        <v>0</v>
      </c>
    </row>
    <row r="232" spans="1:4" x14ac:dyDescent="0.3">
      <c r="A232" s="10"/>
      <c r="B232" s="10">
        <f>SUMIFS('دفتر اليومية'!K:K, 'دفتر اليومية'!H:H, A232, 'دفتر اليومية'!E:E, "مبيعات اجل")</f>
        <v>0</v>
      </c>
      <c r="C232" s="10">
        <f>SUMIFS('دفتر اليومية'!L:L, 'دفتر اليومية'!H:H, A232, 'دفتر اليومية'!E:E, "مبيعات اجل")</f>
        <v>0</v>
      </c>
      <c r="D232" s="108">
        <f t="shared" si="3"/>
        <v>0</v>
      </c>
    </row>
    <row r="233" spans="1:4" x14ac:dyDescent="0.3">
      <c r="A233" s="10"/>
      <c r="B233" s="10">
        <f>SUMIFS('دفتر اليومية'!K:K, 'دفتر اليومية'!H:H, A233, 'دفتر اليومية'!E:E, "مبيعات اجل")</f>
        <v>0</v>
      </c>
      <c r="C233" s="10">
        <f>SUMIFS('دفتر اليومية'!L:L, 'دفتر اليومية'!H:H, A233, 'دفتر اليومية'!E:E, "مبيعات اجل")</f>
        <v>0</v>
      </c>
      <c r="D233" s="108">
        <f t="shared" si="3"/>
        <v>0</v>
      </c>
    </row>
    <row r="234" spans="1:4" x14ac:dyDescent="0.3">
      <c r="A234" s="10"/>
      <c r="B234" s="10">
        <f>SUMIFS('دفتر اليومية'!K:K, 'دفتر اليومية'!H:H, A234, 'دفتر اليومية'!E:E, "مبيعات اجل")</f>
        <v>0</v>
      </c>
      <c r="C234" s="10">
        <f>SUMIFS('دفتر اليومية'!L:L, 'دفتر اليومية'!H:H, A234, 'دفتر اليومية'!E:E, "مبيعات اجل")</f>
        <v>0</v>
      </c>
      <c r="D234" s="108">
        <f t="shared" si="3"/>
        <v>0</v>
      </c>
    </row>
    <row r="235" spans="1:4" x14ac:dyDescent="0.3">
      <c r="A235" s="10"/>
      <c r="B235" s="10">
        <f>SUMIFS('دفتر اليومية'!K:K, 'دفتر اليومية'!H:H, A235, 'دفتر اليومية'!E:E, "مبيعات اجل")</f>
        <v>0</v>
      </c>
      <c r="C235" s="10">
        <f>SUMIFS('دفتر اليومية'!L:L, 'دفتر اليومية'!H:H, A235, 'دفتر اليومية'!E:E, "مبيعات اجل")</f>
        <v>0</v>
      </c>
      <c r="D235" s="108">
        <f t="shared" si="3"/>
        <v>0</v>
      </c>
    </row>
    <row r="236" spans="1:4" x14ac:dyDescent="0.3">
      <c r="A236" s="10"/>
      <c r="B236" s="10">
        <f>SUMIFS('دفتر اليومية'!K:K, 'دفتر اليومية'!H:H, A236, 'دفتر اليومية'!E:E, "مبيعات اجل")</f>
        <v>0</v>
      </c>
      <c r="C236" s="10">
        <f>SUMIFS('دفتر اليومية'!L:L, 'دفتر اليومية'!H:H, A236, 'دفتر اليومية'!E:E, "مبيعات اجل")</f>
        <v>0</v>
      </c>
      <c r="D236" s="108">
        <f t="shared" si="3"/>
        <v>0</v>
      </c>
    </row>
    <row r="237" spans="1:4" x14ac:dyDescent="0.3">
      <c r="A237" s="10"/>
      <c r="B237" s="10">
        <f>SUMIFS('دفتر اليومية'!K:K, 'دفتر اليومية'!H:H, A237, 'دفتر اليومية'!E:E, "مبيعات اجل")</f>
        <v>0</v>
      </c>
      <c r="C237" s="10">
        <f>SUMIFS('دفتر اليومية'!L:L, 'دفتر اليومية'!H:H, A237, 'دفتر اليومية'!E:E, "مبيعات اجل")</f>
        <v>0</v>
      </c>
      <c r="D237" s="108">
        <f t="shared" si="3"/>
        <v>0</v>
      </c>
    </row>
    <row r="238" spans="1:4" x14ac:dyDescent="0.3">
      <c r="A238" s="10"/>
      <c r="B238" s="10">
        <f>SUMIFS('دفتر اليومية'!K:K, 'دفتر اليومية'!H:H, A238, 'دفتر اليومية'!E:E, "مبيعات اجل")</f>
        <v>0</v>
      </c>
      <c r="C238" s="10">
        <f>SUMIFS('دفتر اليومية'!L:L, 'دفتر اليومية'!H:H, A238, 'دفتر اليومية'!E:E, "مبيعات اجل")</f>
        <v>0</v>
      </c>
      <c r="D238" s="108">
        <f t="shared" si="3"/>
        <v>0</v>
      </c>
    </row>
    <row r="239" spans="1:4" x14ac:dyDescent="0.3">
      <c r="A239" s="10"/>
      <c r="B239" s="10">
        <f>SUMIFS('دفتر اليومية'!K:K, 'دفتر اليومية'!H:H, A239, 'دفتر اليومية'!E:E, "مبيعات اجل")</f>
        <v>0</v>
      </c>
      <c r="C239" s="10">
        <f>SUMIFS('دفتر اليومية'!L:L, 'دفتر اليومية'!H:H, A239, 'دفتر اليومية'!E:E, "مبيعات اجل")</f>
        <v>0</v>
      </c>
      <c r="D239" s="108">
        <f t="shared" si="3"/>
        <v>0</v>
      </c>
    </row>
    <row r="240" spans="1:4" x14ac:dyDescent="0.3">
      <c r="A240" s="10"/>
      <c r="B240" s="10">
        <f>SUMIFS('دفتر اليومية'!K:K, 'دفتر اليومية'!H:H, A240, 'دفتر اليومية'!E:E, "مبيعات اجل")</f>
        <v>0</v>
      </c>
      <c r="C240" s="10">
        <f>SUMIFS('دفتر اليومية'!L:L, 'دفتر اليومية'!H:H, A240, 'دفتر اليومية'!E:E, "مبيعات اجل")</f>
        <v>0</v>
      </c>
      <c r="D240" s="108">
        <f t="shared" si="3"/>
        <v>0</v>
      </c>
    </row>
    <row r="241" spans="1:4" x14ac:dyDescent="0.3">
      <c r="A241" s="10"/>
      <c r="B241" s="10">
        <f>SUMIFS('دفتر اليومية'!K:K, 'دفتر اليومية'!H:H, A241, 'دفتر اليومية'!E:E, "مبيعات اجل")</f>
        <v>0</v>
      </c>
      <c r="C241" s="10">
        <f>SUMIFS('دفتر اليومية'!L:L, 'دفتر اليومية'!H:H, A241, 'دفتر اليومية'!E:E, "مبيعات اجل")</f>
        <v>0</v>
      </c>
      <c r="D241" s="108">
        <f t="shared" si="3"/>
        <v>0</v>
      </c>
    </row>
    <row r="242" spans="1:4" x14ac:dyDescent="0.3">
      <c r="A242" s="10"/>
      <c r="B242" s="10">
        <f>SUMIFS('دفتر اليومية'!K:K, 'دفتر اليومية'!H:H, A242, 'دفتر اليومية'!E:E, "مبيعات اجل")</f>
        <v>0</v>
      </c>
      <c r="C242" s="10">
        <f>SUMIFS('دفتر اليومية'!L:L, 'دفتر اليومية'!H:H, A242, 'دفتر اليومية'!E:E, "مبيعات اجل")</f>
        <v>0</v>
      </c>
      <c r="D242" s="108">
        <f t="shared" si="3"/>
        <v>0</v>
      </c>
    </row>
    <row r="243" spans="1:4" x14ac:dyDescent="0.3">
      <c r="A243" s="10"/>
      <c r="B243" s="10">
        <f>SUMIFS('دفتر اليومية'!K:K, 'دفتر اليومية'!H:H, A243, 'دفتر اليومية'!E:E, "مبيعات اجل")</f>
        <v>0</v>
      </c>
      <c r="C243" s="10">
        <f>SUMIFS('دفتر اليومية'!L:L, 'دفتر اليومية'!H:H, A243, 'دفتر اليومية'!E:E, "مبيعات اجل")</f>
        <v>0</v>
      </c>
      <c r="D243" s="108">
        <f t="shared" si="3"/>
        <v>0</v>
      </c>
    </row>
    <row r="244" spans="1:4" x14ac:dyDescent="0.3">
      <c r="A244" s="10"/>
      <c r="B244" s="10">
        <f>SUMIFS('دفتر اليومية'!K:K, 'دفتر اليومية'!H:H, A244, 'دفتر اليومية'!E:E, "مبيعات اجل")</f>
        <v>0</v>
      </c>
      <c r="C244" s="10">
        <f>SUMIFS('دفتر اليومية'!L:L, 'دفتر اليومية'!H:H, A244, 'دفتر اليومية'!E:E, "مبيعات اجل")</f>
        <v>0</v>
      </c>
      <c r="D244" s="108">
        <f t="shared" si="3"/>
        <v>0</v>
      </c>
    </row>
    <row r="245" spans="1:4" x14ac:dyDescent="0.3">
      <c r="A245" s="10"/>
      <c r="B245" s="10">
        <f>SUMIFS('دفتر اليومية'!K:K, 'دفتر اليومية'!H:H, A245, 'دفتر اليومية'!E:E, "مبيعات اجل")</f>
        <v>0</v>
      </c>
      <c r="C245" s="10">
        <f>SUMIFS('دفتر اليومية'!L:L, 'دفتر اليومية'!H:H, A245, 'دفتر اليومية'!E:E, "مبيعات اجل")</f>
        <v>0</v>
      </c>
      <c r="D245" s="108">
        <f t="shared" si="3"/>
        <v>0</v>
      </c>
    </row>
    <row r="246" spans="1:4" x14ac:dyDescent="0.3">
      <c r="A246" s="10"/>
      <c r="B246" s="10">
        <f>SUMIFS('دفتر اليومية'!K:K, 'دفتر اليومية'!H:H, A246, 'دفتر اليومية'!E:E, "مبيعات اجل")</f>
        <v>0</v>
      </c>
      <c r="C246" s="10">
        <f>SUMIFS('دفتر اليومية'!L:L, 'دفتر اليومية'!H:H, A246, 'دفتر اليومية'!E:E, "مبيعات اجل")</f>
        <v>0</v>
      </c>
      <c r="D246" s="108">
        <f t="shared" si="3"/>
        <v>0</v>
      </c>
    </row>
    <row r="247" spans="1:4" x14ac:dyDescent="0.3">
      <c r="A247" s="10"/>
      <c r="B247" s="10">
        <f>SUMIFS('دفتر اليومية'!K:K, 'دفتر اليومية'!H:H, A247, 'دفتر اليومية'!E:E, "مبيعات اجل")</f>
        <v>0</v>
      </c>
      <c r="C247" s="10">
        <f>SUMIFS('دفتر اليومية'!L:L, 'دفتر اليومية'!H:H, A247, 'دفتر اليومية'!E:E, "مبيعات اجل")</f>
        <v>0</v>
      </c>
      <c r="D247" s="108">
        <f t="shared" si="3"/>
        <v>0</v>
      </c>
    </row>
    <row r="248" spans="1:4" x14ac:dyDescent="0.3">
      <c r="A248" s="10"/>
      <c r="B248" s="10">
        <f>SUMIFS('دفتر اليومية'!K:K, 'دفتر اليومية'!H:H, A248, 'دفتر اليومية'!E:E, "مبيعات اجل")</f>
        <v>0</v>
      </c>
      <c r="C248" s="10">
        <f>SUMIFS('دفتر اليومية'!L:L, 'دفتر اليومية'!H:H, A248, 'دفتر اليومية'!E:E, "مبيعات اجل")</f>
        <v>0</v>
      </c>
      <c r="D248" s="108">
        <f t="shared" si="3"/>
        <v>0</v>
      </c>
    </row>
    <row r="249" spans="1:4" x14ac:dyDescent="0.3">
      <c r="A249" s="10"/>
      <c r="B249" s="10">
        <f>SUMIFS('دفتر اليومية'!K:K, 'دفتر اليومية'!H:H, A249, 'دفتر اليومية'!E:E, "مبيعات اجل")</f>
        <v>0</v>
      </c>
      <c r="C249" s="10">
        <f>SUMIFS('دفتر اليومية'!L:L, 'دفتر اليومية'!H:H, A249, 'دفتر اليومية'!E:E, "مبيعات اجل")</f>
        <v>0</v>
      </c>
      <c r="D249" s="108">
        <f t="shared" si="3"/>
        <v>0</v>
      </c>
    </row>
    <row r="250" spans="1:4" x14ac:dyDescent="0.3">
      <c r="A250" s="10"/>
      <c r="B250" s="10">
        <f>SUMIFS('دفتر اليومية'!K:K, 'دفتر اليومية'!H:H, A250, 'دفتر اليومية'!E:E, "مبيعات اجل")</f>
        <v>0</v>
      </c>
      <c r="C250" s="10">
        <f>SUMIFS('دفتر اليومية'!L:L, 'دفتر اليومية'!H:H, A250, 'دفتر اليومية'!E:E, "مبيعات اجل")</f>
        <v>0</v>
      </c>
      <c r="D250" s="108">
        <f t="shared" si="3"/>
        <v>0</v>
      </c>
    </row>
    <row r="251" spans="1:4" x14ac:dyDescent="0.3">
      <c r="A251" s="10"/>
      <c r="B251" s="10">
        <f>SUMIFS('دفتر اليومية'!K:K, 'دفتر اليومية'!H:H, A251, 'دفتر اليومية'!E:E, "مبيعات اجل")</f>
        <v>0</v>
      </c>
      <c r="C251" s="10">
        <f>SUMIFS('دفتر اليومية'!L:L, 'دفتر اليومية'!H:H, A251, 'دفتر اليومية'!E:E, "مبيعات اجل")</f>
        <v>0</v>
      </c>
      <c r="D251" s="108">
        <f t="shared" si="3"/>
        <v>0</v>
      </c>
    </row>
    <row r="252" spans="1:4" x14ac:dyDescent="0.3">
      <c r="A252" s="10"/>
      <c r="B252" s="10">
        <f>SUMIFS('دفتر اليومية'!K:K, 'دفتر اليومية'!H:H, A252, 'دفتر اليومية'!E:E, "مبيعات اجل")</f>
        <v>0</v>
      </c>
      <c r="C252" s="10">
        <f>SUMIFS('دفتر اليومية'!L:L, 'دفتر اليومية'!H:H, A252, 'دفتر اليومية'!E:E, "مبيعات اجل")</f>
        <v>0</v>
      </c>
      <c r="D252" s="108">
        <f t="shared" si="3"/>
        <v>0</v>
      </c>
    </row>
    <row r="253" spans="1:4" x14ac:dyDescent="0.3">
      <c r="A253" s="10"/>
      <c r="B253" s="10">
        <f>SUMIFS('دفتر اليومية'!K:K, 'دفتر اليومية'!H:H, A253, 'دفتر اليومية'!E:E, "مبيعات اجل")</f>
        <v>0</v>
      </c>
      <c r="C253" s="10">
        <f>SUMIFS('دفتر اليومية'!L:L, 'دفتر اليومية'!H:H, A253, 'دفتر اليومية'!E:E, "مبيعات اجل")</f>
        <v>0</v>
      </c>
      <c r="D253" s="108">
        <f t="shared" si="3"/>
        <v>0</v>
      </c>
    </row>
    <row r="254" spans="1:4" x14ac:dyDescent="0.3">
      <c r="A254" s="10"/>
      <c r="B254" s="10">
        <f>SUMIFS('دفتر اليومية'!K:K, 'دفتر اليومية'!H:H, A254, 'دفتر اليومية'!E:E, "مبيعات اجل")</f>
        <v>0</v>
      </c>
      <c r="C254" s="10">
        <f>SUMIFS('دفتر اليومية'!L:L, 'دفتر اليومية'!H:H, A254, 'دفتر اليومية'!E:E, "مبيعات اجل")</f>
        <v>0</v>
      </c>
      <c r="D254" s="108">
        <f t="shared" si="3"/>
        <v>0</v>
      </c>
    </row>
    <row r="255" spans="1:4" x14ac:dyDescent="0.3">
      <c r="A255" s="10"/>
      <c r="B255" s="10">
        <f>SUMIFS('دفتر اليومية'!K:K, 'دفتر اليومية'!H:H, A255, 'دفتر اليومية'!E:E, "مبيعات اجل")</f>
        <v>0</v>
      </c>
      <c r="C255" s="10">
        <f>SUMIFS('دفتر اليومية'!L:L, 'دفتر اليومية'!H:H, A255, 'دفتر اليومية'!E:E, "مبيعات اجل")</f>
        <v>0</v>
      </c>
      <c r="D255" s="108">
        <f t="shared" si="3"/>
        <v>0</v>
      </c>
    </row>
    <row r="256" spans="1:4" x14ac:dyDescent="0.3">
      <c r="A256" s="10"/>
      <c r="B256" s="10">
        <f>SUMIFS('دفتر اليومية'!K:K, 'دفتر اليومية'!H:H, A256, 'دفتر اليومية'!E:E, "مبيعات اجل")</f>
        <v>0</v>
      </c>
      <c r="C256" s="10">
        <f>SUMIFS('دفتر اليومية'!L:L, 'دفتر اليومية'!H:H, A256, 'دفتر اليومية'!E:E, "مبيعات اجل")</f>
        <v>0</v>
      </c>
      <c r="D256" s="108">
        <f t="shared" si="3"/>
        <v>0</v>
      </c>
    </row>
    <row r="257" spans="1:4" x14ac:dyDescent="0.3">
      <c r="A257" s="10"/>
      <c r="B257" s="10">
        <f>SUMIFS('دفتر اليومية'!K:K, 'دفتر اليومية'!H:H, A257, 'دفتر اليومية'!E:E, "مبيعات اجل")</f>
        <v>0</v>
      </c>
      <c r="C257" s="10">
        <f>SUMIFS('دفتر اليومية'!L:L, 'دفتر اليومية'!H:H, A257, 'دفتر اليومية'!E:E, "مبيعات اجل")</f>
        <v>0</v>
      </c>
      <c r="D257" s="108">
        <f t="shared" si="3"/>
        <v>0</v>
      </c>
    </row>
    <row r="258" spans="1:4" x14ac:dyDescent="0.3">
      <c r="A258" s="10"/>
      <c r="B258" s="10">
        <f>SUMIFS('دفتر اليومية'!K:K, 'دفتر اليومية'!H:H, A258, 'دفتر اليومية'!E:E, "مبيعات اجل")</f>
        <v>0</v>
      </c>
      <c r="C258" s="10">
        <f>SUMIFS('دفتر اليومية'!L:L, 'دفتر اليومية'!H:H, A258, 'دفتر اليومية'!E:E, "مبيعات اجل")</f>
        <v>0</v>
      </c>
      <c r="D258" s="108">
        <f t="shared" si="3"/>
        <v>0</v>
      </c>
    </row>
    <row r="259" spans="1:4" x14ac:dyDescent="0.3">
      <c r="A259" s="10"/>
      <c r="B259" s="10">
        <f>SUMIFS('دفتر اليومية'!K:K, 'دفتر اليومية'!H:H, A259, 'دفتر اليومية'!E:E, "مبيعات اجل")</f>
        <v>0</v>
      </c>
      <c r="C259" s="10">
        <f>SUMIFS('دفتر اليومية'!L:L, 'دفتر اليومية'!H:H, A259, 'دفتر اليومية'!E:E, "مبيعات اجل")</f>
        <v>0</v>
      </c>
      <c r="D259" s="108">
        <f t="shared" ref="D259:D322" si="4">B259-C259</f>
        <v>0</v>
      </c>
    </row>
    <row r="260" spans="1:4" x14ac:dyDescent="0.3">
      <c r="A260" s="10"/>
      <c r="B260" s="10">
        <f>SUMIFS('دفتر اليومية'!K:K, 'دفتر اليومية'!H:H, A260, 'دفتر اليومية'!E:E, "مبيعات اجل")</f>
        <v>0</v>
      </c>
      <c r="C260" s="10">
        <f>SUMIFS('دفتر اليومية'!L:L, 'دفتر اليومية'!H:H, A260, 'دفتر اليومية'!E:E, "مبيعات اجل")</f>
        <v>0</v>
      </c>
      <c r="D260" s="108">
        <f t="shared" si="4"/>
        <v>0</v>
      </c>
    </row>
    <row r="261" spans="1:4" x14ac:dyDescent="0.3">
      <c r="A261" s="10"/>
      <c r="B261" s="10">
        <f>SUMIFS('دفتر اليومية'!K:K, 'دفتر اليومية'!H:H, A261, 'دفتر اليومية'!E:E, "مبيعات اجل")</f>
        <v>0</v>
      </c>
      <c r="C261" s="10">
        <f>SUMIFS('دفتر اليومية'!L:L, 'دفتر اليومية'!H:H, A261, 'دفتر اليومية'!E:E, "مبيعات اجل")</f>
        <v>0</v>
      </c>
      <c r="D261" s="108">
        <f t="shared" si="4"/>
        <v>0</v>
      </c>
    </row>
    <row r="262" spans="1:4" x14ac:dyDescent="0.3">
      <c r="A262" s="10"/>
      <c r="B262" s="10">
        <f>SUMIFS('دفتر اليومية'!K:K, 'دفتر اليومية'!H:H, A262, 'دفتر اليومية'!E:E, "مبيعات اجل")</f>
        <v>0</v>
      </c>
      <c r="C262" s="10">
        <f>SUMIFS('دفتر اليومية'!L:L, 'دفتر اليومية'!H:H, A262, 'دفتر اليومية'!E:E, "مبيعات اجل")</f>
        <v>0</v>
      </c>
      <c r="D262" s="108">
        <f t="shared" si="4"/>
        <v>0</v>
      </c>
    </row>
    <row r="263" spans="1:4" x14ac:dyDescent="0.3">
      <c r="A263" s="10"/>
      <c r="B263" s="10">
        <f>SUMIFS('دفتر اليومية'!K:K, 'دفتر اليومية'!H:H, A263, 'دفتر اليومية'!E:E, "مبيعات اجل")</f>
        <v>0</v>
      </c>
      <c r="C263" s="10">
        <f>SUMIFS('دفتر اليومية'!L:L, 'دفتر اليومية'!H:H, A263, 'دفتر اليومية'!E:E, "مبيعات اجل")</f>
        <v>0</v>
      </c>
      <c r="D263" s="108">
        <f t="shared" si="4"/>
        <v>0</v>
      </c>
    </row>
    <row r="264" spans="1:4" x14ac:dyDescent="0.3">
      <c r="A264" s="10"/>
      <c r="B264" s="10">
        <f>SUMIFS('دفتر اليومية'!K:K, 'دفتر اليومية'!H:H, A264, 'دفتر اليومية'!E:E, "مبيعات اجل")</f>
        <v>0</v>
      </c>
      <c r="C264" s="10">
        <f>SUMIFS('دفتر اليومية'!L:L, 'دفتر اليومية'!H:H, A264, 'دفتر اليومية'!E:E, "مبيعات اجل")</f>
        <v>0</v>
      </c>
      <c r="D264" s="108">
        <f t="shared" si="4"/>
        <v>0</v>
      </c>
    </row>
    <row r="265" spans="1:4" x14ac:dyDescent="0.3">
      <c r="A265" s="10"/>
      <c r="B265" s="10">
        <f>SUMIFS('دفتر اليومية'!K:K, 'دفتر اليومية'!H:H, A265, 'دفتر اليومية'!E:E, "مبيعات اجل")</f>
        <v>0</v>
      </c>
      <c r="C265" s="10">
        <f>SUMIFS('دفتر اليومية'!L:L, 'دفتر اليومية'!H:H, A265, 'دفتر اليومية'!E:E, "مبيعات اجل")</f>
        <v>0</v>
      </c>
      <c r="D265" s="108">
        <f t="shared" si="4"/>
        <v>0</v>
      </c>
    </row>
    <row r="266" spans="1:4" x14ac:dyDescent="0.3">
      <c r="A266" s="10"/>
      <c r="B266" s="10">
        <f>SUMIFS('دفتر اليومية'!K:K, 'دفتر اليومية'!H:H, A266, 'دفتر اليومية'!E:E, "مبيعات اجل")</f>
        <v>0</v>
      </c>
      <c r="C266" s="10">
        <f>SUMIFS('دفتر اليومية'!L:L, 'دفتر اليومية'!H:H, A266, 'دفتر اليومية'!E:E, "مبيعات اجل")</f>
        <v>0</v>
      </c>
      <c r="D266" s="108">
        <f t="shared" si="4"/>
        <v>0</v>
      </c>
    </row>
    <row r="267" spans="1:4" x14ac:dyDescent="0.3">
      <c r="A267" s="10"/>
      <c r="B267" s="10">
        <f>SUMIFS('دفتر اليومية'!K:K, 'دفتر اليومية'!H:H, A267, 'دفتر اليومية'!E:E, "مبيعات اجل")</f>
        <v>0</v>
      </c>
      <c r="C267" s="10">
        <f>SUMIFS('دفتر اليومية'!L:L, 'دفتر اليومية'!H:H, A267, 'دفتر اليومية'!E:E, "مبيعات اجل")</f>
        <v>0</v>
      </c>
      <c r="D267" s="108">
        <f t="shared" si="4"/>
        <v>0</v>
      </c>
    </row>
    <row r="268" spans="1:4" x14ac:dyDescent="0.3">
      <c r="A268" s="10"/>
      <c r="B268" s="10">
        <f>SUMIFS('دفتر اليومية'!K:K, 'دفتر اليومية'!H:H, A268, 'دفتر اليومية'!E:E, "مبيعات اجل")</f>
        <v>0</v>
      </c>
      <c r="C268" s="10">
        <f>SUMIFS('دفتر اليومية'!L:L, 'دفتر اليومية'!H:H, A268, 'دفتر اليومية'!E:E, "مبيعات اجل")</f>
        <v>0</v>
      </c>
      <c r="D268" s="108">
        <f t="shared" si="4"/>
        <v>0</v>
      </c>
    </row>
    <row r="269" spans="1:4" x14ac:dyDescent="0.3">
      <c r="A269" s="10"/>
      <c r="B269" s="10">
        <f>SUMIFS('دفتر اليومية'!K:K, 'دفتر اليومية'!H:H, A269, 'دفتر اليومية'!E:E, "مبيعات اجل")</f>
        <v>0</v>
      </c>
      <c r="C269" s="10">
        <f>SUMIFS('دفتر اليومية'!L:L, 'دفتر اليومية'!H:H, A269, 'دفتر اليومية'!E:E, "مبيعات اجل")</f>
        <v>0</v>
      </c>
      <c r="D269" s="108">
        <f t="shared" si="4"/>
        <v>0</v>
      </c>
    </row>
    <row r="270" spans="1:4" x14ac:dyDescent="0.3">
      <c r="A270" s="10"/>
      <c r="B270" s="10">
        <f>SUMIFS('دفتر اليومية'!K:K, 'دفتر اليومية'!H:H, A270, 'دفتر اليومية'!E:E, "مبيعات اجل")</f>
        <v>0</v>
      </c>
      <c r="C270" s="10">
        <f>SUMIFS('دفتر اليومية'!L:L, 'دفتر اليومية'!H:H, A270, 'دفتر اليومية'!E:E, "مبيعات اجل")</f>
        <v>0</v>
      </c>
      <c r="D270" s="108">
        <f t="shared" si="4"/>
        <v>0</v>
      </c>
    </row>
    <row r="271" spans="1:4" x14ac:dyDescent="0.3">
      <c r="A271" s="10"/>
      <c r="B271" s="10">
        <f>SUMIFS('دفتر اليومية'!K:K, 'دفتر اليومية'!H:H, A271, 'دفتر اليومية'!E:E, "مبيعات اجل")</f>
        <v>0</v>
      </c>
      <c r="C271" s="10">
        <f>SUMIFS('دفتر اليومية'!L:L, 'دفتر اليومية'!H:H, A271, 'دفتر اليومية'!E:E, "مبيعات اجل")</f>
        <v>0</v>
      </c>
      <c r="D271" s="108">
        <f t="shared" si="4"/>
        <v>0</v>
      </c>
    </row>
    <row r="272" spans="1:4" x14ac:dyDescent="0.3">
      <c r="A272" s="10"/>
      <c r="B272" s="10">
        <f>SUMIFS('دفتر اليومية'!K:K, 'دفتر اليومية'!H:H, A272, 'دفتر اليومية'!E:E, "مبيعات اجل")</f>
        <v>0</v>
      </c>
      <c r="C272" s="10">
        <f>SUMIFS('دفتر اليومية'!L:L, 'دفتر اليومية'!H:H, A272, 'دفتر اليومية'!E:E, "مبيعات اجل")</f>
        <v>0</v>
      </c>
      <c r="D272" s="108">
        <f t="shared" si="4"/>
        <v>0</v>
      </c>
    </row>
    <row r="273" spans="1:4" x14ac:dyDescent="0.3">
      <c r="A273" s="10"/>
      <c r="B273" s="10">
        <f>SUMIFS('دفتر اليومية'!K:K, 'دفتر اليومية'!H:H, A273, 'دفتر اليومية'!E:E, "مبيعات اجل")</f>
        <v>0</v>
      </c>
      <c r="C273" s="10">
        <f>SUMIFS('دفتر اليومية'!L:L, 'دفتر اليومية'!H:H, A273, 'دفتر اليومية'!E:E, "مبيعات اجل")</f>
        <v>0</v>
      </c>
      <c r="D273" s="108">
        <f t="shared" si="4"/>
        <v>0</v>
      </c>
    </row>
    <row r="274" spans="1:4" x14ac:dyDescent="0.3">
      <c r="A274" s="10"/>
      <c r="B274" s="10">
        <f>SUMIFS('دفتر اليومية'!K:K, 'دفتر اليومية'!H:H, A274, 'دفتر اليومية'!E:E, "مبيعات اجل")</f>
        <v>0</v>
      </c>
      <c r="C274" s="10">
        <f>SUMIFS('دفتر اليومية'!L:L, 'دفتر اليومية'!H:H, A274, 'دفتر اليومية'!E:E, "مبيعات اجل")</f>
        <v>0</v>
      </c>
      <c r="D274" s="108">
        <f t="shared" si="4"/>
        <v>0</v>
      </c>
    </row>
    <row r="275" spans="1:4" x14ac:dyDescent="0.3">
      <c r="A275" s="10"/>
      <c r="B275" s="10">
        <f>SUMIFS('دفتر اليومية'!K:K, 'دفتر اليومية'!H:H, A275, 'دفتر اليومية'!E:E, "مبيعات اجل")</f>
        <v>0</v>
      </c>
      <c r="C275" s="10">
        <f>SUMIFS('دفتر اليومية'!L:L, 'دفتر اليومية'!H:H, A275, 'دفتر اليومية'!E:E, "مبيعات اجل")</f>
        <v>0</v>
      </c>
      <c r="D275" s="108">
        <f t="shared" si="4"/>
        <v>0</v>
      </c>
    </row>
    <row r="276" spans="1:4" x14ac:dyDescent="0.3">
      <c r="A276" s="10"/>
      <c r="B276" s="10">
        <f>SUMIFS('دفتر اليومية'!K:K, 'دفتر اليومية'!H:H, A276, 'دفتر اليومية'!E:E, "مبيعات اجل")</f>
        <v>0</v>
      </c>
      <c r="C276" s="10">
        <f>SUMIFS('دفتر اليومية'!L:L, 'دفتر اليومية'!H:H, A276, 'دفتر اليومية'!E:E, "مبيعات اجل")</f>
        <v>0</v>
      </c>
      <c r="D276" s="108">
        <f t="shared" si="4"/>
        <v>0</v>
      </c>
    </row>
    <row r="277" spans="1:4" x14ac:dyDescent="0.3">
      <c r="A277" s="10"/>
      <c r="B277" s="10">
        <f>SUMIFS('دفتر اليومية'!K:K, 'دفتر اليومية'!H:H, A277, 'دفتر اليومية'!E:E, "مبيعات اجل")</f>
        <v>0</v>
      </c>
      <c r="C277" s="10">
        <f>SUMIFS('دفتر اليومية'!L:L, 'دفتر اليومية'!H:H, A277, 'دفتر اليومية'!E:E, "مبيعات اجل")</f>
        <v>0</v>
      </c>
      <c r="D277" s="108">
        <f t="shared" si="4"/>
        <v>0</v>
      </c>
    </row>
    <row r="278" spans="1:4" x14ac:dyDescent="0.3">
      <c r="A278" s="10"/>
      <c r="B278" s="10">
        <f>SUMIFS('دفتر اليومية'!K:K, 'دفتر اليومية'!H:H, A278, 'دفتر اليومية'!E:E, "مبيعات اجل")</f>
        <v>0</v>
      </c>
      <c r="C278" s="10">
        <f>SUMIFS('دفتر اليومية'!L:L, 'دفتر اليومية'!H:H, A278, 'دفتر اليومية'!E:E, "مبيعات اجل")</f>
        <v>0</v>
      </c>
      <c r="D278" s="108">
        <f t="shared" si="4"/>
        <v>0</v>
      </c>
    </row>
    <row r="279" spans="1:4" x14ac:dyDescent="0.3">
      <c r="A279" s="10"/>
      <c r="B279" s="10">
        <f>SUMIFS('دفتر اليومية'!K:K, 'دفتر اليومية'!H:H, A279, 'دفتر اليومية'!E:E, "مبيعات اجل")</f>
        <v>0</v>
      </c>
      <c r="C279" s="10">
        <f>SUMIFS('دفتر اليومية'!L:L, 'دفتر اليومية'!H:H, A279, 'دفتر اليومية'!E:E, "مبيعات اجل")</f>
        <v>0</v>
      </c>
      <c r="D279" s="108">
        <f t="shared" si="4"/>
        <v>0</v>
      </c>
    </row>
    <row r="280" spans="1:4" x14ac:dyDescent="0.3">
      <c r="A280" s="10"/>
      <c r="B280" s="10">
        <f>SUMIFS('دفتر اليومية'!K:K, 'دفتر اليومية'!H:H, A280, 'دفتر اليومية'!E:E, "مبيعات اجل")</f>
        <v>0</v>
      </c>
      <c r="C280" s="10">
        <f>SUMIFS('دفتر اليومية'!L:L, 'دفتر اليومية'!H:H, A280, 'دفتر اليومية'!E:E, "مبيعات اجل")</f>
        <v>0</v>
      </c>
      <c r="D280" s="108">
        <f t="shared" si="4"/>
        <v>0</v>
      </c>
    </row>
    <row r="281" spans="1:4" x14ac:dyDescent="0.3">
      <c r="A281" s="10"/>
      <c r="B281" s="10">
        <f>SUMIFS('دفتر اليومية'!K:K, 'دفتر اليومية'!H:H, A281, 'دفتر اليومية'!E:E, "مبيعات اجل")</f>
        <v>0</v>
      </c>
      <c r="C281" s="10">
        <f>SUMIFS('دفتر اليومية'!L:L, 'دفتر اليومية'!H:H, A281, 'دفتر اليومية'!E:E, "مبيعات اجل")</f>
        <v>0</v>
      </c>
      <c r="D281" s="108">
        <f t="shared" si="4"/>
        <v>0</v>
      </c>
    </row>
    <row r="282" spans="1:4" x14ac:dyDescent="0.3">
      <c r="A282" s="10"/>
      <c r="B282" s="10">
        <f>SUMIFS('دفتر اليومية'!K:K, 'دفتر اليومية'!H:H, A282, 'دفتر اليومية'!E:E, "مبيعات اجل")</f>
        <v>0</v>
      </c>
      <c r="C282" s="10">
        <f>SUMIFS('دفتر اليومية'!L:L, 'دفتر اليومية'!H:H, A282, 'دفتر اليومية'!E:E, "مبيعات اجل")</f>
        <v>0</v>
      </c>
      <c r="D282" s="108">
        <f t="shared" si="4"/>
        <v>0</v>
      </c>
    </row>
    <row r="283" spans="1:4" x14ac:dyDescent="0.3">
      <c r="A283" s="10"/>
      <c r="B283" s="10">
        <f>SUMIFS('دفتر اليومية'!K:K, 'دفتر اليومية'!H:H, A283, 'دفتر اليومية'!E:E, "مبيعات اجل")</f>
        <v>0</v>
      </c>
      <c r="C283" s="10">
        <f>SUMIFS('دفتر اليومية'!L:L, 'دفتر اليومية'!H:H, A283, 'دفتر اليومية'!E:E, "مبيعات اجل")</f>
        <v>0</v>
      </c>
      <c r="D283" s="108">
        <f t="shared" si="4"/>
        <v>0</v>
      </c>
    </row>
    <row r="284" spans="1:4" x14ac:dyDescent="0.3">
      <c r="A284" s="10"/>
      <c r="B284" s="10">
        <f>SUMIFS('دفتر اليومية'!K:K, 'دفتر اليومية'!H:H, A284, 'دفتر اليومية'!E:E, "مبيعات اجل")</f>
        <v>0</v>
      </c>
      <c r="C284" s="10">
        <f>SUMIFS('دفتر اليومية'!L:L, 'دفتر اليومية'!H:H, A284, 'دفتر اليومية'!E:E, "مبيعات اجل")</f>
        <v>0</v>
      </c>
      <c r="D284" s="108">
        <f t="shared" si="4"/>
        <v>0</v>
      </c>
    </row>
    <row r="285" spans="1:4" x14ac:dyDescent="0.3">
      <c r="A285" s="10"/>
      <c r="B285" s="10">
        <f>SUMIFS('دفتر اليومية'!K:K, 'دفتر اليومية'!H:H, A285, 'دفتر اليومية'!E:E, "مبيعات اجل")</f>
        <v>0</v>
      </c>
      <c r="C285" s="10">
        <f>SUMIFS('دفتر اليومية'!L:L, 'دفتر اليومية'!H:H, A285, 'دفتر اليومية'!E:E, "مبيعات اجل")</f>
        <v>0</v>
      </c>
      <c r="D285" s="108">
        <f t="shared" si="4"/>
        <v>0</v>
      </c>
    </row>
    <row r="286" spans="1:4" x14ac:dyDescent="0.3">
      <c r="A286" s="10"/>
      <c r="B286" s="10">
        <f>SUMIFS('دفتر اليومية'!K:K, 'دفتر اليومية'!H:H, A286, 'دفتر اليومية'!E:E, "مبيعات اجل")</f>
        <v>0</v>
      </c>
      <c r="C286" s="10">
        <f>SUMIFS('دفتر اليومية'!L:L, 'دفتر اليومية'!H:H, A286, 'دفتر اليومية'!E:E, "مبيعات اجل")</f>
        <v>0</v>
      </c>
      <c r="D286" s="108">
        <f t="shared" si="4"/>
        <v>0</v>
      </c>
    </row>
    <row r="287" spans="1:4" x14ac:dyDescent="0.3">
      <c r="A287" s="10"/>
      <c r="B287" s="10">
        <f>SUMIFS('دفتر اليومية'!K:K, 'دفتر اليومية'!H:H, A287, 'دفتر اليومية'!E:E, "مبيعات اجل")</f>
        <v>0</v>
      </c>
      <c r="C287" s="10">
        <f>SUMIFS('دفتر اليومية'!L:L, 'دفتر اليومية'!H:H, A287, 'دفتر اليومية'!E:E, "مبيعات اجل")</f>
        <v>0</v>
      </c>
      <c r="D287" s="108">
        <f t="shared" si="4"/>
        <v>0</v>
      </c>
    </row>
    <row r="288" spans="1:4" x14ac:dyDescent="0.3">
      <c r="A288" s="10"/>
      <c r="B288" s="10">
        <f>SUMIFS('دفتر اليومية'!K:K, 'دفتر اليومية'!H:H, A288, 'دفتر اليومية'!E:E, "مبيعات اجل")</f>
        <v>0</v>
      </c>
      <c r="C288" s="10">
        <f>SUMIFS('دفتر اليومية'!L:L, 'دفتر اليومية'!H:H, A288, 'دفتر اليومية'!E:E, "مبيعات اجل")</f>
        <v>0</v>
      </c>
      <c r="D288" s="108">
        <f t="shared" si="4"/>
        <v>0</v>
      </c>
    </row>
    <row r="289" spans="1:4" x14ac:dyDescent="0.3">
      <c r="A289" s="10"/>
      <c r="B289" s="10">
        <f>SUMIFS('دفتر اليومية'!K:K, 'دفتر اليومية'!H:H, A289, 'دفتر اليومية'!E:E, "مبيعات اجل")</f>
        <v>0</v>
      </c>
      <c r="C289" s="10">
        <f>SUMIFS('دفتر اليومية'!L:L, 'دفتر اليومية'!H:H, A289, 'دفتر اليومية'!E:E, "مبيعات اجل")</f>
        <v>0</v>
      </c>
      <c r="D289" s="108">
        <f t="shared" si="4"/>
        <v>0</v>
      </c>
    </row>
    <row r="290" spans="1:4" x14ac:dyDescent="0.3">
      <c r="A290" s="10"/>
      <c r="B290" s="10">
        <f>SUMIFS('دفتر اليومية'!K:K, 'دفتر اليومية'!H:H, A290, 'دفتر اليومية'!E:E, "مبيعات اجل")</f>
        <v>0</v>
      </c>
      <c r="C290" s="10">
        <f>SUMIFS('دفتر اليومية'!L:L, 'دفتر اليومية'!H:H, A290, 'دفتر اليومية'!E:E, "مبيعات اجل")</f>
        <v>0</v>
      </c>
      <c r="D290" s="108">
        <f t="shared" si="4"/>
        <v>0</v>
      </c>
    </row>
    <row r="291" spans="1:4" x14ac:dyDescent="0.3">
      <c r="A291" s="10"/>
      <c r="B291" s="10">
        <f>SUMIFS('دفتر اليومية'!K:K, 'دفتر اليومية'!H:H, A291, 'دفتر اليومية'!E:E, "مبيعات اجل")</f>
        <v>0</v>
      </c>
      <c r="C291" s="10">
        <f>SUMIFS('دفتر اليومية'!L:L, 'دفتر اليومية'!H:H, A291, 'دفتر اليومية'!E:E, "مبيعات اجل")</f>
        <v>0</v>
      </c>
      <c r="D291" s="108">
        <f t="shared" si="4"/>
        <v>0</v>
      </c>
    </row>
    <row r="292" spans="1:4" x14ac:dyDescent="0.3">
      <c r="A292" s="10"/>
      <c r="B292" s="10">
        <f>SUMIFS('دفتر اليومية'!K:K, 'دفتر اليومية'!H:H, A292, 'دفتر اليومية'!E:E, "مبيعات اجل")</f>
        <v>0</v>
      </c>
      <c r="C292" s="10">
        <f>SUMIFS('دفتر اليومية'!L:L, 'دفتر اليومية'!H:H, A292, 'دفتر اليومية'!E:E, "مبيعات اجل")</f>
        <v>0</v>
      </c>
      <c r="D292" s="108">
        <f t="shared" si="4"/>
        <v>0</v>
      </c>
    </row>
    <row r="293" spans="1:4" x14ac:dyDescent="0.3">
      <c r="A293" s="10"/>
      <c r="B293" s="10">
        <f>SUMIFS('دفتر اليومية'!K:K, 'دفتر اليومية'!H:H, A293, 'دفتر اليومية'!E:E, "مبيعات اجل")</f>
        <v>0</v>
      </c>
      <c r="C293" s="10">
        <f>SUMIFS('دفتر اليومية'!L:L, 'دفتر اليومية'!H:H, A293, 'دفتر اليومية'!E:E, "مبيعات اجل")</f>
        <v>0</v>
      </c>
      <c r="D293" s="108">
        <f t="shared" si="4"/>
        <v>0</v>
      </c>
    </row>
    <row r="294" spans="1:4" x14ac:dyDescent="0.3">
      <c r="A294" s="10"/>
      <c r="B294" s="10">
        <f>SUMIFS('دفتر اليومية'!K:K, 'دفتر اليومية'!H:H, A294, 'دفتر اليومية'!E:E, "مبيعات اجل")</f>
        <v>0</v>
      </c>
      <c r="C294" s="10">
        <f>SUMIFS('دفتر اليومية'!L:L, 'دفتر اليومية'!H:H, A294, 'دفتر اليومية'!E:E, "مبيعات اجل")</f>
        <v>0</v>
      </c>
      <c r="D294" s="108">
        <f t="shared" si="4"/>
        <v>0</v>
      </c>
    </row>
    <row r="295" spans="1:4" x14ac:dyDescent="0.3">
      <c r="A295" s="10"/>
      <c r="B295" s="10">
        <f>SUMIFS('دفتر اليومية'!K:K, 'دفتر اليومية'!H:H, A295, 'دفتر اليومية'!E:E, "مبيعات اجل")</f>
        <v>0</v>
      </c>
      <c r="C295" s="10">
        <f>SUMIFS('دفتر اليومية'!L:L, 'دفتر اليومية'!H:H, A295, 'دفتر اليومية'!E:E, "مبيعات اجل")</f>
        <v>0</v>
      </c>
      <c r="D295" s="108">
        <f t="shared" si="4"/>
        <v>0</v>
      </c>
    </row>
    <row r="296" spans="1:4" x14ac:dyDescent="0.3">
      <c r="A296" s="10"/>
      <c r="B296" s="10">
        <f>SUMIFS('دفتر اليومية'!K:K, 'دفتر اليومية'!H:H, A296, 'دفتر اليومية'!E:E, "مبيعات اجل")</f>
        <v>0</v>
      </c>
      <c r="C296" s="10">
        <f>SUMIFS('دفتر اليومية'!L:L, 'دفتر اليومية'!H:H, A296, 'دفتر اليومية'!E:E, "مبيعات اجل")</f>
        <v>0</v>
      </c>
      <c r="D296" s="108">
        <f t="shared" si="4"/>
        <v>0</v>
      </c>
    </row>
    <row r="297" spans="1:4" x14ac:dyDescent="0.3">
      <c r="A297" s="10"/>
      <c r="B297" s="10">
        <f>SUMIFS('دفتر اليومية'!K:K, 'دفتر اليومية'!H:H, A297, 'دفتر اليومية'!E:E, "مبيعات اجل")</f>
        <v>0</v>
      </c>
      <c r="C297" s="10">
        <f>SUMIFS('دفتر اليومية'!L:L, 'دفتر اليومية'!H:H, A297, 'دفتر اليومية'!E:E, "مبيعات اجل")</f>
        <v>0</v>
      </c>
      <c r="D297" s="108">
        <f t="shared" si="4"/>
        <v>0</v>
      </c>
    </row>
    <row r="298" spans="1:4" x14ac:dyDescent="0.3">
      <c r="A298" s="10"/>
      <c r="B298" s="10">
        <f>SUMIFS('دفتر اليومية'!K:K, 'دفتر اليومية'!H:H, A298, 'دفتر اليومية'!E:E, "مبيعات اجل")</f>
        <v>0</v>
      </c>
      <c r="C298" s="10">
        <f>SUMIFS('دفتر اليومية'!L:L, 'دفتر اليومية'!H:H, A298, 'دفتر اليومية'!E:E, "مبيعات اجل")</f>
        <v>0</v>
      </c>
      <c r="D298" s="108">
        <f t="shared" si="4"/>
        <v>0</v>
      </c>
    </row>
    <row r="299" spans="1:4" x14ac:dyDescent="0.3">
      <c r="A299" s="10"/>
      <c r="B299" s="10">
        <f>SUMIFS('دفتر اليومية'!K:K, 'دفتر اليومية'!H:H, A299, 'دفتر اليومية'!E:E, "مبيعات اجل")</f>
        <v>0</v>
      </c>
      <c r="C299" s="10">
        <f>SUMIFS('دفتر اليومية'!L:L, 'دفتر اليومية'!H:H, A299, 'دفتر اليومية'!E:E, "مبيعات اجل")</f>
        <v>0</v>
      </c>
      <c r="D299" s="108">
        <f t="shared" si="4"/>
        <v>0</v>
      </c>
    </row>
    <row r="300" spans="1:4" x14ac:dyDescent="0.3">
      <c r="A300" s="10"/>
      <c r="B300" s="10">
        <f>SUMIFS('دفتر اليومية'!K:K, 'دفتر اليومية'!H:H, A300, 'دفتر اليومية'!E:E, "مبيعات اجل")</f>
        <v>0</v>
      </c>
      <c r="C300" s="10">
        <f>SUMIFS('دفتر اليومية'!L:L, 'دفتر اليومية'!H:H, A300, 'دفتر اليومية'!E:E, "مبيعات اجل")</f>
        <v>0</v>
      </c>
      <c r="D300" s="108">
        <f t="shared" si="4"/>
        <v>0</v>
      </c>
    </row>
    <row r="301" spans="1:4" x14ac:dyDescent="0.3">
      <c r="A301" s="10"/>
      <c r="B301" s="10">
        <f>SUMIFS('دفتر اليومية'!K:K, 'دفتر اليومية'!H:H, A301, 'دفتر اليومية'!E:E, "مبيعات اجل")</f>
        <v>0</v>
      </c>
      <c r="C301" s="10">
        <f>SUMIFS('دفتر اليومية'!L:L, 'دفتر اليومية'!H:H, A301, 'دفتر اليومية'!E:E, "مبيعات اجل")</f>
        <v>0</v>
      </c>
      <c r="D301" s="108">
        <f t="shared" si="4"/>
        <v>0</v>
      </c>
    </row>
    <row r="302" spans="1:4" x14ac:dyDescent="0.3">
      <c r="A302" s="10"/>
      <c r="B302" s="10">
        <f>SUMIFS('دفتر اليومية'!K:K, 'دفتر اليومية'!H:H, A302, 'دفتر اليومية'!E:E, "مبيعات اجل")</f>
        <v>0</v>
      </c>
      <c r="C302" s="10">
        <f>SUMIFS('دفتر اليومية'!L:L, 'دفتر اليومية'!H:H, A302, 'دفتر اليومية'!E:E, "مبيعات اجل")</f>
        <v>0</v>
      </c>
      <c r="D302" s="108">
        <f t="shared" si="4"/>
        <v>0</v>
      </c>
    </row>
    <row r="303" spans="1:4" x14ac:dyDescent="0.3">
      <c r="A303" s="10"/>
      <c r="B303" s="10">
        <f>SUMIFS('دفتر اليومية'!K:K, 'دفتر اليومية'!H:H, A303, 'دفتر اليومية'!E:E, "مبيعات اجل")</f>
        <v>0</v>
      </c>
      <c r="C303" s="10">
        <f>SUMIFS('دفتر اليومية'!L:L, 'دفتر اليومية'!H:H, A303, 'دفتر اليومية'!E:E, "مبيعات اجل")</f>
        <v>0</v>
      </c>
      <c r="D303" s="108">
        <f t="shared" si="4"/>
        <v>0</v>
      </c>
    </row>
    <row r="304" spans="1:4" x14ac:dyDescent="0.3">
      <c r="A304" s="10"/>
      <c r="B304" s="10">
        <f>SUMIFS('دفتر اليومية'!K:K, 'دفتر اليومية'!H:H, A304, 'دفتر اليومية'!E:E, "مبيعات اجل")</f>
        <v>0</v>
      </c>
      <c r="C304" s="10">
        <f>SUMIFS('دفتر اليومية'!L:L, 'دفتر اليومية'!H:H, A304, 'دفتر اليومية'!E:E, "مبيعات اجل")</f>
        <v>0</v>
      </c>
      <c r="D304" s="108">
        <f t="shared" si="4"/>
        <v>0</v>
      </c>
    </row>
    <row r="305" spans="1:4" x14ac:dyDescent="0.3">
      <c r="A305" s="10"/>
      <c r="B305" s="10">
        <f>SUMIFS('دفتر اليومية'!K:K, 'دفتر اليومية'!H:H, A305, 'دفتر اليومية'!E:E, "مبيعات اجل")</f>
        <v>0</v>
      </c>
      <c r="C305" s="10">
        <f>SUMIFS('دفتر اليومية'!L:L, 'دفتر اليومية'!H:H, A305, 'دفتر اليومية'!E:E, "مبيعات اجل")</f>
        <v>0</v>
      </c>
      <c r="D305" s="108">
        <f t="shared" si="4"/>
        <v>0</v>
      </c>
    </row>
    <row r="306" spans="1:4" x14ac:dyDescent="0.3">
      <c r="A306" s="10"/>
      <c r="B306" s="10">
        <f>SUMIFS('دفتر اليومية'!K:K, 'دفتر اليومية'!H:H, A306, 'دفتر اليومية'!E:E, "مبيعات اجل")</f>
        <v>0</v>
      </c>
      <c r="C306" s="10">
        <f>SUMIFS('دفتر اليومية'!L:L, 'دفتر اليومية'!H:H, A306, 'دفتر اليومية'!E:E, "مبيعات اجل")</f>
        <v>0</v>
      </c>
      <c r="D306" s="108">
        <f t="shared" si="4"/>
        <v>0</v>
      </c>
    </row>
    <row r="307" spans="1:4" x14ac:dyDescent="0.3">
      <c r="A307" s="10"/>
      <c r="B307" s="10">
        <f>SUMIFS('دفتر اليومية'!K:K, 'دفتر اليومية'!H:H, A307, 'دفتر اليومية'!E:E, "مبيعات اجل")</f>
        <v>0</v>
      </c>
      <c r="C307" s="10">
        <f>SUMIFS('دفتر اليومية'!L:L, 'دفتر اليومية'!H:H, A307, 'دفتر اليومية'!E:E, "مبيعات اجل")</f>
        <v>0</v>
      </c>
      <c r="D307" s="108">
        <f t="shared" si="4"/>
        <v>0</v>
      </c>
    </row>
    <row r="308" spans="1:4" x14ac:dyDescent="0.3">
      <c r="A308" s="10"/>
      <c r="B308" s="10">
        <f>SUMIFS('دفتر اليومية'!K:K, 'دفتر اليومية'!H:H, A308, 'دفتر اليومية'!E:E, "مبيعات اجل")</f>
        <v>0</v>
      </c>
      <c r="C308" s="10">
        <f>SUMIFS('دفتر اليومية'!L:L, 'دفتر اليومية'!H:H, A308, 'دفتر اليومية'!E:E, "مبيعات اجل")</f>
        <v>0</v>
      </c>
      <c r="D308" s="108">
        <f t="shared" si="4"/>
        <v>0</v>
      </c>
    </row>
    <row r="309" spans="1:4" x14ac:dyDescent="0.3">
      <c r="A309" s="10"/>
      <c r="B309" s="10">
        <f>SUMIFS('دفتر اليومية'!K:K, 'دفتر اليومية'!H:H, A309, 'دفتر اليومية'!E:E, "مبيعات اجل")</f>
        <v>0</v>
      </c>
      <c r="C309" s="10">
        <f>SUMIFS('دفتر اليومية'!L:L, 'دفتر اليومية'!H:H, A309, 'دفتر اليومية'!E:E, "مبيعات اجل")</f>
        <v>0</v>
      </c>
      <c r="D309" s="108">
        <f t="shared" si="4"/>
        <v>0</v>
      </c>
    </row>
    <row r="310" spans="1:4" x14ac:dyDescent="0.3">
      <c r="A310" s="10"/>
      <c r="B310" s="10">
        <f>SUMIFS('دفتر اليومية'!K:K, 'دفتر اليومية'!H:H, A310, 'دفتر اليومية'!E:E, "مبيعات اجل")</f>
        <v>0</v>
      </c>
      <c r="C310" s="10">
        <f>SUMIFS('دفتر اليومية'!L:L, 'دفتر اليومية'!H:H, A310, 'دفتر اليومية'!E:E, "مبيعات اجل")</f>
        <v>0</v>
      </c>
      <c r="D310" s="108">
        <f t="shared" si="4"/>
        <v>0</v>
      </c>
    </row>
    <row r="311" spans="1:4" x14ac:dyDescent="0.3">
      <c r="A311" s="10"/>
      <c r="B311" s="10">
        <f>SUMIFS('دفتر اليومية'!K:K, 'دفتر اليومية'!H:H, A311, 'دفتر اليومية'!E:E, "مبيعات اجل")</f>
        <v>0</v>
      </c>
      <c r="C311" s="10">
        <f>SUMIFS('دفتر اليومية'!L:L, 'دفتر اليومية'!H:H, A311, 'دفتر اليومية'!E:E, "مبيعات اجل")</f>
        <v>0</v>
      </c>
      <c r="D311" s="108">
        <f t="shared" si="4"/>
        <v>0</v>
      </c>
    </row>
    <row r="312" spans="1:4" x14ac:dyDescent="0.3">
      <c r="A312" s="10"/>
      <c r="B312" s="10">
        <f>SUMIFS('دفتر اليومية'!K:K, 'دفتر اليومية'!H:H, A312, 'دفتر اليومية'!E:E, "مبيعات اجل")</f>
        <v>0</v>
      </c>
      <c r="C312" s="10">
        <f>SUMIFS('دفتر اليومية'!L:L, 'دفتر اليومية'!H:H, A312, 'دفتر اليومية'!E:E, "مبيعات اجل")</f>
        <v>0</v>
      </c>
      <c r="D312" s="108">
        <f t="shared" si="4"/>
        <v>0</v>
      </c>
    </row>
    <row r="313" spans="1:4" x14ac:dyDescent="0.3">
      <c r="A313" s="10"/>
      <c r="B313" s="10">
        <f>SUMIFS('دفتر اليومية'!K:K, 'دفتر اليومية'!H:H, A313, 'دفتر اليومية'!E:E, "مبيعات اجل")</f>
        <v>0</v>
      </c>
      <c r="C313" s="10">
        <f>SUMIFS('دفتر اليومية'!L:L, 'دفتر اليومية'!H:H, A313, 'دفتر اليومية'!E:E, "مبيعات اجل")</f>
        <v>0</v>
      </c>
      <c r="D313" s="108">
        <f t="shared" si="4"/>
        <v>0</v>
      </c>
    </row>
    <row r="314" spans="1:4" x14ac:dyDescent="0.3">
      <c r="A314" s="10"/>
      <c r="B314" s="10">
        <f>SUMIFS('دفتر اليومية'!K:K, 'دفتر اليومية'!H:H, A314, 'دفتر اليومية'!E:E, "مبيعات اجل")</f>
        <v>0</v>
      </c>
      <c r="C314" s="10">
        <f>SUMIFS('دفتر اليومية'!L:L, 'دفتر اليومية'!H:H, A314, 'دفتر اليومية'!E:E, "مبيعات اجل")</f>
        <v>0</v>
      </c>
      <c r="D314" s="108">
        <f t="shared" si="4"/>
        <v>0</v>
      </c>
    </row>
    <row r="315" spans="1:4" x14ac:dyDescent="0.3">
      <c r="A315" s="10"/>
      <c r="B315" s="10">
        <f>SUMIFS('دفتر اليومية'!K:K, 'دفتر اليومية'!H:H, A315, 'دفتر اليومية'!E:E, "مبيعات اجل")</f>
        <v>0</v>
      </c>
      <c r="C315" s="10">
        <f>SUMIFS('دفتر اليومية'!L:L, 'دفتر اليومية'!H:H, A315, 'دفتر اليومية'!E:E, "مبيعات اجل")</f>
        <v>0</v>
      </c>
      <c r="D315" s="108">
        <f t="shared" si="4"/>
        <v>0</v>
      </c>
    </row>
    <row r="316" spans="1:4" x14ac:dyDescent="0.3">
      <c r="A316" s="10"/>
      <c r="B316" s="10">
        <f>SUMIFS('دفتر اليومية'!K:K, 'دفتر اليومية'!H:H, A316, 'دفتر اليومية'!E:E, "مبيعات اجل")</f>
        <v>0</v>
      </c>
      <c r="C316" s="10">
        <f>SUMIFS('دفتر اليومية'!L:L, 'دفتر اليومية'!H:H, A316, 'دفتر اليومية'!E:E, "مبيعات اجل")</f>
        <v>0</v>
      </c>
      <c r="D316" s="108">
        <f t="shared" si="4"/>
        <v>0</v>
      </c>
    </row>
    <row r="317" spans="1:4" x14ac:dyDescent="0.3">
      <c r="A317" s="10"/>
      <c r="B317" s="10">
        <f>SUMIFS('دفتر اليومية'!K:K, 'دفتر اليومية'!H:H, A317, 'دفتر اليومية'!E:E, "مبيعات اجل")</f>
        <v>0</v>
      </c>
      <c r="C317" s="10">
        <f>SUMIFS('دفتر اليومية'!L:L, 'دفتر اليومية'!H:H, A317, 'دفتر اليومية'!E:E, "مبيعات اجل")</f>
        <v>0</v>
      </c>
      <c r="D317" s="108">
        <f t="shared" si="4"/>
        <v>0</v>
      </c>
    </row>
    <row r="318" spans="1:4" x14ac:dyDescent="0.3">
      <c r="A318" s="10"/>
      <c r="B318" s="10">
        <f>SUMIFS('دفتر اليومية'!K:K, 'دفتر اليومية'!H:H, A318, 'دفتر اليومية'!E:E, "مبيعات اجل")</f>
        <v>0</v>
      </c>
      <c r="C318" s="10">
        <f>SUMIFS('دفتر اليومية'!L:L, 'دفتر اليومية'!H:H, A318, 'دفتر اليومية'!E:E, "مبيعات اجل")</f>
        <v>0</v>
      </c>
      <c r="D318" s="108">
        <f t="shared" si="4"/>
        <v>0</v>
      </c>
    </row>
    <row r="319" spans="1:4" x14ac:dyDescent="0.3">
      <c r="A319" s="10"/>
      <c r="B319" s="10">
        <f>SUMIFS('دفتر اليومية'!K:K, 'دفتر اليومية'!H:H, A319, 'دفتر اليومية'!E:E, "مبيعات اجل")</f>
        <v>0</v>
      </c>
      <c r="C319" s="10">
        <f>SUMIFS('دفتر اليومية'!L:L, 'دفتر اليومية'!H:H, A319, 'دفتر اليومية'!E:E, "مبيعات اجل")</f>
        <v>0</v>
      </c>
      <c r="D319" s="108">
        <f t="shared" si="4"/>
        <v>0</v>
      </c>
    </row>
    <row r="320" spans="1:4" x14ac:dyDescent="0.3">
      <c r="A320" s="10"/>
      <c r="B320" s="10">
        <f>SUMIFS('دفتر اليومية'!K:K, 'دفتر اليومية'!H:H, A320, 'دفتر اليومية'!E:E, "مبيعات اجل")</f>
        <v>0</v>
      </c>
      <c r="C320" s="10">
        <f>SUMIFS('دفتر اليومية'!L:L, 'دفتر اليومية'!H:H, A320, 'دفتر اليومية'!E:E, "مبيعات اجل")</f>
        <v>0</v>
      </c>
      <c r="D320" s="108">
        <f t="shared" si="4"/>
        <v>0</v>
      </c>
    </row>
    <row r="321" spans="1:4" x14ac:dyDescent="0.3">
      <c r="A321" s="10"/>
      <c r="B321" s="10">
        <f>SUMIFS('دفتر اليومية'!K:K, 'دفتر اليومية'!H:H, A321, 'دفتر اليومية'!E:E, "مبيعات اجل")</f>
        <v>0</v>
      </c>
      <c r="C321" s="10">
        <f>SUMIFS('دفتر اليومية'!L:L, 'دفتر اليومية'!H:H, A321, 'دفتر اليومية'!E:E, "مبيعات اجل")</f>
        <v>0</v>
      </c>
      <c r="D321" s="108">
        <f t="shared" si="4"/>
        <v>0</v>
      </c>
    </row>
    <row r="322" spans="1:4" x14ac:dyDescent="0.3">
      <c r="A322" s="10"/>
      <c r="B322" s="10">
        <f>SUMIFS('دفتر اليومية'!K:K, 'دفتر اليومية'!H:H, A322, 'دفتر اليومية'!E:E, "مبيعات اجل")</f>
        <v>0</v>
      </c>
      <c r="C322" s="10">
        <f>SUMIFS('دفتر اليومية'!L:L, 'دفتر اليومية'!H:H, A322, 'دفتر اليومية'!E:E, "مبيعات اجل")</f>
        <v>0</v>
      </c>
      <c r="D322" s="108">
        <f t="shared" si="4"/>
        <v>0</v>
      </c>
    </row>
    <row r="323" spans="1:4" x14ac:dyDescent="0.3">
      <c r="A323" s="10"/>
      <c r="B323" s="10">
        <f>SUMIFS('دفتر اليومية'!K:K, 'دفتر اليومية'!H:H, A323, 'دفتر اليومية'!E:E, "مبيعات اجل")</f>
        <v>0</v>
      </c>
      <c r="C323" s="10">
        <f>SUMIFS('دفتر اليومية'!L:L, 'دفتر اليومية'!H:H, A323, 'دفتر اليومية'!E:E, "مبيعات اجل")</f>
        <v>0</v>
      </c>
      <c r="D323" s="108">
        <f t="shared" ref="D323:D386" si="5">B323-C323</f>
        <v>0</v>
      </c>
    </row>
    <row r="324" spans="1:4" x14ac:dyDescent="0.3">
      <c r="A324" s="10"/>
      <c r="B324" s="10">
        <f>SUMIFS('دفتر اليومية'!K:K, 'دفتر اليومية'!H:H, A324, 'دفتر اليومية'!E:E, "مبيعات اجل")</f>
        <v>0</v>
      </c>
      <c r="C324" s="10">
        <f>SUMIFS('دفتر اليومية'!L:L, 'دفتر اليومية'!H:H, A324, 'دفتر اليومية'!E:E, "مبيعات اجل")</f>
        <v>0</v>
      </c>
      <c r="D324" s="108">
        <f t="shared" si="5"/>
        <v>0</v>
      </c>
    </row>
    <row r="325" spans="1:4" x14ac:dyDescent="0.3">
      <c r="A325" s="10"/>
      <c r="B325" s="10">
        <f>SUMIFS('دفتر اليومية'!K:K, 'دفتر اليومية'!H:H, A325, 'دفتر اليومية'!E:E, "مبيعات اجل")</f>
        <v>0</v>
      </c>
      <c r="C325" s="10">
        <f>SUMIFS('دفتر اليومية'!L:L, 'دفتر اليومية'!H:H, A325, 'دفتر اليومية'!E:E, "مبيعات اجل")</f>
        <v>0</v>
      </c>
      <c r="D325" s="108">
        <f t="shared" si="5"/>
        <v>0</v>
      </c>
    </row>
    <row r="326" spans="1:4" x14ac:dyDescent="0.3">
      <c r="A326" s="10"/>
      <c r="B326" s="10">
        <f>SUMIFS('دفتر اليومية'!K:K, 'دفتر اليومية'!H:H, A326, 'دفتر اليومية'!E:E, "مبيعات اجل")</f>
        <v>0</v>
      </c>
      <c r="C326" s="10">
        <f>SUMIFS('دفتر اليومية'!L:L, 'دفتر اليومية'!H:H, A326, 'دفتر اليومية'!E:E, "مبيعات اجل")</f>
        <v>0</v>
      </c>
      <c r="D326" s="108">
        <f t="shared" si="5"/>
        <v>0</v>
      </c>
    </row>
    <row r="327" spans="1:4" x14ac:dyDescent="0.3">
      <c r="A327" s="10"/>
      <c r="B327" s="10">
        <f>SUMIFS('دفتر اليومية'!K:K, 'دفتر اليومية'!H:H, A327, 'دفتر اليومية'!E:E, "مبيعات اجل")</f>
        <v>0</v>
      </c>
      <c r="C327" s="10">
        <f>SUMIFS('دفتر اليومية'!L:L, 'دفتر اليومية'!H:H, A327, 'دفتر اليومية'!E:E, "مبيعات اجل")</f>
        <v>0</v>
      </c>
      <c r="D327" s="108">
        <f t="shared" si="5"/>
        <v>0</v>
      </c>
    </row>
    <row r="328" spans="1:4" x14ac:dyDescent="0.3">
      <c r="A328" s="10"/>
      <c r="B328" s="10">
        <f>SUMIFS('دفتر اليومية'!K:K, 'دفتر اليومية'!H:H, A328, 'دفتر اليومية'!E:E, "مبيعات اجل")</f>
        <v>0</v>
      </c>
      <c r="C328" s="10">
        <f>SUMIFS('دفتر اليومية'!L:L, 'دفتر اليومية'!H:H, A328, 'دفتر اليومية'!E:E, "مبيعات اجل")</f>
        <v>0</v>
      </c>
      <c r="D328" s="108">
        <f t="shared" si="5"/>
        <v>0</v>
      </c>
    </row>
    <row r="329" spans="1:4" x14ac:dyDescent="0.3">
      <c r="A329" s="10"/>
      <c r="B329" s="10">
        <f>SUMIFS('دفتر اليومية'!K:K, 'دفتر اليومية'!H:H, A329, 'دفتر اليومية'!E:E, "مبيعات اجل")</f>
        <v>0</v>
      </c>
      <c r="C329" s="10">
        <f>SUMIFS('دفتر اليومية'!L:L, 'دفتر اليومية'!H:H, A329, 'دفتر اليومية'!E:E, "مبيعات اجل")</f>
        <v>0</v>
      </c>
      <c r="D329" s="108">
        <f t="shared" si="5"/>
        <v>0</v>
      </c>
    </row>
    <row r="330" spans="1:4" x14ac:dyDescent="0.3">
      <c r="A330" s="10"/>
      <c r="B330" s="10">
        <f>SUMIFS('دفتر اليومية'!K:K, 'دفتر اليومية'!H:H, A330, 'دفتر اليومية'!E:E, "مبيعات اجل")</f>
        <v>0</v>
      </c>
      <c r="C330" s="10">
        <f>SUMIFS('دفتر اليومية'!L:L, 'دفتر اليومية'!H:H, A330, 'دفتر اليومية'!E:E, "مبيعات اجل")</f>
        <v>0</v>
      </c>
      <c r="D330" s="108">
        <f t="shared" si="5"/>
        <v>0</v>
      </c>
    </row>
    <row r="331" spans="1:4" x14ac:dyDescent="0.3">
      <c r="A331" s="10"/>
      <c r="B331" s="10">
        <f>SUMIFS('دفتر اليومية'!K:K, 'دفتر اليومية'!H:H, A331, 'دفتر اليومية'!E:E, "مبيعات اجل")</f>
        <v>0</v>
      </c>
      <c r="C331" s="10">
        <f>SUMIFS('دفتر اليومية'!L:L, 'دفتر اليومية'!H:H, A331, 'دفتر اليومية'!E:E, "مبيعات اجل")</f>
        <v>0</v>
      </c>
      <c r="D331" s="108">
        <f t="shared" si="5"/>
        <v>0</v>
      </c>
    </row>
    <row r="332" spans="1:4" x14ac:dyDescent="0.3">
      <c r="A332" s="10"/>
      <c r="B332" s="10">
        <f>SUMIFS('دفتر اليومية'!K:K, 'دفتر اليومية'!H:H, A332, 'دفتر اليومية'!E:E, "مبيعات اجل")</f>
        <v>0</v>
      </c>
      <c r="C332" s="10">
        <f>SUMIFS('دفتر اليومية'!L:L, 'دفتر اليومية'!H:H, A332, 'دفتر اليومية'!E:E, "مبيعات اجل")</f>
        <v>0</v>
      </c>
      <c r="D332" s="108">
        <f t="shared" si="5"/>
        <v>0</v>
      </c>
    </row>
    <row r="333" spans="1:4" x14ac:dyDescent="0.3">
      <c r="A333" s="10"/>
      <c r="B333" s="10">
        <f>SUMIFS('دفتر اليومية'!K:K, 'دفتر اليومية'!H:H, A333, 'دفتر اليومية'!E:E, "مبيعات اجل")</f>
        <v>0</v>
      </c>
      <c r="C333" s="10">
        <f>SUMIFS('دفتر اليومية'!L:L, 'دفتر اليومية'!H:H, A333, 'دفتر اليومية'!E:E, "مبيعات اجل")</f>
        <v>0</v>
      </c>
      <c r="D333" s="108">
        <f t="shared" si="5"/>
        <v>0</v>
      </c>
    </row>
    <row r="334" spans="1:4" x14ac:dyDescent="0.3">
      <c r="A334" s="10"/>
      <c r="B334" s="10">
        <f>SUMIFS('دفتر اليومية'!K:K, 'دفتر اليومية'!H:H, A334, 'دفتر اليومية'!E:E, "مبيعات اجل")</f>
        <v>0</v>
      </c>
      <c r="C334" s="10">
        <f>SUMIFS('دفتر اليومية'!L:L, 'دفتر اليومية'!H:H, A334, 'دفتر اليومية'!E:E, "مبيعات اجل")</f>
        <v>0</v>
      </c>
      <c r="D334" s="108">
        <f t="shared" si="5"/>
        <v>0</v>
      </c>
    </row>
    <row r="335" spans="1:4" x14ac:dyDescent="0.3">
      <c r="A335" s="10"/>
      <c r="B335" s="10">
        <f>SUMIFS('دفتر اليومية'!K:K, 'دفتر اليومية'!H:H, A335, 'دفتر اليومية'!E:E, "مبيعات اجل")</f>
        <v>0</v>
      </c>
      <c r="C335" s="10">
        <f>SUMIFS('دفتر اليومية'!L:L, 'دفتر اليومية'!H:H, A335, 'دفتر اليومية'!E:E, "مبيعات اجل")</f>
        <v>0</v>
      </c>
      <c r="D335" s="108">
        <f t="shared" si="5"/>
        <v>0</v>
      </c>
    </row>
    <row r="336" spans="1:4" x14ac:dyDescent="0.3">
      <c r="A336" s="10"/>
      <c r="B336" s="10">
        <f>SUMIFS('دفتر اليومية'!K:K, 'دفتر اليومية'!H:H, A336, 'دفتر اليومية'!E:E, "مبيعات اجل")</f>
        <v>0</v>
      </c>
      <c r="C336" s="10">
        <f>SUMIFS('دفتر اليومية'!L:L, 'دفتر اليومية'!H:H, A336, 'دفتر اليومية'!E:E, "مبيعات اجل")</f>
        <v>0</v>
      </c>
      <c r="D336" s="108">
        <f t="shared" si="5"/>
        <v>0</v>
      </c>
    </row>
    <row r="337" spans="1:4" x14ac:dyDescent="0.3">
      <c r="A337" s="10"/>
      <c r="B337" s="10">
        <f>SUMIFS('دفتر اليومية'!K:K, 'دفتر اليومية'!H:H, A337, 'دفتر اليومية'!E:E, "مبيعات اجل")</f>
        <v>0</v>
      </c>
      <c r="C337" s="10">
        <f>SUMIFS('دفتر اليومية'!L:L, 'دفتر اليومية'!H:H, A337, 'دفتر اليومية'!E:E, "مبيعات اجل")</f>
        <v>0</v>
      </c>
      <c r="D337" s="108">
        <f t="shared" si="5"/>
        <v>0</v>
      </c>
    </row>
    <row r="338" spans="1:4" x14ac:dyDescent="0.3">
      <c r="A338" s="10"/>
      <c r="B338" s="10">
        <f>SUMIFS('دفتر اليومية'!K:K, 'دفتر اليومية'!H:H, A338, 'دفتر اليومية'!E:E, "مبيعات اجل")</f>
        <v>0</v>
      </c>
      <c r="C338" s="10">
        <f>SUMIFS('دفتر اليومية'!L:L, 'دفتر اليومية'!H:H, A338, 'دفتر اليومية'!E:E, "مبيعات اجل")</f>
        <v>0</v>
      </c>
      <c r="D338" s="108">
        <f t="shared" si="5"/>
        <v>0</v>
      </c>
    </row>
    <row r="339" spans="1:4" x14ac:dyDescent="0.3">
      <c r="A339" s="10"/>
      <c r="B339" s="10">
        <f>SUMIFS('دفتر اليومية'!K:K, 'دفتر اليومية'!H:H, A339, 'دفتر اليومية'!E:E, "مبيعات اجل")</f>
        <v>0</v>
      </c>
      <c r="C339" s="10">
        <f>SUMIFS('دفتر اليومية'!L:L, 'دفتر اليومية'!H:H, A339, 'دفتر اليومية'!E:E, "مبيعات اجل")</f>
        <v>0</v>
      </c>
      <c r="D339" s="108">
        <f t="shared" si="5"/>
        <v>0</v>
      </c>
    </row>
    <row r="340" spans="1:4" x14ac:dyDescent="0.3">
      <c r="A340" s="10"/>
      <c r="B340" s="10">
        <f>SUMIFS('دفتر اليومية'!K:K, 'دفتر اليومية'!H:H, A340, 'دفتر اليومية'!E:E, "مبيعات اجل")</f>
        <v>0</v>
      </c>
      <c r="C340" s="10">
        <f>SUMIFS('دفتر اليومية'!L:L, 'دفتر اليومية'!H:H, A340, 'دفتر اليومية'!E:E, "مبيعات اجل")</f>
        <v>0</v>
      </c>
      <c r="D340" s="108">
        <f t="shared" si="5"/>
        <v>0</v>
      </c>
    </row>
    <row r="341" spans="1:4" x14ac:dyDescent="0.3">
      <c r="A341" s="10"/>
      <c r="B341" s="10">
        <f>SUMIFS('دفتر اليومية'!K:K, 'دفتر اليومية'!H:H, A341, 'دفتر اليومية'!E:E, "مبيعات اجل")</f>
        <v>0</v>
      </c>
      <c r="C341" s="10">
        <f>SUMIFS('دفتر اليومية'!L:L, 'دفتر اليومية'!H:H, A341, 'دفتر اليومية'!E:E, "مبيعات اجل")</f>
        <v>0</v>
      </c>
      <c r="D341" s="108">
        <f t="shared" si="5"/>
        <v>0</v>
      </c>
    </row>
    <row r="342" spans="1:4" x14ac:dyDescent="0.3">
      <c r="A342" s="10"/>
      <c r="B342" s="10">
        <f>SUMIFS('دفتر اليومية'!K:K, 'دفتر اليومية'!H:H, A342, 'دفتر اليومية'!E:E, "مبيعات اجل")</f>
        <v>0</v>
      </c>
      <c r="C342" s="10">
        <f>SUMIFS('دفتر اليومية'!L:L, 'دفتر اليومية'!H:H, A342, 'دفتر اليومية'!E:E, "مبيعات اجل")</f>
        <v>0</v>
      </c>
      <c r="D342" s="108">
        <f t="shared" si="5"/>
        <v>0</v>
      </c>
    </row>
    <row r="343" spans="1:4" x14ac:dyDescent="0.3">
      <c r="A343" s="10"/>
      <c r="B343" s="10">
        <f>SUMIFS('دفتر اليومية'!K:K, 'دفتر اليومية'!H:H, A343, 'دفتر اليومية'!E:E, "مبيعات اجل")</f>
        <v>0</v>
      </c>
      <c r="C343" s="10">
        <f>SUMIFS('دفتر اليومية'!L:L, 'دفتر اليومية'!H:H, A343, 'دفتر اليومية'!E:E, "مبيعات اجل")</f>
        <v>0</v>
      </c>
      <c r="D343" s="108">
        <f t="shared" si="5"/>
        <v>0</v>
      </c>
    </row>
    <row r="344" spans="1:4" x14ac:dyDescent="0.3">
      <c r="A344" s="10"/>
      <c r="B344" s="10">
        <f>SUMIFS('دفتر اليومية'!K:K, 'دفتر اليومية'!H:H, A344, 'دفتر اليومية'!E:E, "مبيعات اجل")</f>
        <v>0</v>
      </c>
      <c r="C344" s="10">
        <f>SUMIFS('دفتر اليومية'!L:L, 'دفتر اليومية'!H:H, A344, 'دفتر اليومية'!E:E, "مبيعات اجل")</f>
        <v>0</v>
      </c>
      <c r="D344" s="108">
        <f t="shared" si="5"/>
        <v>0</v>
      </c>
    </row>
    <row r="345" spans="1:4" x14ac:dyDescent="0.3">
      <c r="A345" s="10"/>
      <c r="B345" s="10">
        <f>SUMIFS('دفتر اليومية'!K:K, 'دفتر اليومية'!H:H, A345, 'دفتر اليومية'!E:E, "مبيعات اجل")</f>
        <v>0</v>
      </c>
      <c r="C345" s="10">
        <f>SUMIFS('دفتر اليومية'!L:L, 'دفتر اليومية'!H:H, A345, 'دفتر اليومية'!E:E, "مبيعات اجل")</f>
        <v>0</v>
      </c>
      <c r="D345" s="108">
        <f t="shared" si="5"/>
        <v>0</v>
      </c>
    </row>
    <row r="346" spans="1:4" x14ac:dyDescent="0.3">
      <c r="A346" s="10"/>
      <c r="B346" s="10">
        <f>SUMIFS('دفتر اليومية'!K:K, 'دفتر اليومية'!H:H, A346, 'دفتر اليومية'!E:E, "مبيعات اجل")</f>
        <v>0</v>
      </c>
      <c r="C346" s="10">
        <f>SUMIFS('دفتر اليومية'!L:L, 'دفتر اليومية'!H:H, A346, 'دفتر اليومية'!E:E, "مبيعات اجل")</f>
        <v>0</v>
      </c>
      <c r="D346" s="108">
        <f t="shared" si="5"/>
        <v>0</v>
      </c>
    </row>
    <row r="347" spans="1:4" x14ac:dyDescent="0.3">
      <c r="A347" s="10"/>
      <c r="B347" s="10">
        <f>SUMIFS('دفتر اليومية'!K:K, 'دفتر اليومية'!H:H, A347, 'دفتر اليومية'!E:E, "مبيعات اجل")</f>
        <v>0</v>
      </c>
      <c r="C347" s="10">
        <f>SUMIFS('دفتر اليومية'!L:L, 'دفتر اليومية'!H:H, A347, 'دفتر اليومية'!E:E, "مبيعات اجل")</f>
        <v>0</v>
      </c>
      <c r="D347" s="108">
        <f t="shared" si="5"/>
        <v>0</v>
      </c>
    </row>
    <row r="348" spans="1:4" x14ac:dyDescent="0.3">
      <c r="A348" s="10"/>
      <c r="B348" s="10">
        <f>SUMIFS('دفتر اليومية'!K:K, 'دفتر اليومية'!H:H, A348, 'دفتر اليومية'!E:E, "مبيعات اجل")</f>
        <v>0</v>
      </c>
      <c r="C348" s="10">
        <f>SUMIFS('دفتر اليومية'!L:L, 'دفتر اليومية'!H:H, A348, 'دفتر اليومية'!E:E, "مبيعات اجل")</f>
        <v>0</v>
      </c>
      <c r="D348" s="108">
        <f t="shared" si="5"/>
        <v>0</v>
      </c>
    </row>
    <row r="349" spans="1:4" x14ac:dyDescent="0.3">
      <c r="A349" s="10"/>
      <c r="B349" s="10">
        <f>SUMIFS('دفتر اليومية'!K:K, 'دفتر اليومية'!H:H, A349, 'دفتر اليومية'!E:E, "مبيعات اجل")</f>
        <v>0</v>
      </c>
      <c r="C349" s="10">
        <f>SUMIFS('دفتر اليومية'!L:L, 'دفتر اليومية'!H:H, A349, 'دفتر اليومية'!E:E, "مبيعات اجل")</f>
        <v>0</v>
      </c>
      <c r="D349" s="108">
        <f t="shared" si="5"/>
        <v>0</v>
      </c>
    </row>
    <row r="350" spans="1:4" x14ac:dyDescent="0.3">
      <c r="A350" s="10"/>
      <c r="B350" s="10">
        <f>SUMIFS('دفتر اليومية'!K:K, 'دفتر اليومية'!H:H, A350, 'دفتر اليومية'!E:E, "مبيعات اجل")</f>
        <v>0</v>
      </c>
      <c r="C350" s="10">
        <f>SUMIFS('دفتر اليومية'!L:L, 'دفتر اليومية'!H:H, A350, 'دفتر اليومية'!E:E, "مبيعات اجل")</f>
        <v>0</v>
      </c>
      <c r="D350" s="108">
        <f t="shared" si="5"/>
        <v>0</v>
      </c>
    </row>
    <row r="351" spans="1:4" x14ac:dyDescent="0.3">
      <c r="A351" s="10"/>
      <c r="B351" s="10">
        <f>SUMIFS('دفتر اليومية'!K:K, 'دفتر اليومية'!H:H, A351, 'دفتر اليومية'!E:E, "مبيعات اجل")</f>
        <v>0</v>
      </c>
      <c r="C351" s="10">
        <f>SUMIFS('دفتر اليومية'!L:L, 'دفتر اليومية'!H:H, A351, 'دفتر اليومية'!E:E, "مبيعات اجل")</f>
        <v>0</v>
      </c>
      <c r="D351" s="108">
        <f t="shared" si="5"/>
        <v>0</v>
      </c>
    </row>
    <row r="352" spans="1:4" x14ac:dyDescent="0.3">
      <c r="A352" s="10"/>
      <c r="B352" s="10">
        <f>SUMIFS('دفتر اليومية'!K:K, 'دفتر اليومية'!H:H, A352, 'دفتر اليومية'!E:E, "مبيعات اجل")</f>
        <v>0</v>
      </c>
      <c r="C352" s="10">
        <f>SUMIFS('دفتر اليومية'!L:L, 'دفتر اليومية'!H:H, A352, 'دفتر اليومية'!E:E, "مبيعات اجل")</f>
        <v>0</v>
      </c>
      <c r="D352" s="108">
        <f t="shared" si="5"/>
        <v>0</v>
      </c>
    </row>
    <row r="353" spans="1:4" x14ac:dyDescent="0.3">
      <c r="A353" s="10"/>
      <c r="B353" s="10">
        <f>SUMIFS('دفتر اليومية'!K:K, 'دفتر اليومية'!H:H, A353, 'دفتر اليومية'!E:E, "مبيعات اجل")</f>
        <v>0</v>
      </c>
      <c r="C353" s="10">
        <f>SUMIFS('دفتر اليومية'!L:L, 'دفتر اليومية'!H:H, A353, 'دفتر اليومية'!E:E, "مبيعات اجل")</f>
        <v>0</v>
      </c>
      <c r="D353" s="108">
        <f t="shared" si="5"/>
        <v>0</v>
      </c>
    </row>
    <row r="354" spans="1:4" x14ac:dyDescent="0.3">
      <c r="A354" s="10"/>
      <c r="B354" s="10">
        <f>SUMIFS('دفتر اليومية'!K:K, 'دفتر اليومية'!H:H, A354, 'دفتر اليومية'!E:E, "مبيعات اجل")</f>
        <v>0</v>
      </c>
      <c r="C354" s="10">
        <f>SUMIFS('دفتر اليومية'!L:L, 'دفتر اليومية'!H:H, A354, 'دفتر اليومية'!E:E, "مبيعات اجل")</f>
        <v>0</v>
      </c>
      <c r="D354" s="108">
        <f t="shared" si="5"/>
        <v>0</v>
      </c>
    </row>
    <row r="355" spans="1:4" x14ac:dyDescent="0.3">
      <c r="A355" s="10"/>
      <c r="B355" s="10">
        <f>SUMIFS('دفتر اليومية'!K:K, 'دفتر اليومية'!H:H, A355, 'دفتر اليومية'!E:E, "مبيعات اجل")</f>
        <v>0</v>
      </c>
      <c r="C355" s="10">
        <f>SUMIFS('دفتر اليومية'!L:L, 'دفتر اليومية'!H:H, A355, 'دفتر اليومية'!E:E, "مبيعات اجل")</f>
        <v>0</v>
      </c>
      <c r="D355" s="108">
        <f t="shared" si="5"/>
        <v>0</v>
      </c>
    </row>
    <row r="356" spans="1:4" x14ac:dyDescent="0.3">
      <c r="A356" s="10"/>
      <c r="B356" s="10">
        <f>SUMIFS('دفتر اليومية'!K:K, 'دفتر اليومية'!H:H, A356, 'دفتر اليومية'!E:E, "مبيعات اجل")</f>
        <v>0</v>
      </c>
      <c r="C356" s="10">
        <f>SUMIFS('دفتر اليومية'!L:L, 'دفتر اليومية'!H:H, A356, 'دفتر اليومية'!E:E, "مبيعات اجل")</f>
        <v>0</v>
      </c>
      <c r="D356" s="108">
        <f t="shared" si="5"/>
        <v>0</v>
      </c>
    </row>
    <row r="357" spans="1:4" x14ac:dyDescent="0.3">
      <c r="A357" s="10"/>
      <c r="B357" s="10">
        <f>SUMIFS('دفتر اليومية'!K:K, 'دفتر اليومية'!H:H, A357, 'دفتر اليومية'!E:E, "مبيعات اجل")</f>
        <v>0</v>
      </c>
      <c r="C357" s="10">
        <f>SUMIFS('دفتر اليومية'!L:L, 'دفتر اليومية'!H:H, A357, 'دفتر اليومية'!E:E, "مبيعات اجل")</f>
        <v>0</v>
      </c>
      <c r="D357" s="108">
        <f t="shared" si="5"/>
        <v>0</v>
      </c>
    </row>
    <row r="358" spans="1:4" x14ac:dyDescent="0.3">
      <c r="A358" s="10"/>
      <c r="B358" s="10">
        <f>SUMIFS('دفتر اليومية'!K:K, 'دفتر اليومية'!H:H, A358, 'دفتر اليومية'!E:E, "مبيعات اجل")</f>
        <v>0</v>
      </c>
      <c r="C358" s="10">
        <f>SUMIFS('دفتر اليومية'!L:L, 'دفتر اليومية'!H:H, A358, 'دفتر اليومية'!E:E, "مبيعات اجل")</f>
        <v>0</v>
      </c>
      <c r="D358" s="108">
        <f t="shared" si="5"/>
        <v>0</v>
      </c>
    </row>
    <row r="359" spans="1:4" x14ac:dyDescent="0.3">
      <c r="A359" s="10"/>
      <c r="B359" s="10">
        <f>SUMIFS('دفتر اليومية'!K:K, 'دفتر اليومية'!H:H, A359, 'دفتر اليومية'!E:E, "مبيعات اجل")</f>
        <v>0</v>
      </c>
      <c r="C359" s="10">
        <f>SUMIFS('دفتر اليومية'!L:L, 'دفتر اليومية'!H:H, A359, 'دفتر اليومية'!E:E, "مبيعات اجل")</f>
        <v>0</v>
      </c>
      <c r="D359" s="108">
        <f t="shared" si="5"/>
        <v>0</v>
      </c>
    </row>
    <row r="360" spans="1:4" x14ac:dyDescent="0.3">
      <c r="A360" s="10"/>
      <c r="B360" s="10">
        <f>SUMIFS('دفتر اليومية'!K:K, 'دفتر اليومية'!H:H, A360, 'دفتر اليومية'!E:E, "مبيعات اجل")</f>
        <v>0</v>
      </c>
      <c r="C360" s="10">
        <f>SUMIFS('دفتر اليومية'!L:L, 'دفتر اليومية'!H:H, A360, 'دفتر اليومية'!E:E, "مبيعات اجل")</f>
        <v>0</v>
      </c>
      <c r="D360" s="108">
        <f t="shared" si="5"/>
        <v>0</v>
      </c>
    </row>
    <row r="361" spans="1:4" x14ac:dyDescent="0.3">
      <c r="A361" s="10"/>
      <c r="B361" s="10">
        <f>SUMIFS('دفتر اليومية'!K:K, 'دفتر اليومية'!H:H, A361, 'دفتر اليومية'!E:E, "مبيعات اجل")</f>
        <v>0</v>
      </c>
      <c r="C361" s="10">
        <f>SUMIFS('دفتر اليومية'!L:L, 'دفتر اليومية'!H:H, A361, 'دفتر اليومية'!E:E, "مبيعات اجل")</f>
        <v>0</v>
      </c>
      <c r="D361" s="108">
        <f t="shared" si="5"/>
        <v>0</v>
      </c>
    </row>
    <row r="362" spans="1:4" x14ac:dyDescent="0.3">
      <c r="A362" s="10"/>
      <c r="B362" s="10">
        <f>SUMIFS('دفتر اليومية'!K:K, 'دفتر اليومية'!H:H, A362, 'دفتر اليومية'!E:E, "مبيعات اجل")</f>
        <v>0</v>
      </c>
      <c r="C362" s="10">
        <f>SUMIFS('دفتر اليومية'!L:L, 'دفتر اليومية'!H:H, A362, 'دفتر اليومية'!E:E, "مبيعات اجل")</f>
        <v>0</v>
      </c>
      <c r="D362" s="108">
        <f t="shared" si="5"/>
        <v>0</v>
      </c>
    </row>
    <row r="363" spans="1:4" x14ac:dyDescent="0.3">
      <c r="A363" s="10"/>
      <c r="B363" s="10">
        <f>SUMIFS('دفتر اليومية'!K:K, 'دفتر اليومية'!H:H, A363, 'دفتر اليومية'!E:E, "مبيعات اجل")</f>
        <v>0</v>
      </c>
      <c r="C363" s="10">
        <f>SUMIFS('دفتر اليومية'!L:L, 'دفتر اليومية'!H:H, A363, 'دفتر اليومية'!E:E, "مبيعات اجل")</f>
        <v>0</v>
      </c>
      <c r="D363" s="108">
        <f t="shared" si="5"/>
        <v>0</v>
      </c>
    </row>
    <row r="364" spans="1:4" x14ac:dyDescent="0.3">
      <c r="A364" s="10"/>
      <c r="B364" s="10">
        <f>SUMIFS('دفتر اليومية'!K:K, 'دفتر اليومية'!H:H, A364, 'دفتر اليومية'!E:E, "مبيعات اجل")</f>
        <v>0</v>
      </c>
      <c r="C364" s="10">
        <f>SUMIFS('دفتر اليومية'!L:L, 'دفتر اليومية'!H:H, A364, 'دفتر اليومية'!E:E, "مبيعات اجل")</f>
        <v>0</v>
      </c>
      <c r="D364" s="108">
        <f t="shared" si="5"/>
        <v>0</v>
      </c>
    </row>
    <row r="365" spans="1:4" x14ac:dyDescent="0.3">
      <c r="A365" s="10"/>
      <c r="B365" s="10">
        <f>SUMIFS('دفتر اليومية'!K:K, 'دفتر اليومية'!H:H, A365, 'دفتر اليومية'!E:E, "مبيعات اجل")</f>
        <v>0</v>
      </c>
      <c r="C365" s="10">
        <f>SUMIFS('دفتر اليومية'!L:L, 'دفتر اليومية'!H:H, A365, 'دفتر اليومية'!E:E, "مبيعات اجل")</f>
        <v>0</v>
      </c>
      <c r="D365" s="108">
        <f t="shared" si="5"/>
        <v>0</v>
      </c>
    </row>
    <row r="366" spans="1:4" x14ac:dyDescent="0.3">
      <c r="A366" s="10"/>
      <c r="B366" s="10">
        <f>SUMIFS('دفتر اليومية'!K:K, 'دفتر اليومية'!H:H, A366, 'دفتر اليومية'!E:E, "مبيعات اجل")</f>
        <v>0</v>
      </c>
      <c r="C366" s="10">
        <f>SUMIFS('دفتر اليومية'!L:L, 'دفتر اليومية'!H:H, A366, 'دفتر اليومية'!E:E, "مبيعات اجل")</f>
        <v>0</v>
      </c>
      <c r="D366" s="108">
        <f t="shared" si="5"/>
        <v>0</v>
      </c>
    </row>
    <row r="367" spans="1:4" x14ac:dyDescent="0.3">
      <c r="A367" s="10"/>
      <c r="B367" s="10">
        <f>SUMIFS('دفتر اليومية'!K:K, 'دفتر اليومية'!H:H, A367, 'دفتر اليومية'!E:E, "مبيعات اجل")</f>
        <v>0</v>
      </c>
      <c r="C367" s="10">
        <f>SUMIFS('دفتر اليومية'!L:L, 'دفتر اليومية'!H:H, A367, 'دفتر اليومية'!E:E, "مبيعات اجل")</f>
        <v>0</v>
      </c>
      <c r="D367" s="108">
        <f t="shared" si="5"/>
        <v>0</v>
      </c>
    </row>
    <row r="368" spans="1:4" x14ac:dyDescent="0.3">
      <c r="A368" s="10"/>
      <c r="B368" s="10">
        <f>SUMIFS('دفتر اليومية'!K:K, 'دفتر اليومية'!H:H, A368, 'دفتر اليومية'!E:E, "مبيعات اجل")</f>
        <v>0</v>
      </c>
      <c r="C368" s="10">
        <f>SUMIFS('دفتر اليومية'!L:L, 'دفتر اليومية'!H:H, A368, 'دفتر اليومية'!E:E, "مبيعات اجل")</f>
        <v>0</v>
      </c>
      <c r="D368" s="108">
        <f t="shared" si="5"/>
        <v>0</v>
      </c>
    </row>
    <row r="369" spans="1:4" x14ac:dyDescent="0.3">
      <c r="A369" s="10"/>
      <c r="B369" s="10">
        <f>SUMIFS('دفتر اليومية'!K:K, 'دفتر اليومية'!H:H, A369, 'دفتر اليومية'!E:E, "مبيعات اجل")</f>
        <v>0</v>
      </c>
      <c r="C369" s="10">
        <f>SUMIFS('دفتر اليومية'!L:L, 'دفتر اليومية'!H:H, A369, 'دفتر اليومية'!E:E, "مبيعات اجل")</f>
        <v>0</v>
      </c>
      <c r="D369" s="108">
        <f t="shared" si="5"/>
        <v>0</v>
      </c>
    </row>
    <row r="370" spans="1:4" x14ac:dyDescent="0.3">
      <c r="A370" s="10"/>
      <c r="B370" s="10">
        <f>SUMIFS('دفتر اليومية'!K:K, 'دفتر اليومية'!H:H, A370, 'دفتر اليومية'!E:E, "مبيعات اجل")</f>
        <v>0</v>
      </c>
      <c r="C370" s="10">
        <f>SUMIFS('دفتر اليومية'!L:L, 'دفتر اليومية'!H:H, A370, 'دفتر اليومية'!E:E, "مبيعات اجل")</f>
        <v>0</v>
      </c>
      <c r="D370" s="108">
        <f t="shared" si="5"/>
        <v>0</v>
      </c>
    </row>
    <row r="371" spans="1:4" x14ac:dyDescent="0.3">
      <c r="A371" s="10"/>
      <c r="B371" s="10">
        <f>SUMIFS('دفتر اليومية'!K:K, 'دفتر اليومية'!H:H, A371, 'دفتر اليومية'!E:E, "مبيعات اجل")</f>
        <v>0</v>
      </c>
      <c r="C371" s="10">
        <f>SUMIFS('دفتر اليومية'!L:L, 'دفتر اليومية'!H:H, A371, 'دفتر اليومية'!E:E, "مبيعات اجل")</f>
        <v>0</v>
      </c>
      <c r="D371" s="108">
        <f t="shared" si="5"/>
        <v>0</v>
      </c>
    </row>
    <row r="372" spans="1:4" x14ac:dyDescent="0.3">
      <c r="A372" s="10"/>
      <c r="B372" s="10">
        <f>SUMIFS('دفتر اليومية'!K:K, 'دفتر اليومية'!H:H, A372, 'دفتر اليومية'!E:E, "مبيعات اجل")</f>
        <v>0</v>
      </c>
      <c r="C372" s="10">
        <f>SUMIFS('دفتر اليومية'!L:L, 'دفتر اليومية'!H:H, A372, 'دفتر اليومية'!E:E, "مبيعات اجل")</f>
        <v>0</v>
      </c>
      <c r="D372" s="108">
        <f t="shared" si="5"/>
        <v>0</v>
      </c>
    </row>
    <row r="373" spans="1:4" x14ac:dyDescent="0.3">
      <c r="A373" s="10"/>
      <c r="B373" s="10">
        <f>SUMIFS('دفتر اليومية'!K:K, 'دفتر اليومية'!H:H, A373, 'دفتر اليومية'!E:E, "مبيعات اجل")</f>
        <v>0</v>
      </c>
      <c r="C373" s="10">
        <f>SUMIFS('دفتر اليومية'!L:L, 'دفتر اليومية'!H:H, A373, 'دفتر اليومية'!E:E, "مبيعات اجل")</f>
        <v>0</v>
      </c>
      <c r="D373" s="108">
        <f t="shared" si="5"/>
        <v>0</v>
      </c>
    </row>
    <row r="374" spans="1:4" x14ac:dyDescent="0.3">
      <c r="A374" s="10"/>
      <c r="B374" s="10">
        <f>SUMIFS('دفتر اليومية'!K:K, 'دفتر اليومية'!H:H, A374, 'دفتر اليومية'!E:E, "مبيعات اجل")</f>
        <v>0</v>
      </c>
      <c r="C374" s="10">
        <f>SUMIFS('دفتر اليومية'!L:L, 'دفتر اليومية'!H:H, A374, 'دفتر اليومية'!E:E, "مبيعات اجل")</f>
        <v>0</v>
      </c>
      <c r="D374" s="108">
        <f t="shared" si="5"/>
        <v>0</v>
      </c>
    </row>
    <row r="375" spans="1:4" x14ac:dyDescent="0.3">
      <c r="A375" s="10"/>
      <c r="B375" s="10">
        <f>SUMIFS('دفتر اليومية'!K:K, 'دفتر اليومية'!H:H, A375, 'دفتر اليومية'!E:E, "مبيعات اجل")</f>
        <v>0</v>
      </c>
      <c r="C375" s="10">
        <f>SUMIFS('دفتر اليومية'!L:L, 'دفتر اليومية'!H:H, A375, 'دفتر اليومية'!E:E, "مبيعات اجل")</f>
        <v>0</v>
      </c>
      <c r="D375" s="108">
        <f t="shared" si="5"/>
        <v>0</v>
      </c>
    </row>
    <row r="376" spans="1:4" x14ac:dyDescent="0.3">
      <c r="A376" s="10"/>
      <c r="B376" s="10">
        <f>SUMIFS('دفتر اليومية'!K:K, 'دفتر اليومية'!H:H, A376, 'دفتر اليومية'!E:E, "مبيعات اجل")</f>
        <v>0</v>
      </c>
      <c r="C376" s="10">
        <f>SUMIFS('دفتر اليومية'!L:L, 'دفتر اليومية'!H:H, A376, 'دفتر اليومية'!E:E, "مبيعات اجل")</f>
        <v>0</v>
      </c>
      <c r="D376" s="108">
        <f t="shared" si="5"/>
        <v>0</v>
      </c>
    </row>
    <row r="377" spans="1:4" x14ac:dyDescent="0.3">
      <c r="A377" s="10"/>
      <c r="B377" s="10">
        <f>SUMIFS('دفتر اليومية'!K:K, 'دفتر اليومية'!H:H, A377, 'دفتر اليومية'!E:E, "مبيعات اجل")</f>
        <v>0</v>
      </c>
      <c r="C377" s="10">
        <f>SUMIFS('دفتر اليومية'!L:L, 'دفتر اليومية'!H:H, A377, 'دفتر اليومية'!E:E, "مبيعات اجل")</f>
        <v>0</v>
      </c>
      <c r="D377" s="108">
        <f t="shared" si="5"/>
        <v>0</v>
      </c>
    </row>
    <row r="378" spans="1:4" x14ac:dyDescent="0.3">
      <c r="A378" s="10"/>
      <c r="B378" s="10">
        <f>SUMIFS('دفتر اليومية'!K:K, 'دفتر اليومية'!H:H, A378, 'دفتر اليومية'!E:E, "مبيعات اجل")</f>
        <v>0</v>
      </c>
      <c r="C378" s="10">
        <f>SUMIFS('دفتر اليومية'!L:L, 'دفتر اليومية'!H:H, A378, 'دفتر اليومية'!E:E, "مبيعات اجل")</f>
        <v>0</v>
      </c>
      <c r="D378" s="108">
        <f t="shared" si="5"/>
        <v>0</v>
      </c>
    </row>
    <row r="379" spans="1:4" x14ac:dyDescent="0.3">
      <c r="A379" s="10"/>
      <c r="B379" s="10">
        <f>SUMIFS('دفتر اليومية'!K:K, 'دفتر اليومية'!H:H, A379, 'دفتر اليومية'!E:E, "مبيعات اجل")</f>
        <v>0</v>
      </c>
      <c r="C379" s="10">
        <f>SUMIFS('دفتر اليومية'!L:L, 'دفتر اليومية'!H:H, A379, 'دفتر اليومية'!E:E, "مبيعات اجل")</f>
        <v>0</v>
      </c>
      <c r="D379" s="108">
        <f t="shared" si="5"/>
        <v>0</v>
      </c>
    </row>
    <row r="380" spans="1:4" x14ac:dyDescent="0.3">
      <c r="A380" s="10"/>
      <c r="B380" s="10">
        <f>SUMIFS('دفتر اليومية'!K:K, 'دفتر اليومية'!H:H, A380, 'دفتر اليومية'!E:E, "مبيعات اجل")</f>
        <v>0</v>
      </c>
      <c r="C380" s="10">
        <f>SUMIFS('دفتر اليومية'!L:L, 'دفتر اليومية'!H:H, A380, 'دفتر اليومية'!E:E, "مبيعات اجل")</f>
        <v>0</v>
      </c>
      <c r="D380" s="108">
        <f t="shared" si="5"/>
        <v>0</v>
      </c>
    </row>
    <row r="381" spans="1:4" x14ac:dyDescent="0.3">
      <c r="A381" s="10"/>
      <c r="B381" s="10">
        <f>SUMIFS('دفتر اليومية'!K:K, 'دفتر اليومية'!H:H, A381, 'دفتر اليومية'!E:E, "مبيعات اجل")</f>
        <v>0</v>
      </c>
      <c r="C381" s="10">
        <f>SUMIFS('دفتر اليومية'!L:L, 'دفتر اليومية'!H:H, A381, 'دفتر اليومية'!E:E, "مبيعات اجل")</f>
        <v>0</v>
      </c>
      <c r="D381" s="108">
        <f t="shared" si="5"/>
        <v>0</v>
      </c>
    </row>
    <row r="382" spans="1:4" x14ac:dyDescent="0.3">
      <c r="A382" s="10"/>
      <c r="B382" s="10">
        <f>SUMIFS('دفتر اليومية'!K:K, 'دفتر اليومية'!H:H, A382, 'دفتر اليومية'!E:E, "مبيعات اجل")</f>
        <v>0</v>
      </c>
      <c r="C382" s="10">
        <f>SUMIFS('دفتر اليومية'!L:L, 'دفتر اليومية'!H:H, A382, 'دفتر اليومية'!E:E, "مبيعات اجل")</f>
        <v>0</v>
      </c>
      <c r="D382" s="108">
        <f t="shared" si="5"/>
        <v>0</v>
      </c>
    </row>
    <row r="383" spans="1:4" x14ac:dyDescent="0.3">
      <c r="A383" s="10"/>
      <c r="B383" s="10">
        <f>SUMIFS('دفتر اليومية'!K:K, 'دفتر اليومية'!H:H, A383, 'دفتر اليومية'!E:E, "مبيعات اجل")</f>
        <v>0</v>
      </c>
      <c r="C383" s="10">
        <f>SUMIFS('دفتر اليومية'!L:L, 'دفتر اليومية'!H:H, A383, 'دفتر اليومية'!E:E, "مبيعات اجل")</f>
        <v>0</v>
      </c>
      <c r="D383" s="108">
        <f t="shared" si="5"/>
        <v>0</v>
      </c>
    </row>
    <row r="384" spans="1:4" x14ac:dyDescent="0.3">
      <c r="A384" s="10"/>
      <c r="B384" s="10">
        <f>SUMIFS('دفتر اليومية'!K:K, 'دفتر اليومية'!H:H, A384, 'دفتر اليومية'!E:E, "مبيعات اجل")</f>
        <v>0</v>
      </c>
      <c r="C384" s="10">
        <f>SUMIFS('دفتر اليومية'!L:L, 'دفتر اليومية'!H:H, A384, 'دفتر اليومية'!E:E, "مبيعات اجل")</f>
        <v>0</v>
      </c>
      <c r="D384" s="108">
        <f t="shared" si="5"/>
        <v>0</v>
      </c>
    </row>
    <row r="385" spans="1:4" x14ac:dyDescent="0.3">
      <c r="A385" s="10"/>
      <c r="B385" s="10">
        <f>SUMIFS('دفتر اليومية'!K:K, 'دفتر اليومية'!H:H, A385, 'دفتر اليومية'!E:E, "مبيعات اجل")</f>
        <v>0</v>
      </c>
      <c r="C385" s="10">
        <f>SUMIFS('دفتر اليومية'!L:L, 'دفتر اليومية'!H:H, A385, 'دفتر اليومية'!E:E, "مبيعات اجل")</f>
        <v>0</v>
      </c>
      <c r="D385" s="108">
        <f t="shared" si="5"/>
        <v>0</v>
      </c>
    </row>
    <row r="386" spans="1:4" x14ac:dyDescent="0.3">
      <c r="A386" s="10"/>
      <c r="B386" s="10">
        <f>SUMIFS('دفتر اليومية'!K:K, 'دفتر اليومية'!H:H, A386, 'دفتر اليومية'!E:E, "مبيعات اجل")</f>
        <v>0</v>
      </c>
      <c r="C386" s="10">
        <f>SUMIFS('دفتر اليومية'!L:L, 'دفتر اليومية'!H:H, A386, 'دفتر اليومية'!E:E, "مبيعات اجل")</f>
        <v>0</v>
      </c>
      <c r="D386" s="108">
        <f t="shared" si="5"/>
        <v>0</v>
      </c>
    </row>
    <row r="387" spans="1:4" x14ac:dyDescent="0.3">
      <c r="A387" s="10"/>
      <c r="B387" s="10">
        <f>SUMIFS('دفتر اليومية'!K:K, 'دفتر اليومية'!H:H, A387, 'دفتر اليومية'!E:E, "مبيعات اجل")</f>
        <v>0</v>
      </c>
      <c r="C387" s="10">
        <f>SUMIFS('دفتر اليومية'!L:L, 'دفتر اليومية'!H:H, A387, 'دفتر اليومية'!E:E, "مبيعات اجل")</f>
        <v>0</v>
      </c>
      <c r="D387" s="108">
        <f t="shared" ref="D387:D450" si="6">B387-C387</f>
        <v>0</v>
      </c>
    </row>
    <row r="388" spans="1:4" x14ac:dyDescent="0.3">
      <c r="A388" s="10"/>
      <c r="B388" s="10">
        <f>SUMIFS('دفتر اليومية'!K:K, 'دفتر اليومية'!H:H, A388, 'دفتر اليومية'!E:E, "مبيعات اجل")</f>
        <v>0</v>
      </c>
      <c r="C388" s="10">
        <f>SUMIFS('دفتر اليومية'!L:L, 'دفتر اليومية'!H:H, A388, 'دفتر اليومية'!E:E, "مبيعات اجل")</f>
        <v>0</v>
      </c>
      <c r="D388" s="108">
        <f t="shared" si="6"/>
        <v>0</v>
      </c>
    </row>
    <row r="389" spans="1:4" x14ac:dyDescent="0.3">
      <c r="A389" s="10"/>
      <c r="B389" s="10">
        <f>SUMIFS('دفتر اليومية'!K:K, 'دفتر اليومية'!H:H, A389, 'دفتر اليومية'!E:E, "مبيعات اجل")</f>
        <v>0</v>
      </c>
      <c r="C389" s="10">
        <f>SUMIFS('دفتر اليومية'!L:L, 'دفتر اليومية'!H:H, A389, 'دفتر اليومية'!E:E, "مبيعات اجل")</f>
        <v>0</v>
      </c>
      <c r="D389" s="108">
        <f t="shared" si="6"/>
        <v>0</v>
      </c>
    </row>
    <row r="390" spans="1:4" x14ac:dyDescent="0.3">
      <c r="A390" s="10"/>
      <c r="B390" s="10">
        <f>SUMIFS('دفتر اليومية'!K:K, 'دفتر اليومية'!H:H, A390, 'دفتر اليومية'!E:E, "مبيعات اجل")</f>
        <v>0</v>
      </c>
      <c r="C390" s="10">
        <f>SUMIFS('دفتر اليومية'!L:L, 'دفتر اليومية'!H:H, A390, 'دفتر اليومية'!E:E, "مبيعات اجل")</f>
        <v>0</v>
      </c>
      <c r="D390" s="108">
        <f t="shared" si="6"/>
        <v>0</v>
      </c>
    </row>
    <row r="391" spans="1:4" x14ac:dyDescent="0.3">
      <c r="A391" s="10"/>
      <c r="B391" s="10">
        <f>SUMIFS('دفتر اليومية'!K:K, 'دفتر اليومية'!H:H, A391, 'دفتر اليومية'!E:E, "مبيعات اجل")</f>
        <v>0</v>
      </c>
      <c r="C391" s="10">
        <f>SUMIFS('دفتر اليومية'!L:L, 'دفتر اليومية'!H:H, A391, 'دفتر اليومية'!E:E, "مبيعات اجل")</f>
        <v>0</v>
      </c>
      <c r="D391" s="108">
        <f t="shared" si="6"/>
        <v>0</v>
      </c>
    </row>
    <row r="392" spans="1:4" x14ac:dyDescent="0.3">
      <c r="A392" s="10"/>
      <c r="B392" s="10">
        <f>SUMIFS('دفتر اليومية'!K:K, 'دفتر اليومية'!H:H, A392, 'دفتر اليومية'!E:E, "مبيعات اجل")</f>
        <v>0</v>
      </c>
      <c r="C392" s="10">
        <f>SUMIFS('دفتر اليومية'!L:L, 'دفتر اليومية'!H:H, A392, 'دفتر اليومية'!E:E, "مبيعات اجل")</f>
        <v>0</v>
      </c>
      <c r="D392" s="108">
        <f t="shared" si="6"/>
        <v>0</v>
      </c>
    </row>
    <row r="393" spans="1:4" x14ac:dyDescent="0.3">
      <c r="A393" s="10"/>
      <c r="B393" s="10">
        <f>SUMIFS('دفتر اليومية'!K:K, 'دفتر اليومية'!H:H, A393, 'دفتر اليومية'!E:E, "مبيعات اجل")</f>
        <v>0</v>
      </c>
      <c r="C393" s="10">
        <f>SUMIFS('دفتر اليومية'!L:L, 'دفتر اليومية'!H:H, A393, 'دفتر اليومية'!E:E, "مبيعات اجل")</f>
        <v>0</v>
      </c>
      <c r="D393" s="108">
        <f t="shared" si="6"/>
        <v>0</v>
      </c>
    </row>
    <row r="394" spans="1:4" x14ac:dyDescent="0.3">
      <c r="A394" s="10"/>
      <c r="B394" s="10">
        <f>SUMIFS('دفتر اليومية'!K:K, 'دفتر اليومية'!H:H, A394, 'دفتر اليومية'!E:E, "مبيعات اجل")</f>
        <v>0</v>
      </c>
      <c r="C394" s="10">
        <f>SUMIFS('دفتر اليومية'!L:L, 'دفتر اليومية'!H:H, A394, 'دفتر اليومية'!E:E, "مبيعات اجل")</f>
        <v>0</v>
      </c>
      <c r="D394" s="108">
        <f t="shared" si="6"/>
        <v>0</v>
      </c>
    </row>
    <row r="395" spans="1:4" x14ac:dyDescent="0.3">
      <c r="A395" s="10"/>
      <c r="B395" s="10">
        <f>SUMIFS('دفتر اليومية'!K:K, 'دفتر اليومية'!H:H, A395, 'دفتر اليومية'!E:E, "مبيعات اجل")</f>
        <v>0</v>
      </c>
      <c r="C395" s="10">
        <f>SUMIFS('دفتر اليومية'!L:L, 'دفتر اليومية'!H:H, A395, 'دفتر اليومية'!E:E, "مبيعات اجل")</f>
        <v>0</v>
      </c>
      <c r="D395" s="108">
        <f t="shared" si="6"/>
        <v>0</v>
      </c>
    </row>
    <row r="396" spans="1:4" x14ac:dyDescent="0.3">
      <c r="A396" s="10"/>
      <c r="B396" s="10">
        <f>SUMIFS('دفتر اليومية'!K:K, 'دفتر اليومية'!H:H, A396, 'دفتر اليومية'!E:E, "مبيعات اجل")</f>
        <v>0</v>
      </c>
      <c r="C396" s="10">
        <f>SUMIFS('دفتر اليومية'!L:L, 'دفتر اليومية'!H:H, A396, 'دفتر اليومية'!E:E, "مبيعات اجل")</f>
        <v>0</v>
      </c>
      <c r="D396" s="108">
        <f t="shared" si="6"/>
        <v>0</v>
      </c>
    </row>
    <row r="397" spans="1:4" x14ac:dyDescent="0.3">
      <c r="A397" s="10"/>
      <c r="B397" s="10">
        <f>SUMIFS('دفتر اليومية'!K:K, 'دفتر اليومية'!H:H, A397, 'دفتر اليومية'!E:E, "مبيعات اجل")</f>
        <v>0</v>
      </c>
      <c r="C397" s="10">
        <f>SUMIFS('دفتر اليومية'!L:L, 'دفتر اليومية'!H:H, A397, 'دفتر اليومية'!E:E, "مبيعات اجل")</f>
        <v>0</v>
      </c>
      <c r="D397" s="108">
        <f t="shared" si="6"/>
        <v>0</v>
      </c>
    </row>
    <row r="398" spans="1:4" x14ac:dyDescent="0.3">
      <c r="A398" s="10"/>
      <c r="B398" s="10">
        <f>SUMIFS('دفتر اليومية'!K:K, 'دفتر اليومية'!H:H, A398, 'دفتر اليومية'!E:E, "مبيعات اجل")</f>
        <v>0</v>
      </c>
      <c r="C398" s="10">
        <f>SUMIFS('دفتر اليومية'!L:L, 'دفتر اليومية'!H:H, A398, 'دفتر اليومية'!E:E, "مبيعات اجل")</f>
        <v>0</v>
      </c>
      <c r="D398" s="108">
        <f t="shared" si="6"/>
        <v>0</v>
      </c>
    </row>
    <row r="399" spans="1:4" x14ac:dyDescent="0.3">
      <c r="A399" s="10"/>
      <c r="B399" s="10">
        <f>SUMIFS('دفتر اليومية'!K:K, 'دفتر اليومية'!H:H, A399, 'دفتر اليومية'!E:E, "مبيعات اجل")</f>
        <v>0</v>
      </c>
      <c r="C399" s="10">
        <f>SUMIFS('دفتر اليومية'!L:L, 'دفتر اليومية'!H:H, A399, 'دفتر اليومية'!E:E, "مبيعات اجل")</f>
        <v>0</v>
      </c>
      <c r="D399" s="108">
        <f t="shared" si="6"/>
        <v>0</v>
      </c>
    </row>
    <row r="400" spans="1:4" x14ac:dyDescent="0.3">
      <c r="A400" s="10"/>
      <c r="B400" s="10">
        <f>SUMIFS('دفتر اليومية'!K:K, 'دفتر اليومية'!H:H, A400, 'دفتر اليومية'!E:E, "مبيعات اجل")</f>
        <v>0</v>
      </c>
      <c r="C400" s="10">
        <f>SUMIFS('دفتر اليومية'!L:L, 'دفتر اليومية'!H:H, A400, 'دفتر اليومية'!E:E, "مبيعات اجل")</f>
        <v>0</v>
      </c>
      <c r="D400" s="108">
        <f t="shared" si="6"/>
        <v>0</v>
      </c>
    </row>
    <row r="401" spans="1:4" x14ac:dyDescent="0.3">
      <c r="A401" s="10"/>
      <c r="B401" s="10">
        <f>SUMIFS('دفتر اليومية'!K:K, 'دفتر اليومية'!H:H, A401, 'دفتر اليومية'!E:E, "مبيعات اجل")</f>
        <v>0</v>
      </c>
      <c r="C401" s="10">
        <f>SUMIFS('دفتر اليومية'!L:L, 'دفتر اليومية'!H:H, A401, 'دفتر اليومية'!E:E, "مبيعات اجل")</f>
        <v>0</v>
      </c>
      <c r="D401" s="108">
        <f t="shared" si="6"/>
        <v>0</v>
      </c>
    </row>
    <row r="402" spans="1:4" x14ac:dyDescent="0.3">
      <c r="A402" s="10"/>
      <c r="B402" s="10">
        <f>SUMIFS('دفتر اليومية'!K:K, 'دفتر اليومية'!H:H, A402, 'دفتر اليومية'!E:E, "مبيعات اجل")</f>
        <v>0</v>
      </c>
      <c r="C402" s="10">
        <f>SUMIFS('دفتر اليومية'!L:L, 'دفتر اليومية'!H:H, A402, 'دفتر اليومية'!E:E, "مبيعات اجل")</f>
        <v>0</v>
      </c>
      <c r="D402" s="108">
        <f t="shared" si="6"/>
        <v>0</v>
      </c>
    </row>
    <row r="403" spans="1:4" x14ac:dyDescent="0.3">
      <c r="A403" s="10"/>
      <c r="B403" s="10">
        <f>SUMIFS('دفتر اليومية'!K:K, 'دفتر اليومية'!H:H, A403, 'دفتر اليومية'!E:E, "مبيعات اجل")</f>
        <v>0</v>
      </c>
      <c r="C403" s="10">
        <f>SUMIFS('دفتر اليومية'!L:L, 'دفتر اليومية'!H:H, A403, 'دفتر اليومية'!E:E, "مبيعات اجل")</f>
        <v>0</v>
      </c>
      <c r="D403" s="108">
        <f t="shared" si="6"/>
        <v>0</v>
      </c>
    </row>
    <row r="404" spans="1:4" x14ac:dyDescent="0.3">
      <c r="A404" s="10"/>
      <c r="B404" s="10">
        <f>SUMIFS('دفتر اليومية'!K:K, 'دفتر اليومية'!H:H, A404, 'دفتر اليومية'!E:E, "مبيعات اجل")</f>
        <v>0</v>
      </c>
      <c r="C404" s="10">
        <f>SUMIFS('دفتر اليومية'!L:L, 'دفتر اليومية'!H:H, A404, 'دفتر اليومية'!E:E, "مبيعات اجل")</f>
        <v>0</v>
      </c>
      <c r="D404" s="108">
        <f t="shared" si="6"/>
        <v>0</v>
      </c>
    </row>
    <row r="405" spans="1:4" x14ac:dyDescent="0.3">
      <c r="A405" s="10"/>
      <c r="B405" s="10">
        <f>SUMIFS('دفتر اليومية'!K:K, 'دفتر اليومية'!H:H, A405, 'دفتر اليومية'!E:E, "مبيعات اجل")</f>
        <v>0</v>
      </c>
      <c r="C405" s="10">
        <f>SUMIFS('دفتر اليومية'!L:L, 'دفتر اليومية'!H:H, A405, 'دفتر اليومية'!E:E, "مبيعات اجل")</f>
        <v>0</v>
      </c>
      <c r="D405" s="108">
        <f t="shared" si="6"/>
        <v>0</v>
      </c>
    </row>
    <row r="406" spans="1:4" x14ac:dyDescent="0.3">
      <c r="A406" s="10"/>
      <c r="B406" s="10">
        <f>SUMIFS('دفتر اليومية'!K:K, 'دفتر اليومية'!H:H, A406, 'دفتر اليومية'!E:E, "مبيعات اجل")</f>
        <v>0</v>
      </c>
      <c r="C406" s="10">
        <f>SUMIFS('دفتر اليومية'!L:L, 'دفتر اليومية'!H:H, A406, 'دفتر اليومية'!E:E, "مبيعات اجل")</f>
        <v>0</v>
      </c>
      <c r="D406" s="108">
        <f t="shared" si="6"/>
        <v>0</v>
      </c>
    </row>
    <row r="407" spans="1:4" x14ac:dyDescent="0.3">
      <c r="A407" s="10"/>
      <c r="B407" s="10">
        <f>SUMIFS('دفتر اليومية'!K:K, 'دفتر اليومية'!H:H, A407, 'دفتر اليومية'!E:E, "مبيعات اجل")</f>
        <v>0</v>
      </c>
      <c r="C407" s="10">
        <f>SUMIFS('دفتر اليومية'!L:L, 'دفتر اليومية'!H:H, A407, 'دفتر اليومية'!E:E, "مبيعات اجل")</f>
        <v>0</v>
      </c>
      <c r="D407" s="108">
        <f t="shared" si="6"/>
        <v>0</v>
      </c>
    </row>
    <row r="408" spans="1:4" x14ac:dyDescent="0.3">
      <c r="A408" s="10"/>
      <c r="B408" s="10">
        <f>SUMIFS('دفتر اليومية'!K:K, 'دفتر اليومية'!H:H, A408, 'دفتر اليومية'!E:E, "مبيعات اجل")</f>
        <v>0</v>
      </c>
      <c r="C408" s="10">
        <f>SUMIFS('دفتر اليومية'!L:L, 'دفتر اليومية'!H:H, A408, 'دفتر اليومية'!E:E, "مبيعات اجل")</f>
        <v>0</v>
      </c>
      <c r="D408" s="108">
        <f t="shared" si="6"/>
        <v>0</v>
      </c>
    </row>
    <row r="409" spans="1:4" x14ac:dyDescent="0.3">
      <c r="A409" s="10"/>
      <c r="B409" s="10">
        <f>SUMIFS('دفتر اليومية'!K:K, 'دفتر اليومية'!H:H, A409, 'دفتر اليومية'!E:E, "مبيعات اجل")</f>
        <v>0</v>
      </c>
      <c r="C409" s="10">
        <f>SUMIFS('دفتر اليومية'!L:L, 'دفتر اليومية'!H:H, A409, 'دفتر اليومية'!E:E, "مبيعات اجل")</f>
        <v>0</v>
      </c>
      <c r="D409" s="108">
        <f t="shared" si="6"/>
        <v>0</v>
      </c>
    </row>
    <row r="410" spans="1:4" x14ac:dyDescent="0.3">
      <c r="A410" s="10"/>
      <c r="B410" s="10">
        <f>SUMIFS('دفتر اليومية'!K:K, 'دفتر اليومية'!H:H, A410, 'دفتر اليومية'!E:E, "مبيعات اجل")</f>
        <v>0</v>
      </c>
      <c r="C410" s="10">
        <f>SUMIFS('دفتر اليومية'!L:L, 'دفتر اليومية'!H:H, A410, 'دفتر اليومية'!E:E, "مبيعات اجل")</f>
        <v>0</v>
      </c>
      <c r="D410" s="108">
        <f t="shared" si="6"/>
        <v>0</v>
      </c>
    </row>
    <row r="411" spans="1:4" x14ac:dyDescent="0.3">
      <c r="A411" s="10"/>
      <c r="B411" s="10">
        <f>SUMIFS('دفتر اليومية'!K:K, 'دفتر اليومية'!H:H, A411, 'دفتر اليومية'!E:E, "مبيعات اجل")</f>
        <v>0</v>
      </c>
      <c r="C411" s="10">
        <f>SUMIFS('دفتر اليومية'!L:L, 'دفتر اليومية'!H:H, A411, 'دفتر اليومية'!E:E, "مبيعات اجل")</f>
        <v>0</v>
      </c>
      <c r="D411" s="108">
        <f t="shared" si="6"/>
        <v>0</v>
      </c>
    </row>
    <row r="412" spans="1:4" x14ac:dyDescent="0.3">
      <c r="A412" s="10"/>
      <c r="B412" s="10">
        <f>SUMIFS('دفتر اليومية'!K:K, 'دفتر اليومية'!H:H, A412, 'دفتر اليومية'!E:E, "مبيعات اجل")</f>
        <v>0</v>
      </c>
      <c r="C412" s="10">
        <f>SUMIFS('دفتر اليومية'!L:L, 'دفتر اليومية'!H:H, A412, 'دفتر اليومية'!E:E, "مبيعات اجل")</f>
        <v>0</v>
      </c>
      <c r="D412" s="108">
        <f t="shared" si="6"/>
        <v>0</v>
      </c>
    </row>
    <row r="413" spans="1:4" x14ac:dyDescent="0.3">
      <c r="A413" s="10"/>
      <c r="B413" s="10">
        <f>SUMIFS('دفتر اليومية'!K:K, 'دفتر اليومية'!H:H, A413, 'دفتر اليومية'!E:E, "مبيعات اجل")</f>
        <v>0</v>
      </c>
      <c r="C413" s="10">
        <f>SUMIFS('دفتر اليومية'!L:L, 'دفتر اليومية'!H:H, A413, 'دفتر اليومية'!E:E, "مبيعات اجل")</f>
        <v>0</v>
      </c>
      <c r="D413" s="108">
        <f t="shared" si="6"/>
        <v>0</v>
      </c>
    </row>
    <row r="414" spans="1:4" x14ac:dyDescent="0.3">
      <c r="A414" s="10"/>
      <c r="B414" s="10">
        <f>SUMIFS('دفتر اليومية'!K:K, 'دفتر اليومية'!H:H, A414, 'دفتر اليومية'!E:E, "مبيعات اجل")</f>
        <v>0</v>
      </c>
      <c r="C414" s="10">
        <f>SUMIFS('دفتر اليومية'!L:L, 'دفتر اليومية'!H:H, A414, 'دفتر اليومية'!E:E, "مبيعات اجل")</f>
        <v>0</v>
      </c>
      <c r="D414" s="108">
        <f t="shared" si="6"/>
        <v>0</v>
      </c>
    </row>
    <row r="415" spans="1:4" x14ac:dyDescent="0.3">
      <c r="A415" s="10"/>
      <c r="B415" s="10">
        <f>SUMIFS('دفتر اليومية'!K:K, 'دفتر اليومية'!H:H, A415, 'دفتر اليومية'!E:E, "مبيعات اجل")</f>
        <v>0</v>
      </c>
      <c r="C415" s="10">
        <f>SUMIFS('دفتر اليومية'!L:L, 'دفتر اليومية'!H:H, A415, 'دفتر اليومية'!E:E, "مبيعات اجل")</f>
        <v>0</v>
      </c>
      <c r="D415" s="108">
        <f t="shared" si="6"/>
        <v>0</v>
      </c>
    </row>
    <row r="416" spans="1:4" x14ac:dyDescent="0.3">
      <c r="A416" s="10"/>
      <c r="B416" s="10">
        <f>SUMIFS('دفتر اليومية'!K:K, 'دفتر اليومية'!H:H, A416, 'دفتر اليومية'!E:E, "مبيعات اجل")</f>
        <v>0</v>
      </c>
      <c r="C416" s="10">
        <f>SUMIFS('دفتر اليومية'!L:L, 'دفتر اليومية'!H:H, A416, 'دفتر اليومية'!E:E, "مبيعات اجل")</f>
        <v>0</v>
      </c>
      <c r="D416" s="108">
        <f t="shared" si="6"/>
        <v>0</v>
      </c>
    </row>
    <row r="417" spans="1:4" x14ac:dyDescent="0.3">
      <c r="A417" s="10"/>
      <c r="B417" s="10">
        <f>SUMIFS('دفتر اليومية'!K:K, 'دفتر اليومية'!H:H, A417, 'دفتر اليومية'!E:E, "مبيعات اجل")</f>
        <v>0</v>
      </c>
      <c r="C417" s="10">
        <f>SUMIFS('دفتر اليومية'!L:L, 'دفتر اليومية'!H:H, A417, 'دفتر اليومية'!E:E, "مبيعات اجل")</f>
        <v>0</v>
      </c>
      <c r="D417" s="108">
        <f t="shared" si="6"/>
        <v>0</v>
      </c>
    </row>
    <row r="418" spans="1:4" x14ac:dyDescent="0.3">
      <c r="A418" s="10"/>
      <c r="B418" s="10">
        <f>SUMIFS('دفتر اليومية'!K:K, 'دفتر اليومية'!H:H, A418, 'دفتر اليومية'!E:E, "مبيعات اجل")</f>
        <v>0</v>
      </c>
      <c r="C418" s="10">
        <f>SUMIFS('دفتر اليومية'!L:L, 'دفتر اليومية'!H:H, A418, 'دفتر اليومية'!E:E, "مبيعات اجل")</f>
        <v>0</v>
      </c>
      <c r="D418" s="108">
        <f t="shared" si="6"/>
        <v>0</v>
      </c>
    </row>
    <row r="419" spans="1:4" x14ac:dyDescent="0.3">
      <c r="A419" s="10"/>
      <c r="B419" s="10">
        <f>SUMIFS('دفتر اليومية'!K:K, 'دفتر اليومية'!H:H, A419, 'دفتر اليومية'!E:E, "مبيعات اجل")</f>
        <v>0</v>
      </c>
      <c r="C419" s="10">
        <f>SUMIFS('دفتر اليومية'!L:L, 'دفتر اليومية'!H:H, A419, 'دفتر اليومية'!E:E, "مبيعات اجل")</f>
        <v>0</v>
      </c>
      <c r="D419" s="108">
        <f t="shared" si="6"/>
        <v>0</v>
      </c>
    </row>
    <row r="420" spans="1:4" x14ac:dyDescent="0.3">
      <c r="A420" s="10"/>
      <c r="B420" s="10">
        <f>SUMIFS('دفتر اليومية'!K:K, 'دفتر اليومية'!H:H, A420, 'دفتر اليومية'!E:E, "مبيعات اجل")</f>
        <v>0</v>
      </c>
      <c r="C420" s="10">
        <f>SUMIFS('دفتر اليومية'!L:L, 'دفتر اليومية'!H:H, A420, 'دفتر اليومية'!E:E, "مبيعات اجل")</f>
        <v>0</v>
      </c>
      <c r="D420" s="108">
        <f t="shared" si="6"/>
        <v>0</v>
      </c>
    </row>
    <row r="421" spans="1:4" x14ac:dyDescent="0.3">
      <c r="A421" s="10"/>
      <c r="B421" s="10">
        <f>SUMIFS('دفتر اليومية'!K:K, 'دفتر اليومية'!H:H, A421, 'دفتر اليومية'!E:E, "مبيعات اجل")</f>
        <v>0</v>
      </c>
      <c r="C421" s="10">
        <f>SUMIFS('دفتر اليومية'!L:L, 'دفتر اليومية'!H:H, A421, 'دفتر اليومية'!E:E, "مبيعات اجل")</f>
        <v>0</v>
      </c>
      <c r="D421" s="108">
        <f t="shared" si="6"/>
        <v>0</v>
      </c>
    </row>
    <row r="422" spans="1:4" x14ac:dyDescent="0.3">
      <c r="A422" s="10"/>
      <c r="B422" s="10">
        <f>SUMIFS('دفتر اليومية'!K:K, 'دفتر اليومية'!H:H, A422, 'دفتر اليومية'!E:E, "مبيعات اجل")</f>
        <v>0</v>
      </c>
      <c r="C422" s="10">
        <f>SUMIFS('دفتر اليومية'!L:L, 'دفتر اليومية'!H:H, A422, 'دفتر اليومية'!E:E, "مبيعات اجل")</f>
        <v>0</v>
      </c>
      <c r="D422" s="108">
        <f t="shared" si="6"/>
        <v>0</v>
      </c>
    </row>
    <row r="423" spans="1:4" x14ac:dyDescent="0.3">
      <c r="A423" s="10"/>
      <c r="B423" s="10">
        <f>SUMIFS('دفتر اليومية'!K:K, 'دفتر اليومية'!H:H, A423, 'دفتر اليومية'!E:E, "مبيعات اجل")</f>
        <v>0</v>
      </c>
      <c r="C423" s="10">
        <f>SUMIFS('دفتر اليومية'!L:L, 'دفتر اليومية'!H:H, A423, 'دفتر اليومية'!E:E, "مبيعات اجل")</f>
        <v>0</v>
      </c>
      <c r="D423" s="108">
        <f t="shared" si="6"/>
        <v>0</v>
      </c>
    </row>
    <row r="424" spans="1:4" x14ac:dyDescent="0.3">
      <c r="A424" s="10"/>
      <c r="B424" s="10">
        <f>SUMIFS('دفتر اليومية'!K:K, 'دفتر اليومية'!H:H, A424, 'دفتر اليومية'!E:E, "مبيعات اجل")</f>
        <v>0</v>
      </c>
      <c r="C424" s="10">
        <f>SUMIFS('دفتر اليومية'!L:L, 'دفتر اليومية'!H:H, A424, 'دفتر اليومية'!E:E, "مبيعات اجل")</f>
        <v>0</v>
      </c>
      <c r="D424" s="108">
        <f t="shared" si="6"/>
        <v>0</v>
      </c>
    </row>
    <row r="425" spans="1:4" x14ac:dyDescent="0.3">
      <c r="A425" s="10"/>
      <c r="B425" s="10">
        <f>SUMIFS('دفتر اليومية'!K:K, 'دفتر اليومية'!H:H, A425, 'دفتر اليومية'!E:E, "مبيعات اجل")</f>
        <v>0</v>
      </c>
      <c r="C425" s="10">
        <f>SUMIFS('دفتر اليومية'!L:L, 'دفتر اليومية'!H:H, A425, 'دفتر اليومية'!E:E, "مبيعات اجل")</f>
        <v>0</v>
      </c>
      <c r="D425" s="108">
        <f t="shared" si="6"/>
        <v>0</v>
      </c>
    </row>
    <row r="426" spans="1:4" x14ac:dyDescent="0.3">
      <c r="A426" s="10"/>
      <c r="B426" s="10">
        <f>SUMIFS('دفتر اليومية'!K:K, 'دفتر اليومية'!H:H, A426, 'دفتر اليومية'!E:E, "مبيعات اجل")</f>
        <v>0</v>
      </c>
      <c r="C426" s="10">
        <f>SUMIFS('دفتر اليومية'!L:L, 'دفتر اليومية'!H:H, A426, 'دفتر اليومية'!E:E, "مبيعات اجل")</f>
        <v>0</v>
      </c>
      <c r="D426" s="108">
        <f t="shared" si="6"/>
        <v>0</v>
      </c>
    </row>
    <row r="427" spans="1:4" x14ac:dyDescent="0.3">
      <c r="A427" s="10"/>
      <c r="B427" s="10">
        <f>SUMIFS('دفتر اليومية'!K:K, 'دفتر اليومية'!H:H, A427, 'دفتر اليومية'!E:E, "مبيعات اجل")</f>
        <v>0</v>
      </c>
      <c r="C427" s="10">
        <f>SUMIFS('دفتر اليومية'!L:L, 'دفتر اليومية'!H:H, A427, 'دفتر اليومية'!E:E, "مبيعات اجل")</f>
        <v>0</v>
      </c>
      <c r="D427" s="108">
        <f t="shared" si="6"/>
        <v>0</v>
      </c>
    </row>
    <row r="428" spans="1:4" x14ac:dyDescent="0.3">
      <c r="A428" s="10"/>
      <c r="B428" s="10">
        <f>SUMIFS('دفتر اليومية'!K:K, 'دفتر اليومية'!H:H, A428, 'دفتر اليومية'!E:E, "مبيعات اجل")</f>
        <v>0</v>
      </c>
      <c r="C428" s="10">
        <f>SUMIFS('دفتر اليومية'!L:L, 'دفتر اليومية'!H:H, A428, 'دفتر اليومية'!E:E, "مبيعات اجل")</f>
        <v>0</v>
      </c>
      <c r="D428" s="108">
        <f t="shared" si="6"/>
        <v>0</v>
      </c>
    </row>
    <row r="429" spans="1:4" x14ac:dyDescent="0.3">
      <c r="A429" s="10"/>
      <c r="B429" s="10">
        <f>SUMIFS('دفتر اليومية'!K:K, 'دفتر اليومية'!H:H, A429, 'دفتر اليومية'!E:E, "مبيعات اجل")</f>
        <v>0</v>
      </c>
      <c r="C429" s="10">
        <f>SUMIFS('دفتر اليومية'!L:L, 'دفتر اليومية'!H:H, A429, 'دفتر اليومية'!E:E, "مبيعات اجل")</f>
        <v>0</v>
      </c>
      <c r="D429" s="108">
        <f t="shared" si="6"/>
        <v>0</v>
      </c>
    </row>
    <row r="430" spans="1:4" x14ac:dyDescent="0.3">
      <c r="A430" s="10"/>
      <c r="B430" s="10">
        <f>SUMIFS('دفتر اليومية'!K:K, 'دفتر اليومية'!H:H, A430, 'دفتر اليومية'!E:E, "مبيعات اجل")</f>
        <v>0</v>
      </c>
      <c r="C430" s="10">
        <f>SUMIFS('دفتر اليومية'!L:L, 'دفتر اليومية'!H:H, A430, 'دفتر اليومية'!E:E, "مبيعات اجل")</f>
        <v>0</v>
      </c>
      <c r="D430" s="108">
        <f t="shared" si="6"/>
        <v>0</v>
      </c>
    </row>
    <row r="431" spans="1:4" x14ac:dyDescent="0.3">
      <c r="A431" s="10"/>
      <c r="B431" s="10">
        <f>SUMIFS('دفتر اليومية'!K:K, 'دفتر اليومية'!H:H, A431, 'دفتر اليومية'!E:E, "مبيعات اجل")</f>
        <v>0</v>
      </c>
      <c r="C431" s="10">
        <f>SUMIFS('دفتر اليومية'!L:L, 'دفتر اليومية'!H:H, A431, 'دفتر اليومية'!E:E, "مبيعات اجل")</f>
        <v>0</v>
      </c>
      <c r="D431" s="108">
        <f t="shared" si="6"/>
        <v>0</v>
      </c>
    </row>
    <row r="432" spans="1:4" x14ac:dyDescent="0.3">
      <c r="A432" s="10"/>
      <c r="B432" s="10">
        <f>SUMIFS('دفتر اليومية'!K:K, 'دفتر اليومية'!H:H, A432, 'دفتر اليومية'!E:E, "مبيعات اجل")</f>
        <v>0</v>
      </c>
      <c r="C432" s="10">
        <f>SUMIFS('دفتر اليومية'!L:L, 'دفتر اليومية'!H:H, A432, 'دفتر اليومية'!E:E, "مبيعات اجل")</f>
        <v>0</v>
      </c>
      <c r="D432" s="108">
        <f t="shared" si="6"/>
        <v>0</v>
      </c>
    </row>
    <row r="433" spans="1:4" x14ac:dyDescent="0.3">
      <c r="A433" s="10"/>
      <c r="B433" s="10">
        <f>SUMIFS('دفتر اليومية'!K:K, 'دفتر اليومية'!H:H, A433, 'دفتر اليومية'!E:E, "مبيعات اجل")</f>
        <v>0</v>
      </c>
      <c r="C433" s="10">
        <f>SUMIFS('دفتر اليومية'!L:L, 'دفتر اليومية'!H:H, A433, 'دفتر اليومية'!E:E, "مبيعات اجل")</f>
        <v>0</v>
      </c>
      <c r="D433" s="108">
        <f t="shared" si="6"/>
        <v>0</v>
      </c>
    </row>
    <row r="434" spans="1:4" x14ac:dyDescent="0.3">
      <c r="A434" s="10"/>
      <c r="B434" s="10">
        <f>SUMIFS('دفتر اليومية'!K:K, 'دفتر اليومية'!H:H, A434, 'دفتر اليومية'!E:E, "مبيعات اجل")</f>
        <v>0</v>
      </c>
      <c r="C434" s="10">
        <f>SUMIFS('دفتر اليومية'!L:L, 'دفتر اليومية'!H:H, A434, 'دفتر اليومية'!E:E, "مبيعات اجل")</f>
        <v>0</v>
      </c>
      <c r="D434" s="108">
        <f t="shared" si="6"/>
        <v>0</v>
      </c>
    </row>
    <row r="435" spans="1:4" x14ac:dyDescent="0.3">
      <c r="A435" s="10"/>
      <c r="B435" s="10">
        <f>SUMIFS('دفتر اليومية'!K:K, 'دفتر اليومية'!H:H, A435, 'دفتر اليومية'!E:E, "مبيعات اجل")</f>
        <v>0</v>
      </c>
      <c r="C435" s="10">
        <f>SUMIFS('دفتر اليومية'!L:L, 'دفتر اليومية'!H:H, A435, 'دفتر اليومية'!E:E, "مبيعات اجل")</f>
        <v>0</v>
      </c>
      <c r="D435" s="108">
        <f t="shared" si="6"/>
        <v>0</v>
      </c>
    </row>
    <row r="436" spans="1:4" x14ac:dyDescent="0.3">
      <c r="A436" s="10"/>
      <c r="B436" s="10">
        <f>SUMIFS('دفتر اليومية'!K:K, 'دفتر اليومية'!H:H, A436, 'دفتر اليومية'!E:E, "مبيعات اجل")</f>
        <v>0</v>
      </c>
      <c r="C436" s="10">
        <f>SUMIFS('دفتر اليومية'!L:L, 'دفتر اليومية'!H:H, A436, 'دفتر اليومية'!E:E, "مبيعات اجل")</f>
        <v>0</v>
      </c>
      <c r="D436" s="108">
        <f t="shared" si="6"/>
        <v>0</v>
      </c>
    </row>
    <row r="437" spans="1:4" x14ac:dyDescent="0.3">
      <c r="A437" s="10"/>
      <c r="B437" s="10">
        <f>SUMIFS('دفتر اليومية'!K:K, 'دفتر اليومية'!H:H, A437, 'دفتر اليومية'!E:E, "مبيعات اجل")</f>
        <v>0</v>
      </c>
      <c r="C437" s="10">
        <f>SUMIFS('دفتر اليومية'!L:L, 'دفتر اليومية'!H:H, A437, 'دفتر اليومية'!E:E, "مبيعات اجل")</f>
        <v>0</v>
      </c>
      <c r="D437" s="108">
        <f t="shared" si="6"/>
        <v>0</v>
      </c>
    </row>
    <row r="438" spans="1:4" x14ac:dyDescent="0.3">
      <c r="A438" s="10"/>
      <c r="B438" s="10">
        <f>SUMIFS('دفتر اليومية'!K:K, 'دفتر اليومية'!H:H, A438, 'دفتر اليومية'!E:E, "مبيعات اجل")</f>
        <v>0</v>
      </c>
      <c r="C438" s="10">
        <f>SUMIFS('دفتر اليومية'!L:L, 'دفتر اليومية'!H:H, A438, 'دفتر اليومية'!E:E, "مبيعات اجل")</f>
        <v>0</v>
      </c>
      <c r="D438" s="108">
        <f t="shared" si="6"/>
        <v>0</v>
      </c>
    </row>
    <row r="439" spans="1:4" x14ac:dyDescent="0.3">
      <c r="A439" s="10"/>
      <c r="B439" s="10">
        <f>SUMIFS('دفتر اليومية'!K:K, 'دفتر اليومية'!H:H, A439, 'دفتر اليومية'!E:E, "مبيعات اجل")</f>
        <v>0</v>
      </c>
      <c r="C439" s="10">
        <f>SUMIFS('دفتر اليومية'!L:L, 'دفتر اليومية'!H:H, A439, 'دفتر اليومية'!E:E, "مبيعات اجل")</f>
        <v>0</v>
      </c>
      <c r="D439" s="108">
        <f t="shared" si="6"/>
        <v>0</v>
      </c>
    </row>
    <row r="440" spans="1:4" x14ac:dyDescent="0.3">
      <c r="A440" s="10"/>
      <c r="B440" s="10">
        <f>SUMIFS('دفتر اليومية'!K:K, 'دفتر اليومية'!H:H, A440, 'دفتر اليومية'!E:E, "مبيعات اجل")</f>
        <v>0</v>
      </c>
      <c r="C440" s="10">
        <f>SUMIFS('دفتر اليومية'!L:L, 'دفتر اليومية'!H:H, A440, 'دفتر اليومية'!E:E, "مبيعات اجل")</f>
        <v>0</v>
      </c>
      <c r="D440" s="108">
        <f t="shared" si="6"/>
        <v>0</v>
      </c>
    </row>
    <row r="441" spans="1:4" x14ac:dyDescent="0.3">
      <c r="A441" s="10"/>
      <c r="B441" s="10">
        <f>SUMIFS('دفتر اليومية'!K:K, 'دفتر اليومية'!H:H, A441, 'دفتر اليومية'!E:E, "مبيعات اجل")</f>
        <v>0</v>
      </c>
      <c r="C441" s="10">
        <f>SUMIFS('دفتر اليومية'!L:L, 'دفتر اليومية'!H:H, A441, 'دفتر اليومية'!E:E, "مبيعات اجل")</f>
        <v>0</v>
      </c>
      <c r="D441" s="108">
        <f t="shared" si="6"/>
        <v>0</v>
      </c>
    </row>
    <row r="442" spans="1:4" x14ac:dyDescent="0.3">
      <c r="A442" s="10"/>
      <c r="B442" s="10">
        <f>SUMIFS('دفتر اليومية'!K:K, 'دفتر اليومية'!H:H, A442, 'دفتر اليومية'!E:E, "مبيعات اجل")</f>
        <v>0</v>
      </c>
      <c r="C442" s="10">
        <f>SUMIFS('دفتر اليومية'!L:L, 'دفتر اليومية'!H:H, A442, 'دفتر اليومية'!E:E, "مبيعات اجل")</f>
        <v>0</v>
      </c>
      <c r="D442" s="108">
        <f t="shared" si="6"/>
        <v>0</v>
      </c>
    </row>
    <row r="443" spans="1:4" x14ac:dyDescent="0.3">
      <c r="A443" s="10"/>
      <c r="B443" s="10">
        <f>SUMIFS('دفتر اليومية'!K:K, 'دفتر اليومية'!H:H, A443, 'دفتر اليومية'!E:E, "مبيعات اجل")</f>
        <v>0</v>
      </c>
      <c r="C443" s="10">
        <f>SUMIFS('دفتر اليومية'!L:L, 'دفتر اليومية'!H:H, A443, 'دفتر اليومية'!E:E, "مبيعات اجل")</f>
        <v>0</v>
      </c>
      <c r="D443" s="108">
        <f t="shared" si="6"/>
        <v>0</v>
      </c>
    </row>
    <row r="444" spans="1:4" x14ac:dyDescent="0.3">
      <c r="A444" s="10"/>
      <c r="B444" s="10">
        <f>SUMIFS('دفتر اليومية'!K:K, 'دفتر اليومية'!H:H, A444, 'دفتر اليومية'!E:E, "مبيعات اجل")</f>
        <v>0</v>
      </c>
      <c r="C444" s="10">
        <f>SUMIFS('دفتر اليومية'!L:L, 'دفتر اليومية'!H:H, A444, 'دفتر اليومية'!E:E, "مبيعات اجل")</f>
        <v>0</v>
      </c>
      <c r="D444" s="108">
        <f t="shared" si="6"/>
        <v>0</v>
      </c>
    </row>
    <row r="445" spans="1:4" x14ac:dyDescent="0.3">
      <c r="A445" s="10"/>
      <c r="B445" s="10">
        <f>SUMIFS('دفتر اليومية'!K:K, 'دفتر اليومية'!H:H, A445, 'دفتر اليومية'!E:E, "مبيعات اجل")</f>
        <v>0</v>
      </c>
      <c r="C445" s="10">
        <f>SUMIFS('دفتر اليومية'!L:L, 'دفتر اليومية'!H:H, A445, 'دفتر اليومية'!E:E, "مبيعات اجل")</f>
        <v>0</v>
      </c>
      <c r="D445" s="108">
        <f t="shared" si="6"/>
        <v>0</v>
      </c>
    </row>
    <row r="446" spans="1:4" x14ac:dyDescent="0.3">
      <c r="A446" s="10"/>
      <c r="B446" s="10">
        <f>SUMIFS('دفتر اليومية'!K:K, 'دفتر اليومية'!H:H, A446, 'دفتر اليومية'!E:E, "مبيعات اجل")</f>
        <v>0</v>
      </c>
      <c r="C446" s="10">
        <f>SUMIFS('دفتر اليومية'!L:L, 'دفتر اليومية'!H:H, A446, 'دفتر اليومية'!E:E, "مبيعات اجل")</f>
        <v>0</v>
      </c>
      <c r="D446" s="108">
        <f t="shared" si="6"/>
        <v>0</v>
      </c>
    </row>
    <row r="447" spans="1:4" x14ac:dyDescent="0.3">
      <c r="A447" s="10"/>
      <c r="B447" s="10">
        <f>SUMIFS('دفتر اليومية'!K:K, 'دفتر اليومية'!H:H, A447, 'دفتر اليومية'!E:E, "مبيعات اجل")</f>
        <v>0</v>
      </c>
      <c r="C447" s="10">
        <f>SUMIFS('دفتر اليومية'!L:L, 'دفتر اليومية'!H:H, A447, 'دفتر اليومية'!E:E, "مبيعات اجل")</f>
        <v>0</v>
      </c>
      <c r="D447" s="108">
        <f t="shared" si="6"/>
        <v>0</v>
      </c>
    </row>
    <row r="448" spans="1:4" x14ac:dyDescent="0.3">
      <c r="A448" s="10"/>
      <c r="B448" s="10">
        <f>SUMIFS('دفتر اليومية'!K:K, 'دفتر اليومية'!H:H, A448, 'دفتر اليومية'!E:E, "مبيعات اجل")</f>
        <v>0</v>
      </c>
      <c r="C448" s="10">
        <f>SUMIFS('دفتر اليومية'!L:L, 'دفتر اليومية'!H:H, A448, 'دفتر اليومية'!E:E, "مبيعات اجل")</f>
        <v>0</v>
      </c>
      <c r="D448" s="108">
        <f t="shared" si="6"/>
        <v>0</v>
      </c>
    </row>
    <row r="449" spans="1:4" x14ac:dyDescent="0.3">
      <c r="A449" s="10"/>
      <c r="B449" s="10">
        <f>SUMIFS('دفتر اليومية'!K:K, 'دفتر اليومية'!H:H, A449, 'دفتر اليومية'!E:E, "مبيعات اجل")</f>
        <v>0</v>
      </c>
      <c r="C449" s="10">
        <f>SUMIFS('دفتر اليومية'!L:L, 'دفتر اليومية'!H:H, A449, 'دفتر اليومية'!E:E, "مبيعات اجل")</f>
        <v>0</v>
      </c>
      <c r="D449" s="108">
        <f t="shared" si="6"/>
        <v>0</v>
      </c>
    </row>
    <row r="450" spans="1:4" x14ac:dyDescent="0.3">
      <c r="A450" s="10"/>
      <c r="B450" s="10">
        <f>SUMIFS('دفتر اليومية'!K:K, 'دفتر اليومية'!H:H, A450, 'دفتر اليومية'!E:E, "مبيعات اجل")</f>
        <v>0</v>
      </c>
      <c r="C450" s="10">
        <f>SUMIFS('دفتر اليومية'!L:L, 'دفتر اليومية'!H:H, A450, 'دفتر اليومية'!E:E, "مبيعات اجل")</f>
        <v>0</v>
      </c>
      <c r="D450" s="108">
        <f t="shared" si="6"/>
        <v>0</v>
      </c>
    </row>
    <row r="451" spans="1:4" x14ac:dyDescent="0.3">
      <c r="A451" s="10"/>
      <c r="B451" s="10">
        <f>SUMIFS('دفتر اليومية'!K:K, 'دفتر اليومية'!H:H, A451, 'دفتر اليومية'!E:E, "مبيعات اجل")</f>
        <v>0</v>
      </c>
      <c r="C451" s="10">
        <f>SUMIFS('دفتر اليومية'!L:L, 'دفتر اليومية'!H:H, A451, 'دفتر اليومية'!E:E, "مبيعات اجل")</f>
        <v>0</v>
      </c>
      <c r="D451" s="108">
        <f t="shared" ref="D451:D514" si="7">B451-C451</f>
        <v>0</v>
      </c>
    </row>
    <row r="452" spans="1:4" x14ac:dyDescent="0.3">
      <c r="A452" s="10"/>
      <c r="B452" s="10">
        <f>SUMIFS('دفتر اليومية'!K:K, 'دفتر اليومية'!H:H, A452, 'دفتر اليومية'!E:E, "مبيعات اجل")</f>
        <v>0</v>
      </c>
      <c r="C452" s="10">
        <f>SUMIFS('دفتر اليومية'!L:L, 'دفتر اليومية'!H:H, A452, 'دفتر اليومية'!E:E, "مبيعات اجل")</f>
        <v>0</v>
      </c>
      <c r="D452" s="108">
        <f t="shared" si="7"/>
        <v>0</v>
      </c>
    </row>
    <row r="453" spans="1:4" x14ac:dyDescent="0.3">
      <c r="A453" s="10"/>
      <c r="B453" s="10">
        <f>SUMIFS('دفتر اليومية'!K:K, 'دفتر اليومية'!H:H, A453, 'دفتر اليومية'!E:E, "مبيعات اجل")</f>
        <v>0</v>
      </c>
      <c r="C453" s="10">
        <f>SUMIFS('دفتر اليومية'!L:L, 'دفتر اليومية'!H:H, A453, 'دفتر اليومية'!E:E, "مبيعات اجل")</f>
        <v>0</v>
      </c>
      <c r="D453" s="108">
        <f t="shared" si="7"/>
        <v>0</v>
      </c>
    </row>
    <row r="454" spans="1:4" x14ac:dyDescent="0.3">
      <c r="A454" s="10"/>
      <c r="B454" s="10">
        <f>SUMIFS('دفتر اليومية'!K:K, 'دفتر اليومية'!H:H, A454, 'دفتر اليومية'!E:E, "مبيعات اجل")</f>
        <v>0</v>
      </c>
      <c r="C454" s="10">
        <f>SUMIFS('دفتر اليومية'!L:L, 'دفتر اليومية'!H:H, A454, 'دفتر اليومية'!E:E, "مبيعات اجل")</f>
        <v>0</v>
      </c>
      <c r="D454" s="108">
        <f t="shared" si="7"/>
        <v>0</v>
      </c>
    </row>
    <row r="455" spans="1:4" x14ac:dyDescent="0.3">
      <c r="A455" s="10"/>
      <c r="B455" s="10">
        <f>SUMIFS('دفتر اليومية'!K:K, 'دفتر اليومية'!H:H, A455, 'دفتر اليومية'!E:E, "مبيعات اجل")</f>
        <v>0</v>
      </c>
      <c r="C455" s="10">
        <f>SUMIFS('دفتر اليومية'!L:L, 'دفتر اليومية'!H:H, A455, 'دفتر اليومية'!E:E, "مبيعات اجل")</f>
        <v>0</v>
      </c>
      <c r="D455" s="108">
        <f t="shared" si="7"/>
        <v>0</v>
      </c>
    </row>
    <row r="456" spans="1:4" x14ac:dyDescent="0.3">
      <c r="A456" s="10"/>
      <c r="B456" s="10">
        <f>SUMIFS('دفتر اليومية'!K:K, 'دفتر اليومية'!H:H, A456, 'دفتر اليومية'!E:E, "مبيعات اجل")</f>
        <v>0</v>
      </c>
      <c r="C456" s="10">
        <f>SUMIFS('دفتر اليومية'!L:L, 'دفتر اليومية'!H:H, A456, 'دفتر اليومية'!E:E, "مبيعات اجل")</f>
        <v>0</v>
      </c>
      <c r="D456" s="108">
        <f t="shared" si="7"/>
        <v>0</v>
      </c>
    </row>
    <row r="457" spans="1:4" x14ac:dyDescent="0.3">
      <c r="A457" s="10"/>
      <c r="B457" s="10">
        <f>SUMIFS('دفتر اليومية'!K:K, 'دفتر اليومية'!H:H, A457, 'دفتر اليومية'!E:E, "مبيعات اجل")</f>
        <v>0</v>
      </c>
      <c r="C457" s="10">
        <f>SUMIFS('دفتر اليومية'!L:L, 'دفتر اليومية'!H:H, A457, 'دفتر اليومية'!E:E, "مبيعات اجل")</f>
        <v>0</v>
      </c>
      <c r="D457" s="108">
        <f t="shared" si="7"/>
        <v>0</v>
      </c>
    </row>
    <row r="458" spans="1:4" x14ac:dyDescent="0.3">
      <c r="A458" s="10"/>
      <c r="B458" s="10">
        <f>SUMIFS('دفتر اليومية'!K:K, 'دفتر اليومية'!H:H, A458, 'دفتر اليومية'!E:E, "مبيعات اجل")</f>
        <v>0</v>
      </c>
      <c r="C458" s="10">
        <f>SUMIFS('دفتر اليومية'!L:L, 'دفتر اليومية'!H:H, A458, 'دفتر اليومية'!E:E, "مبيعات اجل")</f>
        <v>0</v>
      </c>
      <c r="D458" s="108">
        <f t="shared" si="7"/>
        <v>0</v>
      </c>
    </row>
    <row r="459" spans="1:4" x14ac:dyDescent="0.3">
      <c r="A459" s="10"/>
      <c r="B459" s="10">
        <f>SUMIFS('دفتر اليومية'!K:K, 'دفتر اليومية'!H:H, A459, 'دفتر اليومية'!E:E, "مبيعات اجل")</f>
        <v>0</v>
      </c>
      <c r="C459" s="10">
        <f>SUMIFS('دفتر اليومية'!L:L, 'دفتر اليومية'!H:H, A459, 'دفتر اليومية'!E:E, "مبيعات اجل")</f>
        <v>0</v>
      </c>
      <c r="D459" s="108">
        <f t="shared" si="7"/>
        <v>0</v>
      </c>
    </row>
    <row r="460" spans="1:4" x14ac:dyDescent="0.3">
      <c r="A460" s="10"/>
      <c r="B460" s="10">
        <f>SUMIFS('دفتر اليومية'!K:K, 'دفتر اليومية'!H:H, A460, 'دفتر اليومية'!E:E, "مبيعات اجل")</f>
        <v>0</v>
      </c>
      <c r="C460" s="10">
        <f>SUMIFS('دفتر اليومية'!L:L, 'دفتر اليومية'!H:H, A460, 'دفتر اليومية'!E:E, "مبيعات اجل")</f>
        <v>0</v>
      </c>
      <c r="D460" s="108">
        <f t="shared" si="7"/>
        <v>0</v>
      </c>
    </row>
    <row r="461" spans="1:4" x14ac:dyDescent="0.3">
      <c r="A461" s="10"/>
      <c r="B461" s="10">
        <f>SUMIFS('دفتر اليومية'!K:K, 'دفتر اليومية'!H:H, A461, 'دفتر اليومية'!E:E, "مبيعات اجل")</f>
        <v>0</v>
      </c>
      <c r="C461" s="10">
        <f>SUMIFS('دفتر اليومية'!L:L, 'دفتر اليومية'!H:H, A461, 'دفتر اليومية'!E:E, "مبيعات اجل")</f>
        <v>0</v>
      </c>
      <c r="D461" s="108">
        <f t="shared" si="7"/>
        <v>0</v>
      </c>
    </row>
    <row r="462" spans="1:4" x14ac:dyDescent="0.3">
      <c r="A462" s="10"/>
      <c r="B462" s="10">
        <f>SUMIFS('دفتر اليومية'!K:K, 'دفتر اليومية'!H:H, A462, 'دفتر اليومية'!E:E, "مبيعات اجل")</f>
        <v>0</v>
      </c>
      <c r="C462" s="10">
        <f>SUMIFS('دفتر اليومية'!L:L, 'دفتر اليومية'!H:H, A462, 'دفتر اليومية'!E:E, "مبيعات اجل")</f>
        <v>0</v>
      </c>
      <c r="D462" s="108">
        <f t="shared" si="7"/>
        <v>0</v>
      </c>
    </row>
    <row r="463" spans="1:4" x14ac:dyDescent="0.3">
      <c r="A463" s="10"/>
      <c r="B463" s="10">
        <f>SUMIFS('دفتر اليومية'!K:K, 'دفتر اليومية'!H:H, A463, 'دفتر اليومية'!E:E, "مبيعات اجل")</f>
        <v>0</v>
      </c>
      <c r="C463" s="10">
        <f>SUMIFS('دفتر اليومية'!L:L, 'دفتر اليومية'!H:H, A463, 'دفتر اليومية'!E:E, "مبيعات اجل")</f>
        <v>0</v>
      </c>
      <c r="D463" s="108">
        <f t="shared" si="7"/>
        <v>0</v>
      </c>
    </row>
    <row r="464" spans="1:4" x14ac:dyDescent="0.3">
      <c r="A464" s="10"/>
      <c r="B464" s="10">
        <f>SUMIFS('دفتر اليومية'!K:K, 'دفتر اليومية'!H:H, A464, 'دفتر اليومية'!E:E, "مبيعات اجل")</f>
        <v>0</v>
      </c>
      <c r="C464" s="10">
        <f>SUMIFS('دفتر اليومية'!L:L, 'دفتر اليومية'!H:H, A464, 'دفتر اليومية'!E:E, "مبيعات اجل")</f>
        <v>0</v>
      </c>
      <c r="D464" s="108">
        <f t="shared" si="7"/>
        <v>0</v>
      </c>
    </row>
    <row r="465" spans="1:4" x14ac:dyDescent="0.3">
      <c r="A465" s="10"/>
      <c r="B465" s="10">
        <f>SUMIFS('دفتر اليومية'!K:K, 'دفتر اليومية'!H:H, A465, 'دفتر اليومية'!E:E, "مبيعات اجل")</f>
        <v>0</v>
      </c>
      <c r="C465" s="10">
        <f>SUMIFS('دفتر اليومية'!L:L, 'دفتر اليومية'!H:H, A465, 'دفتر اليومية'!E:E, "مبيعات اجل")</f>
        <v>0</v>
      </c>
      <c r="D465" s="108">
        <f t="shared" si="7"/>
        <v>0</v>
      </c>
    </row>
    <row r="466" spans="1:4" x14ac:dyDescent="0.3">
      <c r="A466" s="10"/>
      <c r="B466" s="10">
        <f>SUMIFS('دفتر اليومية'!K:K, 'دفتر اليومية'!H:H, A466, 'دفتر اليومية'!E:E, "مبيعات اجل")</f>
        <v>0</v>
      </c>
      <c r="C466" s="10">
        <f>SUMIFS('دفتر اليومية'!L:L, 'دفتر اليومية'!H:H, A466, 'دفتر اليومية'!E:E, "مبيعات اجل")</f>
        <v>0</v>
      </c>
      <c r="D466" s="108">
        <f t="shared" si="7"/>
        <v>0</v>
      </c>
    </row>
    <row r="467" spans="1:4" x14ac:dyDescent="0.3">
      <c r="A467" s="10"/>
      <c r="B467" s="10">
        <f>SUMIFS('دفتر اليومية'!K:K, 'دفتر اليومية'!H:H, A467, 'دفتر اليومية'!E:E, "مبيعات اجل")</f>
        <v>0</v>
      </c>
      <c r="C467" s="10">
        <f>SUMIFS('دفتر اليومية'!L:L, 'دفتر اليومية'!H:H, A467, 'دفتر اليومية'!E:E, "مبيعات اجل")</f>
        <v>0</v>
      </c>
      <c r="D467" s="108">
        <f t="shared" si="7"/>
        <v>0</v>
      </c>
    </row>
    <row r="468" spans="1:4" x14ac:dyDescent="0.3">
      <c r="A468" s="10"/>
      <c r="B468" s="10">
        <f>SUMIFS('دفتر اليومية'!K:K, 'دفتر اليومية'!H:H, A468, 'دفتر اليومية'!E:E, "مبيعات اجل")</f>
        <v>0</v>
      </c>
      <c r="C468" s="10">
        <f>SUMIFS('دفتر اليومية'!L:L, 'دفتر اليومية'!H:H, A468, 'دفتر اليومية'!E:E, "مبيعات اجل")</f>
        <v>0</v>
      </c>
      <c r="D468" s="108">
        <f t="shared" si="7"/>
        <v>0</v>
      </c>
    </row>
    <row r="469" spans="1:4" x14ac:dyDescent="0.3">
      <c r="A469" s="10"/>
      <c r="B469" s="10">
        <f>SUMIFS('دفتر اليومية'!K:K, 'دفتر اليومية'!H:H, A469, 'دفتر اليومية'!E:E, "مبيعات اجل")</f>
        <v>0</v>
      </c>
      <c r="C469" s="10">
        <f>SUMIFS('دفتر اليومية'!L:L, 'دفتر اليومية'!H:H, A469, 'دفتر اليومية'!E:E, "مبيعات اجل")</f>
        <v>0</v>
      </c>
      <c r="D469" s="108">
        <f t="shared" si="7"/>
        <v>0</v>
      </c>
    </row>
    <row r="470" spans="1:4" x14ac:dyDescent="0.3">
      <c r="A470" s="10"/>
      <c r="B470" s="10">
        <f>SUMIFS('دفتر اليومية'!K:K, 'دفتر اليومية'!H:H, A470, 'دفتر اليومية'!E:E, "مبيعات اجل")</f>
        <v>0</v>
      </c>
      <c r="C470" s="10">
        <f>SUMIFS('دفتر اليومية'!L:L, 'دفتر اليومية'!H:H, A470, 'دفتر اليومية'!E:E, "مبيعات اجل")</f>
        <v>0</v>
      </c>
      <c r="D470" s="108">
        <f t="shared" si="7"/>
        <v>0</v>
      </c>
    </row>
    <row r="471" spans="1:4" x14ac:dyDescent="0.3">
      <c r="A471" s="10"/>
      <c r="B471" s="10">
        <f>SUMIFS('دفتر اليومية'!K:K, 'دفتر اليومية'!H:H, A471, 'دفتر اليومية'!E:E, "مبيعات اجل")</f>
        <v>0</v>
      </c>
      <c r="C471" s="10">
        <f>SUMIFS('دفتر اليومية'!L:L, 'دفتر اليومية'!H:H, A471, 'دفتر اليومية'!E:E, "مبيعات اجل")</f>
        <v>0</v>
      </c>
      <c r="D471" s="108">
        <f t="shared" si="7"/>
        <v>0</v>
      </c>
    </row>
    <row r="472" spans="1:4" x14ac:dyDescent="0.3">
      <c r="A472" s="10"/>
      <c r="B472" s="10">
        <f>SUMIFS('دفتر اليومية'!K:K, 'دفتر اليومية'!H:H, A472, 'دفتر اليومية'!E:E, "مبيعات اجل")</f>
        <v>0</v>
      </c>
      <c r="C472" s="10">
        <f>SUMIFS('دفتر اليومية'!L:L, 'دفتر اليومية'!H:H, A472, 'دفتر اليومية'!E:E, "مبيعات اجل")</f>
        <v>0</v>
      </c>
      <c r="D472" s="108">
        <f t="shared" si="7"/>
        <v>0</v>
      </c>
    </row>
    <row r="473" spans="1:4" x14ac:dyDescent="0.3">
      <c r="A473" s="10"/>
      <c r="B473" s="10">
        <f>SUMIFS('دفتر اليومية'!K:K, 'دفتر اليومية'!H:H, A473, 'دفتر اليومية'!E:E, "مبيعات اجل")</f>
        <v>0</v>
      </c>
      <c r="C473" s="10">
        <f>SUMIFS('دفتر اليومية'!L:L, 'دفتر اليومية'!H:H, A473, 'دفتر اليومية'!E:E, "مبيعات اجل")</f>
        <v>0</v>
      </c>
      <c r="D473" s="108">
        <f t="shared" si="7"/>
        <v>0</v>
      </c>
    </row>
    <row r="474" spans="1:4" x14ac:dyDescent="0.3">
      <c r="A474" s="10"/>
      <c r="B474" s="10">
        <f>SUMIFS('دفتر اليومية'!K:K, 'دفتر اليومية'!H:H, A474, 'دفتر اليومية'!E:E, "مبيعات اجل")</f>
        <v>0</v>
      </c>
      <c r="C474" s="10">
        <f>SUMIFS('دفتر اليومية'!L:L, 'دفتر اليومية'!H:H, A474, 'دفتر اليومية'!E:E, "مبيعات اجل")</f>
        <v>0</v>
      </c>
      <c r="D474" s="108">
        <f t="shared" si="7"/>
        <v>0</v>
      </c>
    </row>
    <row r="475" spans="1:4" x14ac:dyDescent="0.3">
      <c r="A475" s="10"/>
      <c r="B475" s="10">
        <f>SUMIFS('دفتر اليومية'!K:K, 'دفتر اليومية'!H:H, A475, 'دفتر اليومية'!E:E, "مبيعات اجل")</f>
        <v>0</v>
      </c>
      <c r="C475" s="10">
        <f>SUMIFS('دفتر اليومية'!L:L, 'دفتر اليومية'!H:H, A475, 'دفتر اليومية'!E:E, "مبيعات اجل")</f>
        <v>0</v>
      </c>
      <c r="D475" s="108">
        <f t="shared" si="7"/>
        <v>0</v>
      </c>
    </row>
    <row r="476" spans="1:4" x14ac:dyDescent="0.3">
      <c r="A476" s="10"/>
      <c r="B476" s="10">
        <f>SUMIFS('دفتر اليومية'!K:K, 'دفتر اليومية'!H:H, A476, 'دفتر اليومية'!E:E, "مبيعات اجل")</f>
        <v>0</v>
      </c>
      <c r="C476" s="10">
        <f>SUMIFS('دفتر اليومية'!L:L, 'دفتر اليومية'!H:H, A476, 'دفتر اليومية'!E:E, "مبيعات اجل")</f>
        <v>0</v>
      </c>
      <c r="D476" s="108">
        <f t="shared" si="7"/>
        <v>0</v>
      </c>
    </row>
    <row r="477" spans="1:4" x14ac:dyDescent="0.3">
      <c r="A477" s="10"/>
      <c r="B477" s="10">
        <f>SUMIFS('دفتر اليومية'!K:K, 'دفتر اليومية'!H:H, A477, 'دفتر اليومية'!E:E, "مبيعات اجل")</f>
        <v>0</v>
      </c>
      <c r="C477" s="10">
        <f>SUMIFS('دفتر اليومية'!L:L, 'دفتر اليومية'!H:H, A477, 'دفتر اليومية'!E:E, "مبيعات اجل")</f>
        <v>0</v>
      </c>
      <c r="D477" s="108">
        <f t="shared" si="7"/>
        <v>0</v>
      </c>
    </row>
    <row r="478" spans="1:4" x14ac:dyDescent="0.3">
      <c r="A478" s="10"/>
      <c r="B478" s="10">
        <f>SUMIFS('دفتر اليومية'!K:K, 'دفتر اليومية'!H:H, A478, 'دفتر اليومية'!E:E, "مبيعات اجل")</f>
        <v>0</v>
      </c>
      <c r="C478" s="10">
        <f>SUMIFS('دفتر اليومية'!L:L, 'دفتر اليومية'!H:H, A478, 'دفتر اليومية'!E:E, "مبيعات اجل")</f>
        <v>0</v>
      </c>
      <c r="D478" s="108">
        <f t="shared" si="7"/>
        <v>0</v>
      </c>
    </row>
    <row r="479" spans="1:4" x14ac:dyDescent="0.3">
      <c r="A479" s="10"/>
      <c r="B479" s="10">
        <f>SUMIFS('دفتر اليومية'!K:K, 'دفتر اليومية'!H:H, A479, 'دفتر اليومية'!E:E, "مبيعات اجل")</f>
        <v>0</v>
      </c>
      <c r="C479" s="10">
        <f>SUMIFS('دفتر اليومية'!L:L, 'دفتر اليومية'!H:H, A479, 'دفتر اليومية'!E:E, "مبيعات اجل")</f>
        <v>0</v>
      </c>
      <c r="D479" s="108">
        <f t="shared" si="7"/>
        <v>0</v>
      </c>
    </row>
    <row r="480" spans="1:4" x14ac:dyDescent="0.3">
      <c r="A480" s="10"/>
      <c r="B480" s="10">
        <f>SUMIFS('دفتر اليومية'!K:K, 'دفتر اليومية'!H:H, A480, 'دفتر اليومية'!E:E, "مبيعات اجل")</f>
        <v>0</v>
      </c>
      <c r="C480" s="10">
        <f>SUMIFS('دفتر اليومية'!L:L, 'دفتر اليومية'!H:H, A480, 'دفتر اليومية'!E:E, "مبيعات اجل")</f>
        <v>0</v>
      </c>
      <c r="D480" s="108">
        <f t="shared" si="7"/>
        <v>0</v>
      </c>
    </row>
    <row r="481" spans="1:4" x14ac:dyDescent="0.3">
      <c r="A481" s="10"/>
      <c r="B481" s="10">
        <f>SUMIFS('دفتر اليومية'!K:K, 'دفتر اليومية'!H:H, A481, 'دفتر اليومية'!E:E, "مبيعات اجل")</f>
        <v>0</v>
      </c>
      <c r="C481" s="10">
        <f>SUMIFS('دفتر اليومية'!L:L, 'دفتر اليومية'!H:H, A481, 'دفتر اليومية'!E:E, "مبيعات اجل")</f>
        <v>0</v>
      </c>
      <c r="D481" s="108">
        <f t="shared" si="7"/>
        <v>0</v>
      </c>
    </row>
    <row r="482" spans="1:4" x14ac:dyDescent="0.3">
      <c r="A482" s="10"/>
      <c r="B482" s="10">
        <f>SUMIFS('دفتر اليومية'!K:K, 'دفتر اليومية'!H:H, A482, 'دفتر اليومية'!E:E, "مبيعات اجل")</f>
        <v>0</v>
      </c>
      <c r="C482" s="10">
        <f>SUMIFS('دفتر اليومية'!L:L, 'دفتر اليومية'!H:H, A482, 'دفتر اليومية'!E:E, "مبيعات اجل")</f>
        <v>0</v>
      </c>
      <c r="D482" s="108">
        <f t="shared" si="7"/>
        <v>0</v>
      </c>
    </row>
    <row r="483" spans="1:4" x14ac:dyDescent="0.3">
      <c r="A483" s="10"/>
      <c r="B483" s="10">
        <f>SUMIFS('دفتر اليومية'!K:K, 'دفتر اليومية'!H:H, A483, 'دفتر اليومية'!E:E, "مبيعات اجل")</f>
        <v>0</v>
      </c>
      <c r="C483" s="10">
        <f>SUMIFS('دفتر اليومية'!L:L, 'دفتر اليومية'!H:H, A483, 'دفتر اليومية'!E:E, "مبيعات اجل")</f>
        <v>0</v>
      </c>
      <c r="D483" s="108">
        <f t="shared" si="7"/>
        <v>0</v>
      </c>
    </row>
    <row r="484" spans="1:4" x14ac:dyDescent="0.3">
      <c r="A484" s="10"/>
      <c r="B484" s="10">
        <f>SUMIFS('دفتر اليومية'!K:K, 'دفتر اليومية'!H:H, A484, 'دفتر اليومية'!E:E, "مبيعات اجل")</f>
        <v>0</v>
      </c>
      <c r="C484" s="10">
        <f>SUMIFS('دفتر اليومية'!L:L, 'دفتر اليومية'!H:H, A484, 'دفتر اليومية'!E:E, "مبيعات اجل")</f>
        <v>0</v>
      </c>
      <c r="D484" s="108">
        <f t="shared" si="7"/>
        <v>0</v>
      </c>
    </row>
    <row r="485" spans="1:4" x14ac:dyDescent="0.3">
      <c r="A485" s="10"/>
      <c r="B485" s="10">
        <f>SUMIFS('دفتر اليومية'!K:K, 'دفتر اليومية'!H:H, A485, 'دفتر اليومية'!E:E, "مبيعات اجل")</f>
        <v>0</v>
      </c>
      <c r="C485" s="10">
        <f>SUMIFS('دفتر اليومية'!L:L, 'دفتر اليومية'!H:H, A485, 'دفتر اليومية'!E:E, "مبيعات اجل")</f>
        <v>0</v>
      </c>
      <c r="D485" s="108">
        <f t="shared" si="7"/>
        <v>0</v>
      </c>
    </row>
    <row r="486" spans="1:4" x14ac:dyDescent="0.3">
      <c r="A486" s="10"/>
      <c r="B486" s="10">
        <f>SUMIFS('دفتر اليومية'!K:K, 'دفتر اليومية'!H:H, A486, 'دفتر اليومية'!E:E, "مبيعات اجل")</f>
        <v>0</v>
      </c>
      <c r="C486" s="10">
        <f>SUMIFS('دفتر اليومية'!L:L, 'دفتر اليومية'!H:H, A486, 'دفتر اليومية'!E:E, "مبيعات اجل")</f>
        <v>0</v>
      </c>
      <c r="D486" s="108">
        <f t="shared" si="7"/>
        <v>0</v>
      </c>
    </row>
    <row r="487" spans="1:4" x14ac:dyDescent="0.3">
      <c r="A487" s="10"/>
      <c r="B487" s="10">
        <f>SUMIFS('دفتر اليومية'!K:K, 'دفتر اليومية'!H:H, A487, 'دفتر اليومية'!E:E, "مبيعات اجل")</f>
        <v>0</v>
      </c>
      <c r="C487" s="10">
        <f>SUMIFS('دفتر اليومية'!L:L, 'دفتر اليومية'!H:H, A487, 'دفتر اليومية'!E:E, "مبيعات اجل")</f>
        <v>0</v>
      </c>
      <c r="D487" s="108">
        <f t="shared" si="7"/>
        <v>0</v>
      </c>
    </row>
    <row r="488" spans="1:4" x14ac:dyDescent="0.3">
      <c r="A488" s="10"/>
      <c r="B488" s="10">
        <f>SUMIFS('دفتر اليومية'!K:K, 'دفتر اليومية'!H:H, A488, 'دفتر اليومية'!E:E, "مبيعات اجل")</f>
        <v>0</v>
      </c>
      <c r="C488" s="10">
        <f>SUMIFS('دفتر اليومية'!L:L, 'دفتر اليومية'!H:H, A488, 'دفتر اليومية'!E:E, "مبيعات اجل")</f>
        <v>0</v>
      </c>
      <c r="D488" s="108">
        <f t="shared" si="7"/>
        <v>0</v>
      </c>
    </row>
    <row r="489" spans="1:4" x14ac:dyDescent="0.3">
      <c r="A489" s="10"/>
      <c r="B489" s="10">
        <f>SUMIFS('دفتر اليومية'!K:K, 'دفتر اليومية'!H:H, A489, 'دفتر اليومية'!E:E, "مبيعات اجل")</f>
        <v>0</v>
      </c>
      <c r="C489" s="10">
        <f>SUMIFS('دفتر اليومية'!L:L, 'دفتر اليومية'!H:H, A489, 'دفتر اليومية'!E:E, "مبيعات اجل")</f>
        <v>0</v>
      </c>
      <c r="D489" s="108">
        <f t="shared" si="7"/>
        <v>0</v>
      </c>
    </row>
    <row r="490" spans="1:4" x14ac:dyDescent="0.3">
      <c r="A490" s="10"/>
      <c r="B490" s="10">
        <f>SUMIFS('دفتر اليومية'!K:K, 'دفتر اليومية'!H:H, A490, 'دفتر اليومية'!E:E, "مبيعات اجل")</f>
        <v>0</v>
      </c>
      <c r="C490" s="10">
        <f>SUMIFS('دفتر اليومية'!L:L, 'دفتر اليومية'!H:H, A490, 'دفتر اليومية'!E:E, "مبيعات اجل")</f>
        <v>0</v>
      </c>
      <c r="D490" s="108">
        <f t="shared" si="7"/>
        <v>0</v>
      </c>
    </row>
    <row r="491" spans="1:4" x14ac:dyDescent="0.3">
      <c r="A491" s="10"/>
      <c r="B491" s="10">
        <f>SUMIFS('دفتر اليومية'!K:K, 'دفتر اليومية'!H:H, A491, 'دفتر اليومية'!E:E, "مبيعات اجل")</f>
        <v>0</v>
      </c>
      <c r="C491" s="10">
        <f>SUMIFS('دفتر اليومية'!L:L, 'دفتر اليومية'!H:H, A491, 'دفتر اليومية'!E:E, "مبيعات اجل")</f>
        <v>0</v>
      </c>
      <c r="D491" s="108">
        <f t="shared" si="7"/>
        <v>0</v>
      </c>
    </row>
    <row r="492" spans="1:4" x14ac:dyDescent="0.3">
      <c r="A492" s="10"/>
      <c r="B492" s="10">
        <f>SUMIFS('دفتر اليومية'!K:K, 'دفتر اليومية'!H:H, A492, 'دفتر اليومية'!E:E, "مبيعات اجل")</f>
        <v>0</v>
      </c>
      <c r="C492" s="10">
        <f>SUMIFS('دفتر اليومية'!L:L, 'دفتر اليومية'!H:H, A492, 'دفتر اليومية'!E:E, "مبيعات اجل")</f>
        <v>0</v>
      </c>
      <c r="D492" s="108">
        <f t="shared" si="7"/>
        <v>0</v>
      </c>
    </row>
    <row r="493" spans="1:4" x14ac:dyDescent="0.3">
      <c r="A493" s="10"/>
      <c r="B493" s="10">
        <f>SUMIFS('دفتر اليومية'!K:K, 'دفتر اليومية'!H:H, A493, 'دفتر اليومية'!E:E, "مبيعات اجل")</f>
        <v>0</v>
      </c>
      <c r="C493" s="10">
        <f>SUMIFS('دفتر اليومية'!L:L, 'دفتر اليومية'!H:H, A493, 'دفتر اليومية'!E:E, "مبيعات اجل")</f>
        <v>0</v>
      </c>
      <c r="D493" s="108">
        <f t="shared" si="7"/>
        <v>0</v>
      </c>
    </row>
    <row r="494" spans="1:4" x14ac:dyDescent="0.3">
      <c r="A494" s="10"/>
      <c r="B494" s="10">
        <f>SUMIFS('دفتر اليومية'!K:K, 'دفتر اليومية'!H:H, A494, 'دفتر اليومية'!E:E, "مبيعات اجل")</f>
        <v>0</v>
      </c>
      <c r="C494" s="10">
        <f>SUMIFS('دفتر اليومية'!L:L, 'دفتر اليومية'!H:H, A494, 'دفتر اليومية'!E:E, "مبيعات اجل")</f>
        <v>0</v>
      </c>
      <c r="D494" s="108">
        <f t="shared" si="7"/>
        <v>0</v>
      </c>
    </row>
    <row r="495" spans="1:4" x14ac:dyDescent="0.3">
      <c r="A495" s="10"/>
      <c r="B495" s="10">
        <f>SUMIFS('دفتر اليومية'!K:K, 'دفتر اليومية'!H:H, A495, 'دفتر اليومية'!E:E, "مبيعات اجل")</f>
        <v>0</v>
      </c>
      <c r="C495" s="10">
        <f>SUMIFS('دفتر اليومية'!L:L, 'دفتر اليومية'!H:H, A495, 'دفتر اليومية'!E:E, "مبيعات اجل")</f>
        <v>0</v>
      </c>
      <c r="D495" s="108">
        <f t="shared" si="7"/>
        <v>0</v>
      </c>
    </row>
    <row r="496" spans="1:4" x14ac:dyDescent="0.3">
      <c r="A496" s="10"/>
      <c r="B496" s="10">
        <f>SUMIFS('دفتر اليومية'!K:K, 'دفتر اليومية'!H:H, A496, 'دفتر اليومية'!E:E, "مبيعات اجل")</f>
        <v>0</v>
      </c>
      <c r="C496" s="10">
        <f>SUMIFS('دفتر اليومية'!L:L, 'دفتر اليومية'!H:H, A496, 'دفتر اليومية'!E:E, "مبيعات اجل")</f>
        <v>0</v>
      </c>
      <c r="D496" s="108">
        <f t="shared" si="7"/>
        <v>0</v>
      </c>
    </row>
    <row r="497" spans="1:4" x14ac:dyDescent="0.3">
      <c r="A497" s="10"/>
      <c r="B497" s="10">
        <f>SUMIFS('دفتر اليومية'!K:K, 'دفتر اليومية'!H:H, A497, 'دفتر اليومية'!E:E, "مبيعات اجل")</f>
        <v>0</v>
      </c>
      <c r="C497" s="10">
        <f>SUMIFS('دفتر اليومية'!L:L, 'دفتر اليومية'!H:H, A497, 'دفتر اليومية'!E:E, "مبيعات اجل")</f>
        <v>0</v>
      </c>
      <c r="D497" s="108">
        <f t="shared" si="7"/>
        <v>0</v>
      </c>
    </row>
    <row r="498" spans="1:4" x14ac:dyDescent="0.3">
      <c r="A498" s="10"/>
      <c r="B498" s="10">
        <f>SUMIFS('دفتر اليومية'!K:K, 'دفتر اليومية'!H:H, A498, 'دفتر اليومية'!E:E, "مبيعات اجل")</f>
        <v>0</v>
      </c>
      <c r="C498" s="10">
        <f>SUMIFS('دفتر اليومية'!L:L, 'دفتر اليومية'!H:H, A498, 'دفتر اليومية'!E:E, "مبيعات اجل")</f>
        <v>0</v>
      </c>
      <c r="D498" s="108">
        <f t="shared" si="7"/>
        <v>0</v>
      </c>
    </row>
    <row r="499" spans="1:4" x14ac:dyDescent="0.3">
      <c r="A499" s="10"/>
      <c r="B499" s="10">
        <f>SUMIFS('دفتر اليومية'!K:K, 'دفتر اليومية'!H:H, A499, 'دفتر اليومية'!E:E, "مبيعات اجل")</f>
        <v>0</v>
      </c>
      <c r="C499" s="10">
        <f>SUMIFS('دفتر اليومية'!L:L, 'دفتر اليومية'!H:H, A499, 'دفتر اليومية'!E:E, "مبيعات اجل")</f>
        <v>0</v>
      </c>
      <c r="D499" s="108">
        <f t="shared" si="7"/>
        <v>0</v>
      </c>
    </row>
    <row r="500" spans="1:4" x14ac:dyDescent="0.3">
      <c r="A500" s="10"/>
      <c r="B500" s="10">
        <f>SUMIFS('دفتر اليومية'!K:K, 'دفتر اليومية'!H:H, A500, 'دفتر اليومية'!E:E, "مبيعات اجل")</f>
        <v>0</v>
      </c>
      <c r="C500" s="10">
        <f>SUMIFS('دفتر اليومية'!L:L, 'دفتر اليومية'!H:H, A500, 'دفتر اليومية'!E:E, "مبيعات اجل")</f>
        <v>0</v>
      </c>
      <c r="D500" s="108">
        <f t="shared" si="7"/>
        <v>0</v>
      </c>
    </row>
    <row r="501" spans="1:4" x14ac:dyDescent="0.3">
      <c r="A501" s="10"/>
      <c r="B501" s="10">
        <f>SUMIFS('دفتر اليومية'!K:K, 'دفتر اليومية'!H:H, A501, 'دفتر اليومية'!E:E, "مبيعات اجل")</f>
        <v>0</v>
      </c>
      <c r="C501" s="10">
        <f>SUMIFS('دفتر اليومية'!L:L, 'دفتر اليومية'!H:H, A501, 'دفتر اليومية'!E:E, "مبيعات اجل")</f>
        <v>0</v>
      </c>
      <c r="D501" s="108">
        <f t="shared" si="7"/>
        <v>0</v>
      </c>
    </row>
    <row r="502" spans="1:4" x14ac:dyDescent="0.3">
      <c r="A502" s="10"/>
      <c r="B502" s="10">
        <f>SUMIFS('دفتر اليومية'!K:K, 'دفتر اليومية'!H:H, A502, 'دفتر اليومية'!E:E, "مبيعات اجل")</f>
        <v>0</v>
      </c>
      <c r="C502" s="10">
        <f>SUMIFS('دفتر اليومية'!L:L, 'دفتر اليومية'!H:H, A502, 'دفتر اليومية'!E:E, "مبيعات اجل")</f>
        <v>0</v>
      </c>
      <c r="D502" s="108">
        <f t="shared" si="7"/>
        <v>0</v>
      </c>
    </row>
    <row r="503" spans="1:4" x14ac:dyDescent="0.3">
      <c r="A503" s="10"/>
      <c r="B503" s="10">
        <f>SUMIFS('دفتر اليومية'!K:K, 'دفتر اليومية'!H:H, A503, 'دفتر اليومية'!E:E, "مبيعات اجل")</f>
        <v>0</v>
      </c>
      <c r="C503" s="10">
        <f>SUMIFS('دفتر اليومية'!L:L, 'دفتر اليومية'!H:H, A503, 'دفتر اليومية'!E:E, "مبيعات اجل")</f>
        <v>0</v>
      </c>
      <c r="D503" s="108">
        <f t="shared" si="7"/>
        <v>0</v>
      </c>
    </row>
    <row r="504" spans="1:4" x14ac:dyDescent="0.3">
      <c r="A504" s="10"/>
      <c r="B504" s="10">
        <f>SUMIFS('دفتر اليومية'!K:K, 'دفتر اليومية'!H:H, A504, 'دفتر اليومية'!E:E, "مبيعات اجل")</f>
        <v>0</v>
      </c>
      <c r="C504" s="10">
        <f>SUMIFS('دفتر اليومية'!L:L, 'دفتر اليومية'!H:H, A504, 'دفتر اليومية'!E:E, "مبيعات اجل")</f>
        <v>0</v>
      </c>
      <c r="D504" s="108">
        <f t="shared" si="7"/>
        <v>0</v>
      </c>
    </row>
    <row r="505" spans="1:4" x14ac:dyDescent="0.3">
      <c r="A505" s="10"/>
      <c r="B505" s="10">
        <f>SUMIFS('دفتر اليومية'!K:K, 'دفتر اليومية'!H:H, A505, 'دفتر اليومية'!E:E, "مبيعات اجل")</f>
        <v>0</v>
      </c>
      <c r="C505" s="10">
        <f>SUMIFS('دفتر اليومية'!L:L, 'دفتر اليومية'!H:H, A505, 'دفتر اليومية'!E:E, "مبيعات اجل")</f>
        <v>0</v>
      </c>
      <c r="D505" s="108">
        <f t="shared" si="7"/>
        <v>0</v>
      </c>
    </row>
    <row r="506" spans="1:4" x14ac:dyDescent="0.3">
      <c r="A506" s="10"/>
      <c r="B506" s="10">
        <f>SUMIFS('دفتر اليومية'!K:K, 'دفتر اليومية'!H:H, A506, 'دفتر اليومية'!E:E, "مبيعات اجل")</f>
        <v>0</v>
      </c>
      <c r="C506" s="10">
        <f>SUMIFS('دفتر اليومية'!L:L, 'دفتر اليومية'!H:H, A506, 'دفتر اليومية'!E:E, "مبيعات اجل")</f>
        <v>0</v>
      </c>
      <c r="D506" s="108">
        <f t="shared" si="7"/>
        <v>0</v>
      </c>
    </row>
    <row r="507" spans="1:4" x14ac:dyDescent="0.3">
      <c r="A507" s="10"/>
      <c r="B507" s="10">
        <f>SUMIFS('دفتر اليومية'!K:K, 'دفتر اليومية'!H:H, A507, 'دفتر اليومية'!E:E, "مبيعات اجل")</f>
        <v>0</v>
      </c>
      <c r="C507" s="10">
        <f>SUMIFS('دفتر اليومية'!L:L, 'دفتر اليومية'!H:H, A507, 'دفتر اليومية'!E:E, "مبيعات اجل")</f>
        <v>0</v>
      </c>
      <c r="D507" s="108">
        <f t="shared" si="7"/>
        <v>0</v>
      </c>
    </row>
    <row r="508" spans="1:4" x14ac:dyDescent="0.3">
      <c r="A508" s="10"/>
      <c r="B508" s="10">
        <f>SUMIFS('دفتر اليومية'!K:K, 'دفتر اليومية'!H:H, A508, 'دفتر اليومية'!E:E, "مبيعات اجل")</f>
        <v>0</v>
      </c>
      <c r="C508" s="10">
        <f>SUMIFS('دفتر اليومية'!L:L, 'دفتر اليومية'!H:H, A508, 'دفتر اليومية'!E:E, "مبيعات اجل")</f>
        <v>0</v>
      </c>
      <c r="D508" s="108">
        <f t="shared" si="7"/>
        <v>0</v>
      </c>
    </row>
    <row r="509" spans="1:4" x14ac:dyDescent="0.3">
      <c r="A509" s="10"/>
      <c r="B509" s="10">
        <f>SUMIFS('دفتر اليومية'!K:K, 'دفتر اليومية'!H:H, A509, 'دفتر اليومية'!E:E, "مبيعات اجل")</f>
        <v>0</v>
      </c>
      <c r="C509" s="10">
        <f>SUMIFS('دفتر اليومية'!L:L, 'دفتر اليومية'!H:H, A509, 'دفتر اليومية'!E:E, "مبيعات اجل")</f>
        <v>0</v>
      </c>
      <c r="D509" s="108">
        <f t="shared" si="7"/>
        <v>0</v>
      </c>
    </row>
    <row r="510" spans="1:4" x14ac:dyDescent="0.3">
      <c r="A510" s="10"/>
      <c r="B510" s="10">
        <f>SUMIFS('دفتر اليومية'!K:K, 'دفتر اليومية'!H:H, A510, 'دفتر اليومية'!E:E, "مبيعات اجل")</f>
        <v>0</v>
      </c>
      <c r="C510" s="10">
        <f>SUMIFS('دفتر اليومية'!L:L, 'دفتر اليومية'!H:H, A510, 'دفتر اليومية'!E:E, "مبيعات اجل")</f>
        <v>0</v>
      </c>
      <c r="D510" s="108">
        <f t="shared" si="7"/>
        <v>0</v>
      </c>
    </row>
    <row r="511" spans="1:4" x14ac:dyDescent="0.3">
      <c r="A511" s="10"/>
      <c r="B511" s="10">
        <f>SUMIFS('دفتر اليومية'!K:K, 'دفتر اليومية'!H:H, A511, 'دفتر اليومية'!E:E, "مبيعات اجل")</f>
        <v>0</v>
      </c>
      <c r="C511" s="10">
        <f>SUMIFS('دفتر اليومية'!L:L, 'دفتر اليومية'!H:H, A511, 'دفتر اليومية'!E:E, "مبيعات اجل")</f>
        <v>0</v>
      </c>
      <c r="D511" s="108">
        <f t="shared" si="7"/>
        <v>0</v>
      </c>
    </row>
    <row r="512" spans="1:4" x14ac:dyDescent="0.3">
      <c r="A512" s="10"/>
      <c r="B512" s="10">
        <f>SUMIFS('دفتر اليومية'!K:K, 'دفتر اليومية'!H:H, A512, 'دفتر اليومية'!E:E, "مبيعات اجل")</f>
        <v>0</v>
      </c>
      <c r="C512" s="10">
        <f>SUMIFS('دفتر اليومية'!L:L, 'دفتر اليومية'!H:H, A512, 'دفتر اليومية'!E:E, "مبيعات اجل")</f>
        <v>0</v>
      </c>
      <c r="D512" s="108">
        <f t="shared" si="7"/>
        <v>0</v>
      </c>
    </row>
    <row r="513" spans="1:4" x14ac:dyDescent="0.3">
      <c r="A513" s="10"/>
      <c r="B513" s="10">
        <f>SUMIFS('دفتر اليومية'!K:K, 'دفتر اليومية'!H:H, A513, 'دفتر اليومية'!E:E, "مبيعات اجل")</f>
        <v>0</v>
      </c>
      <c r="C513" s="10">
        <f>SUMIFS('دفتر اليومية'!L:L, 'دفتر اليومية'!H:H, A513, 'دفتر اليومية'!E:E, "مبيعات اجل")</f>
        <v>0</v>
      </c>
      <c r="D513" s="108">
        <f t="shared" si="7"/>
        <v>0</v>
      </c>
    </row>
    <row r="514" spans="1:4" x14ac:dyDescent="0.3">
      <c r="A514" s="10"/>
      <c r="B514" s="10">
        <f>SUMIFS('دفتر اليومية'!K:K, 'دفتر اليومية'!H:H, A514, 'دفتر اليومية'!E:E, "مبيعات اجل")</f>
        <v>0</v>
      </c>
      <c r="C514" s="10">
        <f>SUMIFS('دفتر اليومية'!L:L, 'دفتر اليومية'!H:H, A514, 'دفتر اليومية'!E:E, "مبيعات اجل")</f>
        <v>0</v>
      </c>
      <c r="D514" s="108">
        <f t="shared" si="7"/>
        <v>0</v>
      </c>
    </row>
    <row r="515" spans="1:4" x14ac:dyDescent="0.3">
      <c r="A515" s="10"/>
      <c r="B515" s="10">
        <f>SUMIFS('دفتر اليومية'!K:K, 'دفتر اليومية'!H:H, A515, 'دفتر اليومية'!E:E, "مبيعات اجل")</f>
        <v>0</v>
      </c>
      <c r="C515" s="10">
        <f>SUMIFS('دفتر اليومية'!L:L, 'دفتر اليومية'!H:H, A515, 'دفتر اليومية'!E:E, "مبيعات اجل")</f>
        <v>0</v>
      </c>
      <c r="D515" s="108">
        <f t="shared" ref="D515:D578" si="8">B515-C515</f>
        <v>0</v>
      </c>
    </row>
    <row r="516" spans="1:4" x14ac:dyDescent="0.3">
      <c r="A516" s="10"/>
      <c r="B516" s="10">
        <f>SUMIFS('دفتر اليومية'!K:K, 'دفتر اليومية'!H:H, A516, 'دفتر اليومية'!E:E, "مبيعات اجل")</f>
        <v>0</v>
      </c>
      <c r="C516" s="10">
        <f>SUMIFS('دفتر اليومية'!L:L, 'دفتر اليومية'!H:H, A516, 'دفتر اليومية'!E:E, "مبيعات اجل")</f>
        <v>0</v>
      </c>
      <c r="D516" s="108">
        <f t="shared" si="8"/>
        <v>0</v>
      </c>
    </row>
    <row r="517" spans="1:4" x14ac:dyDescent="0.3">
      <c r="A517" s="10"/>
      <c r="B517" s="10">
        <f>SUMIFS('دفتر اليومية'!K:K, 'دفتر اليومية'!H:H, A517, 'دفتر اليومية'!E:E, "مبيعات اجل")</f>
        <v>0</v>
      </c>
      <c r="C517" s="10">
        <f>SUMIFS('دفتر اليومية'!L:L, 'دفتر اليومية'!H:H, A517, 'دفتر اليومية'!E:E, "مبيعات اجل")</f>
        <v>0</v>
      </c>
      <c r="D517" s="108">
        <f t="shared" si="8"/>
        <v>0</v>
      </c>
    </row>
    <row r="518" spans="1:4" x14ac:dyDescent="0.3">
      <c r="A518" s="10"/>
      <c r="B518" s="10">
        <f>SUMIFS('دفتر اليومية'!K:K, 'دفتر اليومية'!H:H, A518, 'دفتر اليومية'!E:E, "مبيعات اجل")</f>
        <v>0</v>
      </c>
      <c r="C518" s="10">
        <f>SUMIFS('دفتر اليومية'!L:L, 'دفتر اليومية'!H:H, A518, 'دفتر اليومية'!E:E, "مبيعات اجل")</f>
        <v>0</v>
      </c>
      <c r="D518" s="108">
        <f t="shared" si="8"/>
        <v>0</v>
      </c>
    </row>
    <row r="519" spans="1:4" x14ac:dyDescent="0.3">
      <c r="A519" s="10"/>
      <c r="B519" s="10">
        <f>SUMIFS('دفتر اليومية'!K:K, 'دفتر اليومية'!H:H, A519, 'دفتر اليومية'!E:E, "مبيعات اجل")</f>
        <v>0</v>
      </c>
      <c r="C519" s="10">
        <f>SUMIFS('دفتر اليومية'!L:L, 'دفتر اليومية'!H:H, A519, 'دفتر اليومية'!E:E, "مبيعات اجل")</f>
        <v>0</v>
      </c>
      <c r="D519" s="108">
        <f t="shared" si="8"/>
        <v>0</v>
      </c>
    </row>
    <row r="520" spans="1:4" x14ac:dyDescent="0.3">
      <c r="A520" s="10"/>
      <c r="B520" s="10">
        <f>SUMIFS('دفتر اليومية'!K:K, 'دفتر اليومية'!H:H, A520, 'دفتر اليومية'!E:E, "مبيعات اجل")</f>
        <v>0</v>
      </c>
      <c r="C520" s="10">
        <f>SUMIFS('دفتر اليومية'!L:L, 'دفتر اليومية'!H:H, A520, 'دفتر اليومية'!E:E, "مبيعات اجل")</f>
        <v>0</v>
      </c>
      <c r="D520" s="108">
        <f t="shared" si="8"/>
        <v>0</v>
      </c>
    </row>
    <row r="521" spans="1:4" x14ac:dyDescent="0.3">
      <c r="A521" s="10"/>
      <c r="B521" s="10">
        <f>SUMIFS('دفتر اليومية'!K:K, 'دفتر اليومية'!H:H, A521, 'دفتر اليومية'!E:E, "مبيعات اجل")</f>
        <v>0</v>
      </c>
      <c r="C521" s="10">
        <f>SUMIFS('دفتر اليومية'!L:L, 'دفتر اليومية'!H:H, A521, 'دفتر اليومية'!E:E, "مبيعات اجل")</f>
        <v>0</v>
      </c>
      <c r="D521" s="108">
        <f t="shared" si="8"/>
        <v>0</v>
      </c>
    </row>
    <row r="522" spans="1:4" x14ac:dyDescent="0.3">
      <c r="A522" s="10"/>
      <c r="B522" s="10">
        <f>SUMIFS('دفتر اليومية'!K:K, 'دفتر اليومية'!H:H, A522, 'دفتر اليومية'!E:E, "مبيعات اجل")</f>
        <v>0</v>
      </c>
      <c r="C522" s="10">
        <f>SUMIFS('دفتر اليومية'!L:L, 'دفتر اليومية'!H:H, A522, 'دفتر اليومية'!E:E, "مبيعات اجل")</f>
        <v>0</v>
      </c>
      <c r="D522" s="108">
        <f t="shared" si="8"/>
        <v>0</v>
      </c>
    </row>
    <row r="523" spans="1:4" x14ac:dyDescent="0.3">
      <c r="A523" s="10"/>
      <c r="B523" s="10">
        <f>SUMIFS('دفتر اليومية'!K:K, 'دفتر اليومية'!H:H, A523, 'دفتر اليومية'!E:E, "مبيعات اجل")</f>
        <v>0</v>
      </c>
      <c r="C523" s="10">
        <f>SUMIFS('دفتر اليومية'!L:L, 'دفتر اليومية'!H:H, A523, 'دفتر اليومية'!E:E, "مبيعات اجل")</f>
        <v>0</v>
      </c>
      <c r="D523" s="108">
        <f t="shared" si="8"/>
        <v>0</v>
      </c>
    </row>
    <row r="524" spans="1:4" x14ac:dyDescent="0.3">
      <c r="A524" s="10"/>
      <c r="B524" s="10">
        <f>SUMIFS('دفتر اليومية'!K:K, 'دفتر اليومية'!H:H, A524, 'دفتر اليومية'!E:E, "مبيعات اجل")</f>
        <v>0</v>
      </c>
      <c r="C524" s="10">
        <f>SUMIFS('دفتر اليومية'!L:L, 'دفتر اليومية'!H:H, A524, 'دفتر اليومية'!E:E, "مبيعات اجل")</f>
        <v>0</v>
      </c>
      <c r="D524" s="108">
        <f t="shared" si="8"/>
        <v>0</v>
      </c>
    </row>
    <row r="525" spans="1:4" x14ac:dyDescent="0.3">
      <c r="A525" s="10"/>
      <c r="B525" s="10">
        <f>SUMIFS('دفتر اليومية'!K:K, 'دفتر اليومية'!H:H, A525, 'دفتر اليومية'!E:E, "مبيعات اجل")</f>
        <v>0</v>
      </c>
      <c r="C525" s="10">
        <f>SUMIFS('دفتر اليومية'!L:L, 'دفتر اليومية'!H:H, A525, 'دفتر اليومية'!E:E, "مبيعات اجل")</f>
        <v>0</v>
      </c>
      <c r="D525" s="108">
        <f t="shared" si="8"/>
        <v>0</v>
      </c>
    </row>
    <row r="526" spans="1:4" x14ac:dyDescent="0.3">
      <c r="A526" s="10"/>
      <c r="B526" s="10">
        <f>SUMIFS('دفتر اليومية'!K:K, 'دفتر اليومية'!H:H, A526, 'دفتر اليومية'!E:E, "مبيعات اجل")</f>
        <v>0</v>
      </c>
      <c r="C526" s="10">
        <f>SUMIFS('دفتر اليومية'!L:L, 'دفتر اليومية'!H:H, A526, 'دفتر اليومية'!E:E, "مبيعات اجل")</f>
        <v>0</v>
      </c>
      <c r="D526" s="108">
        <f t="shared" si="8"/>
        <v>0</v>
      </c>
    </row>
    <row r="527" spans="1:4" x14ac:dyDescent="0.3">
      <c r="A527" s="10"/>
      <c r="B527" s="10">
        <f>SUMIFS('دفتر اليومية'!K:K, 'دفتر اليومية'!H:H, A527, 'دفتر اليومية'!E:E, "مبيعات اجل")</f>
        <v>0</v>
      </c>
      <c r="C527" s="10">
        <f>SUMIFS('دفتر اليومية'!L:L, 'دفتر اليومية'!H:H, A527, 'دفتر اليومية'!E:E, "مبيعات اجل")</f>
        <v>0</v>
      </c>
      <c r="D527" s="108">
        <f t="shared" si="8"/>
        <v>0</v>
      </c>
    </row>
    <row r="528" spans="1:4" x14ac:dyDescent="0.3">
      <c r="A528" s="10"/>
      <c r="B528" s="10">
        <f>SUMIFS('دفتر اليومية'!K:K, 'دفتر اليومية'!H:H, A528, 'دفتر اليومية'!E:E, "مبيعات اجل")</f>
        <v>0</v>
      </c>
      <c r="C528" s="10">
        <f>SUMIFS('دفتر اليومية'!L:L, 'دفتر اليومية'!H:H, A528, 'دفتر اليومية'!E:E, "مبيعات اجل")</f>
        <v>0</v>
      </c>
      <c r="D528" s="108">
        <f t="shared" si="8"/>
        <v>0</v>
      </c>
    </row>
    <row r="529" spans="1:4" x14ac:dyDescent="0.3">
      <c r="A529" s="10"/>
      <c r="B529" s="10">
        <f>SUMIFS('دفتر اليومية'!K:K, 'دفتر اليومية'!H:H, A529, 'دفتر اليومية'!E:E, "مبيعات اجل")</f>
        <v>0</v>
      </c>
      <c r="C529" s="10">
        <f>SUMIFS('دفتر اليومية'!L:L, 'دفتر اليومية'!H:H, A529, 'دفتر اليومية'!E:E, "مبيعات اجل")</f>
        <v>0</v>
      </c>
      <c r="D529" s="108">
        <f t="shared" si="8"/>
        <v>0</v>
      </c>
    </row>
    <row r="530" spans="1:4" x14ac:dyDescent="0.3">
      <c r="A530" s="10"/>
      <c r="B530" s="10">
        <f>SUMIFS('دفتر اليومية'!K:K, 'دفتر اليومية'!H:H, A530, 'دفتر اليومية'!E:E, "مبيعات اجل")</f>
        <v>0</v>
      </c>
      <c r="C530" s="10">
        <f>SUMIFS('دفتر اليومية'!L:L, 'دفتر اليومية'!H:H, A530, 'دفتر اليومية'!E:E, "مبيعات اجل")</f>
        <v>0</v>
      </c>
      <c r="D530" s="108">
        <f t="shared" si="8"/>
        <v>0</v>
      </c>
    </row>
    <row r="531" spans="1:4" x14ac:dyDescent="0.3">
      <c r="A531" s="10"/>
      <c r="B531" s="10">
        <f>SUMIFS('دفتر اليومية'!K:K, 'دفتر اليومية'!H:H, A531, 'دفتر اليومية'!E:E, "مبيعات اجل")</f>
        <v>0</v>
      </c>
      <c r="C531" s="10">
        <f>SUMIFS('دفتر اليومية'!L:L, 'دفتر اليومية'!H:H, A531, 'دفتر اليومية'!E:E, "مبيعات اجل")</f>
        <v>0</v>
      </c>
      <c r="D531" s="108">
        <f t="shared" si="8"/>
        <v>0</v>
      </c>
    </row>
    <row r="532" spans="1:4" x14ac:dyDescent="0.3">
      <c r="A532" s="10"/>
      <c r="B532" s="10">
        <f>SUMIFS('دفتر اليومية'!K:K, 'دفتر اليومية'!H:H, A532, 'دفتر اليومية'!E:E, "مبيعات اجل")</f>
        <v>0</v>
      </c>
      <c r="C532" s="10">
        <f>SUMIFS('دفتر اليومية'!L:L, 'دفتر اليومية'!H:H, A532, 'دفتر اليومية'!E:E, "مبيعات اجل")</f>
        <v>0</v>
      </c>
      <c r="D532" s="108">
        <f t="shared" si="8"/>
        <v>0</v>
      </c>
    </row>
    <row r="533" spans="1:4" x14ac:dyDescent="0.3">
      <c r="A533" s="10"/>
      <c r="B533" s="10">
        <f>SUMIFS('دفتر اليومية'!K:K, 'دفتر اليومية'!H:H, A533, 'دفتر اليومية'!E:E, "مبيعات اجل")</f>
        <v>0</v>
      </c>
      <c r="C533" s="10">
        <f>SUMIFS('دفتر اليومية'!L:L, 'دفتر اليومية'!H:H, A533, 'دفتر اليومية'!E:E, "مبيعات اجل")</f>
        <v>0</v>
      </c>
      <c r="D533" s="108">
        <f t="shared" si="8"/>
        <v>0</v>
      </c>
    </row>
    <row r="534" spans="1:4" x14ac:dyDescent="0.3">
      <c r="A534" s="10"/>
      <c r="B534" s="10">
        <f>SUMIFS('دفتر اليومية'!K:K, 'دفتر اليومية'!H:H, A534, 'دفتر اليومية'!E:E, "مبيعات اجل")</f>
        <v>0</v>
      </c>
      <c r="C534" s="10">
        <f>SUMIFS('دفتر اليومية'!L:L, 'دفتر اليومية'!H:H, A534, 'دفتر اليومية'!E:E, "مبيعات اجل")</f>
        <v>0</v>
      </c>
      <c r="D534" s="108">
        <f t="shared" si="8"/>
        <v>0</v>
      </c>
    </row>
    <row r="535" spans="1:4" x14ac:dyDescent="0.3">
      <c r="A535" s="10"/>
      <c r="B535" s="10">
        <f>SUMIFS('دفتر اليومية'!K:K, 'دفتر اليومية'!H:H, A535, 'دفتر اليومية'!E:E, "مبيعات اجل")</f>
        <v>0</v>
      </c>
      <c r="C535" s="10">
        <f>SUMIFS('دفتر اليومية'!L:L, 'دفتر اليومية'!H:H, A535, 'دفتر اليومية'!E:E, "مبيعات اجل")</f>
        <v>0</v>
      </c>
      <c r="D535" s="108">
        <f t="shared" si="8"/>
        <v>0</v>
      </c>
    </row>
    <row r="536" spans="1:4" x14ac:dyDescent="0.3">
      <c r="A536" s="10"/>
      <c r="B536" s="10">
        <f>SUMIFS('دفتر اليومية'!K:K, 'دفتر اليومية'!H:H, A536, 'دفتر اليومية'!E:E, "مبيعات اجل")</f>
        <v>0</v>
      </c>
      <c r="C536" s="10">
        <f>SUMIFS('دفتر اليومية'!L:L, 'دفتر اليومية'!H:H, A536, 'دفتر اليومية'!E:E, "مبيعات اجل")</f>
        <v>0</v>
      </c>
      <c r="D536" s="108">
        <f t="shared" si="8"/>
        <v>0</v>
      </c>
    </row>
    <row r="537" spans="1:4" x14ac:dyDescent="0.3">
      <c r="A537" s="10"/>
      <c r="B537" s="10">
        <f>SUMIFS('دفتر اليومية'!K:K, 'دفتر اليومية'!H:H, A537, 'دفتر اليومية'!E:E, "مبيعات اجل")</f>
        <v>0</v>
      </c>
      <c r="C537" s="10">
        <f>SUMIFS('دفتر اليومية'!L:L, 'دفتر اليومية'!H:H, A537, 'دفتر اليومية'!E:E, "مبيعات اجل")</f>
        <v>0</v>
      </c>
      <c r="D537" s="108">
        <f t="shared" si="8"/>
        <v>0</v>
      </c>
    </row>
    <row r="538" spans="1:4" x14ac:dyDescent="0.3">
      <c r="A538" s="10"/>
      <c r="B538" s="10">
        <f>SUMIFS('دفتر اليومية'!K:K, 'دفتر اليومية'!H:H, A538, 'دفتر اليومية'!E:E, "مبيعات اجل")</f>
        <v>0</v>
      </c>
      <c r="C538" s="10">
        <f>SUMIFS('دفتر اليومية'!L:L, 'دفتر اليومية'!H:H, A538, 'دفتر اليومية'!E:E, "مبيعات اجل")</f>
        <v>0</v>
      </c>
      <c r="D538" s="108">
        <f t="shared" si="8"/>
        <v>0</v>
      </c>
    </row>
    <row r="539" spans="1:4" x14ac:dyDescent="0.3">
      <c r="A539" s="10"/>
      <c r="B539" s="10">
        <f>SUMIFS('دفتر اليومية'!K:K, 'دفتر اليومية'!H:H, A539, 'دفتر اليومية'!E:E, "مبيعات اجل")</f>
        <v>0</v>
      </c>
      <c r="C539" s="10">
        <f>SUMIFS('دفتر اليومية'!L:L, 'دفتر اليومية'!H:H, A539, 'دفتر اليومية'!E:E, "مبيعات اجل")</f>
        <v>0</v>
      </c>
      <c r="D539" s="108">
        <f t="shared" si="8"/>
        <v>0</v>
      </c>
    </row>
    <row r="540" spans="1:4" x14ac:dyDescent="0.3">
      <c r="A540" s="10"/>
      <c r="B540" s="10">
        <f>SUMIFS('دفتر اليومية'!K:K, 'دفتر اليومية'!H:H, A540, 'دفتر اليومية'!E:E, "مبيعات اجل")</f>
        <v>0</v>
      </c>
      <c r="C540" s="10">
        <f>SUMIFS('دفتر اليومية'!L:L, 'دفتر اليومية'!H:H, A540, 'دفتر اليومية'!E:E, "مبيعات اجل")</f>
        <v>0</v>
      </c>
      <c r="D540" s="108">
        <f t="shared" si="8"/>
        <v>0</v>
      </c>
    </row>
    <row r="541" spans="1:4" x14ac:dyDescent="0.3">
      <c r="A541" s="10"/>
      <c r="B541" s="10">
        <f>SUMIFS('دفتر اليومية'!K:K, 'دفتر اليومية'!H:H, A541, 'دفتر اليومية'!E:E, "مبيعات اجل")</f>
        <v>0</v>
      </c>
      <c r="C541" s="10">
        <f>SUMIFS('دفتر اليومية'!L:L, 'دفتر اليومية'!H:H, A541, 'دفتر اليومية'!E:E, "مبيعات اجل")</f>
        <v>0</v>
      </c>
      <c r="D541" s="108">
        <f t="shared" si="8"/>
        <v>0</v>
      </c>
    </row>
    <row r="542" spans="1:4" x14ac:dyDescent="0.3">
      <c r="A542" s="10"/>
      <c r="B542" s="10">
        <f>SUMIFS('دفتر اليومية'!K:K, 'دفتر اليومية'!H:H, A542, 'دفتر اليومية'!E:E, "مبيعات اجل")</f>
        <v>0</v>
      </c>
      <c r="C542" s="10">
        <f>SUMIFS('دفتر اليومية'!L:L, 'دفتر اليومية'!H:H, A542, 'دفتر اليومية'!E:E, "مبيعات اجل")</f>
        <v>0</v>
      </c>
      <c r="D542" s="108">
        <f t="shared" si="8"/>
        <v>0</v>
      </c>
    </row>
    <row r="543" spans="1:4" x14ac:dyDescent="0.3">
      <c r="A543" s="10"/>
      <c r="B543" s="10">
        <f>SUMIFS('دفتر اليومية'!K:K, 'دفتر اليومية'!H:H, A543, 'دفتر اليومية'!E:E, "مبيعات اجل")</f>
        <v>0</v>
      </c>
      <c r="C543" s="10">
        <f>SUMIFS('دفتر اليومية'!L:L, 'دفتر اليومية'!H:H, A543, 'دفتر اليومية'!E:E, "مبيعات اجل")</f>
        <v>0</v>
      </c>
      <c r="D543" s="108">
        <f t="shared" si="8"/>
        <v>0</v>
      </c>
    </row>
    <row r="544" spans="1:4" x14ac:dyDescent="0.3">
      <c r="A544" s="10"/>
      <c r="B544" s="10">
        <f>SUMIFS('دفتر اليومية'!K:K, 'دفتر اليومية'!H:H, A544, 'دفتر اليومية'!E:E, "مبيعات اجل")</f>
        <v>0</v>
      </c>
      <c r="C544" s="10">
        <f>SUMIFS('دفتر اليومية'!L:L, 'دفتر اليومية'!H:H, A544, 'دفتر اليومية'!E:E, "مبيعات اجل")</f>
        <v>0</v>
      </c>
      <c r="D544" s="108">
        <f t="shared" si="8"/>
        <v>0</v>
      </c>
    </row>
    <row r="545" spans="1:4" x14ac:dyDescent="0.3">
      <c r="A545" s="10"/>
      <c r="B545" s="10">
        <f>SUMIFS('دفتر اليومية'!K:K, 'دفتر اليومية'!H:H, A545, 'دفتر اليومية'!E:E, "مبيعات اجل")</f>
        <v>0</v>
      </c>
      <c r="C545" s="10">
        <f>SUMIFS('دفتر اليومية'!L:L, 'دفتر اليومية'!H:H, A545, 'دفتر اليومية'!E:E, "مبيعات اجل")</f>
        <v>0</v>
      </c>
      <c r="D545" s="108">
        <f t="shared" si="8"/>
        <v>0</v>
      </c>
    </row>
    <row r="546" spans="1:4" x14ac:dyDescent="0.3">
      <c r="A546" s="10"/>
      <c r="B546" s="10">
        <f>SUMIFS('دفتر اليومية'!K:K, 'دفتر اليومية'!H:H, A546, 'دفتر اليومية'!E:E, "مبيعات اجل")</f>
        <v>0</v>
      </c>
      <c r="C546" s="10">
        <f>SUMIFS('دفتر اليومية'!L:L, 'دفتر اليومية'!H:H, A546, 'دفتر اليومية'!E:E, "مبيعات اجل")</f>
        <v>0</v>
      </c>
      <c r="D546" s="108">
        <f t="shared" si="8"/>
        <v>0</v>
      </c>
    </row>
    <row r="547" spans="1:4" x14ac:dyDescent="0.3">
      <c r="A547" s="10"/>
      <c r="B547" s="10">
        <f>SUMIFS('دفتر اليومية'!K:K, 'دفتر اليومية'!H:H, A547, 'دفتر اليومية'!E:E, "مبيعات اجل")</f>
        <v>0</v>
      </c>
      <c r="C547" s="10">
        <f>SUMIFS('دفتر اليومية'!L:L, 'دفتر اليومية'!H:H, A547, 'دفتر اليومية'!E:E, "مبيعات اجل")</f>
        <v>0</v>
      </c>
      <c r="D547" s="108">
        <f t="shared" si="8"/>
        <v>0</v>
      </c>
    </row>
    <row r="548" spans="1:4" x14ac:dyDescent="0.3">
      <c r="A548" s="10"/>
      <c r="B548" s="10">
        <f>SUMIFS('دفتر اليومية'!K:K, 'دفتر اليومية'!H:H, A548, 'دفتر اليومية'!E:E, "مبيعات اجل")</f>
        <v>0</v>
      </c>
      <c r="C548" s="10">
        <f>SUMIFS('دفتر اليومية'!L:L, 'دفتر اليومية'!H:H, A548, 'دفتر اليومية'!E:E, "مبيعات اجل")</f>
        <v>0</v>
      </c>
      <c r="D548" s="108">
        <f t="shared" si="8"/>
        <v>0</v>
      </c>
    </row>
    <row r="549" spans="1:4" x14ac:dyDescent="0.3">
      <c r="A549" s="10"/>
      <c r="B549" s="10">
        <f>SUMIFS('دفتر اليومية'!K:K, 'دفتر اليومية'!H:H, A549, 'دفتر اليومية'!E:E, "مبيعات اجل")</f>
        <v>0</v>
      </c>
      <c r="C549" s="10">
        <f>SUMIFS('دفتر اليومية'!L:L, 'دفتر اليومية'!H:H, A549, 'دفتر اليومية'!E:E, "مبيعات اجل")</f>
        <v>0</v>
      </c>
      <c r="D549" s="108">
        <f t="shared" si="8"/>
        <v>0</v>
      </c>
    </row>
    <row r="550" spans="1:4" x14ac:dyDescent="0.3">
      <c r="A550" s="10"/>
      <c r="B550" s="10">
        <f>SUMIFS('دفتر اليومية'!K:K, 'دفتر اليومية'!H:H, A550, 'دفتر اليومية'!E:E, "مبيعات اجل")</f>
        <v>0</v>
      </c>
      <c r="C550" s="10">
        <f>SUMIFS('دفتر اليومية'!L:L, 'دفتر اليومية'!H:H, A550, 'دفتر اليومية'!E:E, "مبيعات اجل")</f>
        <v>0</v>
      </c>
      <c r="D550" s="108">
        <f t="shared" si="8"/>
        <v>0</v>
      </c>
    </row>
    <row r="551" spans="1:4" x14ac:dyDescent="0.3">
      <c r="A551" s="10"/>
      <c r="B551" s="10">
        <f>SUMIFS('دفتر اليومية'!K:K, 'دفتر اليومية'!H:H, A551, 'دفتر اليومية'!E:E, "مبيعات اجل")</f>
        <v>0</v>
      </c>
      <c r="C551" s="10">
        <f>SUMIFS('دفتر اليومية'!L:L, 'دفتر اليومية'!H:H, A551, 'دفتر اليومية'!E:E, "مبيعات اجل")</f>
        <v>0</v>
      </c>
      <c r="D551" s="108">
        <f t="shared" si="8"/>
        <v>0</v>
      </c>
    </row>
    <row r="552" spans="1:4" x14ac:dyDescent="0.3">
      <c r="A552" s="10"/>
      <c r="B552" s="10">
        <f>SUMIFS('دفتر اليومية'!K:K, 'دفتر اليومية'!H:H, A552, 'دفتر اليومية'!E:E, "مبيعات اجل")</f>
        <v>0</v>
      </c>
      <c r="C552" s="10">
        <f>SUMIFS('دفتر اليومية'!L:L, 'دفتر اليومية'!H:H, A552, 'دفتر اليومية'!E:E, "مبيعات اجل")</f>
        <v>0</v>
      </c>
      <c r="D552" s="108">
        <f t="shared" si="8"/>
        <v>0</v>
      </c>
    </row>
    <row r="553" spans="1:4" x14ac:dyDescent="0.3">
      <c r="A553" s="10"/>
      <c r="B553" s="10">
        <f>SUMIFS('دفتر اليومية'!K:K, 'دفتر اليومية'!H:H, A553, 'دفتر اليومية'!E:E, "مبيعات اجل")</f>
        <v>0</v>
      </c>
      <c r="C553" s="10">
        <f>SUMIFS('دفتر اليومية'!L:L, 'دفتر اليومية'!H:H, A553, 'دفتر اليومية'!E:E, "مبيعات اجل")</f>
        <v>0</v>
      </c>
      <c r="D553" s="108">
        <f t="shared" si="8"/>
        <v>0</v>
      </c>
    </row>
    <row r="554" spans="1:4" x14ac:dyDescent="0.3">
      <c r="A554" s="10"/>
      <c r="B554" s="10">
        <f>SUMIFS('دفتر اليومية'!K:K, 'دفتر اليومية'!H:H, A554, 'دفتر اليومية'!E:E, "مبيعات اجل")</f>
        <v>0</v>
      </c>
      <c r="C554" s="10">
        <f>SUMIFS('دفتر اليومية'!L:L, 'دفتر اليومية'!H:H, A554, 'دفتر اليومية'!E:E, "مبيعات اجل")</f>
        <v>0</v>
      </c>
      <c r="D554" s="108">
        <f t="shared" si="8"/>
        <v>0</v>
      </c>
    </row>
    <row r="555" spans="1:4" x14ac:dyDescent="0.3">
      <c r="A555" s="10"/>
      <c r="B555" s="10">
        <f>SUMIFS('دفتر اليومية'!K:K, 'دفتر اليومية'!H:H, A555, 'دفتر اليومية'!E:E, "مبيعات اجل")</f>
        <v>0</v>
      </c>
      <c r="C555" s="10">
        <f>SUMIFS('دفتر اليومية'!L:L, 'دفتر اليومية'!H:H, A555, 'دفتر اليومية'!E:E, "مبيعات اجل")</f>
        <v>0</v>
      </c>
      <c r="D555" s="108">
        <f t="shared" si="8"/>
        <v>0</v>
      </c>
    </row>
    <row r="556" spans="1:4" x14ac:dyDescent="0.3">
      <c r="A556" s="10"/>
      <c r="B556" s="10">
        <f>SUMIFS('دفتر اليومية'!K:K, 'دفتر اليومية'!H:H, A556, 'دفتر اليومية'!E:E, "مبيعات اجل")</f>
        <v>0</v>
      </c>
      <c r="C556" s="10">
        <f>SUMIFS('دفتر اليومية'!L:L, 'دفتر اليومية'!H:H, A556, 'دفتر اليومية'!E:E, "مبيعات اجل")</f>
        <v>0</v>
      </c>
      <c r="D556" s="108">
        <f t="shared" si="8"/>
        <v>0</v>
      </c>
    </row>
    <row r="557" spans="1:4" x14ac:dyDescent="0.3">
      <c r="A557" s="10"/>
      <c r="B557" s="10">
        <f>SUMIFS('دفتر اليومية'!K:K, 'دفتر اليومية'!H:H, A557, 'دفتر اليومية'!E:E, "مبيعات اجل")</f>
        <v>0</v>
      </c>
      <c r="C557" s="10">
        <f>SUMIFS('دفتر اليومية'!L:L, 'دفتر اليومية'!H:H, A557, 'دفتر اليومية'!E:E, "مبيعات اجل")</f>
        <v>0</v>
      </c>
      <c r="D557" s="108">
        <f t="shared" si="8"/>
        <v>0</v>
      </c>
    </row>
    <row r="558" spans="1:4" x14ac:dyDescent="0.3">
      <c r="A558" s="10"/>
      <c r="B558" s="10">
        <f>SUMIFS('دفتر اليومية'!K:K, 'دفتر اليومية'!H:H, A558, 'دفتر اليومية'!E:E, "مبيعات اجل")</f>
        <v>0</v>
      </c>
      <c r="C558" s="10">
        <f>SUMIFS('دفتر اليومية'!L:L, 'دفتر اليومية'!H:H, A558, 'دفتر اليومية'!E:E, "مبيعات اجل")</f>
        <v>0</v>
      </c>
      <c r="D558" s="108">
        <f t="shared" si="8"/>
        <v>0</v>
      </c>
    </row>
    <row r="559" spans="1:4" x14ac:dyDescent="0.3">
      <c r="A559" s="10"/>
      <c r="B559" s="10">
        <f>SUMIFS('دفتر اليومية'!K:K, 'دفتر اليومية'!H:H, A559, 'دفتر اليومية'!E:E, "مبيعات اجل")</f>
        <v>0</v>
      </c>
      <c r="C559" s="10">
        <f>SUMIFS('دفتر اليومية'!L:L, 'دفتر اليومية'!H:H, A559, 'دفتر اليومية'!E:E, "مبيعات اجل")</f>
        <v>0</v>
      </c>
      <c r="D559" s="108">
        <f t="shared" si="8"/>
        <v>0</v>
      </c>
    </row>
    <row r="560" spans="1:4" x14ac:dyDescent="0.3">
      <c r="A560" s="10"/>
      <c r="B560" s="10">
        <f>SUMIFS('دفتر اليومية'!K:K, 'دفتر اليومية'!H:H, A560, 'دفتر اليومية'!E:E, "مبيعات اجل")</f>
        <v>0</v>
      </c>
      <c r="C560" s="10">
        <f>SUMIFS('دفتر اليومية'!L:L, 'دفتر اليومية'!H:H, A560, 'دفتر اليومية'!E:E, "مبيعات اجل")</f>
        <v>0</v>
      </c>
      <c r="D560" s="108">
        <f t="shared" si="8"/>
        <v>0</v>
      </c>
    </row>
    <row r="561" spans="1:4" x14ac:dyDescent="0.3">
      <c r="A561" s="10"/>
      <c r="B561" s="10">
        <f>SUMIFS('دفتر اليومية'!K:K, 'دفتر اليومية'!H:H, A561, 'دفتر اليومية'!E:E, "مبيعات اجل")</f>
        <v>0</v>
      </c>
      <c r="C561" s="10">
        <f>SUMIFS('دفتر اليومية'!L:L, 'دفتر اليومية'!H:H, A561, 'دفتر اليومية'!E:E, "مبيعات اجل")</f>
        <v>0</v>
      </c>
      <c r="D561" s="108">
        <f t="shared" si="8"/>
        <v>0</v>
      </c>
    </row>
    <row r="562" spans="1:4" x14ac:dyDescent="0.3">
      <c r="A562" s="10"/>
      <c r="B562" s="10">
        <f>SUMIFS('دفتر اليومية'!K:K, 'دفتر اليومية'!H:H, A562, 'دفتر اليومية'!E:E, "مبيعات اجل")</f>
        <v>0</v>
      </c>
      <c r="C562" s="10">
        <f>SUMIFS('دفتر اليومية'!L:L, 'دفتر اليومية'!H:H, A562, 'دفتر اليومية'!E:E, "مبيعات اجل")</f>
        <v>0</v>
      </c>
      <c r="D562" s="108">
        <f t="shared" si="8"/>
        <v>0</v>
      </c>
    </row>
    <row r="563" spans="1:4" x14ac:dyDescent="0.3">
      <c r="A563" s="10"/>
      <c r="B563" s="10">
        <f>SUMIFS('دفتر اليومية'!K:K, 'دفتر اليومية'!H:H, A563, 'دفتر اليومية'!E:E, "مبيعات اجل")</f>
        <v>0</v>
      </c>
      <c r="C563" s="10">
        <f>SUMIFS('دفتر اليومية'!L:L, 'دفتر اليومية'!H:H, A563, 'دفتر اليومية'!E:E, "مبيعات اجل")</f>
        <v>0</v>
      </c>
      <c r="D563" s="108">
        <f t="shared" si="8"/>
        <v>0</v>
      </c>
    </row>
    <row r="564" spans="1:4" x14ac:dyDescent="0.3">
      <c r="A564" s="10"/>
      <c r="B564" s="10">
        <f>SUMIFS('دفتر اليومية'!K:K, 'دفتر اليومية'!H:H, A564, 'دفتر اليومية'!E:E, "مبيعات اجل")</f>
        <v>0</v>
      </c>
      <c r="C564" s="10">
        <f>SUMIFS('دفتر اليومية'!L:L, 'دفتر اليومية'!H:H, A564, 'دفتر اليومية'!E:E, "مبيعات اجل")</f>
        <v>0</v>
      </c>
      <c r="D564" s="108">
        <f t="shared" si="8"/>
        <v>0</v>
      </c>
    </row>
    <row r="565" spans="1:4" x14ac:dyDescent="0.3">
      <c r="A565" s="10"/>
      <c r="B565" s="10">
        <f>SUMIFS('دفتر اليومية'!K:K, 'دفتر اليومية'!H:H, A565, 'دفتر اليومية'!E:E, "مبيعات اجل")</f>
        <v>0</v>
      </c>
      <c r="C565" s="10">
        <f>SUMIFS('دفتر اليومية'!L:L, 'دفتر اليومية'!H:H, A565, 'دفتر اليومية'!E:E, "مبيعات اجل")</f>
        <v>0</v>
      </c>
      <c r="D565" s="108">
        <f t="shared" si="8"/>
        <v>0</v>
      </c>
    </row>
    <row r="566" spans="1:4" x14ac:dyDescent="0.3">
      <c r="A566" s="10"/>
      <c r="B566" s="10">
        <f>SUMIFS('دفتر اليومية'!K:K, 'دفتر اليومية'!H:H, A566, 'دفتر اليومية'!E:E, "مبيعات اجل")</f>
        <v>0</v>
      </c>
      <c r="C566" s="10">
        <f>SUMIFS('دفتر اليومية'!L:L, 'دفتر اليومية'!H:H, A566, 'دفتر اليومية'!E:E, "مبيعات اجل")</f>
        <v>0</v>
      </c>
      <c r="D566" s="108">
        <f t="shared" si="8"/>
        <v>0</v>
      </c>
    </row>
    <row r="567" spans="1:4" x14ac:dyDescent="0.3">
      <c r="A567" s="10"/>
      <c r="B567" s="10">
        <f>SUMIFS('دفتر اليومية'!K:K, 'دفتر اليومية'!H:H, A567, 'دفتر اليومية'!E:E, "مبيعات اجل")</f>
        <v>0</v>
      </c>
      <c r="C567" s="10">
        <f>SUMIFS('دفتر اليومية'!L:L, 'دفتر اليومية'!H:H, A567, 'دفتر اليومية'!E:E, "مبيعات اجل")</f>
        <v>0</v>
      </c>
      <c r="D567" s="108">
        <f t="shared" si="8"/>
        <v>0</v>
      </c>
    </row>
    <row r="568" spans="1:4" x14ac:dyDescent="0.3">
      <c r="A568" s="10"/>
      <c r="B568" s="10">
        <f>SUMIFS('دفتر اليومية'!K:K, 'دفتر اليومية'!H:H, A568, 'دفتر اليومية'!E:E, "مبيعات اجل")</f>
        <v>0</v>
      </c>
      <c r="C568" s="10">
        <f>SUMIFS('دفتر اليومية'!L:L, 'دفتر اليومية'!H:H, A568, 'دفتر اليومية'!E:E, "مبيعات اجل")</f>
        <v>0</v>
      </c>
      <c r="D568" s="108">
        <f t="shared" si="8"/>
        <v>0</v>
      </c>
    </row>
    <row r="569" spans="1:4" x14ac:dyDescent="0.3">
      <c r="A569" s="10"/>
      <c r="B569" s="10">
        <f>SUMIFS('دفتر اليومية'!K:K, 'دفتر اليومية'!H:H, A569, 'دفتر اليومية'!E:E, "مبيعات اجل")</f>
        <v>0</v>
      </c>
      <c r="C569" s="10">
        <f>SUMIFS('دفتر اليومية'!L:L, 'دفتر اليومية'!H:H, A569, 'دفتر اليومية'!E:E, "مبيعات اجل")</f>
        <v>0</v>
      </c>
      <c r="D569" s="108">
        <f t="shared" si="8"/>
        <v>0</v>
      </c>
    </row>
    <row r="570" spans="1:4" x14ac:dyDescent="0.3">
      <c r="A570" s="10"/>
      <c r="B570" s="10">
        <f>SUMIFS('دفتر اليومية'!K:K, 'دفتر اليومية'!H:H, A570, 'دفتر اليومية'!E:E, "مبيعات اجل")</f>
        <v>0</v>
      </c>
      <c r="C570" s="10">
        <f>SUMIFS('دفتر اليومية'!L:L, 'دفتر اليومية'!H:H, A570, 'دفتر اليومية'!E:E, "مبيعات اجل")</f>
        <v>0</v>
      </c>
      <c r="D570" s="108">
        <f t="shared" si="8"/>
        <v>0</v>
      </c>
    </row>
    <row r="571" spans="1:4" x14ac:dyDescent="0.3">
      <c r="A571" s="10"/>
      <c r="B571" s="10">
        <f>SUMIFS('دفتر اليومية'!K:K, 'دفتر اليومية'!H:H, A571, 'دفتر اليومية'!E:E, "مبيعات اجل")</f>
        <v>0</v>
      </c>
      <c r="C571" s="10">
        <f>SUMIFS('دفتر اليومية'!L:L, 'دفتر اليومية'!H:H, A571, 'دفتر اليومية'!E:E, "مبيعات اجل")</f>
        <v>0</v>
      </c>
      <c r="D571" s="108">
        <f t="shared" si="8"/>
        <v>0</v>
      </c>
    </row>
    <row r="572" spans="1:4" x14ac:dyDescent="0.3">
      <c r="A572" s="10"/>
      <c r="B572" s="10">
        <f>SUMIFS('دفتر اليومية'!K:K, 'دفتر اليومية'!H:H, A572, 'دفتر اليومية'!E:E, "مبيعات اجل")</f>
        <v>0</v>
      </c>
      <c r="C572" s="10">
        <f>SUMIFS('دفتر اليومية'!L:L, 'دفتر اليومية'!H:H, A572, 'دفتر اليومية'!E:E, "مبيعات اجل")</f>
        <v>0</v>
      </c>
      <c r="D572" s="108">
        <f t="shared" si="8"/>
        <v>0</v>
      </c>
    </row>
    <row r="573" spans="1:4" x14ac:dyDescent="0.3">
      <c r="A573" s="10"/>
      <c r="B573" s="10">
        <f>SUMIFS('دفتر اليومية'!K:K, 'دفتر اليومية'!H:H, A573, 'دفتر اليومية'!E:E, "مبيعات اجل")</f>
        <v>0</v>
      </c>
      <c r="C573" s="10">
        <f>SUMIFS('دفتر اليومية'!L:L, 'دفتر اليومية'!H:H, A573, 'دفتر اليومية'!E:E, "مبيعات اجل")</f>
        <v>0</v>
      </c>
      <c r="D573" s="108">
        <f t="shared" si="8"/>
        <v>0</v>
      </c>
    </row>
    <row r="574" spans="1:4" x14ac:dyDescent="0.3">
      <c r="A574" s="10"/>
      <c r="B574" s="10">
        <f>SUMIFS('دفتر اليومية'!K:K, 'دفتر اليومية'!H:H, A574, 'دفتر اليومية'!E:E, "مبيعات اجل")</f>
        <v>0</v>
      </c>
      <c r="C574" s="10">
        <f>SUMIFS('دفتر اليومية'!L:L, 'دفتر اليومية'!H:H, A574, 'دفتر اليومية'!E:E, "مبيعات اجل")</f>
        <v>0</v>
      </c>
      <c r="D574" s="108">
        <f t="shared" si="8"/>
        <v>0</v>
      </c>
    </row>
    <row r="575" spans="1:4" x14ac:dyDescent="0.3">
      <c r="A575" s="10"/>
      <c r="B575" s="10">
        <f>SUMIFS('دفتر اليومية'!K:K, 'دفتر اليومية'!H:H, A575, 'دفتر اليومية'!E:E, "مبيعات اجل")</f>
        <v>0</v>
      </c>
      <c r="C575" s="10">
        <f>SUMIFS('دفتر اليومية'!L:L, 'دفتر اليومية'!H:H, A575, 'دفتر اليومية'!E:E, "مبيعات اجل")</f>
        <v>0</v>
      </c>
      <c r="D575" s="108">
        <f t="shared" si="8"/>
        <v>0</v>
      </c>
    </row>
    <row r="576" spans="1:4" x14ac:dyDescent="0.3">
      <c r="A576" s="10"/>
      <c r="B576" s="10">
        <f>SUMIFS('دفتر اليومية'!K:K, 'دفتر اليومية'!H:H, A576, 'دفتر اليومية'!E:E, "مبيعات اجل")</f>
        <v>0</v>
      </c>
      <c r="C576" s="10">
        <f>SUMIFS('دفتر اليومية'!L:L, 'دفتر اليومية'!H:H, A576, 'دفتر اليومية'!E:E, "مبيعات اجل")</f>
        <v>0</v>
      </c>
      <c r="D576" s="108">
        <f t="shared" si="8"/>
        <v>0</v>
      </c>
    </row>
    <row r="577" spans="1:4" x14ac:dyDescent="0.3">
      <c r="A577" s="10"/>
      <c r="B577" s="10">
        <f>SUMIFS('دفتر اليومية'!K:K, 'دفتر اليومية'!H:H, A577, 'دفتر اليومية'!E:E, "مبيعات اجل")</f>
        <v>0</v>
      </c>
      <c r="C577" s="10">
        <f>SUMIFS('دفتر اليومية'!L:L, 'دفتر اليومية'!H:H, A577, 'دفتر اليومية'!E:E, "مبيعات اجل")</f>
        <v>0</v>
      </c>
      <c r="D577" s="108">
        <f t="shared" si="8"/>
        <v>0</v>
      </c>
    </row>
    <row r="578" spans="1:4" x14ac:dyDescent="0.3">
      <c r="A578" s="10"/>
      <c r="B578" s="10">
        <f>SUMIFS('دفتر اليومية'!K:K, 'دفتر اليومية'!H:H, A578, 'دفتر اليومية'!E:E, "مبيعات اجل")</f>
        <v>0</v>
      </c>
      <c r="C578" s="10">
        <f>SUMIFS('دفتر اليومية'!L:L, 'دفتر اليومية'!H:H, A578, 'دفتر اليومية'!E:E, "مبيعات اجل")</f>
        <v>0</v>
      </c>
      <c r="D578" s="108">
        <f t="shared" si="8"/>
        <v>0</v>
      </c>
    </row>
    <row r="579" spans="1:4" x14ac:dyDescent="0.3">
      <c r="A579" s="10"/>
      <c r="B579" s="10">
        <f>SUMIFS('دفتر اليومية'!K:K, 'دفتر اليومية'!H:H, A579, 'دفتر اليومية'!E:E, "مبيعات اجل")</f>
        <v>0</v>
      </c>
      <c r="C579" s="10">
        <f>SUMIFS('دفتر اليومية'!L:L, 'دفتر اليومية'!H:H, A579, 'دفتر اليومية'!E:E, "مبيعات اجل")</f>
        <v>0</v>
      </c>
      <c r="D579" s="108">
        <f t="shared" ref="D579:D642" si="9">B579-C579</f>
        <v>0</v>
      </c>
    </row>
    <row r="580" spans="1:4" x14ac:dyDescent="0.3">
      <c r="A580" s="10"/>
      <c r="B580" s="10">
        <f>SUMIFS('دفتر اليومية'!K:K, 'دفتر اليومية'!H:H, A580, 'دفتر اليومية'!E:E, "مبيعات اجل")</f>
        <v>0</v>
      </c>
      <c r="C580" s="10">
        <f>SUMIFS('دفتر اليومية'!L:L, 'دفتر اليومية'!H:H, A580, 'دفتر اليومية'!E:E, "مبيعات اجل")</f>
        <v>0</v>
      </c>
      <c r="D580" s="108">
        <f t="shared" si="9"/>
        <v>0</v>
      </c>
    </row>
    <row r="581" spans="1:4" x14ac:dyDescent="0.3">
      <c r="A581" s="10"/>
      <c r="B581" s="10">
        <f>SUMIFS('دفتر اليومية'!K:K, 'دفتر اليومية'!H:H, A581, 'دفتر اليومية'!E:E, "مبيعات اجل")</f>
        <v>0</v>
      </c>
      <c r="C581" s="10">
        <f>SUMIFS('دفتر اليومية'!L:L, 'دفتر اليومية'!H:H, A581, 'دفتر اليومية'!E:E, "مبيعات اجل")</f>
        <v>0</v>
      </c>
      <c r="D581" s="108">
        <f t="shared" si="9"/>
        <v>0</v>
      </c>
    </row>
    <row r="582" spans="1:4" x14ac:dyDescent="0.3">
      <c r="A582" s="10"/>
      <c r="B582" s="10">
        <f>SUMIFS('دفتر اليومية'!K:K, 'دفتر اليومية'!H:H, A582, 'دفتر اليومية'!E:E, "مبيعات اجل")</f>
        <v>0</v>
      </c>
      <c r="C582" s="10">
        <f>SUMIFS('دفتر اليومية'!L:L, 'دفتر اليومية'!H:H, A582, 'دفتر اليومية'!E:E, "مبيعات اجل")</f>
        <v>0</v>
      </c>
      <c r="D582" s="108">
        <f t="shared" si="9"/>
        <v>0</v>
      </c>
    </row>
    <row r="583" spans="1:4" x14ac:dyDescent="0.3">
      <c r="A583" s="10"/>
      <c r="B583" s="10">
        <f>SUMIFS('دفتر اليومية'!K:K, 'دفتر اليومية'!H:H, A583, 'دفتر اليومية'!E:E, "مبيعات اجل")</f>
        <v>0</v>
      </c>
      <c r="C583" s="10">
        <f>SUMIFS('دفتر اليومية'!L:L, 'دفتر اليومية'!H:H, A583, 'دفتر اليومية'!E:E, "مبيعات اجل")</f>
        <v>0</v>
      </c>
      <c r="D583" s="108">
        <f t="shared" si="9"/>
        <v>0</v>
      </c>
    </row>
    <row r="584" spans="1:4" x14ac:dyDescent="0.3">
      <c r="A584" s="10"/>
      <c r="B584" s="10">
        <f>SUMIFS('دفتر اليومية'!K:K, 'دفتر اليومية'!H:H, A584, 'دفتر اليومية'!E:E, "مبيعات اجل")</f>
        <v>0</v>
      </c>
      <c r="C584" s="10">
        <f>SUMIFS('دفتر اليومية'!L:L, 'دفتر اليومية'!H:H, A584, 'دفتر اليومية'!E:E, "مبيعات اجل")</f>
        <v>0</v>
      </c>
      <c r="D584" s="108">
        <f t="shared" si="9"/>
        <v>0</v>
      </c>
    </row>
    <row r="585" spans="1:4" x14ac:dyDescent="0.3">
      <c r="A585" s="10"/>
      <c r="B585" s="10">
        <f>SUMIFS('دفتر اليومية'!K:K, 'دفتر اليومية'!H:H, A585, 'دفتر اليومية'!E:E, "مبيعات اجل")</f>
        <v>0</v>
      </c>
      <c r="C585" s="10">
        <f>SUMIFS('دفتر اليومية'!L:L, 'دفتر اليومية'!H:H, A585, 'دفتر اليومية'!E:E, "مبيعات اجل")</f>
        <v>0</v>
      </c>
      <c r="D585" s="108">
        <f t="shared" si="9"/>
        <v>0</v>
      </c>
    </row>
    <row r="586" spans="1:4" x14ac:dyDescent="0.3">
      <c r="A586" s="10"/>
      <c r="B586" s="10">
        <f>SUMIFS('دفتر اليومية'!K:K, 'دفتر اليومية'!H:H, A586, 'دفتر اليومية'!E:E, "مبيعات اجل")</f>
        <v>0</v>
      </c>
      <c r="C586" s="10">
        <f>SUMIFS('دفتر اليومية'!L:L, 'دفتر اليومية'!H:H, A586, 'دفتر اليومية'!E:E, "مبيعات اجل")</f>
        <v>0</v>
      </c>
      <c r="D586" s="108">
        <f t="shared" si="9"/>
        <v>0</v>
      </c>
    </row>
    <row r="587" spans="1:4" x14ac:dyDescent="0.3">
      <c r="A587" s="10"/>
      <c r="B587" s="10">
        <f>SUMIFS('دفتر اليومية'!K:K, 'دفتر اليومية'!H:H, A587, 'دفتر اليومية'!E:E, "مبيعات اجل")</f>
        <v>0</v>
      </c>
      <c r="C587" s="10">
        <f>SUMIFS('دفتر اليومية'!L:L, 'دفتر اليومية'!H:H, A587, 'دفتر اليومية'!E:E, "مبيعات اجل")</f>
        <v>0</v>
      </c>
      <c r="D587" s="108">
        <f t="shared" si="9"/>
        <v>0</v>
      </c>
    </row>
    <row r="588" spans="1:4" x14ac:dyDescent="0.3">
      <c r="A588" s="10"/>
      <c r="B588" s="10">
        <f>SUMIFS('دفتر اليومية'!K:K, 'دفتر اليومية'!H:H, A588, 'دفتر اليومية'!E:E, "مبيعات اجل")</f>
        <v>0</v>
      </c>
      <c r="C588" s="10">
        <f>SUMIFS('دفتر اليومية'!L:L, 'دفتر اليومية'!H:H, A588, 'دفتر اليومية'!E:E, "مبيعات اجل")</f>
        <v>0</v>
      </c>
      <c r="D588" s="108">
        <f t="shared" si="9"/>
        <v>0</v>
      </c>
    </row>
    <row r="589" spans="1:4" x14ac:dyDescent="0.3">
      <c r="A589" s="10"/>
      <c r="B589" s="10">
        <f>SUMIFS('دفتر اليومية'!K:K, 'دفتر اليومية'!H:H, A589, 'دفتر اليومية'!E:E, "مبيعات اجل")</f>
        <v>0</v>
      </c>
      <c r="C589" s="10">
        <f>SUMIFS('دفتر اليومية'!L:L, 'دفتر اليومية'!H:H, A589, 'دفتر اليومية'!E:E, "مبيعات اجل")</f>
        <v>0</v>
      </c>
      <c r="D589" s="108">
        <f t="shared" si="9"/>
        <v>0</v>
      </c>
    </row>
    <row r="590" spans="1:4" x14ac:dyDescent="0.3">
      <c r="A590" s="10"/>
      <c r="B590" s="10">
        <f>SUMIFS('دفتر اليومية'!K:K, 'دفتر اليومية'!H:H, A590, 'دفتر اليومية'!E:E, "مبيعات اجل")</f>
        <v>0</v>
      </c>
      <c r="C590" s="10">
        <f>SUMIFS('دفتر اليومية'!L:L, 'دفتر اليومية'!H:H, A590, 'دفتر اليومية'!E:E, "مبيعات اجل")</f>
        <v>0</v>
      </c>
      <c r="D590" s="108">
        <f t="shared" si="9"/>
        <v>0</v>
      </c>
    </row>
    <row r="591" spans="1:4" x14ac:dyDescent="0.3">
      <c r="A591" s="10"/>
      <c r="B591" s="10">
        <f>SUMIFS('دفتر اليومية'!K:K, 'دفتر اليومية'!H:H, A591, 'دفتر اليومية'!E:E, "مبيعات اجل")</f>
        <v>0</v>
      </c>
      <c r="C591" s="10">
        <f>SUMIFS('دفتر اليومية'!L:L, 'دفتر اليومية'!H:H, A591, 'دفتر اليومية'!E:E, "مبيعات اجل")</f>
        <v>0</v>
      </c>
      <c r="D591" s="108">
        <f t="shared" si="9"/>
        <v>0</v>
      </c>
    </row>
    <row r="592" spans="1:4" x14ac:dyDescent="0.3">
      <c r="A592" s="10"/>
      <c r="B592" s="10">
        <f>SUMIFS('دفتر اليومية'!K:K, 'دفتر اليومية'!H:H, A592, 'دفتر اليومية'!E:E, "مبيعات اجل")</f>
        <v>0</v>
      </c>
      <c r="C592" s="10">
        <f>SUMIFS('دفتر اليومية'!L:L, 'دفتر اليومية'!H:H, A592, 'دفتر اليومية'!E:E, "مبيعات اجل")</f>
        <v>0</v>
      </c>
      <c r="D592" s="108">
        <f t="shared" si="9"/>
        <v>0</v>
      </c>
    </row>
    <row r="593" spans="1:4" x14ac:dyDescent="0.3">
      <c r="A593" s="10"/>
      <c r="B593" s="10">
        <f>SUMIFS('دفتر اليومية'!K:K, 'دفتر اليومية'!H:H, A593, 'دفتر اليومية'!E:E, "مبيعات اجل")</f>
        <v>0</v>
      </c>
      <c r="C593" s="10">
        <f>SUMIFS('دفتر اليومية'!L:L, 'دفتر اليومية'!H:H, A593, 'دفتر اليومية'!E:E, "مبيعات اجل")</f>
        <v>0</v>
      </c>
      <c r="D593" s="108">
        <f t="shared" si="9"/>
        <v>0</v>
      </c>
    </row>
    <row r="594" spans="1:4" x14ac:dyDescent="0.3">
      <c r="A594" s="10"/>
      <c r="B594" s="10">
        <f>SUMIFS('دفتر اليومية'!K:K, 'دفتر اليومية'!H:H, A594, 'دفتر اليومية'!E:E, "مبيعات اجل")</f>
        <v>0</v>
      </c>
      <c r="C594" s="10">
        <f>SUMIFS('دفتر اليومية'!L:L, 'دفتر اليومية'!H:H, A594, 'دفتر اليومية'!E:E, "مبيعات اجل")</f>
        <v>0</v>
      </c>
      <c r="D594" s="108">
        <f t="shared" si="9"/>
        <v>0</v>
      </c>
    </row>
    <row r="595" spans="1:4" x14ac:dyDescent="0.3">
      <c r="A595" s="10"/>
      <c r="B595" s="10">
        <f>SUMIFS('دفتر اليومية'!K:K, 'دفتر اليومية'!H:H, A595, 'دفتر اليومية'!E:E, "مبيعات اجل")</f>
        <v>0</v>
      </c>
      <c r="C595" s="10">
        <f>SUMIFS('دفتر اليومية'!L:L, 'دفتر اليومية'!H:H, A595, 'دفتر اليومية'!E:E, "مبيعات اجل")</f>
        <v>0</v>
      </c>
      <c r="D595" s="108">
        <f t="shared" si="9"/>
        <v>0</v>
      </c>
    </row>
    <row r="596" spans="1:4" x14ac:dyDescent="0.3">
      <c r="A596" s="10"/>
      <c r="B596" s="10">
        <f>SUMIFS('دفتر اليومية'!K:K, 'دفتر اليومية'!H:H, A596, 'دفتر اليومية'!E:E, "مبيعات اجل")</f>
        <v>0</v>
      </c>
      <c r="C596" s="10">
        <f>SUMIFS('دفتر اليومية'!L:L, 'دفتر اليومية'!H:H, A596, 'دفتر اليومية'!E:E, "مبيعات اجل")</f>
        <v>0</v>
      </c>
      <c r="D596" s="108">
        <f t="shared" si="9"/>
        <v>0</v>
      </c>
    </row>
    <row r="597" spans="1:4" x14ac:dyDescent="0.3">
      <c r="A597" s="10"/>
      <c r="B597" s="10">
        <f>SUMIFS('دفتر اليومية'!K:K, 'دفتر اليومية'!H:H, A597, 'دفتر اليومية'!E:E, "مبيعات اجل")</f>
        <v>0</v>
      </c>
      <c r="C597" s="10">
        <f>SUMIFS('دفتر اليومية'!L:L, 'دفتر اليومية'!H:H, A597, 'دفتر اليومية'!E:E, "مبيعات اجل")</f>
        <v>0</v>
      </c>
      <c r="D597" s="108">
        <f t="shared" si="9"/>
        <v>0</v>
      </c>
    </row>
    <row r="598" spans="1:4" x14ac:dyDescent="0.3">
      <c r="A598" s="10"/>
      <c r="B598" s="10">
        <f>SUMIFS('دفتر اليومية'!K:K, 'دفتر اليومية'!H:H, A598, 'دفتر اليومية'!E:E, "مبيعات اجل")</f>
        <v>0</v>
      </c>
      <c r="C598" s="10">
        <f>SUMIFS('دفتر اليومية'!L:L, 'دفتر اليومية'!H:H, A598, 'دفتر اليومية'!E:E, "مبيعات اجل")</f>
        <v>0</v>
      </c>
      <c r="D598" s="108">
        <f t="shared" si="9"/>
        <v>0</v>
      </c>
    </row>
    <row r="599" spans="1:4" x14ac:dyDescent="0.3">
      <c r="A599" s="10"/>
      <c r="B599" s="10">
        <f>SUMIFS('دفتر اليومية'!K:K, 'دفتر اليومية'!H:H, A599, 'دفتر اليومية'!E:E, "مبيعات اجل")</f>
        <v>0</v>
      </c>
      <c r="C599" s="10">
        <f>SUMIFS('دفتر اليومية'!L:L, 'دفتر اليومية'!H:H, A599, 'دفتر اليومية'!E:E, "مبيعات اجل")</f>
        <v>0</v>
      </c>
      <c r="D599" s="108">
        <f t="shared" si="9"/>
        <v>0</v>
      </c>
    </row>
    <row r="600" spans="1:4" x14ac:dyDescent="0.3">
      <c r="A600" s="10"/>
      <c r="B600" s="10">
        <f>SUMIFS('دفتر اليومية'!K:K, 'دفتر اليومية'!H:H, A600, 'دفتر اليومية'!E:E, "مبيعات اجل")</f>
        <v>0</v>
      </c>
      <c r="C600" s="10">
        <f>SUMIFS('دفتر اليومية'!L:L, 'دفتر اليومية'!H:H, A600, 'دفتر اليومية'!E:E, "مبيعات اجل")</f>
        <v>0</v>
      </c>
      <c r="D600" s="108">
        <f t="shared" si="9"/>
        <v>0</v>
      </c>
    </row>
    <row r="601" spans="1:4" x14ac:dyDescent="0.3">
      <c r="A601" s="10"/>
      <c r="B601" s="10">
        <f>SUMIFS('دفتر اليومية'!K:K, 'دفتر اليومية'!H:H, A601, 'دفتر اليومية'!E:E, "مبيعات اجل")</f>
        <v>0</v>
      </c>
      <c r="C601" s="10">
        <f>SUMIFS('دفتر اليومية'!L:L, 'دفتر اليومية'!H:H, A601, 'دفتر اليومية'!E:E, "مبيعات اجل")</f>
        <v>0</v>
      </c>
      <c r="D601" s="108">
        <f t="shared" si="9"/>
        <v>0</v>
      </c>
    </row>
    <row r="602" spans="1:4" x14ac:dyDescent="0.3">
      <c r="A602" s="10"/>
      <c r="B602" s="10">
        <f>SUMIFS('دفتر اليومية'!K:K, 'دفتر اليومية'!H:H, A602, 'دفتر اليومية'!E:E, "مبيعات اجل")</f>
        <v>0</v>
      </c>
      <c r="C602" s="10">
        <f>SUMIFS('دفتر اليومية'!L:L, 'دفتر اليومية'!H:H, A602, 'دفتر اليومية'!E:E, "مبيعات اجل")</f>
        <v>0</v>
      </c>
      <c r="D602" s="108">
        <f t="shared" si="9"/>
        <v>0</v>
      </c>
    </row>
    <row r="603" spans="1:4" x14ac:dyDescent="0.3">
      <c r="A603" s="10"/>
      <c r="B603" s="10">
        <f>SUMIFS('دفتر اليومية'!K:K, 'دفتر اليومية'!H:H, A603, 'دفتر اليومية'!E:E, "مبيعات اجل")</f>
        <v>0</v>
      </c>
      <c r="C603" s="10">
        <f>SUMIFS('دفتر اليومية'!L:L, 'دفتر اليومية'!H:H, A603, 'دفتر اليومية'!E:E, "مبيعات اجل")</f>
        <v>0</v>
      </c>
      <c r="D603" s="108">
        <f t="shared" si="9"/>
        <v>0</v>
      </c>
    </row>
    <row r="604" spans="1:4" x14ac:dyDescent="0.3">
      <c r="A604" s="10"/>
      <c r="B604" s="10">
        <f>SUMIFS('دفتر اليومية'!K:K, 'دفتر اليومية'!H:H, A604, 'دفتر اليومية'!E:E, "مبيعات اجل")</f>
        <v>0</v>
      </c>
      <c r="C604" s="10">
        <f>SUMIFS('دفتر اليومية'!L:L, 'دفتر اليومية'!H:H, A604, 'دفتر اليومية'!E:E, "مبيعات اجل")</f>
        <v>0</v>
      </c>
      <c r="D604" s="108">
        <f t="shared" si="9"/>
        <v>0</v>
      </c>
    </row>
    <row r="605" spans="1:4" x14ac:dyDescent="0.3">
      <c r="A605" s="10"/>
      <c r="B605" s="10">
        <f>SUMIFS('دفتر اليومية'!K:K, 'دفتر اليومية'!H:H, A605, 'دفتر اليومية'!E:E, "مبيعات اجل")</f>
        <v>0</v>
      </c>
      <c r="C605" s="10">
        <f>SUMIFS('دفتر اليومية'!L:L, 'دفتر اليومية'!H:H, A605, 'دفتر اليومية'!E:E, "مبيعات اجل")</f>
        <v>0</v>
      </c>
      <c r="D605" s="108">
        <f t="shared" si="9"/>
        <v>0</v>
      </c>
    </row>
    <row r="606" spans="1:4" x14ac:dyDescent="0.3">
      <c r="A606" s="10"/>
      <c r="B606" s="10">
        <f>SUMIFS('دفتر اليومية'!K:K, 'دفتر اليومية'!H:H, A606, 'دفتر اليومية'!E:E, "مبيعات اجل")</f>
        <v>0</v>
      </c>
      <c r="C606" s="10">
        <f>SUMIFS('دفتر اليومية'!L:L, 'دفتر اليومية'!H:H, A606, 'دفتر اليومية'!E:E, "مبيعات اجل")</f>
        <v>0</v>
      </c>
      <c r="D606" s="108">
        <f t="shared" si="9"/>
        <v>0</v>
      </c>
    </row>
    <row r="607" spans="1:4" x14ac:dyDescent="0.3">
      <c r="A607" s="10"/>
      <c r="B607" s="10">
        <f>SUMIFS('دفتر اليومية'!K:K, 'دفتر اليومية'!H:H, A607, 'دفتر اليومية'!E:E, "مبيعات اجل")</f>
        <v>0</v>
      </c>
      <c r="C607" s="10">
        <f>SUMIFS('دفتر اليومية'!L:L, 'دفتر اليومية'!H:H, A607, 'دفتر اليومية'!E:E, "مبيعات اجل")</f>
        <v>0</v>
      </c>
      <c r="D607" s="108">
        <f t="shared" si="9"/>
        <v>0</v>
      </c>
    </row>
    <row r="608" spans="1:4" x14ac:dyDescent="0.3">
      <c r="A608" s="10"/>
      <c r="B608" s="10">
        <f>SUMIFS('دفتر اليومية'!K:K, 'دفتر اليومية'!H:H, A608, 'دفتر اليومية'!E:E, "مبيعات اجل")</f>
        <v>0</v>
      </c>
      <c r="C608" s="10">
        <f>SUMIFS('دفتر اليومية'!L:L, 'دفتر اليومية'!H:H, A608, 'دفتر اليومية'!E:E, "مبيعات اجل")</f>
        <v>0</v>
      </c>
      <c r="D608" s="108">
        <f t="shared" si="9"/>
        <v>0</v>
      </c>
    </row>
    <row r="609" spans="1:4" x14ac:dyDescent="0.3">
      <c r="A609" s="10"/>
      <c r="B609" s="10">
        <f>SUMIFS('دفتر اليومية'!K:K, 'دفتر اليومية'!H:H, A609, 'دفتر اليومية'!E:E, "مبيعات اجل")</f>
        <v>0</v>
      </c>
      <c r="C609" s="10">
        <f>SUMIFS('دفتر اليومية'!L:L, 'دفتر اليومية'!H:H, A609, 'دفتر اليومية'!E:E, "مبيعات اجل")</f>
        <v>0</v>
      </c>
      <c r="D609" s="108">
        <f t="shared" si="9"/>
        <v>0</v>
      </c>
    </row>
    <row r="610" spans="1:4" x14ac:dyDescent="0.3">
      <c r="A610" s="10"/>
      <c r="B610" s="10">
        <f>SUMIFS('دفتر اليومية'!K:K, 'دفتر اليومية'!H:H, A610, 'دفتر اليومية'!E:E, "مبيعات اجل")</f>
        <v>0</v>
      </c>
      <c r="C610" s="10">
        <f>SUMIFS('دفتر اليومية'!L:L, 'دفتر اليومية'!H:H, A610, 'دفتر اليومية'!E:E, "مبيعات اجل")</f>
        <v>0</v>
      </c>
      <c r="D610" s="108">
        <f t="shared" si="9"/>
        <v>0</v>
      </c>
    </row>
    <row r="611" spans="1:4" x14ac:dyDescent="0.3">
      <c r="A611" s="10"/>
      <c r="B611" s="10">
        <f>SUMIFS('دفتر اليومية'!K:K, 'دفتر اليومية'!H:H, A611, 'دفتر اليومية'!E:E, "مبيعات اجل")</f>
        <v>0</v>
      </c>
      <c r="C611" s="10">
        <f>SUMIFS('دفتر اليومية'!L:L, 'دفتر اليومية'!H:H, A611, 'دفتر اليومية'!E:E, "مبيعات اجل")</f>
        <v>0</v>
      </c>
      <c r="D611" s="108">
        <f t="shared" si="9"/>
        <v>0</v>
      </c>
    </row>
    <row r="612" spans="1:4" x14ac:dyDescent="0.3">
      <c r="A612" s="10"/>
      <c r="B612" s="10">
        <f>SUMIFS('دفتر اليومية'!K:K, 'دفتر اليومية'!H:H, A612, 'دفتر اليومية'!E:E, "مبيعات اجل")</f>
        <v>0</v>
      </c>
      <c r="C612" s="10">
        <f>SUMIFS('دفتر اليومية'!L:L, 'دفتر اليومية'!H:H, A612, 'دفتر اليومية'!E:E, "مبيعات اجل")</f>
        <v>0</v>
      </c>
      <c r="D612" s="108">
        <f t="shared" si="9"/>
        <v>0</v>
      </c>
    </row>
    <row r="613" spans="1:4" x14ac:dyDescent="0.3">
      <c r="A613" s="10"/>
      <c r="B613" s="10">
        <f>SUMIFS('دفتر اليومية'!K:K, 'دفتر اليومية'!H:H, A613, 'دفتر اليومية'!E:E, "مبيعات اجل")</f>
        <v>0</v>
      </c>
      <c r="C613" s="10">
        <f>SUMIFS('دفتر اليومية'!L:L, 'دفتر اليومية'!H:H, A613, 'دفتر اليومية'!E:E, "مبيعات اجل")</f>
        <v>0</v>
      </c>
      <c r="D613" s="108">
        <f t="shared" si="9"/>
        <v>0</v>
      </c>
    </row>
    <row r="614" spans="1:4" x14ac:dyDescent="0.3">
      <c r="A614" s="10"/>
      <c r="B614" s="10">
        <f>SUMIFS('دفتر اليومية'!K:K, 'دفتر اليومية'!H:H, A614, 'دفتر اليومية'!E:E, "مبيعات اجل")</f>
        <v>0</v>
      </c>
      <c r="C614" s="10">
        <f>SUMIFS('دفتر اليومية'!L:L, 'دفتر اليومية'!H:H, A614, 'دفتر اليومية'!E:E, "مبيعات اجل")</f>
        <v>0</v>
      </c>
      <c r="D614" s="108">
        <f t="shared" si="9"/>
        <v>0</v>
      </c>
    </row>
    <row r="615" spans="1:4" x14ac:dyDescent="0.3">
      <c r="A615" s="10"/>
      <c r="B615" s="10">
        <f>SUMIFS('دفتر اليومية'!K:K, 'دفتر اليومية'!H:H, A615, 'دفتر اليومية'!E:E, "مبيعات اجل")</f>
        <v>0</v>
      </c>
      <c r="C615" s="10">
        <f>SUMIFS('دفتر اليومية'!L:L, 'دفتر اليومية'!H:H, A615, 'دفتر اليومية'!E:E, "مبيعات اجل")</f>
        <v>0</v>
      </c>
      <c r="D615" s="108">
        <f t="shared" si="9"/>
        <v>0</v>
      </c>
    </row>
    <row r="616" spans="1:4" x14ac:dyDescent="0.3">
      <c r="A616" s="10"/>
      <c r="B616" s="10">
        <f>SUMIFS('دفتر اليومية'!K:K, 'دفتر اليومية'!H:H, A616, 'دفتر اليومية'!E:E, "مبيعات اجل")</f>
        <v>0</v>
      </c>
      <c r="C616" s="10">
        <f>SUMIFS('دفتر اليومية'!L:L, 'دفتر اليومية'!H:H, A616, 'دفتر اليومية'!E:E, "مبيعات اجل")</f>
        <v>0</v>
      </c>
      <c r="D616" s="108">
        <f t="shared" si="9"/>
        <v>0</v>
      </c>
    </row>
    <row r="617" spans="1:4" x14ac:dyDescent="0.3">
      <c r="A617" s="10"/>
      <c r="B617" s="10">
        <f>SUMIFS('دفتر اليومية'!K:K, 'دفتر اليومية'!H:H, A617, 'دفتر اليومية'!E:E, "مبيعات اجل")</f>
        <v>0</v>
      </c>
      <c r="C617" s="10">
        <f>SUMIFS('دفتر اليومية'!L:L, 'دفتر اليومية'!H:H, A617, 'دفتر اليومية'!E:E, "مبيعات اجل")</f>
        <v>0</v>
      </c>
      <c r="D617" s="108">
        <f t="shared" si="9"/>
        <v>0</v>
      </c>
    </row>
    <row r="618" spans="1:4" x14ac:dyDescent="0.3">
      <c r="A618" s="10"/>
      <c r="B618" s="10">
        <f>SUMIFS('دفتر اليومية'!K:K, 'دفتر اليومية'!H:H, A618, 'دفتر اليومية'!E:E, "مبيعات اجل")</f>
        <v>0</v>
      </c>
      <c r="C618" s="10">
        <f>SUMIFS('دفتر اليومية'!L:L, 'دفتر اليومية'!H:H, A618, 'دفتر اليومية'!E:E, "مبيعات اجل")</f>
        <v>0</v>
      </c>
      <c r="D618" s="108">
        <f t="shared" si="9"/>
        <v>0</v>
      </c>
    </row>
    <row r="619" spans="1:4" x14ac:dyDescent="0.3">
      <c r="A619" s="10"/>
      <c r="B619" s="10">
        <f>SUMIFS('دفتر اليومية'!K:K, 'دفتر اليومية'!H:H, A619, 'دفتر اليومية'!E:E, "مبيعات اجل")</f>
        <v>0</v>
      </c>
      <c r="C619" s="10">
        <f>SUMIFS('دفتر اليومية'!L:L, 'دفتر اليومية'!H:H, A619, 'دفتر اليومية'!E:E, "مبيعات اجل")</f>
        <v>0</v>
      </c>
      <c r="D619" s="108">
        <f t="shared" si="9"/>
        <v>0</v>
      </c>
    </row>
    <row r="620" spans="1:4" x14ac:dyDescent="0.3">
      <c r="A620" s="10"/>
      <c r="B620" s="10">
        <f>SUMIFS('دفتر اليومية'!K:K, 'دفتر اليومية'!H:H, A620, 'دفتر اليومية'!E:E, "مبيعات اجل")</f>
        <v>0</v>
      </c>
      <c r="C620" s="10">
        <f>SUMIFS('دفتر اليومية'!L:L, 'دفتر اليومية'!H:H, A620, 'دفتر اليومية'!E:E, "مبيعات اجل")</f>
        <v>0</v>
      </c>
      <c r="D620" s="108">
        <f t="shared" si="9"/>
        <v>0</v>
      </c>
    </row>
    <row r="621" spans="1:4" x14ac:dyDescent="0.3">
      <c r="A621" s="10"/>
      <c r="B621" s="10">
        <f>SUMIFS('دفتر اليومية'!K:K, 'دفتر اليومية'!H:H, A621, 'دفتر اليومية'!E:E, "مبيعات اجل")</f>
        <v>0</v>
      </c>
      <c r="C621" s="10">
        <f>SUMIFS('دفتر اليومية'!L:L, 'دفتر اليومية'!H:H, A621, 'دفتر اليومية'!E:E, "مبيعات اجل")</f>
        <v>0</v>
      </c>
      <c r="D621" s="108">
        <f t="shared" si="9"/>
        <v>0</v>
      </c>
    </row>
    <row r="622" spans="1:4" x14ac:dyDescent="0.3">
      <c r="A622" s="10"/>
      <c r="B622" s="10">
        <f>SUMIFS('دفتر اليومية'!K:K, 'دفتر اليومية'!H:H, A622, 'دفتر اليومية'!E:E, "مبيعات اجل")</f>
        <v>0</v>
      </c>
      <c r="C622" s="10">
        <f>SUMIFS('دفتر اليومية'!L:L, 'دفتر اليومية'!H:H, A622, 'دفتر اليومية'!E:E, "مبيعات اجل")</f>
        <v>0</v>
      </c>
      <c r="D622" s="108">
        <f t="shared" si="9"/>
        <v>0</v>
      </c>
    </row>
    <row r="623" spans="1:4" x14ac:dyDescent="0.3">
      <c r="A623" s="10"/>
      <c r="B623" s="10">
        <f>SUMIFS('دفتر اليومية'!K:K, 'دفتر اليومية'!H:H, A623, 'دفتر اليومية'!E:E, "مبيعات اجل")</f>
        <v>0</v>
      </c>
      <c r="C623" s="10">
        <f>SUMIFS('دفتر اليومية'!L:L, 'دفتر اليومية'!H:H, A623, 'دفتر اليومية'!E:E, "مبيعات اجل")</f>
        <v>0</v>
      </c>
      <c r="D623" s="108">
        <f t="shared" si="9"/>
        <v>0</v>
      </c>
    </row>
    <row r="624" spans="1:4" x14ac:dyDescent="0.3">
      <c r="A624" s="10"/>
      <c r="B624" s="10">
        <f>SUMIFS('دفتر اليومية'!K:K, 'دفتر اليومية'!H:H, A624, 'دفتر اليومية'!E:E, "مبيعات اجل")</f>
        <v>0</v>
      </c>
      <c r="C624" s="10">
        <f>SUMIFS('دفتر اليومية'!L:L, 'دفتر اليومية'!H:H, A624, 'دفتر اليومية'!E:E, "مبيعات اجل")</f>
        <v>0</v>
      </c>
      <c r="D624" s="108">
        <f t="shared" si="9"/>
        <v>0</v>
      </c>
    </row>
    <row r="625" spans="1:4" x14ac:dyDescent="0.3">
      <c r="A625" s="10"/>
      <c r="B625" s="10">
        <f>SUMIFS('دفتر اليومية'!K:K, 'دفتر اليومية'!H:H, A625, 'دفتر اليومية'!E:E, "مبيعات اجل")</f>
        <v>0</v>
      </c>
      <c r="C625" s="10">
        <f>SUMIFS('دفتر اليومية'!L:L, 'دفتر اليومية'!H:H, A625, 'دفتر اليومية'!E:E, "مبيعات اجل")</f>
        <v>0</v>
      </c>
      <c r="D625" s="108">
        <f t="shared" si="9"/>
        <v>0</v>
      </c>
    </row>
    <row r="626" spans="1:4" x14ac:dyDescent="0.3">
      <c r="A626" s="10"/>
      <c r="B626" s="10">
        <f>SUMIFS('دفتر اليومية'!K:K, 'دفتر اليومية'!H:H, A626, 'دفتر اليومية'!E:E, "مبيعات اجل")</f>
        <v>0</v>
      </c>
      <c r="C626" s="10">
        <f>SUMIFS('دفتر اليومية'!L:L, 'دفتر اليومية'!H:H, A626, 'دفتر اليومية'!E:E, "مبيعات اجل")</f>
        <v>0</v>
      </c>
      <c r="D626" s="108">
        <f t="shared" si="9"/>
        <v>0</v>
      </c>
    </row>
    <row r="627" spans="1:4" x14ac:dyDescent="0.3">
      <c r="A627" s="10"/>
      <c r="B627" s="10">
        <f>SUMIFS('دفتر اليومية'!K:K, 'دفتر اليومية'!H:H, A627, 'دفتر اليومية'!E:E, "مبيعات اجل")</f>
        <v>0</v>
      </c>
      <c r="C627" s="10">
        <f>SUMIFS('دفتر اليومية'!L:L, 'دفتر اليومية'!H:H, A627, 'دفتر اليومية'!E:E, "مبيعات اجل")</f>
        <v>0</v>
      </c>
      <c r="D627" s="108">
        <f t="shared" si="9"/>
        <v>0</v>
      </c>
    </row>
    <row r="628" spans="1:4" x14ac:dyDescent="0.3">
      <c r="A628" s="10"/>
      <c r="B628" s="10">
        <f>SUMIFS('دفتر اليومية'!K:K, 'دفتر اليومية'!H:H, A628, 'دفتر اليومية'!E:E, "مبيعات اجل")</f>
        <v>0</v>
      </c>
      <c r="C628" s="10">
        <f>SUMIFS('دفتر اليومية'!L:L, 'دفتر اليومية'!H:H, A628, 'دفتر اليومية'!E:E, "مبيعات اجل")</f>
        <v>0</v>
      </c>
      <c r="D628" s="108">
        <f t="shared" si="9"/>
        <v>0</v>
      </c>
    </row>
    <row r="629" spans="1:4" x14ac:dyDescent="0.3">
      <c r="A629" s="10"/>
      <c r="B629" s="10">
        <f>SUMIFS('دفتر اليومية'!K:K, 'دفتر اليومية'!H:H, A629, 'دفتر اليومية'!E:E, "مبيعات اجل")</f>
        <v>0</v>
      </c>
      <c r="C629" s="10">
        <f>SUMIFS('دفتر اليومية'!L:L, 'دفتر اليومية'!H:H, A629, 'دفتر اليومية'!E:E, "مبيعات اجل")</f>
        <v>0</v>
      </c>
      <c r="D629" s="108">
        <f t="shared" si="9"/>
        <v>0</v>
      </c>
    </row>
    <row r="630" spans="1:4" x14ac:dyDescent="0.3">
      <c r="A630" s="10"/>
      <c r="B630" s="10">
        <f>SUMIFS('دفتر اليومية'!K:K, 'دفتر اليومية'!H:H, A630, 'دفتر اليومية'!E:E, "مبيعات اجل")</f>
        <v>0</v>
      </c>
      <c r="C630" s="10">
        <f>SUMIFS('دفتر اليومية'!L:L, 'دفتر اليومية'!H:H, A630, 'دفتر اليومية'!E:E, "مبيعات اجل")</f>
        <v>0</v>
      </c>
      <c r="D630" s="108">
        <f t="shared" si="9"/>
        <v>0</v>
      </c>
    </row>
    <row r="631" spans="1:4" x14ac:dyDescent="0.3">
      <c r="A631" s="10"/>
      <c r="B631" s="10">
        <f>SUMIFS('دفتر اليومية'!K:K, 'دفتر اليومية'!H:H, A631, 'دفتر اليومية'!E:E, "مبيعات اجل")</f>
        <v>0</v>
      </c>
      <c r="C631" s="10">
        <f>SUMIFS('دفتر اليومية'!L:L, 'دفتر اليومية'!H:H, A631, 'دفتر اليومية'!E:E, "مبيعات اجل")</f>
        <v>0</v>
      </c>
      <c r="D631" s="108">
        <f t="shared" si="9"/>
        <v>0</v>
      </c>
    </row>
    <row r="632" spans="1:4" x14ac:dyDescent="0.3">
      <c r="A632" s="10"/>
      <c r="B632" s="10">
        <f>SUMIFS('دفتر اليومية'!K:K, 'دفتر اليومية'!H:H, A632, 'دفتر اليومية'!E:E, "مبيعات اجل")</f>
        <v>0</v>
      </c>
      <c r="C632" s="10">
        <f>SUMIFS('دفتر اليومية'!L:L, 'دفتر اليومية'!H:H, A632, 'دفتر اليومية'!E:E, "مبيعات اجل")</f>
        <v>0</v>
      </c>
      <c r="D632" s="108">
        <f t="shared" si="9"/>
        <v>0</v>
      </c>
    </row>
    <row r="633" spans="1:4" x14ac:dyDescent="0.3">
      <c r="A633" s="10"/>
      <c r="B633" s="10">
        <f>SUMIFS('دفتر اليومية'!K:K, 'دفتر اليومية'!H:H, A633, 'دفتر اليومية'!E:E, "مبيعات اجل")</f>
        <v>0</v>
      </c>
      <c r="C633" s="10">
        <f>SUMIFS('دفتر اليومية'!L:L, 'دفتر اليومية'!H:H, A633, 'دفتر اليومية'!E:E, "مبيعات اجل")</f>
        <v>0</v>
      </c>
      <c r="D633" s="108">
        <f t="shared" si="9"/>
        <v>0</v>
      </c>
    </row>
    <row r="634" spans="1:4" x14ac:dyDescent="0.3">
      <c r="A634" s="10"/>
      <c r="B634" s="10">
        <f>SUMIFS('دفتر اليومية'!K:K, 'دفتر اليومية'!H:H, A634, 'دفتر اليومية'!E:E, "مبيعات اجل")</f>
        <v>0</v>
      </c>
      <c r="C634" s="10">
        <f>SUMIFS('دفتر اليومية'!L:L, 'دفتر اليومية'!H:H, A634, 'دفتر اليومية'!E:E, "مبيعات اجل")</f>
        <v>0</v>
      </c>
      <c r="D634" s="108">
        <f t="shared" si="9"/>
        <v>0</v>
      </c>
    </row>
    <row r="635" spans="1:4" x14ac:dyDescent="0.3">
      <c r="A635" s="10"/>
      <c r="B635" s="10">
        <f>SUMIFS('دفتر اليومية'!K:K, 'دفتر اليومية'!H:H, A635, 'دفتر اليومية'!E:E, "مبيعات اجل")</f>
        <v>0</v>
      </c>
      <c r="C635" s="10">
        <f>SUMIFS('دفتر اليومية'!L:L, 'دفتر اليومية'!H:H, A635, 'دفتر اليومية'!E:E, "مبيعات اجل")</f>
        <v>0</v>
      </c>
      <c r="D635" s="108">
        <f t="shared" si="9"/>
        <v>0</v>
      </c>
    </row>
    <row r="636" spans="1:4" x14ac:dyDescent="0.3">
      <c r="A636" s="10"/>
      <c r="B636" s="10">
        <f>SUMIFS('دفتر اليومية'!K:K, 'دفتر اليومية'!H:H, A636, 'دفتر اليومية'!E:E, "مبيعات اجل")</f>
        <v>0</v>
      </c>
      <c r="C636" s="10">
        <f>SUMIFS('دفتر اليومية'!L:L, 'دفتر اليومية'!H:H, A636, 'دفتر اليومية'!E:E, "مبيعات اجل")</f>
        <v>0</v>
      </c>
      <c r="D636" s="108">
        <f t="shared" si="9"/>
        <v>0</v>
      </c>
    </row>
    <row r="637" spans="1:4" x14ac:dyDescent="0.3">
      <c r="A637" s="10"/>
      <c r="B637" s="10">
        <f>SUMIFS('دفتر اليومية'!K:K, 'دفتر اليومية'!H:H, A637, 'دفتر اليومية'!E:E, "مبيعات اجل")</f>
        <v>0</v>
      </c>
      <c r="C637" s="10">
        <f>SUMIFS('دفتر اليومية'!L:L, 'دفتر اليومية'!H:H, A637, 'دفتر اليومية'!E:E, "مبيعات اجل")</f>
        <v>0</v>
      </c>
      <c r="D637" s="108">
        <f t="shared" si="9"/>
        <v>0</v>
      </c>
    </row>
    <row r="638" spans="1:4" x14ac:dyDescent="0.3">
      <c r="A638" s="10"/>
      <c r="B638" s="10">
        <f>SUMIFS('دفتر اليومية'!K:K, 'دفتر اليومية'!H:H, A638, 'دفتر اليومية'!E:E, "مبيعات اجل")</f>
        <v>0</v>
      </c>
      <c r="C638" s="10">
        <f>SUMIFS('دفتر اليومية'!L:L, 'دفتر اليومية'!H:H, A638, 'دفتر اليومية'!E:E, "مبيعات اجل")</f>
        <v>0</v>
      </c>
      <c r="D638" s="108">
        <f t="shared" si="9"/>
        <v>0</v>
      </c>
    </row>
    <row r="639" spans="1:4" x14ac:dyDescent="0.3">
      <c r="A639" s="10"/>
      <c r="B639" s="10">
        <f>SUMIFS('دفتر اليومية'!K:K, 'دفتر اليومية'!H:H, A639, 'دفتر اليومية'!E:E, "مبيعات اجل")</f>
        <v>0</v>
      </c>
      <c r="C639" s="10">
        <f>SUMIFS('دفتر اليومية'!L:L, 'دفتر اليومية'!H:H, A639, 'دفتر اليومية'!E:E, "مبيعات اجل")</f>
        <v>0</v>
      </c>
      <c r="D639" s="108">
        <f t="shared" si="9"/>
        <v>0</v>
      </c>
    </row>
    <row r="640" spans="1:4" x14ac:dyDescent="0.3">
      <c r="A640" s="10"/>
      <c r="B640" s="10">
        <f>SUMIFS('دفتر اليومية'!K:K, 'دفتر اليومية'!H:H, A640, 'دفتر اليومية'!E:E, "مبيعات اجل")</f>
        <v>0</v>
      </c>
      <c r="C640" s="10">
        <f>SUMIFS('دفتر اليومية'!L:L, 'دفتر اليومية'!H:H, A640, 'دفتر اليومية'!E:E, "مبيعات اجل")</f>
        <v>0</v>
      </c>
      <c r="D640" s="108">
        <f t="shared" si="9"/>
        <v>0</v>
      </c>
    </row>
    <row r="641" spans="1:4" x14ac:dyDescent="0.3">
      <c r="A641" s="10"/>
      <c r="B641" s="10">
        <f>SUMIFS('دفتر اليومية'!K:K, 'دفتر اليومية'!H:H, A641, 'دفتر اليومية'!E:E, "مبيعات اجل")</f>
        <v>0</v>
      </c>
      <c r="C641" s="10">
        <f>SUMIFS('دفتر اليومية'!L:L, 'دفتر اليومية'!H:H, A641, 'دفتر اليومية'!E:E, "مبيعات اجل")</f>
        <v>0</v>
      </c>
      <c r="D641" s="108">
        <f t="shared" si="9"/>
        <v>0</v>
      </c>
    </row>
    <row r="642" spans="1:4" x14ac:dyDescent="0.3">
      <c r="A642" s="10"/>
      <c r="B642" s="10">
        <f>SUMIFS('دفتر اليومية'!K:K, 'دفتر اليومية'!H:H, A642, 'دفتر اليومية'!E:E, "مبيعات اجل")</f>
        <v>0</v>
      </c>
      <c r="C642" s="10">
        <f>SUMIFS('دفتر اليومية'!L:L, 'دفتر اليومية'!H:H, A642, 'دفتر اليومية'!E:E, "مبيعات اجل")</f>
        <v>0</v>
      </c>
      <c r="D642" s="108">
        <f t="shared" si="9"/>
        <v>0</v>
      </c>
    </row>
    <row r="643" spans="1:4" x14ac:dyDescent="0.3">
      <c r="A643" s="10"/>
      <c r="B643" s="10">
        <f>SUMIFS('دفتر اليومية'!K:K, 'دفتر اليومية'!H:H, A643, 'دفتر اليومية'!E:E, "مبيعات اجل")</f>
        <v>0</v>
      </c>
      <c r="C643" s="10">
        <f>SUMIFS('دفتر اليومية'!L:L, 'دفتر اليومية'!H:H, A643, 'دفتر اليومية'!E:E, "مبيعات اجل")</f>
        <v>0</v>
      </c>
      <c r="D643" s="108">
        <f t="shared" ref="D643:D706" si="10">B643-C643</f>
        <v>0</v>
      </c>
    </row>
    <row r="644" spans="1:4" x14ac:dyDescent="0.3">
      <c r="A644" s="10"/>
      <c r="B644" s="10">
        <f>SUMIFS('دفتر اليومية'!K:K, 'دفتر اليومية'!H:H, A644, 'دفتر اليومية'!E:E, "مبيعات اجل")</f>
        <v>0</v>
      </c>
      <c r="C644" s="10">
        <f>SUMIFS('دفتر اليومية'!L:L, 'دفتر اليومية'!H:H, A644, 'دفتر اليومية'!E:E, "مبيعات اجل")</f>
        <v>0</v>
      </c>
      <c r="D644" s="108">
        <f t="shared" si="10"/>
        <v>0</v>
      </c>
    </row>
    <row r="645" spans="1:4" x14ac:dyDescent="0.3">
      <c r="A645" s="10"/>
      <c r="B645" s="10">
        <f>SUMIFS('دفتر اليومية'!K:K, 'دفتر اليومية'!H:H, A645, 'دفتر اليومية'!E:E, "مبيعات اجل")</f>
        <v>0</v>
      </c>
      <c r="C645" s="10">
        <f>SUMIFS('دفتر اليومية'!L:L, 'دفتر اليومية'!H:H, A645, 'دفتر اليومية'!E:E, "مبيعات اجل")</f>
        <v>0</v>
      </c>
      <c r="D645" s="108">
        <f t="shared" si="10"/>
        <v>0</v>
      </c>
    </row>
    <row r="646" spans="1:4" x14ac:dyDescent="0.3">
      <c r="A646" s="10"/>
      <c r="B646" s="10">
        <f>SUMIFS('دفتر اليومية'!K:K, 'دفتر اليومية'!H:H, A646, 'دفتر اليومية'!E:E, "مبيعات اجل")</f>
        <v>0</v>
      </c>
      <c r="C646" s="10">
        <f>SUMIFS('دفتر اليومية'!L:L, 'دفتر اليومية'!H:H, A646, 'دفتر اليومية'!E:E, "مبيعات اجل")</f>
        <v>0</v>
      </c>
      <c r="D646" s="108">
        <f t="shared" si="10"/>
        <v>0</v>
      </c>
    </row>
    <row r="647" spans="1:4" x14ac:dyDescent="0.3">
      <c r="A647" s="10"/>
      <c r="B647" s="10">
        <f>SUMIFS('دفتر اليومية'!K:K, 'دفتر اليومية'!H:H, A647, 'دفتر اليومية'!E:E, "مبيعات اجل")</f>
        <v>0</v>
      </c>
      <c r="C647" s="10">
        <f>SUMIFS('دفتر اليومية'!L:L, 'دفتر اليومية'!H:H, A647, 'دفتر اليومية'!E:E, "مبيعات اجل")</f>
        <v>0</v>
      </c>
      <c r="D647" s="108">
        <f t="shared" si="10"/>
        <v>0</v>
      </c>
    </row>
    <row r="648" spans="1:4" x14ac:dyDescent="0.3">
      <c r="A648" s="10"/>
      <c r="B648" s="10">
        <f>SUMIFS('دفتر اليومية'!K:K, 'دفتر اليومية'!H:H, A648, 'دفتر اليومية'!E:E, "مبيعات اجل")</f>
        <v>0</v>
      </c>
      <c r="C648" s="10">
        <f>SUMIFS('دفتر اليومية'!L:L, 'دفتر اليومية'!H:H, A648, 'دفتر اليومية'!E:E, "مبيعات اجل")</f>
        <v>0</v>
      </c>
      <c r="D648" s="108">
        <f t="shared" si="10"/>
        <v>0</v>
      </c>
    </row>
    <row r="649" spans="1:4" x14ac:dyDescent="0.3">
      <c r="A649" s="10"/>
      <c r="B649" s="10">
        <f>SUMIFS('دفتر اليومية'!K:K, 'دفتر اليومية'!H:H, A649, 'دفتر اليومية'!E:E, "مبيعات اجل")</f>
        <v>0</v>
      </c>
      <c r="C649" s="10">
        <f>SUMIFS('دفتر اليومية'!L:L, 'دفتر اليومية'!H:H, A649, 'دفتر اليومية'!E:E, "مبيعات اجل")</f>
        <v>0</v>
      </c>
      <c r="D649" s="108">
        <f t="shared" si="10"/>
        <v>0</v>
      </c>
    </row>
    <row r="650" spans="1:4" x14ac:dyDescent="0.3">
      <c r="A650" s="10"/>
      <c r="B650" s="10">
        <f>SUMIFS('دفتر اليومية'!K:K, 'دفتر اليومية'!H:H, A650, 'دفتر اليومية'!E:E, "مبيعات اجل")</f>
        <v>0</v>
      </c>
      <c r="C650" s="10">
        <f>SUMIFS('دفتر اليومية'!L:L, 'دفتر اليومية'!H:H, A650, 'دفتر اليومية'!E:E, "مبيعات اجل")</f>
        <v>0</v>
      </c>
      <c r="D650" s="108">
        <f t="shared" si="10"/>
        <v>0</v>
      </c>
    </row>
    <row r="651" spans="1:4" x14ac:dyDescent="0.3">
      <c r="A651" s="10"/>
      <c r="B651" s="10">
        <f>SUMIFS('دفتر اليومية'!K:K, 'دفتر اليومية'!H:H, A651, 'دفتر اليومية'!E:E, "مبيعات اجل")</f>
        <v>0</v>
      </c>
      <c r="C651" s="10">
        <f>SUMIFS('دفتر اليومية'!L:L, 'دفتر اليومية'!H:H, A651, 'دفتر اليومية'!E:E, "مبيعات اجل")</f>
        <v>0</v>
      </c>
      <c r="D651" s="108">
        <f t="shared" si="10"/>
        <v>0</v>
      </c>
    </row>
    <row r="652" spans="1:4" x14ac:dyDescent="0.3">
      <c r="A652" s="10"/>
      <c r="B652" s="10">
        <f>SUMIFS('دفتر اليومية'!K:K, 'دفتر اليومية'!H:H, A652, 'دفتر اليومية'!E:E, "مبيعات اجل")</f>
        <v>0</v>
      </c>
      <c r="C652" s="10">
        <f>SUMIFS('دفتر اليومية'!L:L, 'دفتر اليومية'!H:H, A652, 'دفتر اليومية'!E:E, "مبيعات اجل")</f>
        <v>0</v>
      </c>
      <c r="D652" s="108">
        <f t="shared" si="10"/>
        <v>0</v>
      </c>
    </row>
    <row r="653" spans="1:4" x14ac:dyDescent="0.3">
      <c r="A653" s="10"/>
      <c r="B653" s="10">
        <f>SUMIFS('دفتر اليومية'!K:K, 'دفتر اليومية'!H:H, A653, 'دفتر اليومية'!E:E, "مبيعات اجل")</f>
        <v>0</v>
      </c>
      <c r="C653" s="10">
        <f>SUMIFS('دفتر اليومية'!L:L, 'دفتر اليومية'!H:H, A653, 'دفتر اليومية'!E:E, "مبيعات اجل")</f>
        <v>0</v>
      </c>
      <c r="D653" s="108">
        <f t="shared" si="10"/>
        <v>0</v>
      </c>
    </row>
    <row r="654" spans="1:4" x14ac:dyDescent="0.3">
      <c r="A654" s="10"/>
      <c r="B654" s="10">
        <f>SUMIFS('دفتر اليومية'!K:K, 'دفتر اليومية'!H:H, A654, 'دفتر اليومية'!E:E, "مبيعات اجل")</f>
        <v>0</v>
      </c>
      <c r="C654" s="10">
        <f>SUMIFS('دفتر اليومية'!L:L, 'دفتر اليومية'!H:H, A654, 'دفتر اليومية'!E:E, "مبيعات اجل")</f>
        <v>0</v>
      </c>
      <c r="D654" s="108">
        <f t="shared" si="10"/>
        <v>0</v>
      </c>
    </row>
    <row r="655" spans="1:4" x14ac:dyDescent="0.3">
      <c r="A655" s="10"/>
      <c r="B655" s="10">
        <f>SUMIFS('دفتر اليومية'!K:K, 'دفتر اليومية'!H:H, A655, 'دفتر اليومية'!E:E, "مبيعات اجل")</f>
        <v>0</v>
      </c>
      <c r="C655" s="10">
        <f>SUMIFS('دفتر اليومية'!L:L, 'دفتر اليومية'!H:H, A655, 'دفتر اليومية'!E:E, "مبيعات اجل")</f>
        <v>0</v>
      </c>
      <c r="D655" s="108">
        <f t="shared" si="10"/>
        <v>0</v>
      </c>
    </row>
    <row r="656" spans="1:4" x14ac:dyDescent="0.3">
      <c r="A656" s="10"/>
      <c r="B656" s="10">
        <f>SUMIFS('دفتر اليومية'!K:K, 'دفتر اليومية'!H:H, A656, 'دفتر اليومية'!E:E, "مبيعات اجل")</f>
        <v>0</v>
      </c>
      <c r="C656" s="10">
        <f>SUMIFS('دفتر اليومية'!L:L, 'دفتر اليومية'!H:H, A656, 'دفتر اليومية'!E:E, "مبيعات اجل")</f>
        <v>0</v>
      </c>
      <c r="D656" s="108">
        <f t="shared" si="10"/>
        <v>0</v>
      </c>
    </row>
    <row r="657" spans="1:4" x14ac:dyDescent="0.3">
      <c r="A657" s="10"/>
      <c r="B657" s="10">
        <f>SUMIFS('دفتر اليومية'!K:K, 'دفتر اليومية'!H:H, A657, 'دفتر اليومية'!E:E, "مبيعات اجل")</f>
        <v>0</v>
      </c>
      <c r="C657" s="10">
        <f>SUMIFS('دفتر اليومية'!L:L, 'دفتر اليومية'!H:H, A657, 'دفتر اليومية'!E:E, "مبيعات اجل")</f>
        <v>0</v>
      </c>
      <c r="D657" s="108">
        <f t="shared" si="10"/>
        <v>0</v>
      </c>
    </row>
    <row r="658" spans="1:4" x14ac:dyDescent="0.3">
      <c r="A658" s="10"/>
      <c r="B658" s="10">
        <f>SUMIFS('دفتر اليومية'!K:K, 'دفتر اليومية'!H:H, A658, 'دفتر اليومية'!E:E, "مبيعات اجل")</f>
        <v>0</v>
      </c>
      <c r="C658" s="10">
        <f>SUMIFS('دفتر اليومية'!L:L, 'دفتر اليومية'!H:H, A658, 'دفتر اليومية'!E:E, "مبيعات اجل")</f>
        <v>0</v>
      </c>
      <c r="D658" s="108">
        <f t="shared" si="10"/>
        <v>0</v>
      </c>
    </row>
    <row r="659" spans="1:4" x14ac:dyDescent="0.3">
      <c r="A659" s="10"/>
      <c r="B659" s="10">
        <f>SUMIFS('دفتر اليومية'!K:K, 'دفتر اليومية'!H:H, A659, 'دفتر اليومية'!E:E, "مبيعات اجل")</f>
        <v>0</v>
      </c>
      <c r="C659" s="10">
        <f>SUMIFS('دفتر اليومية'!L:L, 'دفتر اليومية'!H:H, A659, 'دفتر اليومية'!E:E, "مبيعات اجل")</f>
        <v>0</v>
      </c>
      <c r="D659" s="108">
        <f t="shared" si="10"/>
        <v>0</v>
      </c>
    </row>
    <row r="660" spans="1:4" x14ac:dyDescent="0.3">
      <c r="A660" s="10"/>
      <c r="B660" s="10">
        <f>SUMIFS('دفتر اليومية'!K:K, 'دفتر اليومية'!H:H, A660, 'دفتر اليومية'!E:E, "مبيعات اجل")</f>
        <v>0</v>
      </c>
      <c r="C660" s="10">
        <f>SUMIFS('دفتر اليومية'!L:L, 'دفتر اليومية'!H:H, A660, 'دفتر اليومية'!E:E, "مبيعات اجل")</f>
        <v>0</v>
      </c>
      <c r="D660" s="108">
        <f t="shared" si="10"/>
        <v>0</v>
      </c>
    </row>
    <row r="661" spans="1:4" x14ac:dyDescent="0.3">
      <c r="A661" s="10"/>
      <c r="B661" s="10">
        <f>SUMIFS('دفتر اليومية'!K:K, 'دفتر اليومية'!H:H, A661, 'دفتر اليومية'!E:E, "مبيعات اجل")</f>
        <v>0</v>
      </c>
      <c r="C661" s="10">
        <f>SUMIFS('دفتر اليومية'!L:L, 'دفتر اليومية'!H:H, A661, 'دفتر اليومية'!E:E, "مبيعات اجل")</f>
        <v>0</v>
      </c>
      <c r="D661" s="108">
        <f t="shared" si="10"/>
        <v>0</v>
      </c>
    </row>
    <row r="662" spans="1:4" x14ac:dyDescent="0.3">
      <c r="A662" s="10"/>
      <c r="B662" s="10">
        <f>SUMIFS('دفتر اليومية'!K:K, 'دفتر اليومية'!H:H, A662, 'دفتر اليومية'!E:E, "مبيعات اجل")</f>
        <v>0</v>
      </c>
      <c r="C662" s="10">
        <f>SUMIFS('دفتر اليومية'!L:L, 'دفتر اليومية'!H:H, A662, 'دفتر اليومية'!E:E, "مبيعات اجل")</f>
        <v>0</v>
      </c>
      <c r="D662" s="108">
        <f t="shared" si="10"/>
        <v>0</v>
      </c>
    </row>
    <row r="663" spans="1:4" x14ac:dyDescent="0.3">
      <c r="A663" s="10"/>
      <c r="B663" s="10">
        <f>SUMIFS('دفتر اليومية'!K:K, 'دفتر اليومية'!H:H, A663, 'دفتر اليومية'!E:E, "مبيعات اجل")</f>
        <v>0</v>
      </c>
      <c r="C663" s="10">
        <f>SUMIFS('دفتر اليومية'!L:L, 'دفتر اليومية'!H:H, A663, 'دفتر اليومية'!E:E, "مبيعات اجل")</f>
        <v>0</v>
      </c>
      <c r="D663" s="108">
        <f t="shared" si="10"/>
        <v>0</v>
      </c>
    </row>
    <row r="664" spans="1:4" x14ac:dyDescent="0.3">
      <c r="A664" s="10"/>
      <c r="B664" s="10">
        <f>SUMIFS('دفتر اليومية'!K:K, 'دفتر اليومية'!H:H, A664, 'دفتر اليومية'!E:E, "مبيعات اجل")</f>
        <v>0</v>
      </c>
      <c r="C664" s="10">
        <f>SUMIFS('دفتر اليومية'!L:L, 'دفتر اليومية'!H:H, A664, 'دفتر اليومية'!E:E, "مبيعات اجل")</f>
        <v>0</v>
      </c>
      <c r="D664" s="108">
        <f t="shared" si="10"/>
        <v>0</v>
      </c>
    </row>
    <row r="665" spans="1:4" x14ac:dyDescent="0.3">
      <c r="A665" s="10"/>
      <c r="B665" s="10">
        <f>SUMIFS('دفتر اليومية'!K:K, 'دفتر اليومية'!H:H, A665, 'دفتر اليومية'!E:E, "مبيعات اجل")</f>
        <v>0</v>
      </c>
      <c r="C665" s="10">
        <f>SUMIFS('دفتر اليومية'!L:L, 'دفتر اليومية'!H:H, A665, 'دفتر اليومية'!E:E, "مبيعات اجل")</f>
        <v>0</v>
      </c>
      <c r="D665" s="108">
        <f t="shared" si="10"/>
        <v>0</v>
      </c>
    </row>
    <row r="666" spans="1:4" x14ac:dyDescent="0.3">
      <c r="A666" s="10"/>
      <c r="B666" s="10">
        <f>SUMIFS('دفتر اليومية'!K:K, 'دفتر اليومية'!H:H, A666, 'دفتر اليومية'!E:E, "مبيعات اجل")</f>
        <v>0</v>
      </c>
      <c r="C666" s="10">
        <f>SUMIFS('دفتر اليومية'!L:L, 'دفتر اليومية'!H:H, A666, 'دفتر اليومية'!E:E, "مبيعات اجل")</f>
        <v>0</v>
      </c>
      <c r="D666" s="108">
        <f t="shared" si="10"/>
        <v>0</v>
      </c>
    </row>
    <row r="667" spans="1:4" x14ac:dyDescent="0.3">
      <c r="A667" s="10"/>
      <c r="B667" s="10">
        <f>SUMIFS('دفتر اليومية'!K:K, 'دفتر اليومية'!H:H, A667, 'دفتر اليومية'!E:E, "مبيعات اجل")</f>
        <v>0</v>
      </c>
      <c r="C667" s="10">
        <f>SUMIFS('دفتر اليومية'!L:L, 'دفتر اليومية'!H:H, A667, 'دفتر اليومية'!E:E, "مبيعات اجل")</f>
        <v>0</v>
      </c>
      <c r="D667" s="108">
        <f t="shared" si="10"/>
        <v>0</v>
      </c>
    </row>
    <row r="668" spans="1:4" x14ac:dyDescent="0.3">
      <c r="A668" s="10"/>
      <c r="B668" s="10">
        <f>SUMIFS('دفتر اليومية'!K:K, 'دفتر اليومية'!H:H, A668, 'دفتر اليومية'!E:E, "مبيعات اجل")</f>
        <v>0</v>
      </c>
      <c r="C668" s="10">
        <f>SUMIFS('دفتر اليومية'!L:L, 'دفتر اليومية'!H:H, A668, 'دفتر اليومية'!E:E, "مبيعات اجل")</f>
        <v>0</v>
      </c>
      <c r="D668" s="108">
        <f t="shared" si="10"/>
        <v>0</v>
      </c>
    </row>
    <row r="669" spans="1:4" x14ac:dyDescent="0.3">
      <c r="A669" s="10"/>
      <c r="B669" s="10">
        <f>SUMIFS('دفتر اليومية'!K:K, 'دفتر اليومية'!H:H, A669, 'دفتر اليومية'!E:E, "مبيعات اجل")</f>
        <v>0</v>
      </c>
      <c r="C669" s="10">
        <f>SUMIFS('دفتر اليومية'!L:L, 'دفتر اليومية'!H:H, A669, 'دفتر اليومية'!E:E, "مبيعات اجل")</f>
        <v>0</v>
      </c>
      <c r="D669" s="108">
        <f t="shared" si="10"/>
        <v>0</v>
      </c>
    </row>
    <row r="670" spans="1:4" x14ac:dyDescent="0.3">
      <c r="A670" s="10"/>
      <c r="B670" s="10">
        <f>SUMIFS('دفتر اليومية'!K:K, 'دفتر اليومية'!H:H, A670, 'دفتر اليومية'!E:E, "مبيعات اجل")</f>
        <v>0</v>
      </c>
      <c r="C670" s="10">
        <f>SUMIFS('دفتر اليومية'!L:L, 'دفتر اليومية'!H:H, A670, 'دفتر اليومية'!E:E, "مبيعات اجل")</f>
        <v>0</v>
      </c>
      <c r="D670" s="108">
        <f t="shared" si="10"/>
        <v>0</v>
      </c>
    </row>
    <row r="671" spans="1:4" x14ac:dyDescent="0.3">
      <c r="A671" s="10"/>
      <c r="B671" s="10">
        <f>SUMIFS('دفتر اليومية'!K:K, 'دفتر اليومية'!H:H, A671, 'دفتر اليومية'!E:E, "مبيعات اجل")</f>
        <v>0</v>
      </c>
      <c r="C671" s="10">
        <f>SUMIFS('دفتر اليومية'!L:L, 'دفتر اليومية'!H:H, A671, 'دفتر اليومية'!E:E, "مبيعات اجل")</f>
        <v>0</v>
      </c>
      <c r="D671" s="108">
        <f t="shared" si="10"/>
        <v>0</v>
      </c>
    </row>
    <row r="672" spans="1:4" x14ac:dyDescent="0.3">
      <c r="A672" s="10"/>
      <c r="B672" s="10">
        <f>SUMIFS('دفتر اليومية'!K:K, 'دفتر اليومية'!H:H, A672, 'دفتر اليومية'!E:E, "مبيعات اجل")</f>
        <v>0</v>
      </c>
      <c r="C672" s="10">
        <f>SUMIFS('دفتر اليومية'!L:L, 'دفتر اليومية'!H:H, A672, 'دفتر اليومية'!E:E, "مبيعات اجل")</f>
        <v>0</v>
      </c>
      <c r="D672" s="108">
        <f t="shared" si="10"/>
        <v>0</v>
      </c>
    </row>
    <row r="673" spans="1:4" x14ac:dyDescent="0.3">
      <c r="A673" s="10"/>
      <c r="B673" s="10">
        <f>SUMIFS('دفتر اليومية'!K:K, 'دفتر اليومية'!H:H, A673, 'دفتر اليومية'!E:E, "مبيعات اجل")</f>
        <v>0</v>
      </c>
      <c r="C673" s="10">
        <f>SUMIFS('دفتر اليومية'!L:L, 'دفتر اليومية'!H:H, A673, 'دفتر اليومية'!E:E, "مبيعات اجل")</f>
        <v>0</v>
      </c>
      <c r="D673" s="108">
        <f t="shared" si="10"/>
        <v>0</v>
      </c>
    </row>
    <row r="674" spans="1:4" x14ac:dyDescent="0.3">
      <c r="A674" s="10"/>
      <c r="B674" s="10">
        <f>SUMIFS('دفتر اليومية'!K:K, 'دفتر اليومية'!H:H, A674, 'دفتر اليومية'!E:E, "مبيعات اجل")</f>
        <v>0</v>
      </c>
      <c r="C674" s="10">
        <f>SUMIFS('دفتر اليومية'!L:L, 'دفتر اليومية'!H:H, A674, 'دفتر اليومية'!E:E, "مبيعات اجل")</f>
        <v>0</v>
      </c>
      <c r="D674" s="108">
        <f t="shared" si="10"/>
        <v>0</v>
      </c>
    </row>
    <row r="675" spans="1:4" x14ac:dyDescent="0.3">
      <c r="A675" s="10"/>
      <c r="B675" s="10">
        <f>SUMIFS('دفتر اليومية'!K:K, 'دفتر اليومية'!H:H, A675, 'دفتر اليومية'!E:E, "مبيعات اجل")</f>
        <v>0</v>
      </c>
      <c r="C675" s="10">
        <f>SUMIFS('دفتر اليومية'!L:L, 'دفتر اليومية'!H:H, A675, 'دفتر اليومية'!E:E, "مبيعات اجل")</f>
        <v>0</v>
      </c>
      <c r="D675" s="108">
        <f t="shared" si="10"/>
        <v>0</v>
      </c>
    </row>
    <row r="676" spans="1:4" x14ac:dyDescent="0.3">
      <c r="A676" s="10"/>
      <c r="B676" s="10">
        <f>SUMIFS('دفتر اليومية'!K:K, 'دفتر اليومية'!H:H, A676, 'دفتر اليومية'!E:E, "مبيعات اجل")</f>
        <v>0</v>
      </c>
      <c r="C676" s="10">
        <f>SUMIFS('دفتر اليومية'!L:L, 'دفتر اليومية'!H:H, A676, 'دفتر اليومية'!E:E, "مبيعات اجل")</f>
        <v>0</v>
      </c>
      <c r="D676" s="108">
        <f t="shared" si="10"/>
        <v>0</v>
      </c>
    </row>
    <row r="677" spans="1:4" x14ac:dyDescent="0.3">
      <c r="A677" s="10"/>
      <c r="B677" s="10">
        <f>SUMIFS('دفتر اليومية'!K:K, 'دفتر اليومية'!H:H, A677, 'دفتر اليومية'!E:E, "مبيعات اجل")</f>
        <v>0</v>
      </c>
      <c r="C677" s="10">
        <f>SUMIFS('دفتر اليومية'!L:L, 'دفتر اليومية'!H:H, A677, 'دفتر اليومية'!E:E, "مبيعات اجل")</f>
        <v>0</v>
      </c>
      <c r="D677" s="108">
        <f t="shared" si="10"/>
        <v>0</v>
      </c>
    </row>
    <row r="678" spans="1:4" x14ac:dyDescent="0.3">
      <c r="A678" s="10"/>
      <c r="B678" s="10">
        <f>SUMIFS('دفتر اليومية'!K:K, 'دفتر اليومية'!H:H, A678, 'دفتر اليومية'!E:E, "مبيعات اجل")</f>
        <v>0</v>
      </c>
      <c r="C678" s="10">
        <f>SUMIFS('دفتر اليومية'!L:L, 'دفتر اليومية'!H:H, A678, 'دفتر اليومية'!E:E, "مبيعات اجل")</f>
        <v>0</v>
      </c>
      <c r="D678" s="108">
        <f t="shared" si="10"/>
        <v>0</v>
      </c>
    </row>
    <row r="679" spans="1:4" x14ac:dyDescent="0.3">
      <c r="A679" s="10"/>
      <c r="B679" s="10">
        <f>SUMIFS('دفتر اليومية'!K:K, 'دفتر اليومية'!H:H, A679, 'دفتر اليومية'!E:E, "مبيعات اجل")</f>
        <v>0</v>
      </c>
      <c r="C679" s="10">
        <f>SUMIFS('دفتر اليومية'!L:L, 'دفتر اليومية'!H:H, A679, 'دفتر اليومية'!E:E, "مبيعات اجل")</f>
        <v>0</v>
      </c>
      <c r="D679" s="108">
        <f t="shared" si="10"/>
        <v>0</v>
      </c>
    </row>
    <row r="680" spans="1:4" x14ac:dyDescent="0.3">
      <c r="A680" s="10"/>
      <c r="B680" s="10">
        <f>SUMIFS('دفتر اليومية'!K:K, 'دفتر اليومية'!H:H, A680, 'دفتر اليومية'!E:E, "مبيعات اجل")</f>
        <v>0</v>
      </c>
      <c r="C680" s="10">
        <f>SUMIFS('دفتر اليومية'!L:L, 'دفتر اليومية'!H:H, A680, 'دفتر اليومية'!E:E, "مبيعات اجل")</f>
        <v>0</v>
      </c>
      <c r="D680" s="108">
        <f t="shared" si="10"/>
        <v>0</v>
      </c>
    </row>
    <row r="681" spans="1:4" x14ac:dyDescent="0.3">
      <c r="A681" s="10"/>
      <c r="B681" s="10">
        <f>SUMIFS('دفتر اليومية'!K:K, 'دفتر اليومية'!H:H, A681, 'دفتر اليومية'!E:E, "مبيعات اجل")</f>
        <v>0</v>
      </c>
      <c r="C681" s="10">
        <f>SUMIFS('دفتر اليومية'!L:L, 'دفتر اليومية'!H:H, A681, 'دفتر اليومية'!E:E, "مبيعات اجل")</f>
        <v>0</v>
      </c>
      <c r="D681" s="108">
        <f t="shared" si="10"/>
        <v>0</v>
      </c>
    </row>
    <row r="682" spans="1:4" x14ac:dyDescent="0.3">
      <c r="A682" s="10"/>
      <c r="B682" s="10">
        <f>SUMIFS('دفتر اليومية'!K:K, 'دفتر اليومية'!H:H, A682, 'دفتر اليومية'!E:E, "مبيعات اجل")</f>
        <v>0</v>
      </c>
      <c r="C682" s="10">
        <f>SUMIFS('دفتر اليومية'!L:L, 'دفتر اليومية'!H:H, A682, 'دفتر اليومية'!E:E, "مبيعات اجل")</f>
        <v>0</v>
      </c>
      <c r="D682" s="108">
        <f t="shared" si="10"/>
        <v>0</v>
      </c>
    </row>
    <row r="683" spans="1:4" x14ac:dyDescent="0.3">
      <c r="A683" s="10"/>
      <c r="B683" s="10">
        <f>SUMIFS('دفتر اليومية'!K:K, 'دفتر اليومية'!H:H, A683, 'دفتر اليومية'!E:E, "مبيعات اجل")</f>
        <v>0</v>
      </c>
      <c r="C683" s="10">
        <f>SUMIFS('دفتر اليومية'!L:L, 'دفتر اليومية'!H:H, A683, 'دفتر اليومية'!E:E, "مبيعات اجل")</f>
        <v>0</v>
      </c>
      <c r="D683" s="108">
        <f t="shared" si="10"/>
        <v>0</v>
      </c>
    </row>
    <row r="684" spans="1:4" x14ac:dyDescent="0.3">
      <c r="A684" s="10"/>
      <c r="B684" s="10">
        <f>SUMIFS('دفتر اليومية'!K:K, 'دفتر اليومية'!H:H, A684, 'دفتر اليومية'!E:E, "مبيعات اجل")</f>
        <v>0</v>
      </c>
      <c r="C684" s="10">
        <f>SUMIFS('دفتر اليومية'!L:L, 'دفتر اليومية'!H:H, A684, 'دفتر اليومية'!E:E, "مبيعات اجل")</f>
        <v>0</v>
      </c>
      <c r="D684" s="108">
        <f t="shared" si="10"/>
        <v>0</v>
      </c>
    </row>
    <row r="685" spans="1:4" x14ac:dyDescent="0.3">
      <c r="A685" s="10"/>
      <c r="B685" s="10">
        <f>SUMIFS('دفتر اليومية'!K:K, 'دفتر اليومية'!H:H, A685, 'دفتر اليومية'!E:E, "مبيعات اجل")</f>
        <v>0</v>
      </c>
      <c r="C685" s="10">
        <f>SUMIFS('دفتر اليومية'!L:L, 'دفتر اليومية'!H:H, A685, 'دفتر اليومية'!E:E, "مبيعات اجل")</f>
        <v>0</v>
      </c>
      <c r="D685" s="108">
        <f t="shared" si="10"/>
        <v>0</v>
      </c>
    </row>
    <row r="686" spans="1:4" x14ac:dyDescent="0.3">
      <c r="A686" s="10"/>
      <c r="B686" s="10">
        <f>SUMIFS('دفتر اليومية'!K:K, 'دفتر اليومية'!H:H, A686, 'دفتر اليومية'!E:E, "مبيعات اجل")</f>
        <v>0</v>
      </c>
      <c r="C686" s="10">
        <f>SUMIFS('دفتر اليومية'!L:L, 'دفتر اليومية'!H:H, A686, 'دفتر اليومية'!E:E, "مبيعات اجل")</f>
        <v>0</v>
      </c>
      <c r="D686" s="108">
        <f t="shared" si="10"/>
        <v>0</v>
      </c>
    </row>
    <row r="687" spans="1:4" x14ac:dyDescent="0.3">
      <c r="A687" s="10"/>
      <c r="B687" s="10">
        <f>SUMIFS('دفتر اليومية'!K:K, 'دفتر اليومية'!H:H, A687, 'دفتر اليومية'!E:E, "مبيعات اجل")</f>
        <v>0</v>
      </c>
      <c r="C687" s="10">
        <f>SUMIFS('دفتر اليومية'!L:L, 'دفتر اليومية'!H:H, A687, 'دفتر اليومية'!E:E, "مبيعات اجل")</f>
        <v>0</v>
      </c>
      <c r="D687" s="108">
        <f t="shared" si="10"/>
        <v>0</v>
      </c>
    </row>
    <row r="688" spans="1:4" x14ac:dyDescent="0.3">
      <c r="A688" s="10"/>
      <c r="B688" s="10">
        <f>SUMIFS('دفتر اليومية'!K:K, 'دفتر اليومية'!H:H, A688, 'دفتر اليومية'!E:E, "مبيعات اجل")</f>
        <v>0</v>
      </c>
      <c r="C688" s="10">
        <f>SUMIFS('دفتر اليومية'!L:L, 'دفتر اليومية'!H:H, A688, 'دفتر اليومية'!E:E, "مبيعات اجل")</f>
        <v>0</v>
      </c>
      <c r="D688" s="108">
        <f t="shared" si="10"/>
        <v>0</v>
      </c>
    </row>
    <row r="689" spans="1:4" x14ac:dyDescent="0.3">
      <c r="A689" s="10"/>
      <c r="B689" s="10">
        <f>SUMIFS('دفتر اليومية'!K:K, 'دفتر اليومية'!H:H, A689, 'دفتر اليومية'!E:E, "مبيعات اجل")</f>
        <v>0</v>
      </c>
      <c r="C689" s="10">
        <f>SUMIFS('دفتر اليومية'!L:L, 'دفتر اليومية'!H:H, A689, 'دفتر اليومية'!E:E, "مبيعات اجل")</f>
        <v>0</v>
      </c>
      <c r="D689" s="108">
        <f t="shared" si="10"/>
        <v>0</v>
      </c>
    </row>
    <row r="690" spans="1:4" x14ac:dyDescent="0.3">
      <c r="A690" s="10"/>
      <c r="B690" s="10">
        <f>SUMIFS('دفتر اليومية'!K:K, 'دفتر اليومية'!H:H, A690, 'دفتر اليومية'!E:E, "مبيعات اجل")</f>
        <v>0</v>
      </c>
      <c r="C690" s="10">
        <f>SUMIFS('دفتر اليومية'!L:L, 'دفتر اليومية'!H:H, A690, 'دفتر اليومية'!E:E, "مبيعات اجل")</f>
        <v>0</v>
      </c>
      <c r="D690" s="108">
        <f t="shared" si="10"/>
        <v>0</v>
      </c>
    </row>
    <row r="691" spans="1:4" x14ac:dyDescent="0.3">
      <c r="A691" s="10"/>
      <c r="B691" s="10">
        <f>SUMIFS('دفتر اليومية'!K:K, 'دفتر اليومية'!H:H, A691, 'دفتر اليومية'!E:E, "مبيعات اجل")</f>
        <v>0</v>
      </c>
      <c r="C691" s="10">
        <f>SUMIFS('دفتر اليومية'!L:L, 'دفتر اليومية'!H:H, A691, 'دفتر اليومية'!E:E, "مبيعات اجل")</f>
        <v>0</v>
      </c>
      <c r="D691" s="108">
        <f t="shared" si="10"/>
        <v>0</v>
      </c>
    </row>
    <row r="692" spans="1:4" x14ac:dyDescent="0.3">
      <c r="A692" s="10"/>
      <c r="B692" s="10">
        <f>SUMIFS('دفتر اليومية'!K:K, 'دفتر اليومية'!H:H, A692, 'دفتر اليومية'!E:E, "مبيعات اجل")</f>
        <v>0</v>
      </c>
      <c r="C692" s="10">
        <f>SUMIFS('دفتر اليومية'!L:L, 'دفتر اليومية'!H:H, A692, 'دفتر اليومية'!E:E, "مبيعات اجل")</f>
        <v>0</v>
      </c>
      <c r="D692" s="108">
        <f t="shared" si="10"/>
        <v>0</v>
      </c>
    </row>
    <row r="693" spans="1:4" x14ac:dyDescent="0.3">
      <c r="A693" s="10"/>
      <c r="B693" s="10">
        <f>SUMIFS('دفتر اليومية'!K:K, 'دفتر اليومية'!H:H, A693, 'دفتر اليومية'!E:E, "مبيعات اجل")</f>
        <v>0</v>
      </c>
      <c r="C693" s="10">
        <f>SUMIFS('دفتر اليومية'!L:L, 'دفتر اليومية'!H:H, A693, 'دفتر اليومية'!E:E, "مبيعات اجل")</f>
        <v>0</v>
      </c>
      <c r="D693" s="108">
        <f t="shared" si="10"/>
        <v>0</v>
      </c>
    </row>
    <row r="694" spans="1:4" x14ac:dyDescent="0.3">
      <c r="A694" s="10"/>
      <c r="B694" s="10">
        <f>SUMIFS('دفتر اليومية'!K:K, 'دفتر اليومية'!H:H, A694, 'دفتر اليومية'!E:E, "مبيعات اجل")</f>
        <v>0</v>
      </c>
      <c r="C694" s="10">
        <f>SUMIFS('دفتر اليومية'!L:L, 'دفتر اليومية'!H:H, A694, 'دفتر اليومية'!E:E, "مبيعات اجل")</f>
        <v>0</v>
      </c>
      <c r="D694" s="108">
        <f t="shared" si="10"/>
        <v>0</v>
      </c>
    </row>
    <row r="695" spans="1:4" x14ac:dyDescent="0.3">
      <c r="A695" s="10"/>
      <c r="B695" s="10">
        <f>SUMIFS('دفتر اليومية'!K:K, 'دفتر اليومية'!H:H, A695, 'دفتر اليومية'!E:E, "مبيعات اجل")</f>
        <v>0</v>
      </c>
      <c r="C695" s="10">
        <f>SUMIFS('دفتر اليومية'!L:L, 'دفتر اليومية'!H:H, A695, 'دفتر اليومية'!E:E, "مبيعات اجل")</f>
        <v>0</v>
      </c>
      <c r="D695" s="108">
        <f t="shared" si="10"/>
        <v>0</v>
      </c>
    </row>
    <row r="696" spans="1:4" x14ac:dyDescent="0.3">
      <c r="A696" s="10"/>
      <c r="B696" s="10">
        <f>SUMIFS('دفتر اليومية'!K:K, 'دفتر اليومية'!H:H, A696, 'دفتر اليومية'!E:E, "مبيعات اجل")</f>
        <v>0</v>
      </c>
      <c r="C696" s="10">
        <f>SUMIFS('دفتر اليومية'!L:L, 'دفتر اليومية'!H:H, A696, 'دفتر اليومية'!E:E, "مبيعات اجل")</f>
        <v>0</v>
      </c>
      <c r="D696" s="108">
        <f t="shared" si="10"/>
        <v>0</v>
      </c>
    </row>
    <row r="697" spans="1:4" x14ac:dyDescent="0.3">
      <c r="A697" s="10"/>
      <c r="B697" s="10">
        <f>SUMIFS('دفتر اليومية'!K:K, 'دفتر اليومية'!H:H, A697, 'دفتر اليومية'!E:E, "مبيعات اجل")</f>
        <v>0</v>
      </c>
      <c r="C697" s="10">
        <f>SUMIFS('دفتر اليومية'!L:L, 'دفتر اليومية'!H:H, A697, 'دفتر اليومية'!E:E, "مبيعات اجل")</f>
        <v>0</v>
      </c>
      <c r="D697" s="108">
        <f t="shared" si="10"/>
        <v>0</v>
      </c>
    </row>
    <row r="698" spans="1:4" x14ac:dyDescent="0.3">
      <c r="A698" s="10"/>
      <c r="B698" s="10">
        <f>SUMIFS('دفتر اليومية'!K:K, 'دفتر اليومية'!H:H, A698, 'دفتر اليومية'!E:E, "مبيعات اجل")</f>
        <v>0</v>
      </c>
      <c r="C698" s="10">
        <f>SUMIFS('دفتر اليومية'!L:L, 'دفتر اليومية'!H:H, A698, 'دفتر اليومية'!E:E, "مبيعات اجل")</f>
        <v>0</v>
      </c>
      <c r="D698" s="108">
        <f t="shared" si="10"/>
        <v>0</v>
      </c>
    </row>
    <row r="699" spans="1:4" x14ac:dyDescent="0.3">
      <c r="A699" s="10"/>
      <c r="B699" s="10">
        <f>SUMIFS('دفتر اليومية'!K:K, 'دفتر اليومية'!H:H, A699, 'دفتر اليومية'!E:E, "مبيعات اجل")</f>
        <v>0</v>
      </c>
      <c r="C699" s="10">
        <f>SUMIFS('دفتر اليومية'!L:L, 'دفتر اليومية'!H:H, A699, 'دفتر اليومية'!E:E, "مبيعات اجل")</f>
        <v>0</v>
      </c>
      <c r="D699" s="108">
        <f t="shared" si="10"/>
        <v>0</v>
      </c>
    </row>
    <row r="700" spans="1:4" x14ac:dyDescent="0.3">
      <c r="A700" s="10"/>
      <c r="B700" s="10">
        <f>SUMIFS('دفتر اليومية'!K:K, 'دفتر اليومية'!H:H, A700, 'دفتر اليومية'!E:E, "مبيعات اجل")</f>
        <v>0</v>
      </c>
      <c r="C700" s="10">
        <f>SUMIFS('دفتر اليومية'!L:L, 'دفتر اليومية'!H:H, A700, 'دفتر اليومية'!E:E, "مبيعات اجل")</f>
        <v>0</v>
      </c>
      <c r="D700" s="108">
        <f t="shared" si="10"/>
        <v>0</v>
      </c>
    </row>
    <row r="701" spans="1:4" x14ac:dyDescent="0.3">
      <c r="A701" s="10"/>
      <c r="B701" s="10">
        <f>SUMIFS('دفتر اليومية'!K:K, 'دفتر اليومية'!H:H, A701, 'دفتر اليومية'!E:E, "مبيعات اجل")</f>
        <v>0</v>
      </c>
      <c r="C701" s="10">
        <f>SUMIFS('دفتر اليومية'!L:L, 'دفتر اليومية'!H:H, A701, 'دفتر اليومية'!E:E, "مبيعات اجل")</f>
        <v>0</v>
      </c>
      <c r="D701" s="108">
        <f t="shared" si="10"/>
        <v>0</v>
      </c>
    </row>
    <row r="702" spans="1:4" x14ac:dyDescent="0.3">
      <c r="A702" s="10"/>
      <c r="B702" s="10">
        <f>SUMIFS('دفتر اليومية'!K:K, 'دفتر اليومية'!H:H, A702, 'دفتر اليومية'!E:E, "مبيعات اجل")</f>
        <v>0</v>
      </c>
      <c r="C702" s="10">
        <f>SUMIFS('دفتر اليومية'!L:L, 'دفتر اليومية'!H:H, A702, 'دفتر اليومية'!E:E, "مبيعات اجل")</f>
        <v>0</v>
      </c>
      <c r="D702" s="108">
        <f t="shared" si="10"/>
        <v>0</v>
      </c>
    </row>
    <row r="703" spans="1:4" x14ac:dyDescent="0.3">
      <c r="A703" s="10"/>
      <c r="B703" s="10">
        <f>SUMIFS('دفتر اليومية'!K:K, 'دفتر اليومية'!H:H, A703, 'دفتر اليومية'!E:E, "مبيعات اجل")</f>
        <v>0</v>
      </c>
      <c r="C703" s="10">
        <f>SUMIFS('دفتر اليومية'!L:L, 'دفتر اليومية'!H:H, A703, 'دفتر اليومية'!E:E, "مبيعات اجل")</f>
        <v>0</v>
      </c>
      <c r="D703" s="108">
        <f t="shared" si="10"/>
        <v>0</v>
      </c>
    </row>
    <row r="704" spans="1:4" x14ac:dyDescent="0.3">
      <c r="A704" s="10"/>
      <c r="B704" s="10">
        <f>SUMIFS('دفتر اليومية'!K:K, 'دفتر اليومية'!H:H, A704, 'دفتر اليومية'!E:E, "مبيعات اجل")</f>
        <v>0</v>
      </c>
      <c r="C704" s="10">
        <f>SUMIFS('دفتر اليومية'!L:L, 'دفتر اليومية'!H:H, A704, 'دفتر اليومية'!E:E, "مبيعات اجل")</f>
        <v>0</v>
      </c>
      <c r="D704" s="108">
        <f t="shared" si="10"/>
        <v>0</v>
      </c>
    </row>
    <row r="705" spans="1:4" x14ac:dyDescent="0.3">
      <c r="A705" s="10"/>
      <c r="B705" s="10">
        <f>SUMIFS('دفتر اليومية'!K:K, 'دفتر اليومية'!H:H, A705, 'دفتر اليومية'!E:E, "مبيعات اجل")</f>
        <v>0</v>
      </c>
      <c r="C705" s="10">
        <f>SUMIFS('دفتر اليومية'!L:L, 'دفتر اليومية'!H:H, A705, 'دفتر اليومية'!E:E, "مبيعات اجل")</f>
        <v>0</v>
      </c>
      <c r="D705" s="108">
        <f t="shared" si="10"/>
        <v>0</v>
      </c>
    </row>
    <row r="706" spans="1:4" x14ac:dyDescent="0.3">
      <c r="A706" s="10"/>
      <c r="B706" s="10">
        <f>SUMIFS('دفتر اليومية'!K:K, 'دفتر اليومية'!H:H, A706, 'دفتر اليومية'!E:E, "مبيعات اجل")</f>
        <v>0</v>
      </c>
      <c r="C706" s="10">
        <f>SUMIFS('دفتر اليومية'!L:L, 'دفتر اليومية'!H:H, A706, 'دفتر اليومية'!E:E, "مبيعات اجل")</f>
        <v>0</v>
      </c>
      <c r="D706" s="108">
        <f t="shared" si="10"/>
        <v>0</v>
      </c>
    </row>
    <row r="707" spans="1:4" x14ac:dyDescent="0.3">
      <c r="A707" s="10"/>
      <c r="B707" s="10">
        <f>SUMIFS('دفتر اليومية'!K:K, 'دفتر اليومية'!H:H, A707, 'دفتر اليومية'!E:E, "مبيعات اجل")</f>
        <v>0</v>
      </c>
      <c r="C707" s="10">
        <f>SUMIFS('دفتر اليومية'!L:L, 'دفتر اليومية'!H:H, A707, 'دفتر اليومية'!E:E, "مبيعات اجل")</f>
        <v>0</v>
      </c>
      <c r="D707" s="108">
        <f t="shared" ref="D707:D770" si="11">B707-C707</f>
        <v>0</v>
      </c>
    </row>
    <row r="708" spans="1:4" x14ac:dyDescent="0.3">
      <c r="A708" s="10"/>
      <c r="B708" s="10">
        <f>SUMIFS('دفتر اليومية'!K:K, 'دفتر اليومية'!H:H, A708, 'دفتر اليومية'!E:E, "مبيعات اجل")</f>
        <v>0</v>
      </c>
      <c r="C708" s="10">
        <f>SUMIFS('دفتر اليومية'!L:L, 'دفتر اليومية'!H:H, A708, 'دفتر اليومية'!E:E, "مبيعات اجل")</f>
        <v>0</v>
      </c>
      <c r="D708" s="108">
        <f t="shared" si="11"/>
        <v>0</v>
      </c>
    </row>
    <row r="709" spans="1:4" x14ac:dyDescent="0.3">
      <c r="A709" s="10"/>
      <c r="B709" s="10">
        <f>SUMIFS('دفتر اليومية'!K:K, 'دفتر اليومية'!H:H, A709, 'دفتر اليومية'!E:E, "مبيعات اجل")</f>
        <v>0</v>
      </c>
      <c r="C709" s="10">
        <f>SUMIFS('دفتر اليومية'!L:L, 'دفتر اليومية'!H:H, A709, 'دفتر اليومية'!E:E, "مبيعات اجل")</f>
        <v>0</v>
      </c>
      <c r="D709" s="108">
        <f t="shared" si="11"/>
        <v>0</v>
      </c>
    </row>
    <row r="710" spans="1:4" x14ac:dyDescent="0.3">
      <c r="A710" s="10"/>
      <c r="B710" s="10">
        <f>SUMIFS('دفتر اليومية'!K:K, 'دفتر اليومية'!H:H, A710, 'دفتر اليومية'!E:E, "مبيعات اجل")</f>
        <v>0</v>
      </c>
      <c r="C710" s="10">
        <f>SUMIFS('دفتر اليومية'!L:L, 'دفتر اليومية'!H:H, A710, 'دفتر اليومية'!E:E, "مبيعات اجل")</f>
        <v>0</v>
      </c>
      <c r="D710" s="108">
        <f t="shared" si="11"/>
        <v>0</v>
      </c>
    </row>
    <row r="711" spans="1:4" x14ac:dyDescent="0.3">
      <c r="A711" s="10"/>
      <c r="B711" s="10">
        <f>SUMIFS('دفتر اليومية'!K:K, 'دفتر اليومية'!H:H, A711, 'دفتر اليومية'!E:E, "مبيعات اجل")</f>
        <v>0</v>
      </c>
      <c r="C711" s="10">
        <f>SUMIFS('دفتر اليومية'!L:L, 'دفتر اليومية'!H:H, A711, 'دفتر اليومية'!E:E, "مبيعات اجل")</f>
        <v>0</v>
      </c>
      <c r="D711" s="108">
        <f t="shared" si="11"/>
        <v>0</v>
      </c>
    </row>
    <row r="712" spans="1:4" x14ac:dyDescent="0.3">
      <c r="A712" s="10"/>
      <c r="B712" s="10">
        <f>SUMIFS('دفتر اليومية'!K:K, 'دفتر اليومية'!H:H, A712, 'دفتر اليومية'!E:E, "مبيعات اجل")</f>
        <v>0</v>
      </c>
      <c r="C712" s="10">
        <f>SUMIFS('دفتر اليومية'!L:L, 'دفتر اليومية'!H:H, A712, 'دفتر اليومية'!E:E, "مبيعات اجل")</f>
        <v>0</v>
      </c>
      <c r="D712" s="108">
        <f t="shared" si="11"/>
        <v>0</v>
      </c>
    </row>
    <row r="713" spans="1:4" x14ac:dyDescent="0.3">
      <c r="A713" s="10"/>
      <c r="B713" s="10">
        <f>SUMIFS('دفتر اليومية'!K:K, 'دفتر اليومية'!H:H, A713, 'دفتر اليومية'!E:E, "مبيعات اجل")</f>
        <v>0</v>
      </c>
      <c r="C713" s="10">
        <f>SUMIFS('دفتر اليومية'!L:L, 'دفتر اليومية'!H:H, A713, 'دفتر اليومية'!E:E, "مبيعات اجل")</f>
        <v>0</v>
      </c>
      <c r="D713" s="108">
        <f t="shared" si="11"/>
        <v>0</v>
      </c>
    </row>
    <row r="714" spans="1:4" x14ac:dyDescent="0.3">
      <c r="A714" s="10"/>
      <c r="B714" s="10">
        <f>SUMIFS('دفتر اليومية'!K:K, 'دفتر اليومية'!H:H, A714, 'دفتر اليومية'!E:E, "مبيعات اجل")</f>
        <v>0</v>
      </c>
      <c r="C714" s="10">
        <f>SUMIFS('دفتر اليومية'!L:L, 'دفتر اليومية'!H:H, A714, 'دفتر اليومية'!E:E, "مبيعات اجل")</f>
        <v>0</v>
      </c>
      <c r="D714" s="108">
        <f t="shared" si="11"/>
        <v>0</v>
      </c>
    </row>
    <row r="715" spans="1:4" x14ac:dyDescent="0.3">
      <c r="A715" s="10"/>
      <c r="B715" s="10">
        <f>SUMIFS('دفتر اليومية'!K:K, 'دفتر اليومية'!H:H, A715, 'دفتر اليومية'!E:E, "مبيعات اجل")</f>
        <v>0</v>
      </c>
      <c r="C715" s="10">
        <f>SUMIFS('دفتر اليومية'!L:L, 'دفتر اليومية'!H:H, A715, 'دفتر اليومية'!E:E, "مبيعات اجل")</f>
        <v>0</v>
      </c>
      <c r="D715" s="108">
        <f t="shared" si="11"/>
        <v>0</v>
      </c>
    </row>
    <row r="716" spans="1:4" x14ac:dyDescent="0.3">
      <c r="A716" s="10"/>
      <c r="B716" s="10">
        <f>SUMIFS('دفتر اليومية'!K:K, 'دفتر اليومية'!H:H, A716, 'دفتر اليومية'!E:E, "مبيعات اجل")</f>
        <v>0</v>
      </c>
      <c r="C716" s="10">
        <f>SUMIFS('دفتر اليومية'!L:L, 'دفتر اليومية'!H:H, A716, 'دفتر اليومية'!E:E, "مبيعات اجل")</f>
        <v>0</v>
      </c>
      <c r="D716" s="108">
        <f t="shared" si="11"/>
        <v>0</v>
      </c>
    </row>
    <row r="717" spans="1:4" x14ac:dyDescent="0.3">
      <c r="A717" s="10"/>
      <c r="B717" s="10">
        <f>SUMIFS('دفتر اليومية'!K:K, 'دفتر اليومية'!H:H, A717, 'دفتر اليومية'!E:E, "مبيعات اجل")</f>
        <v>0</v>
      </c>
      <c r="C717" s="10">
        <f>SUMIFS('دفتر اليومية'!L:L, 'دفتر اليومية'!H:H, A717, 'دفتر اليومية'!E:E, "مبيعات اجل")</f>
        <v>0</v>
      </c>
      <c r="D717" s="108">
        <f t="shared" si="11"/>
        <v>0</v>
      </c>
    </row>
    <row r="718" spans="1:4" x14ac:dyDescent="0.3">
      <c r="A718" s="10"/>
      <c r="B718" s="10">
        <f>SUMIFS('دفتر اليومية'!K:K, 'دفتر اليومية'!H:H, A718, 'دفتر اليومية'!E:E, "مبيعات اجل")</f>
        <v>0</v>
      </c>
      <c r="C718" s="10">
        <f>SUMIFS('دفتر اليومية'!L:L, 'دفتر اليومية'!H:H, A718, 'دفتر اليومية'!E:E, "مبيعات اجل")</f>
        <v>0</v>
      </c>
      <c r="D718" s="108">
        <f t="shared" si="11"/>
        <v>0</v>
      </c>
    </row>
    <row r="719" spans="1:4" x14ac:dyDescent="0.3">
      <c r="A719" s="10"/>
      <c r="B719" s="10">
        <f>SUMIFS('دفتر اليومية'!K:K, 'دفتر اليومية'!H:H, A719, 'دفتر اليومية'!E:E, "مبيعات اجل")</f>
        <v>0</v>
      </c>
      <c r="C719" s="10">
        <f>SUMIFS('دفتر اليومية'!L:L, 'دفتر اليومية'!H:H, A719, 'دفتر اليومية'!E:E, "مبيعات اجل")</f>
        <v>0</v>
      </c>
      <c r="D719" s="108">
        <f t="shared" si="11"/>
        <v>0</v>
      </c>
    </row>
    <row r="720" spans="1:4" x14ac:dyDescent="0.3">
      <c r="A720" s="10"/>
      <c r="B720" s="10">
        <f>SUMIFS('دفتر اليومية'!K:K, 'دفتر اليومية'!H:H, A720, 'دفتر اليومية'!E:E, "مبيعات اجل")</f>
        <v>0</v>
      </c>
      <c r="C720" s="10">
        <f>SUMIFS('دفتر اليومية'!L:L, 'دفتر اليومية'!H:H, A720, 'دفتر اليومية'!E:E, "مبيعات اجل")</f>
        <v>0</v>
      </c>
      <c r="D720" s="108">
        <f t="shared" si="11"/>
        <v>0</v>
      </c>
    </row>
    <row r="721" spans="1:4" x14ac:dyDescent="0.3">
      <c r="A721" s="10"/>
      <c r="B721" s="10">
        <f>SUMIFS('دفتر اليومية'!K:K, 'دفتر اليومية'!H:H, A721, 'دفتر اليومية'!E:E, "مبيعات اجل")</f>
        <v>0</v>
      </c>
      <c r="C721" s="10">
        <f>SUMIFS('دفتر اليومية'!L:L, 'دفتر اليومية'!H:H, A721, 'دفتر اليومية'!E:E, "مبيعات اجل")</f>
        <v>0</v>
      </c>
      <c r="D721" s="108">
        <f t="shared" si="11"/>
        <v>0</v>
      </c>
    </row>
    <row r="722" spans="1:4" x14ac:dyDescent="0.3">
      <c r="A722" s="10"/>
      <c r="B722" s="10">
        <f>SUMIFS('دفتر اليومية'!K:K, 'دفتر اليومية'!H:H, A722, 'دفتر اليومية'!E:E, "مبيعات اجل")</f>
        <v>0</v>
      </c>
      <c r="C722" s="10">
        <f>SUMIFS('دفتر اليومية'!L:L, 'دفتر اليومية'!H:H, A722, 'دفتر اليومية'!E:E, "مبيعات اجل")</f>
        <v>0</v>
      </c>
      <c r="D722" s="108">
        <f t="shared" si="11"/>
        <v>0</v>
      </c>
    </row>
    <row r="723" spans="1:4" x14ac:dyDescent="0.3">
      <c r="A723" s="10"/>
      <c r="B723" s="10">
        <f>SUMIFS('دفتر اليومية'!K:K, 'دفتر اليومية'!H:H, A723, 'دفتر اليومية'!E:E, "مبيعات اجل")</f>
        <v>0</v>
      </c>
      <c r="C723" s="10">
        <f>SUMIFS('دفتر اليومية'!L:L, 'دفتر اليومية'!H:H, A723, 'دفتر اليومية'!E:E, "مبيعات اجل")</f>
        <v>0</v>
      </c>
      <c r="D723" s="108">
        <f t="shared" si="11"/>
        <v>0</v>
      </c>
    </row>
    <row r="724" spans="1:4" x14ac:dyDescent="0.3">
      <c r="A724" s="10"/>
      <c r="B724" s="10">
        <f>SUMIFS('دفتر اليومية'!K:K, 'دفتر اليومية'!H:H, A724, 'دفتر اليومية'!E:E, "مبيعات اجل")</f>
        <v>0</v>
      </c>
      <c r="C724" s="10">
        <f>SUMIFS('دفتر اليومية'!L:L, 'دفتر اليومية'!H:H, A724, 'دفتر اليومية'!E:E, "مبيعات اجل")</f>
        <v>0</v>
      </c>
      <c r="D724" s="108">
        <f t="shared" si="11"/>
        <v>0</v>
      </c>
    </row>
    <row r="725" spans="1:4" x14ac:dyDescent="0.3">
      <c r="A725" s="10"/>
      <c r="B725" s="10">
        <f>SUMIFS('دفتر اليومية'!K:K, 'دفتر اليومية'!H:H, A725, 'دفتر اليومية'!E:E, "مبيعات اجل")</f>
        <v>0</v>
      </c>
      <c r="C725" s="10">
        <f>SUMIFS('دفتر اليومية'!L:L, 'دفتر اليومية'!H:H, A725, 'دفتر اليومية'!E:E, "مبيعات اجل")</f>
        <v>0</v>
      </c>
      <c r="D725" s="108">
        <f t="shared" si="11"/>
        <v>0</v>
      </c>
    </row>
    <row r="726" spans="1:4" x14ac:dyDescent="0.3">
      <c r="A726" s="10"/>
      <c r="B726" s="10">
        <f>SUMIFS('دفتر اليومية'!K:K, 'دفتر اليومية'!H:H, A726, 'دفتر اليومية'!E:E, "مبيعات اجل")</f>
        <v>0</v>
      </c>
      <c r="C726" s="10">
        <f>SUMIFS('دفتر اليومية'!L:L, 'دفتر اليومية'!H:H, A726, 'دفتر اليومية'!E:E, "مبيعات اجل")</f>
        <v>0</v>
      </c>
      <c r="D726" s="108">
        <f t="shared" si="11"/>
        <v>0</v>
      </c>
    </row>
    <row r="727" spans="1:4" x14ac:dyDescent="0.3">
      <c r="A727" s="10"/>
      <c r="B727" s="10">
        <f>SUMIFS('دفتر اليومية'!K:K, 'دفتر اليومية'!H:H, A727, 'دفتر اليومية'!E:E, "مبيعات اجل")</f>
        <v>0</v>
      </c>
      <c r="C727" s="10">
        <f>SUMIFS('دفتر اليومية'!L:L, 'دفتر اليومية'!H:H, A727, 'دفتر اليومية'!E:E, "مبيعات اجل")</f>
        <v>0</v>
      </c>
      <c r="D727" s="108">
        <f t="shared" si="11"/>
        <v>0</v>
      </c>
    </row>
    <row r="728" spans="1:4" x14ac:dyDescent="0.3">
      <c r="A728" s="10"/>
      <c r="B728" s="10">
        <f>SUMIFS('دفتر اليومية'!K:K, 'دفتر اليومية'!H:H, A728, 'دفتر اليومية'!E:E, "مبيعات اجل")</f>
        <v>0</v>
      </c>
      <c r="C728" s="10">
        <f>SUMIFS('دفتر اليومية'!L:L, 'دفتر اليومية'!H:H, A728, 'دفتر اليومية'!E:E, "مبيعات اجل")</f>
        <v>0</v>
      </c>
      <c r="D728" s="108">
        <f t="shared" si="11"/>
        <v>0</v>
      </c>
    </row>
    <row r="729" spans="1:4" x14ac:dyDescent="0.3">
      <c r="A729" s="10"/>
      <c r="B729" s="10">
        <f>SUMIFS('دفتر اليومية'!K:K, 'دفتر اليومية'!H:H, A729, 'دفتر اليومية'!E:E, "مبيعات اجل")</f>
        <v>0</v>
      </c>
      <c r="C729" s="10">
        <f>SUMIFS('دفتر اليومية'!L:L, 'دفتر اليومية'!H:H, A729, 'دفتر اليومية'!E:E, "مبيعات اجل")</f>
        <v>0</v>
      </c>
      <c r="D729" s="108">
        <f t="shared" si="11"/>
        <v>0</v>
      </c>
    </row>
    <row r="730" spans="1:4" x14ac:dyDescent="0.3">
      <c r="A730" s="10"/>
      <c r="B730" s="10">
        <f>SUMIFS('دفتر اليومية'!K:K, 'دفتر اليومية'!H:H, A730, 'دفتر اليومية'!E:E, "مبيعات اجل")</f>
        <v>0</v>
      </c>
      <c r="C730" s="10">
        <f>SUMIFS('دفتر اليومية'!L:L, 'دفتر اليومية'!H:H, A730, 'دفتر اليومية'!E:E, "مبيعات اجل")</f>
        <v>0</v>
      </c>
      <c r="D730" s="108">
        <f t="shared" si="11"/>
        <v>0</v>
      </c>
    </row>
    <row r="731" spans="1:4" x14ac:dyDescent="0.3">
      <c r="A731" s="10"/>
      <c r="B731" s="10">
        <f>SUMIFS('دفتر اليومية'!K:K, 'دفتر اليومية'!H:H, A731, 'دفتر اليومية'!E:E, "مبيعات اجل")</f>
        <v>0</v>
      </c>
      <c r="C731" s="10">
        <f>SUMIFS('دفتر اليومية'!L:L, 'دفتر اليومية'!H:H, A731, 'دفتر اليومية'!E:E, "مبيعات اجل")</f>
        <v>0</v>
      </c>
      <c r="D731" s="108">
        <f t="shared" si="11"/>
        <v>0</v>
      </c>
    </row>
    <row r="732" spans="1:4" x14ac:dyDescent="0.3">
      <c r="A732" s="10"/>
      <c r="B732" s="10">
        <f>SUMIFS('دفتر اليومية'!K:K, 'دفتر اليومية'!H:H, A732, 'دفتر اليومية'!E:E, "مبيعات اجل")</f>
        <v>0</v>
      </c>
      <c r="C732" s="10">
        <f>SUMIFS('دفتر اليومية'!L:L, 'دفتر اليومية'!H:H, A732, 'دفتر اليومية'!E:E, "مبيعات اجل")</f>
        <v>0</v>
      </c>
      <c r="D732" s="108">
        <f t="shared" si="11"/>
        <v>0</v>
      </c>
    </row>
    <row r="733" spans="1:4" x14ac:dyDescent="0.3">
      <c r="A733" s="10"/>
      <c r="B733" s="10">
        <f>SUMIFS('دفتر اليومية'!K:K, 'دفتر اليومية'!H:H, A733, 'دفتر اليومية'!E:E, "مبيعات اجل")</f>
        <v>0</v>
      </c>
      <c r="C733" s="10">
        <f>SUMIFS('دفتر اليومية'!L:L, 'دفتر اليومية'!H:H, A733, 'دفتر اليومية'!E:E, "مبيعات اجل")</f>
        <v>0</v>
      </c>
      <c r="D733" s="108">
        <f t="shared" si="11"/>
        <v>0</v>
      </c>
    </row>
    <row r="734" spans="1:4" x14ac:dyDescent="0.3">
      <c r="A734" s="10"/>
      <c r="B734" s="10">
        <f>SUMIFS('دفتر اليومية'!K:K, 'دفتر اليومية'!H:H, A734, 'دفتر اليومية'!E:E, "مبيعات اجل")</f>
        <v>0</v>
      </c>
      <c r="C734" s="10">
        <f>SUMIFS('دفتر اليومية'!L:L, 'دفتر اليومية'!H:H, A734, 'دفتر اليومية'!E:E, "مبيعات اجل")</f>
        <v>0</v>
      </c>
      <c r="D734" s="108">
        <f t="shared" si="11"/>
        <v>0</v>
      </c>
    </row>
    <row r="735" spans="1:4" x14ac:dyDescent="0.3">
      <c r="A735" s="10"/>
      <c r="B735" s="10">
        <f>SUMIFS('دفتر اليومية'!K:K, 'دفتر اليومية'!H:H, A735, 'دفتر اليومية'!E:E, "مبيعات اجل")</f>
        <v>0</v>
      </c>
      <c r="C735" s="10">
        <f>SUMIFS('دفتر اليومية'!L:L, 'دفتر اليومية'!H:H, A735, 'دفتر اليومية'!E:E, "مبيعات اجل")</f>
        <v>0</v>
      </c>
      <c r="D735" s="108">
        <f t="shared" si="11"/>
        <v>0</v>
      </c>
    </row>
    <row r="736" spans="1:4" x14ac:dyDescent="0.3">
      <c r="A736" s="10"/>
      <c r="B736" s="10">
        <f>SUMIFS('دفتر اليومية'!K:K, 'دفتر اليومية'!H:H, A736, 'دفتر اليومية'!E:E, "مبيعات اجل")</f>
        <v>0</v>
      </c>
      <c r="C736" s="10">
        <f>SUMIFS('دفتر اليومية'!L:L, 'دفتر اليومية'!H:H, A736, 'دفتر اليومية'!E:E, "مبيعات اجل")</f>
        <v>0</v>
      </c>
      <c r="D736" s="108">
        <f t="shared" si="11"/>
        <v>0</v>
      </c>
    </row>
    <row r="737" spans="1:4" x14ac:dyDescent="0.3">
      <c r="A737" s="10"/>
      <c r="B737" s="10">
        <f>SUMIFS('دفتر اليومية'!K:K, 'دفتر اليومية'!H:H, A737, 'دفتر اليومية'!E:E, "مبيعات اجل")</f>
        <v>0</v>
      </c>
      <c r="C737" s="10">
        <f>SUMIFS('دفتر اليومية'!L:L, 'دفتر اليومية'!H:H, A737, 'دفتر اليومية'!E:E, "مبيعات اجل")</f>
        <v>0</v>
      </c>
      <c r="D737" s="108">
        <f t="shared" si="11"/>
        <v>0</v>
      </c>
    </row>
    <row r="738" spans="1:4" x14ac:dyDescent="0.3">
      <c r="A738" s="10"/>
      <c r="B738" s="10">
        <f>SUMIFS('دفتر اليومية'!K:K, 'دفتر اليومية'!H:H, A738, 'دفتر اليومية'!E:E, "مبيعات اجل")</f>
        <v>0</v>
      </c>
      <c r="C738" s="10">
        <f>SUMIFS('دفتر اليومية'!L:L, 'دفتر اليومية'!H:H, A738, 'دفتر اليومية'!E:E, "مبيعات اجل")</f>
        <v>0</v>
      </c>
      <c r="D738" s="108">
        <f t="shared" si="11"/>
        <v>0</v>
      </c>
    </row>
    <row r="739" spans="1:4" x14ac:dyDescent="0.3">
      <c r="A739" s="10"/>
      <c r="B739" s="10">
        <f>SUMIFS('دفتر اليومية'!K:K, 'دفتر اليومية'!H:H, A739, 'دفتر اليومية'!E:E, "مبيعات اجل")</f>
        <v>0</v>
      </c>
      <c r="C739" s="10">
        <f>SUMIFS('دفتر اليومية'!L:L, 'دفتر اليومية'!H:H, A739, 'دفتر اليومية'!E:E, "مبيعات اجل")</f>
        <v>0</v>
      </c>
      <c r="D739" s="108">
        <f t="shared" si="11"/>
        <v>0</v>
      </c>
    </row>
    <row r="740" spans="1:4" x14ac:dyDescent="0.3">
      <c r="A740" s="10"/>
      <c r="B740" s="10">
        <f>SUMIFS('دفتر اليومية'!K:K, 'دفتر اليومية'!H:H, A740, 'دفتر اليومية'!E:E, "مبيعات اجل")</f>
        <v>0</v>
      </c>
      <c r="C740" s="10">
        <f>SUMIFS('دفتر اليومية'!L:L, 'دفتر اليومية'!H:H, A740, 'دفتر اليومية'!E:E, "مبيعات اجل")</f>
        <v>0</v>
      </c>
      <c r="D740" s="108">
        <f t="shared" si="11"/>
        <v>0</v>
      </c>
    </row>
    <row r="741" spans="1:4" x14ac:dyDescent="0.3">
      <c r="A741" s="10"/>
      <c r="B741" s="10">
        <f>SUMIFS('دفتر اليومية'!K:K, 'دفتر اليومية'!H:H, A741, 'دفتر اليومية'!E:E, "مبيعات اجل")</f>
        <v>0</v>
      </c>
      <c r="C741" s="10">
        <f>SUMIFS('دفتر اليومية'!L:L, 'دفتر اليومية'!H:H, A741, 'دفتر اليومية'!E:E, "مبيعات اجل")</f>
        <v>0</v>
      </c>
      <c r="D741" s="108">
        <f t="shared" si="11"/>
        <v>0</v>
      </c>
    </row>
    <row r="742" spans="1:4" x14ac:dyDescent="0.3">
      <c r="A742" s="10"/>
      <c r="B742" s="10">
        <f>SUMIFS('دفتر اليومية'!K:K, 'دفتر اليومية'!H:H, A742, 'دفتر اليومية'!E:E, "مبيعات اجل")</f>
        <v>0</v>
      </c>
      <c r="C742" s="10">
        <f>SUMIFS('دفتر اليومية'!L:L, 'دفتر اليومية'!H:H, A742, 'دفتر اليومية'!E:E, "مبيعات اجل")</f>
        <v>0</v>
      </c>
      <c r="D742" s="108">
        <f t="shared" si="11"/>
        <v>0</v>
      </c>
    </row>
    <row r="743" spans="1:4" x14ac:dyDescent="0.3">
      <c r="A743" s="10"/>
      <c r="B743" s="10">
        <f>SUMIFS('دفتر اليومية'!K:K, 'دفتر اليومية'!H:H, A743, 'دفتر اليومية'!E:E, "مبيعات اجل")</f>
        <v>0</v>
      </c>
      <c r="C743" s="10">
        <f>SUMIFS('دفتر اليومية'!L:L, 'دفتر اليومية'!H:H, A743, 'دفتر اليومية'!E:E, "مبيعات اجل")</f>
        <v>0</v>
      </c>
      <c r="D743" s="108">
        <f t="shared" si="11"/>
        <v>0</v>
      </c>
    </row>
    <row r="744" spans="1:4" x14ac:dyDescent="0.3">
      <c r="A744" s="10"/>
      <c r="B744" s="10">
        <f>SUMIFS('دفتر اليومية'!K:K, 'دفتر اليومية'!H:H, A744, 'دفتر اليومية'!E:E, "مبيعات اجل")</f>
        <v>0</v>
      </c>
      <c r="C744" s="10">
        <f>SUMIFS('دفتر اليومية'!L:L, 'دفتر اليومية'!H:H, A744, 'دفتر اليومية'!E:E, "مبيعات اجل")</f>
        <v>0</v>
      </c>
      <c r="D744" s="108">
        <f t="shared" si="11"/>
        <v>0</v>
      </c>
    </row>
    <row r="745" spans="1:4" x14ac:dyDescent="0.3">
      <c r="A745" s="10"/>
      <c r="B745" s="10">
        <f>SUMIFS('دفتر اليومية'!K:K, 'دفتر اليومية'!H:H, A745, 'دفتر اليومية'!E:E, "مبيعات اجل")</f>
        <v>0</v>
      </c>
      <c r="C745" s="10">
        <f>SUMIFS('دفتر اليومية'!L:L, 'دفتر اليومية'!H:H, A745, 'دفتر اليومية'!E:E, "مبيعات اجل")</f>
        <v>0</v>
      </c>
      <c r="D745" s="108">
        <f t="shared" si="11"/>
        <v>0</v>
      </c>
    </row>
    <row r="746" spans="1:4" x14ac:dyDescent="0.3">
      <c r="A746" s="10"/>
      <c r="B746" s="10">
        <f>SUMIFS('دفتر اليومية'!K:K, 'دفتر اليومية'!H:H, A746, 'دفتر اليومية'!E:E, "مبيعات اجل")</f>
        <v>0</v>
      </c>
      <c r="C746" s="10">
        <f>SUMIFS('دفتر اليومية'!L:L, 'دفتر اليومية'!H:H, A746, 'دفتر اليومية'!E:E, "مبيعات اجل")</f>
        <v>0</v>
      </c>
      <c r="D746" s="108">
        <f t="shared" si="11"/>
        <v>0</v>
      </c>
    </row>
    <row r="747" spans="1:4" x14ac:dyDescent="0.3">
      <c r="A747" s="10"/>
      <c r="B747" s="10">
        <f>SUMIFS('دفتر اليومية'!K:K, 'دفتر اليومية'!H:H, A747, 'دفتر اليومية'!E:E, "مبيعات اجل")</f>
        <v>0</v>
      </c>
      <c r="C747" s="10">
        <f>SUMIFS('دفتر اليومية'!L:L, 'دفتر اليومية'!H:H, A747, 'دفتر اليومية'!E:E, "مبيعات اجل")</f>
        <v>0</v>
      </c>
      <c r="D747" s="108">
        <f t="shared" si="11"/>
        <v>0</v>
      </c>
    </row>
    <row r="748" spans="1:4" x14ac:dyDescent="0.3">
      <c r="A748" s="10"/>
      <c r="B748" s="10">
        <f>SUMIFS('دفتر اليومية'!K:K, 'دفتر اليومية'!H:H, A748, 'دفتر اليومية'!E:E, "مبيعات اجل")</f>
        <v>0</v>
      </c>
      <c r="C748" s="10">
        <f>SUMIFS('دفتر اليومية'!L:L, 'دفتر اليومية'!H:H, A748, 'دفتر اليومية'!E:E, "مبيعات اجل")</f>
        <v>0</v>
      </c>
      <c r="D748" s="108">
        <f t="shared" si="11"/>
        <v>0</v>
      </c>
    </row>
    <row r="749" spans="1:4" x14ac:dyDescent="0.3">
      <c r="A749" s="10"/>
      <c r="B749" s="10">
        <f>SUMIFS('دفتر اليومية'!K:K, 'دفتر اليومية'!H:H, A749, 'دفتر اليومية'!E:E, "مبيعات اجل")</f>
        <v>0</v>
      </c>
      <c r="C749" s="10">
        <f>SUMIFS('دفتر اليومية'!L:L, 'دفتر اليومية'!H:H, A749, 'دفتر اليومية'!E:E, "مبيعات اجل")</f>
        <v>0</v>
      </c>
      <c r="D749" s="108">
        <f t="shared" si="11"/>
        <v>0</v>
      </c>
    </row>
    <row r="750" spans="1:4" x14ac:dyDescent="0.3">
      <c r="A750" s="10"/>
      <c r="B750" s="10">
        <f>SUMIFS('دفتر اليومية'!K:K, 'دفتر اليومية'!H:H, A750, 'دفتر اليومية'!E:E, "مبيعات اجل")</f>
        <v>0</v>
      </c>
      <c r="C750" s="10">
        <f>SUMIFS('دفتر اليومية'!L:L, 'دفتر اليومية'!H:H, A750, 'دفتر اليومية'!E:E, "مبيعات اجل")</f>
        <v>0</v>
      </c>
      <c r="D750" s="108">
        <f t="shared" si="11"/>
        <v>0</v>
      </c>
    </row>
    <row r="751" spans="1:4" x14ac:dyDescent="0.3">
      <c r="A751" s="10"/>
      <c r="B751" s="10">
        <f>SUMIFS('دفتر اليومية'!K:K, 'دفتر اليومية'!H:H, A751, 'دفتر اليومية'!E:E, "مبيعات اجل")</f>
        <v>0</v>
      </c>
      <c r="C751" s="10">
        <f>SUMIFS('دفتر اليومية'!L:L, 'دفتر اليومية'!H:H, A751, 'دفتر اليومية'!E:E, "مبيعات اجل")</f>
        <v>0</v>
      </c>
      <c r="D751" s="108">
        <f t="shared" si="11"/>
        <v>0</v>
      </c>
    </row>
    <row r="752" spans="1:4" x14ac:dyDescent="0.3">
      <c r="A752" s="10"/>
      <c r="B752" s="10">
        <f>SUMIFS('دفتر اليومية'!K:K, 'دفتر اليومية'!H:H, A752, 'دفتر اليومية'!E:E, "مبيعات اجل")</f>
        <v>0</v>
      </c>
      <c r="C752" s="10">
        <f>SUMIFS('دفتر اليومية'!L:L, 'دفتر اليومية'!H:H, A752, 'دفتر اليومية'!E:E, "مبيعات اجل")</f>
        <v>0</v>
      </c>
      <c r="D752" s="108">
        <f t="shared" si="11"/>
        <v>0</v>
      </c>
    </row>
    <row r="753" spans="1:4" x14ac:dyDescent="0.3">
      <c r="A753" s="10"/>
      <c r="B753" s="10">
        <f>SUMIFS('دفتر اليومية'!K:K, 'دفتر اليومية'!H:H, A753, 'دفتر اليومية'!E:E, "مبيعات اجل")</f>
        <v>0</v>
      </c>
      <c r="C753" s="10">
        <f>SUMIFS('دفتر اليومية'!L:L, 'دفتر اليومية'!H:H, A753, 'دفتر اليومية'!E:E, "مبيعات اجل")</f>
        <v>0</v>
      </c>
      <c r="D753" s="108">
        <f t="shared" si="11"/>
        <v>0</v>
      </c>
    </row>
    <row r="754" spans="1:4" x14ac:dyDescent="0.3">
      <c r="A754" s="10"/>
      <c r="B754" s="10">
        <f>SUMIFS('دفتر اليومية'!K:K, 'دفتر اليومية'!H:H, A754, 'دفتر اليومية'!E:E, "مبيعات اجل")</f>
        <v>0</v>
      </c>
      <c r="C754" s="10">
        <f>SUMIFS('دفتر اليومية'!L:L, 'دفتر اليومية'!H:H, A754, 'دفتر اليومية'!E:E, "مبيعات اجل")</f>
        <v>0</v>
      </c>
      <c r="D754" s="108">
        <f t="shared" si="11"/>
        <v>0</v>
      </c>
    </row>
    <row r="755" spans="1:4" x14ac:dyDescent="0.3">
      <c r="A755" s="10"/>
      <c r="B755" s="10">
        <f>SUMIFS('دفتر اليومية'!K:K, 'دفتر اليومية'!H:H, A755, 'دفتر اليومية'!E:E, "مبيعات اجل")</f>
        <v>0</v>
      </c>
      <c r="C755" s="10">
        <f>SUMIFS('دفتر اليومية'!L:L, 'دفتر اليومية'!H:H, A755, 'دفتر اليومية'!E:E, "مبيعات اجل")</f>
        <v>0</v>
      </c>
      <c r="D755" s="108">
        <f t="shared" si="11"/>
        <v>0</v>
      </c>
    </row>
    <row r="756" spans="1:4" x14ac:dyDescent="0.3">
      <c r="A756" s="10"/>
      <c r="B756" s="10">
        <f>SUMIFS('دفتر اليومية'!K:K, 'دفتر اليومية'!H:H, A756, 'دفتر اليومية'!E:E, "مبيعات اجل")</f>
        <v>0</v>
      </c>
      <c r="C756" s="10">
        <f>SUMIFS('دفتر اليومية'!L:L, 'دفتر اليومية'!H:H, A756, 'دفتر اليومية'!E:E, "مبيعات اجل")</f>
        <v>0</v>
      </c>
      <c r="D756" s="108">
        <f t="shared" si="11"/>
        <v>0</v>
      </c>
    </row>
    <row r="757" spans="1:4" x14ac:dyDescent="0.3">
      <c r="A757" s="10"/>
      <c r="B757" s="10">
        <f>SUMIFS('دفتر اليومية'!K:K, 'دفتر اليومية'!H:H, A757, 'دفتر اليومية'!E:E, "مبيعات اجل")</f>
        <v>0</v>
      </c>
      <c r="C757" s="10">
        <f>SUMIFS('دفتر اليومية'!L:L, 'دفتر اليومية'!H:H, A757, 'دفتر اليومية'!E:E, "مبيعات اجل")</f>
        <v>0</v>
      </c>
      <c r="D757" s="108">
        <f t="shared" si="11"/>
        <v>0</v>
      </c>
    </row>
    <row r="758" spans="1:4" x14ac:dyDescent="0.3">
      <c r="A758" s="10"/>
      <c r="B758" s="10">
        <f>SUMIFS('دفتر اليومية'!K:K, 'دفتر اليومية'!H:H, A758, 'دفتر اليومية'!E:E, "مبيعات اجل")</f>
        <v>0</v>
      </c>
      <c r="C758" s="10">
        <f>SUMIFS('دفتر اليومية'!L:L, 'دفتر اليومية'!H:H, A758, 'دفتر اليومية'!E:E, "مبيعات اجل")</f>
        <v>0</v>
      </c>
      <c r="D758" s="108">
        <f t="shared" si="11"/>
        <v>0</v>
      </c>
    </row>
    <row r="759" spans="1:4" x14ac:dyDescent="0.3">
      <c r="A759" s="10"/>
      <c r="B759" s="10">
        <f>SUMIFS('دفتر اليومية'!K:K, 'دفتر اليومية'!H:H, A759, 'دفتر اليومية'!E:E, "مبيعات اجل")</f>
        <v>0</v>
      </c>
      <c r="C759" s="10">
        <f>SUMIFS('دفتر اليومية'!L:L, 'دفتر اليومية'!H:H, A759, 'دفتر اليومية'!E:E, "مبيعات اجل")</f>
        <v>0</v>
      </c>
      <c r="D759" s="108">
        <f t="shared" si="11"/>
        <v>0</v>
      </c>
    </row>
    <row r="760" spans="1:4" x14ac:dyDescent="0.3">
      <c r="A760" s="10"/>
      <c r="B760" s="10">
        <f>SUMIFS('دفتر اليومية'!K:K, 'دفتر اليومية'!H:H, A760, 'دفتر اليومية'!E:E, "مبيعات اجل")</f>
        <v>0</v>
      </c>
      <c r="C760" s="10">
        <f>SUMIFS('دفتر اليومية'!L:L, 'دفتر اليومية'!H:H, A760, 'دفتر اليومية'!E:E, "مبيعات اجل")</f>
        <v>0</v>
      </c>
      <c r="D760" s="108">
        <f t="shared" si="11"/>
        <v>0</v>
      </c>
    </row>
    <row r="761" spans="1:4" x14ac:dyDescent="0.3">
      <c r="A761" s="10"/>
      <c r="B761" s="10">
        <f>SUMIFS('دفتر اليومية'!K:K, 'دفتر اليومية'!H:H, A761, 'دفتر اليومية'!E:E, "مبيعات اجل")</f>
        <v>0</v>
      </c>
      <c r="C761" s="10">
        <f>SUMIFS('دفتر اليومية'!L:L, 'دفتر اليومية'!H:H, A761, 'دفتر اليومية'!E:E, "مبيعات اجل")</f>
        <v>0</v>
      </c>
      <c r="D761" s="108">
        <f t="shared" si="11"/>
        <v>0</v>
      </c>
    </row>
    <row r="762" spans="1:4" x14ac:dyDescent="0.3">
      <c r="A762" s="10"/>
      <c r="B762" s="10">
        <f>SUMIFS('دفتر اليومية'!K:K, 'دفتر اليومية'!H:H, A762, 'دفتر اليومية'!E:E, "مبيعات اجل")</f>
        <v>0</v>
      </c>
      <c r="C762" s="10">
        <f>SUMIFS('دفتر اليومية'!L:L, 'دفتر اليومية'!H:H, A762, 'دفتر اليومية'!E:E, "مبيعات اجل")</f>
        <v>0</v>
      </c>
      <c r="D762" s="108">
        <f t="shared" si="11"/>
        <v>0</v>
      </c>
    </row>
    <row r="763" spans="1:4" x14ac:dyDescent="0.3">
      <c r="A763" s="10"/>
      <c r="B763" s="10">
        <f>SUMIFS('دفتر اليومية'!K:K, 'دفتر اليومية'!H:H, A763, 'دفتر اليومية'!E:E, "مبيعات اجل")</f>
        <v>0</v>
      </c>
      <c r="C763" s="10">
        <f>SUMIFS('دفتر اليومية'!L:L, 'دفتر اليومية'!H:H, A763, 'دفتر اليومية'!E:E, "مبيعات اجل")</f>
        <v>0</v>
      </c>
      <c r="D763" s="108">
        <f t="shared" si="11"/>
        <v>0</v>
      </c>
    </row>
    <row r="764" spans="1:4" x14ac:dyDescent="0.3">
      <c r="A764" s="10"/>
      <c r="B764" s="10">
        <f>SUMIFS('دفتر اليومية'!K:K, 'دفتر اليومية'!H:H, A764, 'دفتر اليومية'!E:E, "مبيعات اجل")</f>
        <v>0</v>
      </c>
      <c r="C764" s="10">
        <f>SUMIFS('دفتر اليومية'!L:L, 'دفتر اليومية'!H:H, A764, 'دفتر اليومية'!E:E, "مبيعات اجل")</f>
        <v>0</v>
      </c>
      <c r="D764" s="108">
        <f t="shared" si="11"/>
        <v>0</v>
      </c>
    </row>
    <row r="765" spans="1:4" x14ac:dyDescent="0.3">
      <c r="A765" s="10"/>
      <c r="B765" s="10">
        <f>SUMIFS('دفتر اليومية'!K:K, 'دفتر اليومية'!H:H, A765, 'دفتر اليومية'!E:E, "مبيعات اجل")</f>
        <v>0</v>
      </c>
      <c r="C765" s="10">
        <f>SUMIFS('دفتر اليومية'!L:L, 'دفتر اليومية'!H:H, A765, 'دفتر اليومية'!E:E, "مبيعات اجل")</f>
        <v>0</v>
      </c>
      <c r="D765" s="108">
        <f t="shared" si="11"/>
        <v>0</v>
      </c>
    </row>
    <row r="766" spans="1:4" x14ac:dyDescent="0.3">
      <c r="A766" s="10"/>
      <c r="B766" s="10">
        <f>SUMIFS('دفتر اليومية'!K:K, 'دفتر اليومية'!H:H, A766, 'دفتر اليومية'!E:E, "مبيعات اجل")</f>
        <v>0</v>
      </c>
      <c r="C766" s="10">
        <f>SUMIFS('دفتر اليومية'!L:L, 'دفتر اليومية'!H:H, A766, 'دفتر اليومية'!E:E, "مبيعات اجل")</f>
        <v>0</v>
      </c>
      <c r="D766" s="108">
        <f t="shared" si="11"/>
        <v>0</v>
      </c>
    </row>
    <row r="767" spans="1:4" x14ac:dyDescent="0.3">
      <c r="A767" s="10"/>
      <c r="B767" s="10">
        <f>SUMIFS('دفتر اليومية'!K:K, 'دفتر اليومية'!H:H, A767, 'دفتر اليومية'!E:E, "مبيعات اجل")</f>
        <v>0</v>
      </c>
      <c r="C767" s="10">
        <f>SUMIFS('دفتر اليومية'!L:L, 'دفتر اليومية'!H:H, A767, 'دفتر اليومية'!E:E, "مبيعات اجل")</f>
        <v>0</v>
      </c>
      <c r="D767" s="108">
        <f t="shared" si="11"/>
        <v>0</v>
      </c>
    </row>
    <row r="768" spans="1:4" x14ac:dyDescent="0.3">
      <c r="A768" s="10"/>
      <c r="B768" s="10">
        <f>SUMIFS('دفتر اليومية'!K:K, 'دفتر اليومية'!H:H, A768, 'دفتر اليومية'!E:E, "مبيعات اجل")</f>
        <v>0</v>
      </c>
      <c r="C768" s="10">
        <f>SUMIFS('دفتر اليومية'!L:L, 'دفتر اليومية'!H:H, A768, 'دفتر اليومية'!E:E, "مبيعات اجل")</f>
        <v>0</v>
      </c>
      <c r="D768" s="108">
        <f t="shared" si="11"/>
        <v>0</v>
      </c>
    </row>
    <row r="769" spans="1:4" x14ac:dyDescent="0.3">
      <c r="A769" s="10"/>
      <c r="B769" s="10">
        <f>SUMIFS('دفتر اليومية'!K:K, 'دفتر اليومية'!H:H, A769, 'دفتر اليومية'!E:E, "مبيعات اجل")</f>
        <v>0</v>
      </c>
      <c r="C769" s="10">
        <f>SUMIFS('دفتر اليومية'!L:L, 'دفتر اليومية'!H:H, A769, 'دفتر اليومية'!E:E, "مبيعات اجل")</f>
        <v>0</v>
      </c>
      <c r="D769" s="108">
        <f t="shared" si="11"/>
        <v>0</v>
      </c>
    </row>
    <row r="770" spans="1:4" x14ac:dyDescent="0.3">
      <c r="A770" s="10"/>
      <c r="B770" s="10">
        <f>SUMIFS('دفتر اليومية'!K:K, 'دفتر اليومية'!H:H, A770, 'دفتر اليومية'!E:E, "مبيعات اجل")</f>
        <v>0</v>
      </c>
      <c r="C770" s="10">
        <f>SUMIFS('دفتر اليومية'!L:L, 'دفتر اليومية'!H:H, A770, 'دفتر اليومية'!E:E, "مبيعات اجل")</f>
        <v>0</v>
      </c>
      <c r="D770" s="108">
        <f t="shared" si="11"/>
        <v>0</v>
      </c>
    </row>
    <row r="771" spans="1:4" x14ac:dyDescent="0.3">
      <c r="A771" s="10"/>
      <c r="B771" s="10">
        <f>SUMIFS('دفتر اليومية'!K:K, 'دفتر اليومية'!H:H, A771, 'دفتر اليومية'!E:E, "مبيعات اجل")</f>
        <v>0</v>
      </c>
      <c r="C771" s="10">
        <f>SUMIFS('دفتر اليومية'!L:L, 'دفتر اليومية'!H:H, A771, 'دفتر اليومية'!E:E, "مبيعات اجل")</f>
        <v>0</v>
      </c>
      <c r="D771" s="108">
        <f t="shared" ref="D771:D834" si="12">B771-C771</f>
        <v>0</v>
      </c>
    </row>
    <row r="772" spans="1:4" x14ac:dyDescent="0.3">
      <c r="A772" s="10"/>
      <c r="B772" s="10">
        <f>SUMIFS('دفتر اليومية'!K:K, 'دفتر اليومية'!H:H, A772, 'دفتر اليومية'!E:E, "مبيعات اجل")</f>
        <v>0</v>
      </c>
      <c r="C772" s="10">
        <f>SUMIFS('دفتر اليومية'!L:L, 'دفتر اليومية'!H:H, A772, 'دفتر اليومية'!E:E, "مبيعات اجل")</f>
        <v>0</v>
      </c>
      <c r="D772" s="108">
        <f t="shared" si="12"/>
        <v>0</v>
      </c>
    </row>
    <row r="773" spans="1:4" x14ac:dyDescent="0.3">
      <c r="A773" s="10"/>
      <c r="B773" s="10">
        <f>SUMIFS('دفتر اليومية'!K:K, 'دفتر اليومية'!H:H, A773, 'دفتر اليومية'!E:E, "مبيعات اجل")</f>
        <v>0</v>
      </c>
      <c r="C773" s="10">
        <f>SUMIFS('دفتر اليومية'!L:L, 'دفتر اليومية'!H:H, A773, 'دفتر اليومية'!E:E, "مبيعات اجل")</f>
        <v>0</v>
      </c>
      <c r="D773" s="108">
        <f t="shared" si="12"/>
        <v>0</v>
      </c>
    </row>
    <row r="774" spans="1:4" x14ac:dyDescent="0.3">
      <c r="A774" s="10"/>
      <c r="B774" s="10">
        <f>SUMIFS('دفتر اليومية'!K:K, 'دفتر اليومية'!H:H, A774, 'دفتر اليومية'!E:E, "مبيعات اجل")</f>
        <v>0</v>
      </c>
      <c r="C774" s="10">
        <f>SUMIFS('دفتر اليومية'!L:L, 'دفتر اليومية'!H:H, A774, 'دفتر اليومية'!E:E, "مبيعات اجل")</f>
        <v>0</v>
      </c>
      <c r="D774" s="108">
        <f t="shared" si="12"/>
        <v>0</v>
      </c>
    </row>
    <row r="775" spans="1:4" x14ac:dyDescent="0.3">
      <c r="A775" s="10"/>
      <c r="B775" s="10">
        <f>SUMIFS('دفتر اليومية'!K:K, 'دفتر اليومية'!H:H, A775, 'دفتر اليومية'!E:E, "مبيعات اجل")</f>
        <v>0</v>
      </c>
      <c r="C775" s="10">
        <f>SUMIFS('دفتر اليومية'!L:L, 'دفتر اليومية'!H:H, A775, 'دفتر اليومية'!E:E, "مبيعات اجل")</f>
        <v>0</v>
      </c>
      <c r="D775" s="108">
        <f t="shared" si="12"/>
        <v>0</v>
      </c>
    </row>
    <row r="776" spans="1:4" x14ac:dyDescent="0.3">
      <c r="A776" s="10"/>
      <c r="B776" s="10">
        <f>SUMIFS('دفتر اليومية'!K:K, 'دفتر اليومية'!H:H, A776, 'دفتر اليومية'!E:E, "مبيعات اجل")</f>
        <v>0</v>
      </c>
      <c r="C776" s="10">
        <f>SUMIFS('دفتر اليومية'!L:L, 'دفتر اليومية'!H:H, A776, 'دفتر اليومية'!E:E, "مبيعات اجل")</f>
        <v>0</v>
      </c>
      <c r="D776" s="108">
        <f t="shared" si="12"/>
        <v>0</v>
      </c>
    </row>
    <row r="777" spans="1:4" x14ac:dyDescent="0.3">
      <c r="A777" s="10"/>
      <c r="B777" s="10">
        <f>SUMIFS('دفتر اليومية'!K:K, 'دفتر اليومية'!H:H, A777, 'دفتر اليومية'!E:E, "مبيعات اجل")</f>
        <v>0</v>
      </c>
      <c r="C777" s="10">
        <f>SUMIFS('دفتر اليومية'!L:L, 'دفتر اليومية'!H:H, A777, 'دفتر اليومية'!E:E, "مبيعات اجل")</f>
        <v>0</v>
      </c>
      <c r="D777" s="108">
        <f t="shared" si="12"/>
        <v>0</v>
      </c>
    </row>
    <row r="778" spans="1:4" x14ac:dyDescent="0.3">
      <c r="A778" s="10"/>
      <c r="B778" s="10">
        <f>SUMIFS('دفتر اليومية'!K:K, 'دفتر اليومية'!H:H, A778, 'دفتر اليومية'!E:E, "مبيعات اجل")</f>
        <v>0</v>
      </c>
      <c r="C778" s="10">
        <f>SUMIFS('دفتر اليومية'!L:L, 'دفتر اليومية'!H:H, A778, 'دفتر اليومية'!E:E, "مبيعات اجل")</f>
        <v>0</v>
      </c>
      <c r="D778" s="108">
        <f t="shared" si="12"/>
        <v>0</v>
      </c>
    </row>
    <row r="779" spans="1:4" x14ac:dyDescent="0.3">
      <c r="A779" s="10"/>
      <c r="B779" s="10">
        <f>SUMIFS('دفتر اليومية'!K:K, 'دفتر اليومية'!H:H, A779, 'دفتر اليومية'!E:E, "مبيعات اجل")</f>
        <v>0</v>
      </c>
      <c r="C779" s="10">
        <f>SUMIFS('دفتر اليومية'!L:L, 'دفتر اليومية'!H:H, A779, 'دفتر اليومية'!E:E, "مبيعات اجل")</f>
        <v>0</v>
      </c>
      <c r="D779" s="108">
        <f t="shared" si="12"/>
        <v>0</v>
      </c>
    </row>
    <row r="780" spans="1:4" x14ac:dyDescent="0.3">
      <c r="A780" s="10"/>
      <c r="B780" s="10">
        <f>SUMIFS('دفتر اليومية'!K:K, 'دفتر اليومية'!H:H, A780, 'دفتر اليومية'!E:E, "مبيعات اجل")</f>
        <v>0</v>
      </c>
      <c r="C780" s="10">
        <f>SUMIFS('دفتر اليومية'!L:L, 'دفتر اليومية'!H:H, A780, 'دفتر اليومية'!E:E, "مبيعات اجل")</f>
        <v>0</v>
      </c>
      <c r="D780" s="108">
        <f t="shared" si="12"/>
        <v>0</v>
      </c>
    </row>
    <row r="781" spans="1:4" x14ac:dyDescent="0.3">
      <c r="A781" s="10"/>
      <c r="B781" s="10">
        <f>SUMIFS('دفتر اليومية'!K:K, 'دفتر اليومية'!H:H, A781, 'دفتر اليومية'!E:E, "مبيعات اجل")</f>
        <v>0</v>
      </c>
      <c r="C781" s="10">
        <f>SUMIFS('دفتر اليومية'!L:L, 'دفتر اليومية'!H:H, A781, 'دفتر اليومية'!E:E, "مبيعات اجل")</f>
        <v>0</v>
      </c>
      <c r="D781" s="108">
        <f t="shared" si="12"/>
        <v>0</v>
      </c>
    </row>
    <row r="782" spans="1:4" x14ac:dyDescent="0.3">
      <c r="A782" s="10"/>
      <c r="B782" s="10">
        <f>SUMIFS('دفتر اليومية'!K:K, 'دفتر اليومية'!H:H, A782, 'دفتر اليومية'!E:E, "مبيعات اجل")</f>
        <v>0</v>
      </c>
      <c r="C782" s="10">
        <f>SUMIFS('دفتر اليومية'!L:L, 'دفتر اليومية'!H:H, A782, 'دفتر اليومية'!E:E, "مبيعات اجل")</f>
        <v>0</v>
      </c>
      <c r="D782" s="108">
        <f t="shared" si="12"/>
        <v>0</v>
      </c>
    </row>
    <row r="783" spans="1:4" x14ac:dyDescent="0.3">
      <c r="A783" s="10"/>
      <c r="B783" s="10">
        <f>SUMIFS('دفتر اليومية'!K:K, 'دفتر اليومية'!H:H, A783, 'دفتر اليومية'!E:E, "مبيعات اجل")</f>
        <v>0</v>
      </c>
      <c r="C783" s="10">
        <f>SUMIFS('دفتر اليومية'!L:L, 'دفتر اليومية'!H:H, A783, 'دفتر اليومية'!E:E, "مبيعات اجل")</f>
        <v>0</v>
      </c>
      <c r="D783" s="108">
        <f t="shared" si="12"/>
        <v>0</v>
      </c>
    </row>
    <row r="784" spans="1:4" x14ac:dyDescent="0.3">
      <c r="A784" s="10"/>
      <c r="B784" s="10">
        <f>SUMIFS('دفتر اليومية'!K:K, 'دفتر اليومية'!H:H, A784, 'دفتر اليومية'!E:E, "مبيعات اجل")</f>
        <v>0</v>
      </c>
      <c r="C784" s="10">
        <f>SUMIFS('دفتر اليومية'!L:L, 'دفتر اليومية'!H:H, A784, 'دفتر اليومية'!E:E, "مبيعات اجل")</f>
        <v>0</v>
      </c>
      <c r="D784" s="108">
        <f t="shared" si="12"/>
        <v>0</v>
      </c>
    </row>
    <row r="785" spans="1:4" x14ac:dyDescent="0.3">
      <c r="A785" s="10"/>
      <c r="B785" s="10">
        <f>SUMIFS('دفتر اليومية'!K:K, 'دفتر اليومية'!H:H, A785, 'دفتر اليومية'!E:E, "مبيعات اجل")</f>
        <v>0</v>
      </c>
      <c r="C785" s="10">
        <f>SUMIFS('دفتر اليومية'!L:L, 'دفتر اليومية'!H:H, A785, 'دفتر اليومية'!E:E, "مبيعات اجل")</f>
        <v>0</v>
      </c>
      <c r="D785" s="108">
        <f t="shared" si="12"/>
        <v>0</v>
      </c>
    </row>
    <row r="786" spans="1:4" x14ac:dyDescent="0.3">
      <c r="A786" s="10"/>
      <c r="B786" s="10">
        <f>SUMIFS('دفتر اليومية'!K:K, 'دفتر اليومية'!H:H, A786, 'دفتر اليومية'!E:E, "مبيعات اجل")</f>
        <v>0</v>
      </c>
      <c r="C786" s="10">
        <f>SUMIFS('دفتر اليومية'!L:L, 'دفتر اليومية'!H:H, A786, 'دفتر اليومية'!E:E, "مبيعات اجل")</f>
        <v>0</v>
      </c>
      <c r="D786" s="108">
        <f t="shared" si="12"/>
        <v>0</v>
      </c>
    </row>
    <row r="787" spans="1:4" x14ac:dyDescent="0.3">
      <c r="A787" s="10"/>
      <c r="B787" s="10">
        <f>SUMIFS('دفتر اليومية'!K:K, 'دفتر اليومية'!H:H, A787, 'دفتر اليومية'!E:E, "مبيعات اجل")</f>
        <v>0</v>
      </c>
      <c r="C787" s="10">
        <f>SUMIFS('دفتر اليومية'!L:L, 'دفتر اليومية'!H:H, A787, 'دفتر اليومية'!E:E, "مبيعات اجل")</f>
        <v>0</v>
      </c>
      <c r="D787" s="108">
        <f t="shared" si="12"/>
        <v>0</v>
      </c>
    </row>
    <row r="788" spans="1:4" x14ac:dyDescent="0.3">
      <c r="A788" s="10"/>
      <c r="B788" s="10">
        <f>SUMIFS('دفتر اليومية'!K:K, 'دفتر اليومية'!H:H, A788, 'دفتر اليومية'!E:E, "مبيعات اجل")</f>
        <v>0</v>
      </c>
      <c r="C788" s="10">
        <f>SUMIFS('دفتر اليومية'!L:L, 'دفتر اليومية'!H:H, A788, 'دفتر اليومية'!E:E, "مبيعات اجل")</f>
        <v>0</v>
      </c>
      <c r="D788" s="108">
        <f t="shared" si="12"/>
        <v>0</v>
      </c>
    </row>
    <row r="789" spans="1:4" x14ac:dyDescent="0.3">
      <c r="A789" s="10"/>
      <c r="B789" s="10">
        <f>SUMIFS('دفتر اليومية'!K:K, 'دفتر اليومية'!H:H, A789, 'دفتر اليومية'!E:E, "مبيعات اجل")</f>
        <v>0</v>
      </c>
      <c r="C789" s="10">
        <f>SUMIFS('دفتر اليومية'!L:L, 'دفتر اليومية'!H:H, A789, 'دفتر اليومية'!E:E, "مبيعات اجل")</f>
        <v>0</v>
      </c>
      <c r="D789" s="108">
        <f t="shared" si="12"/>
        <v>0</v>
      </c>
    </row>
    <row r="790" spans="1:4" x14ac:dyDescent="0.3">
      <c r="A790" s="10"/>
      <c r="B790" s="10">
        <f>SUMIFS('دفتر اليومية'!K:K, 'دفتر اليومية'!H:H, A790, 'دفتر اليومية'!E:E, "مبيعات اجل")</f>
        <v>0</v>
      </c>
      <c r="C790" s="10">
        <f>SUMIFS('دفتر اليومية'!L:L, 'دفتر اليومية'!H:H, A790, 'دفتر اليومية'!E:E, "مبيعات اجل")</f>
        <v>0</v>
      </c>
      <c r="D790" s="108">
        <f t="shared" si="12"/>
        <v>0</v>
      </c>
    </row>
    <row r="791" spans="1:4" x14ac:dyDescent="0.3">
      <c r="A791" s="10"/>
      <c r="B791" s="10">
        <f>SUMIFS('دفتر اليومية'!K:K, 'دفتر اليومية'!H:H, A791, 'دفتر اليومية'!E:E, "مبيعات اجل")</f>
        <v>0</v>
      </c>
      <c r="C791" s="10">
        <f>SUMIFS('دفتر اليومية'!L:L, 'دفتر اليومية'!H:H, A791, 'دفتر اليومية'!E:E, "مبيعات اجل")</f>
        <v>0</v>
      </c>
      <c r="D791" s="108">
        <f t="shared" si="12"/>
        <v>0</v>
      </c>
    </row>
    <row r="792" spans="1:4" x14ac:dyDescent="0.3">
      <c r="A792" s="10"/>
      <c r="B792" s="10">
        <f>SUMIFS('دفتر اليومية'!K:K, 'دفتر اليومية'!H:H, A792, 'دفتر اليومية'!E:E, "مبيعات اجل")</f>
        <v>0</v>
      </c>
      <c r="C792" s="10">
        <f>SUMIFS('دفتر اليومية'!L:L, 'دفتر اليومية'!H:H, A792, 'دفتر اليومية'!E:E, "مبيعات اجل")</f>
        <v>0</v>
      </c>
      <c r="D792" s="108">
        <f t="shared" si="12"/>
        <v>0</v>
      </c>
    </row>
    <row r="793" spans="1:4" x14ac:dyDescent="0.3">
      <c r="A793" s="10"/>
      <c r="B793" s="10">
        <f>SUMIFS('دفتر اليومية'!K:K, 'دفتر اليومية'!H:H, A793, 'دفتر اليومية'!E:E, "مبيعات اجل")</f>
        <v>0</v>
      </c>
      <c r="C793" s="10">
        <f>SUMIFS('دفتر اليومية'!L:L, 'دفتر اليومية'!H:H, A793, 'دفتر اليومية'!E:E, "مبيعات اجل")</f>
        <v>0</v>
      </c>
      <c r="D793" s="108">
        <f t="shared" si="12"/>
        <v>0</v>
      </c>
    </row>
    <row r="794" spans="1:4" x14ac:dyDescent="0.3">
      <c r="A794" s="10"/>
      <c r="B794" s="10">
        <f>SUMIFS('دفتر اليومية'!K:K, 'دفتر اليومية'!H:H, A794, 'دفتر اليومية'!E:E, "مبيعات اجل")</f>
        <v>0</v>
      </c>
      <c r="C794" s="10">
        <f>SUMIFS('دفتر اليومية'!L:L, 'دفتر اليومية'!H:H, A794, 'دفتر اليومية'!E:E, "مبيعات اجل")</f>
        <v>0</v>
      </c>
      <c r="D794" s="108">
        <f t="shared" si="12"/>
        <v>0</v>
      </c>
    </row>
    <row r="795" spans="1:4" x14ac:dyDescent="0.3">
      <c r="A795" s="10"/>
      <c r="B795" s="10">
        <f>SUMIFS('دفتر اليومية'!K:K, 'دفتر اليومية'!H:H, A795, 'دفتر اليومية'!E:E, "مبيعات اجل")</f>
        <v>0</v>
      </c>
      <c r="C795" s="10">
        <f>SUMIFS('دفتر اليومية'!L:L, 'دفتر اليومية'!H:H, A795, 'دفتر اليومية'!E:E, "مبيعات اجل")</f>
        <v>0</v>
      </c>
      <c r="D795" s="108">
        <f t="shared" si="12"/>
        <v>0</v>
      </c>
    </row>
    <row r="796" spans="1:4" x14ac:dyDescent="0.3">
      <c r="A796" s="10"/>
      <c r="B796" s="10">
        <f>SUMIFS('دفتر اليومية'!K:K, 'دفتر اليومية'!H:H, A796, 'دفتر اليومية'!E:E, "مبيعات اجل")</f>
        <v>0</v>
      </c>
      <c r="C796" s="10">
        <f>SUMIFS('دفتر اليومية'!L:L, 'دفتر اليومية'!H:H, A796, 'دفتر اليومية'!E:E, "مبيعات اجل")</f>
        <v>0</v>
      </c>
      <c r="D796" s="108">
        <f t="shared" si="12"/>
        <v>0</v>
      </c>
    </row>
    <row r="797" spans="1:4" x14ac:dyDescent="0.3">
      <c r="A797" s="10"/>
      <c r="B797" s="10">
        <f>SUMIFS('دفتر اليومية'!K:K, 'دفتر اليومية'!H:H, A797, 'دفتر اليومية'!E:E, "مبيعات اجل")</f>
        <v>0</v>
      </c>
      <c r="C797" s="10">
        <f>SUMIFS('دفتر اليومية'!L:L, 'دفتر اليومية'!H:H, A797, 'دفتر اليومية'!E:E, "مبيعات اجل")</f>
        <v>0</v>
      </c>
      <c r="D797" s="108">
        <f t="shared" si="12"/>
        <v>0</v>
      </c>
    </row>
    <row r="798" spans="1:4" x14ac:dyDescent="0.3">
      <c r="A798" s="10"/>
      <c r="B798" s="10">
        <f>SUMIFS('دفتر اليومية'!K:K, 'دفتر اليومية'!H:H, A798, 'دفتر اليومية'!E:E, "مبيعات اجل")</f>
        <v>0</v>
      </c>
      <c r="C798" s="10">
        <f>SUMIFS('دفتر اليومية'!L:L, 'دفتر اليومية'!H:H, A798, 'دفتر اليومية'!E:E, "مبيعات اجل")</f>
        <v>0</v>
      </c>
      <c r="D798" s="108">
        <f t="shared" si="12"/>
        <v>0</v>
      </c>
    </row>
    <row r="799" spans="1:4" x14ac:dyDescent="0.3">
      <c r="A799" s="10"/>
      <c r="B799" s="10">
        <f>SUMIFS('دفتر اليومية'!K:K, 'دفتر اليومية'!H:H, A799, 'دفتر اليومية'!E:E, "مبيعات اجل")</f>
        <v>0</v>
      </c>
      <c r="C799" s="10">
        <f>SUMIFS('دفتر اليومية'!L:L, 'دفتر اليومية'!H:H, A799, 'دفتر اليومية'!E:E, "مبيعات اجل")</f>
        <v>0</v>
      </c>
      <c r="D799" s="108">
        <f t="shared" si="12"/>
        <v>0</v>
      </c>
    </row>
    <row r="800" spans="1:4" x14ac:dyDescent="0.3">
      <c r="A800" s="10"/>
      <c r="B800" s="10">
        <f>SUMIFS('دفتر اليومية'!K:K, 'دفتر اليومية'!H:H, A800, 'دفتر اليومية'!E:E, "مبيعات اجل")</f>
        <v>0</v>
      </c>
      <c r="C800" s="10">
        <f>SUMIFS('دفتر اليومية'!L:L, 'دفتر اليومية'!H:H, A800, 'دفتر اليومية'!E:E, "مبيعات اجل")</f>
        <v>0</v>
      </c>
      <c r="D800" s="108">
        <f t="shared" si="12"/>
        <v>0</v>
      </c>
    </row>
    <row r="801" spans="1:4" x14ac:dyDescent="0.3">
      <c r="A801" s="10"/>
      <c r="B801" s="10">
        <f>SUMIFS('دفتر اليومية'!K:K, 'دفتر اليومية'!H:H, A801, 'دفتر اليومية'!E:E, "مبيعات اجل")</f>
        <v>0</v>
      </c>
      <c r="C801" s="10">
        <f>SUMIFS('دفتر اليومية'!L:L, 'دفتر اليومية'!H:H, A801, 'دفتر اليومية'!E:E, "مبيعات اجل")</f>
        <v>0</v>
      </c>
      <c r="D801" s="108">
        <f t="shared" si="12"/>
        <v>0</v>
      </c>
    </row>
    <row r="802" spans="1:4" x14ac:dyDescent="0.3">
      <c r="A802" s="10"/>
      <c r="B802" s="10">
        <f>SUMIFS('دفتر اليومية'!K:K, 'دفتر اليومية'!H:H, A802, 'دفتر اليومية'!E:E, "مبيعات اجل")</f>
        <v>0</v>
      </c>
      <c r="C802" s="10">
        <f>SUMIFS('دفتر اليومية'!L:L, 'دفتر اليومية'!H:H, A802, 'دفتر اليومية'!E:E, "مبيعات اجل")</f>
        <v>0</v>
      </c>
      <c r="D802" s="108">
        <f t="shared" si="12"/>
        <v>0</v>
      </c>
    </row>
    <row r="803" spans="1:4" x14ac:dyDescent="0.3">
      <c r="A803" s="10"/>
      <c r="B803" s="10">
        <f>SUMIFS('دفتر اليومية'!K:K, 'دفتر اليومية'!H:H, A803, 'دفتر اليومية'!E:E, "مبيعات اجل")</f>
        <v>0</v>
      </c>
      <c r="C803" s="10">
        <f>SUMIFS('دفتر اليومية'!L:L, 'دفتر اليومية'!H:H, A803, 'دفتر اليومية'!E:E, "مبيعات اجل")</f>
        <v>0</v>
      </c>
      <c r="D803" s="108">
        <f t="shared" si="12"/>
        <v>0</v>
      </c>
    </row>
    <row r="804" spans="1:4" x14ac:dyDescent="0.3">
      <c r="A804" s="10"/>
      <c r="B804" s="10">
        <f>SUMIFS('دفتر اليومية'!K:K, 'دفتر اليومية'!H:H, A804, 'دفتر اليومية'!E:E, "مبيعات اجل")</f>
        <v>0</v>
      </c>
      <c r="C804" s="10">
        <f>SUMIFS('دفتر اليومية'!L:L, 'دفتر اليومية'!H:H, A804, 'دفتر اليومية'!E:E, "مبيعات اجل")</f>
        <v>0</v>
      </c>
      <c r="D804" s="108">
        <f t="shared" si="12"/>
        <v>0</v>
      </c>
    </row>
    <row r="805" spans="1:4" x14ac:dyDescent="0.3">
      <c r="A805" s="10"/>
      <c r="B805" s="10">
        <f>SUMIFS('دفتر اليومية'!K:K, 'دفتر اليومية'!H:H, A805, 'دفتر اليومية'!E:E, "مبيعات اجل")</f>
        <v>0</v>
      </c>
      <c r="C805" s="10">
        <f>SUMIFS('دفتر اليومية'!L:L, 'دفتر اليومية'!H:H, A805, 'دفتر اليومية'!E:E, "مبيعات اجل")</f>
        <v>0</v>
      </c>
      <c r="D805" s="108">
        <f t="shared" si="12"/>
        <v>0</v>
      </c>
    </row>
    <row r="806" spans="1:4" x14ac:dyDescent="0.3">
      <c r="A806" s="10"/>
      <c r="B806" s="10">
        <f>SUMIFS('دفتر اليومية'!K:K, 'دفتر اليومية'!H:H, A806, 'دفتر اليومية'!E:E, "مبيعات اجل")</f>
        <v>0</v>
      </c>
      <c r="C806" s="10">
        <f>SUMIFS('دفتر اليومية'!L:L, 'دفتر اليومية'!H:H, A806, 'دفتر اليومية'!E:E, "مبيعات اجل")</f>
        <v>0</v>
      </c>
      <c r="D806" s="108">
        <f t="shared" si="12"/>
        <v>0</v>
      </c>
    </row>
    <row r="807" spans="1:4" x14ac:dyDescent="0.3">
      <c r="A807" s="10"/>
      <c r="B807" s="10">
        <f>SUMIFS('دفتر اليومية'!K:K, 'دفتر اليومية'!H:H, A807, 'دفتر اليومية'!E:E, "مبيعات اجل")</f>
        <v>0</v>
      </c>
      <c r="C807" s="10">
        <f>SUMIFS('دفتر اليومية'!L:L, 'دفتر اليومية'!H:H, A807, 'دفتر اليومية'!E:E, "مبيعات اجل")</f>
        <v>0</v>
      </c>
      <c r="D807" s="108">
        <f t="shared" si="12"/>
        <v>0</v>
      </c>
    </row>
    <row r="808" spans="1:4" x14ac:dyDescent="0.3">
      <c r="A808" s="10"/>
      <c r="B808" s="10">
        <f>SUMIFS('دفتر اليومية'!K:K, 'دفتر اليومية'!H:H, A808, 'دفتر اليومية'!E:E, "مبيعات اجل")</f>
        <v>0</v>
      </c>
      <c r="C808" s="10">
        <f>SUMIFS('دفتر اليومية'!L:L, 'دفتر اليومية'!H:H, A808, 'دفتر اليومية'!E:E, "مبيعات اجل")</f>
        <v>0</v>
      </c>
      <c r="D808" s="108">
        <f t="shared" si="12"/>
        <v>0</v>
      </c>
    </row>
    <row r="809" spans="1:4" x14ac:dyDescent="0.3">
      <c r="A809" s="10"/>
      <c r="B809" s="10">
        <f>SUMIFS('دفتر اليومية'!K:K, 'دفتر اليومية'!H:H, A809, 'دفتر اليومية'!E:E, "مبيعات اجل")</f>
        <v>0</v>
      </c>
      <c r="C809" s="10">
        <f>SUMIFS('دفتر اليومية'!L:L, 'دفتر اليومية'!H:H, A809, 'دفتر اليومية'!E:E, "مبيعات اجل")</f>
        <v>0</v>
      </c>
      <c r="D809" s="108">
        <f t="shared" si="12"/>
        <v>0</v>
      </c>
    </row>
    <row r="810" spans="1:4" x14ac:dyDescent="0.3">
      <c r="A810" s="10"/>
      <c r="B810" s="10">
        <f>SUMIFS('دفتر اليومية'!K:K, 'دفتر اليومية'!H:H, A810, 'دفتر اليومية'!E:E, "مبيعات اجل")</f>
        <v>0</v>
      </c>
      <c r="C810" s="10">
        <f>SUMIFS('دفتر اليومية'!L:L, 'دفتر اليومية'!H:H, A810, 'دفتر اليومية'!E:E, "مبيعات اجل")</f>
        <v>0</v>
      </c>
      <c r="D810" s="108">
        <f t="shared" si="12"/>
        <v>0</v>
      </c>
    </row>
    <row r="811" spans="1:4" x14ac:dyDescent="0.3">
      <c r="A811" s="10"/>
      <c r="B811" s="10">
        <f>SUMIFS('دفتر اليومية'!K:K, 'دفتر اليومية'!H:H, A811, 'دفتر اليومية'!E:E, "مبيعات اجل")</f>
        <v>0</v>
      </c>
      <c r="C811" s="10">
        <f>SUMIFS('دفتر اليومية'!L:L, 'دفتر اليومية'!H:H, A811, 'دفتر اليومية'!E:E, "مبيعات اجل")</f>
        <v>0</v>
      </c>
      <c r="D811" s="108">
        <f t="shared" si="12"/>
        <v>0</v>
      </c>
    </row>
    <row r="812" spans="1:4" x14ac:dyDescent="0.3">
      <c r="A812" s="10"/>
      <c r="B812" s="10">
        <f>SUMIFS('دفتر اليومية'!K:K, 'دفتر اليومية'!H:H, A812, 'دفتر اليومية'!E:E, "مبيعات اجل")</f>
        <v>0</v>
      </c>
      <c r="C812" s="10">
        <f>SUMIFS('دفتر اليومية'!L:L, 'دفتر اليومية'!H:H, A812, 'دفتر اليومية'!E:E, "مبيعات اجل")</f>
        <v>0</v>
      </c>
      <c r="D812" s="108">
        <f t="shared" si="12"/>
        <v>0</v>
      </c>
    </row>
    <row r="813" spans="1:4" x14ac:dyDescent="0.3">
      <c r="A813" s="10"/>
      <c r="B813" s="10">
        <f>SUMIFS('دفتر اليومية'!K:K, 'دفتر اليومية'!H:H, A813, 'دفتر اليومية'!E:E, "مبيعات اجل")</f>
        <v>0</v>
      </c>
      <c r="C813" s="10">
        <f>SUMIFS('دفتر اليومية'!L:L, 'دفتر اليومية'!H:H, A813, 'دفتر اليومية'!E:E, "مبيعات اجل")</f>
        <v>0</v>
      </c>
      <c r="D813" s="108">
        <f t="shared" si="12"/>
        <v>0</v>
      </c>
    </row>
    <row r="814" spans="1:4" x14ac:dyDescent="0.3">
      <c r="A814" s="10"/>
      <c r="B814" s="10">
        <f>SUMIFS('دفتر اليومية'!K:K, 'دفتر اليومية'!H:H, A814, 'دفتر اليومية'!E:E, "مبيعات اجل")</f>
        <v>0</v>
      </c>
      <c r="C814" s="10">
        <f>SUMIFS('دفتر اليومية'!L:L, 'دفتر اليومية'!H:H, A814, 'دفتر اليومية'!E:E, "مبيعات اجل")</f>
        <v>0</v>
      </c>
      <c r="D814" s="108">
        <f t="shared" si="12"/>
        <v>0</v>
      </c>
    </row>
    <row r="815" spans="1:4" x14ac:dyDescent="0.3">
      <c r="A815" s="10"/>
      <c r="B815" s="10">
        <f>SUMIFS('دفتر اليومية'!K:K, 'دفتر اليومية'!H:H, A815, 'دفتر اليومية'!E:E, "مبيعات اجل")</f>
        <v>0</v>
      </c>
      <c r="C815" s="10">
        <f>SUMIFS('دفتر اليومية'!L:L, 'دفتر اليومية'!H:H, A815, 'دفتر اليومية'!E:E, "مبيعات اجل")</f>
        <v>0</v>
      </c>
      <c r="D815" s="108">
        <f t="shared" si="12"/>
        <v>0</v>
      </c>
    </row>
    <row r="816" spans="1:4" x14ac:dyDescent="0.3">
      <c r="A816" s="10"/>
      <c r="B816" s="10">
        <f>SUMIFS('دفتر اليومية'!K:K, 'دفتر اليومية'!H:H, A816, 'دفتر اليومية'!E:E, "مبيعات اجل")</f>
        <v>0</v>
      </c>
      <c r="C816" s="10">
        <f>SUMIFS('دفتر اليومية'!L:L, 'دفتر اليومية'!H:H, A816, 'دفتر اليومية'!E:E, "مبيعات اجل")</f>
        <v>0</v>
      </c>
      <c r="D816" s="108">
        <f t="shared" si="12"/>
        <v>0</v>
      </c>
    </row>
    <row r="817" spans="1:4" x14ac:dyDescent="0.3">
      <c r="A817" s="10"/>
      <c r="B817" s="10">
        <f>SUMIFS('دفتر اليومية'!K:K, 'دفتر اليومية'!H:H, A817, 'دفتر اليومية'!E:E, "مبيعات اجل")</f>
        <v>0</v>
      </c>
      <c r="C817" s="10">
        <f>SUMIFS('دفتر اليومية'!L:L, 'دفتر اليومية'!H:H, A817, 'دفتر اليومية'!E:E, "مبيعات اجل")</f>
        <v>0</v>
      </c>
      <c r="D817" s="108">
        <f t="shared" si="12"/>
        <v>0</v>
      </c>
    </row>
    <row r="818" spans="1:4" x14ac:dyDescent="0.3">
      <c r="A818" s="10"/>
      <c r="B818" s="10">
        <f>SUMIFS('دفتر اليومية'!K:K, 'دفتر اليومية'!H:H, A818, 'دفتر اليومية'!E:E, "مبيعات اجل")</f>
        <v>0</v>
      </c>
      <c r="C818" s="10">
        <f>SUMIFS('دفتر اليومية'!L:L, 'دفتر اليومية'!H:H, A818, 'دفتر اليومية'!E:E, "مبيعات اجل")</f>
        <v>0</v>
      </c>
      <c r="D818" s="108">
        <f t="shared" si="12"/>
        <v>0</v>
      </c>
    </row>
    <row r="819" spans="1:4" x14ac:dyDescent="0.3">
      <c r="A819" s="10"/>
      <c r="B819" s="10">
        <f>SUMIFS('دفتر اليومية'!K:K, 'دفتر اليومية'!H:H, A819, 'دفتر اليومية'!E:E, "مبيعات اجل")</f>
        <v>0</v>
      </c>
      <c r="C819" s="10">
        <f>SUMIFS('دفتر اليومية'!L:L, 'دفتر اليومية'!H:H, A819, 'دفتر اليومية'!E:E, "مبيعات اجل")</f>
        <v>0</v>
      </c>
      <c r="D819" s="108">
        <f t="shared" si="12"/>
        <v>0</v>
      </c>
    </row>
    <row r="820" spans="1:4" x14ac:dyDescent="0.3">
      <c r="A820" s="10"/>
      <c r="B820" s="10">
        <f>SUMIFS('دفتر اليومية'!K:K, 'دفتر اليومية'!H:H, A820, 'دفتر اليومية'!E:E, "مبيعات اجل")</f>
        <v>0</v>
      </c>
      <c r="C820" s="10">
        <f>SUMIFS('دفتر اليومية'!L:L, 'دفتر اليومية'!H:H, A820, 'دفتر اليومية'!E:E, "مبيعات اجل")</f>
        <v>0</v>
      </c>
      <c r="D820" s="108">
        <f t="shared" si="12"/>
        <v>0</v>
      </c>
    </row>
    <row r="821" spans="1:4" x14ac:dyDescent="0.3">
      <c r="A821" s="10"/>
      <c r="B821" s="10">
        <f>SUMIFS('دفتر اليومية'!K:K, 'دفتر اليومية'!H:H, A821, 'دفتر اليومية'!E:E, "مبيعات اجل")</f>
        <v>0</v>
      </c>
      <c r="C821" s="10">
        <f>SUMIFS('دفتر اليومية'!L:L, 'دفتر اليومية'!H:H, A821, 'دفتر اليومية'!E:E, "مبيعات اجل")</f>
        <v>0</v>
      </c>
      <c r="D821" s="108">
        <f t="shared" si="12"/>
        <v>0</v>
      </c>
    </row>
    <row r="822" spans="1:4" x14ac:dyDescent="0.3">
      <c r="A822" s="10"/>
      <c r="B822" s="10">
        <f>SUMIFS('دفتر اليومية'!K:K, 'دفتر اليومية'!H:H, A822, 'دفتر اليومية'!E:E, "مبيعات اجل")</f>
        <v>0</v>
      </c>
      <c r="C822" s="10">
        <f>SUMIFS('دفتر اليومية'!L:L, 'دفتر اليومية'!H:H, A822, 'دفتر اليومية'!E:E, "مبيعات اجل")</f>
        <v>0</v>
      </c>
      <c r="D822" s="108">
        <f t="shared" si="12"/>
        <v>0</v>
      </c>
    </row>
    <row r="823" spans="1:4" x14ac:dyDescent="0.3">
      <c r="A823" s="10"/>
      <c r="B823" s="10">
        <f>SUMIFS('دفتر اليومية'!K:K, 'دفتر اليومية'!H:H, A823, 'دفتر اليومية'!E:E, "مبيعات اجل")</f>
        <v>0</v>
      </c>
      <c r="C823" s="10">
        <f>SUMIFS('دفتر اليومية'!L:L, 'دفتر اليومية'!H:H, A823, 'دفتر اليومية'!E:E, "مبيعات اجل")</f>
        <v>0</v>
      </c>
      <c r="D823" s="108">
        <f t="shared" si="12"/>
        <v>0</v>
      </c>
    </row>
    <row r="824" spans="1:4" x14ac:dyDescent="0.3">
      <c r="A824" s="10"/>
      <c r="B824" s="10">
        <f>SUMIFS('دفتر اليومية'!K:K, 'دفتر اليومية'!H:H, A824, 'دفتر اليومية'!E:E, "مبيعات اجل")</f>
        <v>0</v>
      </c>
      <c r="C824" s="10">
        <f>SUMIFS('دفتر اليومية'!L:L, 'دفتر اليومية'!H:H, A824, 'دفتر اليومية'!E:E, "مبيعات اجل")</f>
        <v>0</v>
      </c>
      <c r="D824" s="108">
        <f t="shared" si="12"/>
        <v>0</v>
      </c>
    </row>
    <row r="825" spans="1:4" x14ac:dyDescent="0.3">
      <c r="A825" s="10"/>
      <c r="B825" s="10">
        <f>SUMIFS('دفتر اليومية'!K:K, 'دفتر اليومية'!H:H, A825, 'دفتر اليومية'!E:E, "مبيعات اجل")</f>
        <v>0</v>
      </c>
      <c r="C825" s="10">
        <f>SUMIFS('دفتر اليومية'!L:L, 'دفتر اليومية'!H:H, A825, 'دفتر اليومية'!E:E, "مبيعات اجل")</f>
        <v>0</v>
      </c>
      <c r="D825" s="108">
        <f t="shared" si="12"/>
        <v>0</v>
      </c>
    </row>
    <row r="826" spans="1:4" x14ac:dyDescent="0.3">
      <c r="A826" s="10"/>
      <c r="B826" s="10">
        <f>SUMIFS('دفتر اليومية'!K:K, 'دفتر اليومية'!H:H, A826, 'دفتر اليومية'!E:E, "مبيعات اجل")</f>
        <v>0</v>
      </c>
      <c r="C826" s="10">
        <f>SUMIFS('دفتر اليومية'!L:L, 'دفتر اليومية'!H:H, A826, 'دفتر اليومية'!E:E, "مبيعات اجل")</f>
        <v>0</v>
      </c>
      <c r="D826" s="108">
        <f t="shared" si="12"/>
        <v>0</v>
      </c>
    </row>
    <row r="827" spans="1:4" x14ac:dyDescent="0.3">
      <c r="A827" s="10"/>
      <c r="B827" s="10">
        <f>SUMIFS('دفتر اليومية'!K:K, 'دفتر اليومية'!H:H, A827, 'دفتر اليومية'!E:E, "مبيعات اجل")</f>
        <v>0</v>
      </c>
      <c r="C827" s="10">
        <f>SUMIFS('دفتر اليومية'!L:L, 'دفتر اليومية'!H:H, A827, 'دفتر اليومية'!E:E, "مبيعات اجل")</f>
        <v>0</v>
      </c>
      <c r="D827" s="108">
        <f t="shared" si="12"/>
        <v>0</v>
      </c>
    </row>
    <row r="828" spans="1:4" x14ac:dyDescent="0.3">
      <c r="A828" s="10"/>
      <c r="B828" s="10">
        <f>SUMIFS('دفتر اليومية'!K:K, 'دفتر اليومية'!H:H, A828, 'دفتر اليومية'!E:E, "مبيعات اجل")</f>
        <v>0</v>
      </c>
      <c r="C828" s="10">
        <f>SUMIFS('دفتر اليومية'!L:L, 'دفتر اليومية'!H:H, A828, 'دفتر اليومية'!E:E, "مبيعات اجل")</f>
        <v>0</v>
      </c>
      <c r="D828" s="108">
        <f t="shared" si="12"/>
        <v>0</v>
      </c>
    </row>
    <row r="829" spans="1:4" x14ac:dyDescent="0.3">
      <c r="A829" s="10"/>
      <c r="B829" s="10">
        <f>SUMIFS('دفتر اليومية'!K:K, 'دفتر اليومية'!H:H, A829, 'دفتر اليومية'!E:E, "مبيعات اجل")</f>
        <v>0</v>
      </c>
      <c r="C829" s="10">
        <f>SUMIFS('دفتر اليومية'!L:L, 'دفتر اليومية'!H:H, A829, 'دفتر اليومية'!E:E, "مبيعات اجل")</f>
        <v>0</v>
      </c>
      <c r="D829" s="108">
        <f t="shared" si="12"/>
        <v>0</v>
      </c>
    </row>
    <row r="830" spans="1:4" x14ac:dyDescent="0.3">
      <c r="A830" s="10"/>
      <c r="B830" s="10">
        <f>SUMIFS('دفتر اليومية'!K:K, 'دفتر اليومية'!H:H, A830, 'دفتر اليومية'!E:E, "مبيعات اجل")</f>
        <v>0</v>
      </c>
      <c r="C830" s="10">
        <f>SUMIFS('دفتر اليومية'!L:L, 'دفتر اليومية'!H:H, A830, 'دفتر اليومية'!E:E, "مبيعات اجل")</f>
        <v>0</v>
      </c>
      <c r="D830" s="108">
        <f t="shared" si="12"/>
        <v>0</v>
      </c>
    </row>
    <row r="831" spans="1:4" x14ac:dyDescent="0.3">
      <c r="A831" s="10"/>
      <c r="B831" s="10">
        <f>SUMIFS('دفتر اليومية'!K:K, 'دفتر اليومية'!H:H, A831, 'دفتر اليومية'!E:E, "مبيعات اجل")</f>
        <v>0</v>
      </c>
      <c r="C831" s="10">
        <f>SUMIFS('دفتر اليومية'!L:L, 'دفتر اليومية'!H:H, A831, 'دفتر اليومية'!E:E, "مبيعات اجل")</f>
        <v>0</v>
      </c>
      <c r="D831" s="108">
        <f t="shared" si="12"/>
        <v>0</v>
      </c>
    </row>
    <row r="832" spans="1:4" x14ac:dyDescent="0.3">
      <c r="A832" s="10"/>
      <c r="B832" s="10">
        <f>SUMIFS('دفتر اليومية'!K:K, 'دفتر اليومية'!H:H, A832, 'دفتر اليومية'!E:E, "مبيعات اجل")</f>
        <v>0</v>
      </c>
      <c r="C832" s="10">
        <f>SUMIFS('دفتر اليومية'!L:L, 'دفتر اليومية'!H:H, A832, 'دفتر اليومية'!E:E, "مبيعات اجل")</f>
        <v>0</v>
      </c>
      <c r="D832" s="108">
        <f t="shared" si="12"/>
        <v>0</v>
      </c>
    </row>
    <row r="833" spans="1:4" x14ac:dyDescent="0.3">
      <c r="A833" s="10"/>
      <c r="B833" s="10">
        <f>SUMIFS('دفتر اليومية'!K:K, 'دفتر اليومية'!H:H, A833, 'دفتر اليومية'!E:E, "مبيعات اجل")</f>
        <v>0</v>
      </c>
      <c r="C833" s="10">
        <f>SUMIFS('دفتر اليومية'!L:L, 'دفتر اليومية'!H:H, A833, 'دفتر اليومية'!E:E, "مبيعات اجل")</f>
        <v>0</v>
      </c>
      <c r="D833" s="108">
        <f t="shared" si="12"/>
        <v>0</v>
      </c>
    </row>
    <row r="834" spans="1:4" x14ac:dyDescent="0.3">
      <c r="A834" s="10"/>
      <c r="B834" s="10">
        <f>SUMIFS('دفتر اليومية'!K:K, 'دفتر اليومية'!H:H, A834, 'دفتر اليومية'!E:E, "مبيعات اجل")</f>
        <v>0</v>
      </c>
      <c r="C834" s="10">
        <f>SUMIFS('دفتر اليومية'!L:L, 'دفتر اليومية'!H:H, A834, 'دفتر اليومية'!E:E, "مبيعات اجل")</f>
        <v>0</v>
      </c>
      <c r="D834" s="108">
        <f t="shared" si="12"/>
        <v>0</v>
      </c>
    </row>
    <row r="835" spans="1:4" x14ac:dyDescent="0.3">
      <c r="A835" s="10"/>
      <c r="B835" s="10">
        <f>SUMIFS('دفتر اليومية'!K:K, 'دفتر اليومية'!H:H, A835, 'دفتر اليومية'!E:E, "مبيعات اجل")</f>
        <v>0</v>
      </c>
      <c r="C835" s="10">
        <f>SUMIFS('دفتر اليومية'!L:L, 'دفتر اليومية'!H:H, A835, 'دفتر اليومية'!E:E, "مبيعات اجل")</f>
        <v>0</v>
      </c>
      <c r="D835" s="108">
        <f t="shared" ref="D835:D898" si="13">B835-C835</f>
        <v>0</v>
      </c>
    </row>
    <row r="836" spans="1:4" x14ac:dyDescent="0.3">
      <c r="A836" s="10"/>
      <c r="B836" s="10">
        <f>SUMIFS('دفتر اليومية'!K:K, 'دفتر اليومية'!H:H, A836, 'دفتر اليومية'!E:E, "مبيعات اجل")</f>
        <v>0</v>
      </c>
      <c r="C836" s="10">
        <f>SUMIFS('دفتر اليومية'!L:L, 'دفتر اليومية'!H:H, A836, 'دفتر اليومية'!E:E, "مبيعات اجل")</f>
        <v>0</v>
      </c>
      <c r="D836" s="108">
        <f t="shared" si="13"/>
        <v>0</v>
      </c>
    </row>
    <row r="837" spans="1:4" x14ac:dyDescent="0.3">
      <c r="A837" s="10"/>
      <c r="B837" s="10">
        <f>SUMIFS('دفتر اليومية'!K:K, 'دفتر اليومية'!H:H, A837, 'دفتر اليومية'!E:E, "مبيعات اجل")</f>
        <v>0</v>
      </c>
      <c r="C837" s="10">
        <f>SUMIFS('دفتر اليومية'!L:L, 'دفتر اليومية'!H:H, A837, 'دفتر اليومية'!E:E, "مبيعات اجل")</f>
        <v>0</v>
      </c>
      <c r="D837" s="108">
        <f t="shared" si="13"/>
        <v>0</v>
      </c>
    </row>
    <row r="838" spans="1:4" x14ac:dyDescent="0.3">
      <c r="A838" s="10"/>
      <c r="B838" s="10">
        <f>SUMIFS('دفتر اليومية'!K:K, 'دفتر اليومية'!H:H, A838, 'دفتر اليومية'!E:E, "مبيعات اجل")</f>
        <v>0</v>
      </c>
      <c r="C838" s="10">
        <f>SUMIFS('دفتر اليومية'!L:L, 'دفتر اليومية'!H:H, A838, 'دفتر اليومية'!E:E, "مبيعات اجل")</f>
        <v>0</v>
      </c>
      <c r="D838" s="108">
        <f t="shared" si="13"/>
        <v>0</v>
      </c>
    </row>
    <row r="839" spans="1:4" x14ac:dyDescent="0.3">
      <c r="A839" s="10"/>
      <c r="B839" s="10">
        <f>SUMIFS('دفتر اليومية'!K:K, 'دفتر اليومية'!H:H, A839, 'دفتر اليومية'!E:E, "مبيعات اجل")</f>
        <v>0</v>
      </c>
      <c r="C839" s="10">
        <f>SUMIFS('دفتر اليومية'!L:L, 'دفتر اليومية'!H:H, A839, 'دفتر اليومية'!E:E, "مبيعات اجل")</f>
        <v>0</v>
      </c>
      <c r="D839" s="108">
        <f t="shared" si="13"/>
        <v>0</v>
      </c>
    </row>
    <row r="840" spans="1:4" x14ac:dyDescent="0.3">
      <c r="A840" s="10"/>
      <c r="B840" s="10">
        <f>SUMIFS('دفتر اليومية'!K:K, 'دفتر اليومية'!H:H, A840, 'دفتر اليومية'!E:E, "مبيعات اجل")</f>
        <v>0</v>
      </c>
      <c r="C840" s="10">
        <f>SUMIFS('دفتر اليومية'!L:L, 'دفتر اليومية'!H:H, A840, 'دفتر اليومية'!E:E, "مبيعات اجل")</f>
        <v>0</v>
      </c>
      <c r="D840" s="108">
        <f t="shared" si="13"/>
        <v>0</v>
      </c>
    </row>
    <row r="841" spans="1:4" x14ac:dyDescent="0.3">
      <c r="A841" s="10"/>
      <c r="B841" s="10">
        <f>SUMIFS('دفتر اليومية'!K:K, 'دفتر اليومية'!H:H, A841, 'دفتر اليومية'!E:E, "مبيعات اجل")</f>
        <v>0</v>
      </c>
      <c r="C841" s="10">
        <f>SUMIFS('دفتر اليومية'!L:L, 'دفتر اليومية'!H:H, A841, 'دفتر اليومية'!E:E, "مبيعات اجل")</f>
        <v>0</v>
      </c>
      <c r="D841" s="108">
        <f t="shared" si="13"/>
        <v>0</v>
      </c>
    </row>
    <row r="842" spans="1:4" x14ac:dyDescent="0.3">
      <c r="A842" s="10"/>
      <c r="B842" s="10">
        <f>SUMIFS('دفتر اليومية'!K:K, 'دفتر اليومية'!H:H, A842, 'دفتر اليومية'!E:E, "مبيعات اجل")</f>
        <v>0</v>
      </c>
      <c r="C842" s="10">
        <f>SUMIFS('دفتر اليومية'!L:L, 'دفتر اليومية'!H:H, A842, 'دفتر اليومية'!E:E, "مبيعات اجل")</f>
        <v>0</v>
      </c>
      <c r="D842" s="108">
        <f t="shared" si="13"/>
        <v>0</v>
      </c>
    </row>
    <row r="843" spans="1:4" x14ac:dyDescent="0.3">
      <c r="A843" s="10"/>
      <c r="B843" s="10">
        <f>SUMIFS('دفتر اليومية'!K:K, 'دفتر اليومية'!H:H, A843, 'دفتر اليومية'!E:E, "مبيعات اجل")</f>
        <v>0</v>
      </c>
      <c r="C843" s="10">
        <f>SUMIFS('دفتر اليومية'!L:L, 'دفتر اليومية'!H:H, A843, 'دفتر اليومية'!E:E, "مبيعات اجل")</f>
        <v>0</v>
      </c>
      <c r="D843" s="108">
        <f t="shared" si="13"/>
        <v>0</v>
      </c>
    </row>
    <row r="844" spans="1:4" x14ac:dyDescent="0.3">
      <c r="A844" s="10"/>
      <c r="B844" s="10">
        <f>SUMIFS('دفتر اليومية'!K:K, 'دفتر اليومية'!H:H, A844, 'دفتر اليومية'!E:E, "مبيعات اجل")</f>
        <v>0</v>
      </c>
      <c r="C844" s="10">
        <f>SUMIFS('دفتر اليومية'!L:L, 'دفتر اليومية'!H:H, A844, 'دفتر اليومية'!E:E, "مبيعات اجل")</f>
        <v>0</v>
      </c>
      <c r="D844" s="108">
        <f t="shared" si="13"/>
        <v>0</v>
      </c>
    </row>
    <row r="845" spans="1:4" x14ac:dyDescent="0.3">
      <c r="A845" s="10"/>
      <c r="B845" s="10">
        <f>SUMIFS('دفتر اليومية'!K:K, 'دفتر اليومية'!H:H, A845, 'دفتر اليومية'!E:E, "مبيعات اجل")</f>
        <v>0</v>
      </c>
      <c r="C845" s="10">
        <f>SUMIFS('دفتر اليومية'!L:L, 'دفتر اليومية'!H:H, A845, 'دفتر اليومية'!E:E, "مبيعات اجل")</f>
        <v>0</v>
      </c>
      <c r="D845" s="108">
        <f t="shared" si="13"/>
        <v>0</v>
      </c>
    </row>
    <row r="846" spans="1:4" x14ac:dyDescent="0.3">
      <c r="A846" s="10"/>
      <c r="B846" s="10">
        <f>SUMIFS('دفتر اليومية'!K:K, 'دفتر اليومية'!H:H, A846, 'دفتر اليومية'!E:E, "مبيعات اجل")</f>
        <v>0</v>
      </c>
      <c r="C846" s="10">
        <f>SUMIFS('دفتر اليومية'!L:L, 'دفتر اليومية'!H:H, A846, 'دفتر اليومية'!E:E, "مبيعات اجل")</f>
        <v>0</v>
      </c>
      <c r="D846" s="108">
        <f t="shared" si="13"/>
        <v>0</v>
      </c>
    </row>
    <row r="847" spans="1:4" x14ac:dyDescent="0.3">
      <c r="A847" s="10"/>
      <c r="B847" s="10">
        <f>SUMIFS('دفتر اليومية'!K:K, 'دفتر اليومية'!H:H, A847, 'دفتر اليومية'!E:E, "مبيعات اجل")</f>
        <v>0</v>
      </c>
      <c r="C847" s="10">
        <f>SUMIFS('دفتر اليومية'!L:L, 'دفتر اليومية'!H:H, A847, 'دفتر اليومية'!E:E, "مبيعات اجل")</f>
        <v>0</v>
      </c>
      <c r="D847" s="108">
        <f t="shared" si="13"/>
        <v>0</v>
      </c>
    </row>
    <row r="848" spans="1:4" x14ac:dyDescent="0.3">
      <c r="A848" s="10"/>
      <c r="B848" s="10">
        <f>SUMIFS('دفتر اليومية'!K:K, 'دفتر اليومية'!H:H, A848, 'دفتر اليومية'!E:E, "مبيعات اجل")</f>
        <v>0</v>
      </c>
      <c r="C848" s="10">
        <f>SUMIFS('دفتر اليومية'!L:L, 'دفتر اليومية'!H:H, A848, 'دفتر اليومية'!E:E, "مبيعات اجل")</f>
        <v>0</v>
      </c>
      <c r="D848" s="108">
        <f t="shared" si="13"/>
        <v>0</v>
      </c>
    </row>
    <row r="849" spans="1:4" x14ac:dyDescent="0.3">
      <c r="A849" s="10"/>
      <c r="B849" s="10">
        <f>SUMIFS('دفتر اليومية'!K:K, 'دفتر اليومية'!H:H, A849, 'دفتر اليومية'!E:E, "مبيعات اجل")</f>
        <v>0</v>
      </c>
      <c r="C849" s="10">
        <f>SUMIFS('دفتر اليومية'!L:L, 'دفتر اليومية'!H:H, A849, 'دفتر اليومية'!E:E, "مبيعات اجل")</f>
        <v>0</v>
      </c>
      <c r="D849" s="108">
        <f t="shared" si="13"/>
        <v>0</v>
      </c>
    </row>
    <row r="850" spans="1:4" x14ac:dyDescent="0.3">
      <c r="A850" s="10"/>
      <c r="B850" s="10">
        <f>SUMIFS('دفتر اليومية'!K:K, 'دفتر اليومية'!H:H, A850, 'دفتر اليومية'!E:E, "مبيعات اجل")</f>
        <v>0</v>
      </c>
      <c r="C850" s="10">
        <f>SUMIFS('دفتر اليومية'!L:L, 'دفتر اليومية'!H:H, A850, 'دفتر اليومية'!E:E, "مبيعات اجل")</f>
        <v>0</v>
      </c>
      <c r="D850" s="108">
        <f t="shared" si="13"/>
        <v>0</v>
      </c>
    </row>
    <row r="851" spans="1:4" x14ac:dyDescent="0.3">
      <c r="A851" s="10"/>
      <c r="B851" s="10">
        <f>SUMIFS('دفتر اليومية'!K:K, 'دفتر اليومية'!H:H, A851, 'دفتر اليومية'!E:E, "مبيعات اجل")</f>
        <v>0</v>
      </c>
      <c r="C851" s="10">
        <f>SUMIFS('دفتر اليومية'!L:L, 'دفتر اليومية'!H:H, A851, 'دفتر اليومية'!E:E, "مبيعات اجل")</f>
        <v>0</v>
      </c>
      <c r="D851" s="108">
        <f t="shared" si="13"/>
        <v>0</v>
      </c>
    </row>
    <row r="852" spans="1:4" x14ac:dyDescent="0.3">
      <c r="A852" s="10"/>
      <c r="B852" s="10">
        <f>SUMIFS('دفتر اليومية'!K:K, 'دفتر اليومية'!H:H, A852, 'دفتر اليومية'!E:E, "مبيعات اجل")</f>
        <v>0</v>
      </c>
      <c r="C852" s="10">
        <f>SUMIFS('دفتر اليومية'!L:L, 'دفتر اليومية'!H:H, A852, 'دفتر اليومية'!E:E, "مبيعات اجل")</f>
        <v>0</v>
      </c>
      <c r="D852" s="108">
        <f t="shared" si="13"/>
        <v>0</v>
      </c>
    </row>
    <row r="853" spans="1:4" x14ac:dyDescent="0.3">
      <c r="A853" s="10"/>
      <c r="B853" s="10">
        <f>SUMIFS('دفتر اليومية'!K:K, 'دفتر اليومية'!H:H, A853, 'دفتر اليومية'!E:E, "مبيعات اجل")</f>
        <v>0</v>
      </c>
      <c r="C853" s="10">
        <f>SUMIFS('دفتر اليومية'!L:L, 'دفتر اليومية'!H:H, A853, 'دفتر اليومية'!E:E, "مبيعات اجل")</f>
        <v>0</v>
      </c>
      <c r="D853" s="108">
        <f t="shared" si="13"/>
        <v>0</v>
      </c>
    </row>
    <row r="854" spans="1:4" x14ac:dyDescent="0.3">
      <c r="A854" s="10"/>
      <c r="B854" s="10">
        <f>SUMIFS('دفتر اليومية'!K:K, 'دفتر اليومية'!H:H, A854, 'دفتر اليومية'!E:E, "مبيعات اجل")</f>
        <v>0</v>
      </c>
      <c r="C854" s="10">
        <f>SUMIFS('دفتر اليومية'!L:L, 'دفتر اليومية'!H:H, A854, 'دفتر اليومية'!E:E, "مبيعات اجل")</f>
        <v>0</v>
      </c>
      <c r="D854" s="108">
        <f t="shared" si="13"/>
        <v>0</v>
      </c>
    </row>
    <row r="855" spans="1:4" x14ac:dyDescent="0.3">
      <c r="A855" s="10"/>
      <c r="B855" s="10">
        <f>SUMIFS('دفتر اليومية'!K:K, 'دفتر اليومية'!H:H, A855, 'دفتر اليومية'!E:E, "مبيعات اجل")</f>
        <v>0</v>
      </c>
      <c r="C855" s="10">
        <f>SUMIFS('دفتر اليومية'!L:L, 'دفتر اليومية'!H:H, A855, 'دفتر اليومية'!E:E, "مبيعات اجل")</f>
        <v>0</v>
      </c>
      <c r="D855" s="108">
        <f t="shared" si="13"/>
        <v>0</v>
      </c>
    </row>
    <row r="856" spans="1:4" x14ac:dyDescent="0.3">
      <c r="A856" s="10"/>
      <c r="B856" s="10">
        <f>SUMIFS('دفتر اليومية'!K:K, 'دفتر اليومية'!H:H, A856, 'دفتر اليومية'!E:E, "مبيعات اجل")</f>
        <v>0</v>
      </c>
      <c r="C856" s="10">
        <f>SUMIFS('دفتر اليومية'!L:L, 'دفتر اليومية'!H:H, A856, 'دفتر اليومية'!E:E, "مبيعات اجل")</f>
        <v>0</v>
      </c>
      <c r="D856" s="108">
        <f t="shared" si="13"/>
        <v>0</v>
      </c>
    </row>
    <row r="857" spans="1:4" x14ac:dyDescent="0.3">
      <c r="A857" s="10"/>
      <c r="B857" s="10">
        <f>SUMIFS('دفتر اليومية'!K:K, 'دفتر اليومية'!H:H, A857, 'دفتر اليومية'!E:E, "مبيعات اجل")</f>
        <v>0</v>
      </c>
      <c r="C857" s="10">
        <f>SUMIFS('دفتر اليومية'!L:L, 'دفتر اليومية'!H:H, A857, 'دفتر اليومية'!E:E, "مبيعات اجل")</f>
        <v>0</v>
      </c>
      <c r="D857" s="108">
        <f t="shared" si="13"/>
        <v>0</v>
      </c>
    </row>
    <row r="858" spans="1:4" x14ac:dyDescent="0.3">
      <c r="A858" s="10"/>
      <c r="B858" s="10">
        <f>SUMIFS('دفتر اليومية'!K:K, 'دفتر اليومية'!H:H, A858, 'دفتر اليومية'!E:E, "مبيعات اجل")</f>
        <v>0</v>
      </c>
      <c r="C858" s="10">
        <f>SUMIFS('دفتر اليومية'!L:L, 'دفتر اليومية'!H:H, A858, 'دفتر اليومية'!E:E, "مبيعات اجل")</f>
        <v>0</v>
      </c>
      <c r="D858" s="108">
        <f t="shared" si="13"/>
        <v>0</v>
      </c>
    </row>
    <row r="859" spans="1:4" x14ac:dyDescent="0.3">
      <c r="A859" s="10"/>
      <c r="B859" s="10">
        <f>SUMIFS('دفتر اليومية'!K:K, 'دفتر اليومية'!H:H, A859, 'دفتر اليومية'!E:E, "مبيعات اجل")</f>
        <v>0</v>
      </c>
      <c r="C859" s="10">
        <f>SUMIFS('دفتر اليومية'!L:L, 'دفتر اليومية'!H:H, A859, 'دفتر اليومية'!E:E, "مبيعات اجل")</f>
        <v>0</v>
      </c>
      <c r="D859" s="108">
        <f t="shared" si="13"/>
        <v>0</v>
      </c>
    </row>
    <row r="860" spans="1:4" x14ac:dyDescent="0.3">
      <c r="A860" s="10"/>
      <c r="B860" s="10">
        <f>SUMIFS('دفتر اليومية'!K:K, 'دفتر اليومية'!H:H, A860, 'دفتر اليومية'!E:E, "مبيعات اجل")</f>
        <v>0</v>
      </c>
      <c r="C860" s="10">
        <f>SUMIFS('دفتر اليومية'!L:L, 'دفتر اليومية'!H:H, A860, 'دفتر اليومية'!E:E, "مبيعات اجل")</f>
        <v>0</v>
      </c>
      <c r="D860" s="108">
        <f t="shared" si="13"/>
        <v>0</v>
      </c>
    </row>
    <row r="861" spans="1:4" x14ac:dyDescent="0.3">
      <c r="A861" s="10"/>
      <c r="B861" s="10">
        <f>SUMIFS('دفتر اليومية'!K:K, 'دفتر اليومية'!H:H, A861, 'دفتر اليومية'!E:E, "مبيعات اجل")</f>
        <v>0</v>
      </c>
      <c r="C861" s="10">
        <f>SUMIFS('دفتر اليومية'!L:L, 'دفتر اليومية'!H:H, A861, 'دفتر اليومية'!E:E, "مبيعات اجل")</f>
        <v>0</v>
      </c>
      <c r="D861" s="108">
        <f t="shared" si="13"/>
        <v>0</v>
      </c>
    </row>
    <row r="862" spans="1:4" x14ac:dyDescent="0.3">
      <c r="A862" s="10"/>
      <c r="B862" s="10">
        <f>SUMIFS('دفتر اليومية'!K:K, 'دفتر اليومية'!H:H, A862, 'دفتر اليومية'!E:E, "مبيعات اجل")</f>
        <v>0</v>
      </c>
      <c r="C862" s="10">
        <f>SUMIFS('دفتر اليومية'!L:L, 'دفتر اليومية'!H:H, A862, 'دفتر اليومية'!E:E, "مبيعات اجل")</f>
        <v>0</v>
      </c>
      <c r="D862" s="108">
        <f t="shared" si="13"/>
        <v>0</v>
      </c>
    </row>
    <row r="863" spans="1:4" x14ac:dyDescent="0.3">
      <c r="A863" s="10"/>
      <c r="B863" s="10">
        <f>SUMIFS('دفتر اليومية'!K:K, 'دفتر اليومية'!H:H, A863, 'دفتر اليومية'!E:E, "مبيعات اجل")</f>
        <v>0</v>
      </c>
      <c r="C863" s="10">
        <f>SUMIFS('دفتر اليومية'!L:L, 'دفتر اليومية'!H:H, A863, 'دفتر اليومية'!E:E, "مبيعات اجل")</f>
        <v>0</v>
      </c>
      <c r="D863" s="108">
        <f t="shared" si="13"/>
        <v>0</v>
      </c>
    </row>
    <row r="864" spans="1:4" x14ac:dyDescent="0.3">
      <c r="A864" s="10"/>
      <c r="B864" s="10">
        <f>SUMIFS('دفتر اليومية'!K:K, 'دفتر اليومية'!H:H, A864, 'دفتر اليومية'!E:E, "مبيعات اجل")</f>
        <v>0</v>
      </c>
      <c r="C864" s="10">
        <f>SUMIFS('دفتر اليومية'!L:L, 'دفتر اليومية'!H:H, A864, 'دفتر اليومية'!E:E, "مبيعات اجل")</f>
        <v>0</v>
      </c>
      <c r="D864" s="108">
        <f t="shared" si="13"/>
        <v>0</v>
      </c>
    </row>
    <row r="865" spans="1:4" x14ac:dyDescent="0.3">
      <c r="A865" s="10"/>
      <c r="B865" s="10">
        <f>SUMIFS('دفتر اليومية'!K:K, 'دفتر اليومية'!H:H, A865, 'دفتر اليومية'!E:E, "مبيعات اجل")</f>
        <v>0</v>
      </c>
      <c r="C865" s="10">
        <f>SUMIFS('دفتر اليومية'!L:L, 'دفتر اليومية'!H:H, A865, 'دفتر اليومية'!E:E, "مبيعات اجل")</f>
        <v>0</v>
      </c>
      <c r="D865" s="108">
        <f t="shared" si="13"/>
        <v>0</v>
      </c>
    </row>
    <row r="866" spans="1:4" x14ac:dyDescent="0.3">
      <c r="A866" s="10"/>
      <c r="B866" s="10">
        <f>SUMIFS('دفتر اليومية'!K:K, 'دفتر اليومية'!H:H, A866, 'دفتر اليومية'!E:E, "مبيعات اجل")</f>
        <v>0</v>
      </c>
      <c r="C866" s="10">
        <f>SUMIFS('دفتر اليومية'!L:L, 'دفتر اليومية'!H:H, A866, 'دفتر اليومية'!E:E, "مبيعات اجل")</f>
        <v>0</v>
      </c>
      <c r="D866" s="108">
        <f t="shared" si="13"/>
        <v>0</v>
      </c>
    </row>
    <row r="867" spans="1:4" x14ac:dyDescent="0.3">
      <c r="A867" s="10"/>
      <c r="B867" s="10">
        <f>SUMIFS('دفتر اليومية'!K:K, 'دفتر اليومية'!H:H, A867, 'دفتر اليومية'!E:E, "مبيعات اجل")</f>
        <v>0</v>
      </c>
      <c r="C867" s="10">
        <f>SUMIFS('دفتر اليومية'!L:L, 'دفتر اليومية'!H:H, A867, 'دفتر اليومية'!E:E, "مبيعات اجل")</f>
        <v>0</v>
      </c>
      <c r="D867" s="108">
        <f t="shared" si="13"/>
        <v>0</v>
      </c>
    </row>
    <row r="868" spans="1:4" x14ac:dyDescent="0.3">
      <c r="A868" s="10"/>
      <c r="B868" s="10">
        <f>SUMIFS('دفتر اليومية'!K:K, 'دفتر اليومية'!H:H, A868, 'دفتر اليومية'!E:E, "مبيعات اجل")</f>
        <v>0</v>
      </c>
      <c r="C868" s="10">
        <f>SUMIFS('دفتر اليومية'!L:L, 'دفتر اليومية'!H:H, A868, 'دفتر اليومية'!E:E, "مبيعات اجل")</f>
        <v>0</v>
      </c>
      <c r="D868" s="108">
        <f t="shared" si="13"/>
        <v>0</v>
      </c>
    </row>
    <row r="869" spans="1:4" x14ac:dyDescent="0.3">
      <c r="A869" s="10"/>
      <c r="B869" s="10">
        <f>SUMIFS('دفتر اليومية'!K:K, 'دفتر اليومية'!H:H, A869, 'دفتر اليومية'!E:E, "مبيعات اجل")</f>
        <v>0</v>
      </c>
      <c r="C869" s="10">
        <f>SUMIFS('دفتر اليومية'!L:L, 'دفتر اليومية'!H:H, A869, 'دفتر اليومية'!E:E, "مبيعات اجل")</f>
        <v>0</v>
      </c>
      <c r="D869" s="108">
        <f t="shared" si="13"/>
        <v>0</v>
      </c>
    </row>
    <row r="870" spans="1:4" x14ac:dyDescent="0.3">
      <c r="A870" s="10"/>
      <c r="B870" s="10">
        <f>SUMIFS('دفتر اليومية'!K:K, 'دفتر اليومية'!H:H, A870, 'دفتر اليومية'!E:E, "مبيعات اجل")</f>
        <v>0</v>
      </c>
      <c r="C870" s="10">
        <f>SUMIFS('دفتر اليومية'!L:L, 'دفتر اليومية'!H:H, A870, 'دفتر اليومية'!E:E, "مبيعات اجل")</f>
        <v>0</v>
      </c>
      <c r="D870" s="108">
        <f t="shared" si="13"/>
        <v>0</v>
      </c>
    </row>
    <row r="871" spans="1:4" x14ac:dyDescent="0.3">
      <c r="A871" s="10"/>
      <c r="B871" s="10">
        <f>SUMIFS('دفتر اليومية'!K:K, 'دفتر اليومية'!H:H, A871, 'دفتر اليومية'!E:E, "مبيعات اجل")</f>
        <v>0</v>
      </c>
      <c r="C871" s="10">
        <f>SUMIFS('دفتر اليومية'!L:L, 'دفتر اليومية'!H:H, A871, 'دفتر اليومية'!E:E, "مبيعات اجل")</f>
        <v>0</v>
      </c>
      <c r="D871" s="108">
        <f t="shared" si="13"/>
        <v>0</v>
      </c>
    </row>
    <row r="872" spans="1:4" x14ac:dyDescent="0.3">
      <c r="A872" s="10"/>
      <c r="B872" s="10">
        <f>SUMIFS('دفتر اليومية'!K:K, 'دفتر اليومية'!H:H, A872, 'دفتر اليومية'!E:E, "مبيعات اجل")</f>
        <v>0</v>
      </c>
      <c r="C872" s="10">
        <f>SUMIFS('دفتر اليومية'!L:L, 'دفتر اليومية'!H:H, A872, 'دفتر اليومية'!E:E, "مبيعات اجل")</f>
        <v>0</v>
      </c>
      <c r="D872" s="108">
        <f t="shared" si="13"/>
        <v>0</v>
      </c>
    </row>
    <row r="873" spans="1:4" x14ac:dyDescent="0.3">
      <c r="A873" s="10"/>
      <c r="B873" s="10">
        <f>SUMIFS('دفتر اليومية'!K:K, 'دفتر اليومية'!H:H, A873, 'دفتر اليومية'!E:E, "مبيعات اجل")</f>
        <v>0</v>
      </c>
      <c r="C873" s="10">
        <f>SUMIFS('دفتر اليومية'!L:L, 'دفتر اليومية'!H:H, A873, 'دفتر اليومية'!E:E, "مبيعات اجل")</f>
        <v>0</v>
      </c>
      <c r="D873" s="108">
        <f t="shared" si="13"/>
        <v>0</v>
      </c>
    </row>
    <row r="874" spans="1:4" x14ac:dyDescent="0.3">
      <c r="A874" s="10"/>
      <c r="B874" s="10">
        <f>SUMIFS('دفتر اليومية'!K:K, 'دفتر اليومية'!H:H, A874, 'دفتر اليومية'!E:E, "مبيعات اجل")</f>
        <v>0</v>
      </c>
      <c r="C874" s="10">
        <f>SUMIFS('دفتر اليومية'!L:L, 'دفتر اليومية'!H:H, A874, 'دفتر اليومية'!E:E, "مبيعات اجل")</f>
        <v>0</v>
      </c>
      <c r="D874" s="108">
        <f t="shared" si="13"/>
        <v>0</v>
      </c>
    </row>
    <row r="875" spans="1:4" x14ac:dyDescent="0.3">
      <c r="A875" s="10"/>
      <c r="B875" s="10">
        <f>SUMIFS('دفتر اليومية'!K:K, 'دفتر اليومية'!H:H, A875, 'دفتر اليومية'!E:E, "مبيعات اجل")</f>
        <v>0</v>
      </c>
      <c r="C875" s="10">
        <f>SUMIFS('دفتر اليومية'!L:L, 'دفتر اليومية'!H:H, A875, 'دفتر اليومية'!E:E, "مبيعات اجل")</f>
        <v>0</v>
      </c>
      <c r="D875" s="108">
        <f t="shared" si="13"/>
        <v>0</v>
      </c>
    </row>
    <row r="876" spans="1:4" x14ac:dyDescent="0.3">
      <c r="A876" s="10"/>
      <c r="B876" s="10">
        <f>SUMIFS('دفتر اليومية'!K:K, 'دفتر اليومية'!H:H, A876, 'دفتر اليومية'!E:E, "مبيعات اجل")</f>
        <v>0</v>
      </c>
      <c r="C876" s="10">
        <f>SUMIFS('دفتر اليومية'!L:L, 'دفتر اليومية'!H:H, A876, 'دفتر اليومية'!E:E, "مبيعات اجل")</f>
        <v>0</v>
      </c>
      <c r="D876" s="108">
        <f t="shared" si="13"/>
        <v>0</v>
      </c>
    </row>
    <row r="877" spans="1:4" x14ac:dyDescent="0.3">
      <c r="A877" s="10"/>
      <c r="B877" s="10">
        <f>SUMIFS('دفتر اليومية'!K:K, 'دفتر اليومية'!H:H, A877, 'دفتر اليومية'!E:E, "مبيعات اجل")</f>
        <v>0</v>
      </c>
      <c r="C877" s="10">
        <f>SUMIFS('دفتر اليومية'!L:L, 'دفتر اليومية'!H:H, A877, 'دفتر اليومية'!E:E, "مبيعات اجل")</f>
        <v>0</v>
      </c>
      <c r="D877" s="108">
        <f t="shared" si="13"/>
        <v>0</v>
      </c>
    </row>
    <row r="878" spans="1:4" x14ac:dyDescent="0.3">
      <c r="A878" s="10"/>
      <c r="B878" s="10">
        <f>SUMIFS('دفتر اليومية'!K:K, 'دفتر اليومية'!H:H, A878, 'دفتر اليومية'!E:E, "مبيعات اجل")</f>
        <v>0</v>
      </c>
      <c r="C878" s="10">
        <f>SUMIFS('دفتر اليومية'!L:L, 'دفتر اليومية'!H:H, A878, 'دفتر اليومية'!E:E, "مبيعات اجل")</f>
        <v>0</v>
      </c>
      <c r="D878" s="108">
        <f t="shared" si="13"/>
        <v>0</v>
      </c>
    </row>
    <row r="879" spans="1:4" x14ac:dyDescent="0.3">
      <c r="A879" s="10"/>
      <c r="B879" s="10">
        <f>SUMIFS('دفتر اليومية'!K:K, 'دفتر اليومية'!H:H, A879, 'دفتر اليومية'!E:E, "مبيعات اجل")</f>
        <v>0</v>
      </c>
      <c r="C879" s="10">
        <f>SUMIFS('دفتر اليومية'!L:L, 'دفتر اليومية'!H:H, A879, 'دفتر اليومية'!E:E, "مبيعات اجل")</f>
        <v>0</v>
      </c>
      <c r="D879" s="108">
        <f t="shared" si="13"/>
        <v>0</v>
      </c>
    </row>
    <row r="880" spans="1:4" x14ac:dyDescent="0.3">
      <c r="A880" s="10"/>
      <c r="B880" s="10">
        <f>SUMIFS('دفتر اليومية'!K:K, 'دفتر اليومية'!H:H, A880, 'دفتر اليومية'!E:E, "مبيعات اجل")</f>
        <v>0</v>
      </c>
      <c r="C880" s="10">
        <f>SUMIFS('دفتر اليومية'!L:L, 'دفتر اليومية'!H:H, A880, 'دفتر اليومية'!E:E, "مبيعات اجل")</f>
        <v>0</v>
      </c>
      <c r="D880" s="108">
        <f t="shared" si="13"/>
        <v>0</v>
      </c>
    </row>
    <row r="881" spans="1:4" x14ac:dyDescent="0.3">
      <c r="A881" s="10"/>
      <c r="B881" s="10">
        <f>SUMIFS('دفتر اليومية'!K:K, 'دفتر اليومية'!H:H, A881, 'دفتر اليومية'!E:E, "مبيعات اجل")</f>
        <v>0</v>
      </c>
      <c r="C881" s="10">
        <f>SUMIFS('دفتر اليومية'!L:L, 'دفتر اليومية'!H:H, A881, 'دفتر اليومية'!E:E, "مبيعات اجل")</f>
        <v>0</v>
      </c>
      <c r="D881" s="108">
        <f t="shared" si="13"/>
        <v>0</v>
      </c>
    </row>
    <row r="882" spans="1:4" x14ac:dyDescent="0.3">
      <c r="A882" s="10"/>
      <c r="B882" s="10">
        <f>SUMIFS('دفتر اليومية'!K:K, 'دفتر اليومية'!H:H, A882, 'دفتر اليومية'!E:E, "مبيعات اجل")</f>
        <v>0</v>
      </c>
      <c r="C882" s="10">
        <f>SUMIFS('دفتر اليومية'!L:L, 'دفتر اليومية'!H:H, A882, 'دفتر اليومية'!E:E, "مبيعات اجل")</f>
        <v>0</v>
      </c>
      <c r="D882" s="108">
        <f t="shared" si="13"/>
        <v>0</v>
      </c>
    </row>
    <row r="883" spans="1:4" x14ac:dyDescent="0.3">
      <c r="A883" s="10"/>
      <c r="B883" s="10">
        <f>SUMIFS('دفتر اليومية'!K:K, 'دفتر اليومية'!H:H, A883, 'دفتر اليومية'!E:E, "مبيعات اجل")</f>
        <v>0</v>
      </c>
      <c r="C883" s="10">
        <f>SUMIFS('دفتر اليومية'!L:L, 'دفتر اليومية'!H:H, A883, 'دفتر اليومية'!E:E, "مبيعات اجل")</f>
        <v>0</v>
      </c>
      <c r="D883" s="108">
        <f t="shared" si="13"/>
        <v>0</v>
      </c>
    </row>
    <row r="884" spans="1:4" x14ac:dyDescent="0.3">
      <c r="A884" s="10"/>
      <c r="B884" s="10">
        <f>SUMIFS('دفتر اليومية'!K:K, 'دفتر اليومية'!H:H, A884, 'دفتر اليومية'!E:E, "مبيعات اجل")</f>
        <v>0</v>
      </c>
      <c r="C884" s="10">
        <f>SUMIFS('دفتر اليومية'!L:L, 'دفتر اليومية'!H:H, A884, 'دفتر اليومية'!E:E, "مبيعات اجل")</f>
        <v>0</v>
      </c>
      <c r="D884" s="108">
        <f t="shared" si="13"/>
        <v>0</v>
      </c>
    </row>
    <row r="885" spans="1:4" x14ac:dyDescent="0.3">
      <c r="A885" s="10"/>
      <c r="B885" s="10">
        <f>SUMIFS('دفتر اليومية'!K:K, 'دفتر اليومية'!H:H, A885, 'دفتر اليومية'!E:E, "مبيعات اجل")</f>
        <v>0</v>
      </c>
      <c r="C885" s="10">
        <f>SUMIFS('دفتر اليومية'!L:L, 'دفتر اليومية'!H:H, A885, 'دفتر اليومية'!E:E, "مبيعات اجل")</f>
        <v>0</v>
      </c>
      <c r="D885" s="108">
        <f t="shared" si="13"/>
        <v>0</v>
      </c>
    </row>
    <row r="886" spans="1:4" x14ac:dyDescent="0.3">
      <c r="A886" s="10"/>
      <c r="B886" s="10">
        <f>SUMIFS('دفتر اليومية'!K:K, 'دفتر اليومية'!H:H, A886, 'دفتر اليومية'!E:E, "مبيعات اجل")</f>
        <v>0</v>
      </c>
      <c r="C886" s="10">
        <f>SUMIFS('دفتر اليومية'!L:L, 'دفتر اليومية'!H:H, A886, 'دفتر اليومية'!E:E, "مبيعات اجل")</f>
        <v>0</v>
      </c>
      <c r="D886" s="108">
        <f t="shared" si="13"/>
        <v>0</v>
      </c>
    </row>
    <row r="887" spans="1:4" x14ac:dyDescent="0.3">
      <c r="A887" s="10"/>
      <c r="B887" s="10">
        <f>SUMIFS('دفتر اليومية'!K:K, 'دفتر اليومية'!H:H, A887, 'دفتر اليومية'!E:E, "مبيعات اجل")</f>
        <v>0</v>
      </c>
      <c r="C887" s="10">
        <f>SUMIFS('دفتر اليومية'!L:L, 'دفتر اليومية'!H:H, A887, 'دفتر اليومية'!E:E, "مبيعات اجل")</f>
        <v>0</v>
      </c>
      <c r="D887" s="108">
        <f t="shared" si="13"/>
        <v>0</v>
      </c>
    </row>
    <row r="888" spans="1:4" x14ac:dyDescent="0.3">
      <c r="A888" s="10"/>
      <c r="B888" s="10">
        <f>SUMIFS('دفتر اليومية'!K:K, 'دفتر اليومية'!H:H, A888, 'دفتر اليومية'!E:E, "مبيعات اجل")</f>
        <v>0</v>
      </c>
      <c r="C888" s="10">
        <f>SUMIFS('دفتر اليومية'!L:L, 'دفتر اليومية'!H:H, A888, 'دفتر اليومية'!E:E, "مبيعات اجل")</f>
        <v>0</v>
      </c>
      <c r="D888" s="108">
        <f t="shared" si="13"/>
        <v>0</v>
      </c>
    </row>
    <row r="889" spans="1:4" x14ac:dyDescent="0.3">
      <c r="A889" s="10"/>
      <c r="B889" s="10">
        <f>SUMIFS('دفتر اليومية'!K:K, 'دفتر اليومية'!H:H, A889, 'دفتر اليومية'!E:E, "مبيعات اجل")</f>
        <v>0</v>
      </c>
      <c r="C889" s="10">
        <f>SUMIFS('دفتر اليومية'!L:L, 'دفتر اليومية'!H:H, A889, 'دفتر اليومية'!E:E, "مبيعات اجل")</f>
        <v>0</v>
      </c>
      <c r="D889" s="108">
        <f t="shared" si="13"/>
        <v>0</v>
      </c>
    </row>
    <row r="890" spans="1:4" x14ac:dyDescent="0.3">
      <c r="A890" s="10"/>
      <c r="B890" s="10">
        <f>SUMIFS('دفتر اليومية'!K:K, 'دفتر اليومية'!H:H, A890, 'دفتر اليومية'!E:E, "مبيعات اجل")</f>
        <v>0</v>
      </c>
      <c r="C890" s="10">
        <f>SUMIFS('دفتر اليومية'!L:L, 'دفتر اليومية'!H:H, A890, 'دفتر اليومية'!E:E, "مبيعات اجل")</f>
        <v>0</v>
      </c>
      <c r="D890" s="108">
        <f t="shared" si="13"/>
        <v>0</v>
      </c>
    </row>
    <row r="891" spans="1:4" x14ac:dyDescent="0.3">
      <c r="A891" s="10"/>
      <c r="B891" s="10">
        <f>SUMIFS('دفتر اليومية'!K:K, 'دفتر اليومية'!H:H, A891, 'دفتر اليومية'!E:E, "مبيعات اجل")</f>
        <v>0</v>
      </c>
      <c r="C891" s="10">
        <f>SUMIFS('دفتر اليومية'!L:L, 'دفتر اليومية'!H:H, A891, 'دفتر اليومية'!E:E, "مبيعات اجل")</f>
        <v>0</v>
      </c>
      <c r="D891" s="108">
        <f t="shared" si="13"/>
        <v>0</v>
      </c>
    </row>
    <row r="892" spans="1:4" x14ac:dyDescent="0.3">
      <c r="A892" s="10"/>
      <c r="B892" s="10">
        <f>SUMIFS('دفتر اليومية'!K:K, 'دفتر اليومية'!H:H, A892, 'دفتر اليومية'!E:E, "مبيعات اجل")</f>
        <v>0</v>
      </c>
      <c r="C892" s="10">
        <f>SUMIFS('دفتر اليومية'!L:L, 'دفتر اليومية'!H:H, A892, 'دفتر اليومية'!E:E, "مبيعات اجل")</f>
        <v>0</v>
      </c>
      <c r="D892" s="108">
        <f t="shared" si="13"/>
        <v>0</v>
      </c>
    </row>
    <row r="893" spans="1:4" x14ac:dyDescent="0.3">
      <c r="A893" s="10"/>
      <c r="B893" s="10">
        <f>SUMIFS('دفتر اليومية'!K:K, 'دفتر اليومية'!H:H, A893, 'دفتر اليومية'!E:E, "مبيعات اجل")</f>
        <v>0</v>
      </c>
      <c r="C893" s="10">
        <f>SUMIFS('دفتر اليومية'!L:L, 'دفتر اليومية'!H:H, A893, 'دفتر اليومية'!E:E, "مبيعات اجل")</f>
        <v>0</v>
      </c>
      <c r="D893" s="108">
        <f t="shared" si="13"/>
        <v>0</v>
      </c>
    </row>
    <row r="894" spans="1:4" x14ac:dyDescent="0.3">
      <c r="A894" s="10"/>
      <c r="B894" s="10">
        <f>SUMIFS('دفتر اليومية'!K:K, 'دفتر اليومية'!H:H, A894, 'دفتر اليومية'!E:E, "مبيعات اجل")</f>
        <v>0</v>
      </c>
      <c r="C894" s="10">
        <f>SUMIFS('دفتر اليومية'!L:L, 'دفتر اليومية'!H:H, A894, 'دفتر اليومية'!E:E, "مبيعات اجل")</f>
        <v>0</v>
      </c>
      <c r="D894" s="108">
        <f t="shared" si="13"/>
        <v>0</v>
      </c>
    </row>
    <row r="895" spans="1:4" x14ac:dyDescent="0.3">
      <c r="A895" s="10"/>
      <c r="B895" s="10">
        <f>SUMIFS('دفتر اليومية'!K:K, 'دفتر اليومية'!H:H, A895, 'دفتر اليومية'!E:E, "مبيعات اجل")</f>
        <v>0</v>
      </c>
      <c r="C895" s="10">
        <f>SUMIFS('دفتر اليومية'!L:L, 'دفتر اليومية'!H:H, A895, 'دفتر اليومية'!E:E, "مبيعات اجل")</f>
        <v>0</v>
      </c>
      <c r="D895" s="108">
        <f t="shared" si="13"/>
        <v>0</v>
      </c>
    </row>
    <row r="896" spans="1:4" x14ac:dyDescent="0.3">
      <c r="A896" s="10"/>
      <c r="B896" s="10">
        <f>SUMIFS('دفتر اليومية'!K:K, 'دفتر اليومية'!H:H, A896, 'دفتر اليومية'!E:E, "مبيعات اجل")</f>
        <v>0</v>
      </c>
      <c r="C896" s="10">
        <f>SUMIFS('دفتر اليومية'!L:L, 'دفتر اليومية'!H:H, A896, 'دفتر اليومية'!E:E, "مبيعات اجل")</f>
        <v>0</v>
      </c>
      <c r="D896" s="108">
        <f t="shared" si="13"/>
        <v>0</v>
      </c>
    </row>
    <row r="897" spans="1:4" x14ac:dyDescent="0.3">
      <c r="A897" s="10"/>
      <c r="B897" s="10">
        <f>SUMIFS('دفتر اليومية'!K:K, 'دفتر اليومية'!H:H, A897, 'دفتر اليومية'!E:E, "مبيعات اجل")</f>
        <v>0</v>
      </c>
      <c r="C897" s="10">
        <f>SUMIFS('دفتر اليومية'!L:L, 'دفتر اليومية'!H:H, A897, 'دفتر اليومية'!E:E, "مبيعات اجل")</f>
        <v>0</v>
      </c>
      <c r="D897" s="108">
        <f t="shared" si="13"/>
        <v>0</v>
      </c>
    </row>
    <row r="898" spans="1:4" x14ac:dyDescent="0.3">
      <c r="A898" s="10"/>
      <c r="B898" s="10">
        <f>SUMIFS('دفتر اليومية'!K:K, 'دفتر اليومية'!H:H, A898, 'دفتر اليومية'!E:E, "مبيعات اجل")</f>
        <v>0</v>
      </c>
      <c r="C898" s="10">
        <f>SUMIFS('دفتر اليومية'!L:L, 'دفتر اليومية'!H:H, A898, 'دفتر اليومية'!E:E, "مبيعات اجل")</f>
        <v>0</v>
      </c>
      <c r="D898" s="108">
        <f t="shared" si="13"/>
        <v>0</v>
      </c>
    </row>
    <row r="899" spans="1:4" x14ac:dyDescent="0.3">
      <c r="A899" s="10"/>
      <c r="B899" s="10">
        <f>SUMIFS('دفتر اليومية'!K:K, 'دفتر اليومية'!H:H, A899, 'دفتر اليومية'!E:E, "مبيعات اجل")</f>
        <v>0</v>
      </c>
      <c r="C899" s="10">
        <f>SUMIFS('دفتر اليومية'!L:L, 'دفتر اليومية'!H:H, A899, 'دفتر اليومية'!E:E, "مبيعات اجل")</f>
        <v>0</v>
      </c>
      <c r="D899" s="108">
        <f t="shared" ref="D899:D962" si="14">B899-C899</f>
        <v>0</v>
      </c>
    </row>
    <row r="900" spans="1:4" x14ac:dyDescent="0.3">
      <c r="A900" s="10"/>
      <c r="B900" s="10">
        <f>SUMIFS('دفتر اليومية'!K:K, 'دفتر اليومية'!H:H, A900, 'دفتر اليومية'!E:E, "مبيعات اجل")</f>
        <v>0</v>
      </c>
      <c r="C900" s="10">
        <f>SUMIFS('دفتر اليومية'!L:L, 'دفتر اليومية'!H:H, A900, 'دفتر اليومية'!E:E, "مبيعات اجل")</f>
        <v>0</v>
      </c>
      <c r="D900" s="108">
        <f t="shared" si="14"/>
        <v>0</v>
      </c>
    </row>
    <row r="901" spans="1:4" x14ac:dyDescent="0.3">
      <c r="A901" s="10"/>
      <c r="B901" s="10">
        <f>SUMIFS('دفتر اليومية'!K:K, 'دفتر اليومية'!H:H, A901, 'دفتر اليومية'!E:E, "مبيعات اجل")</f>
        <v>0</v>
      </c>
      <c r="C901" s="10">
        <f>SUMIFS('دفتر اليومية'!L:L, 'دفتر اليومية'!H:H, A901, 'دفتر اليومية'!E:E, "مبيعات اجل")</f>
        <v>0</v>
      </c>
      <c r="D901" s="108">
        <f t="shared" si="14"/>
        <v>0</v>
      </c>
    </row>
    <row r="902" spans="1:4" x14ac:dyDescent="0.3">
      <c r="A902" s="10"/>
      <c r="B902" s="10">
        <f>SUMIFS('دفتر اليومية'!K:K, 'دفتر اليومية'!H:H, A902, 'دفتر اليومية'!E:E, "مبيعات اجل")</f>
        <v>0</v>
      </c>
      <c r="C902" s="10">
        <f>SUMIFS('دفتر اليومية'!L:L, 'دفتر اليومية'!H:H, A902, 'دفتر اليومية'!E:E, "مبيعات اجل")</f>
        <v>0</v>
      </c>
      <c r="D902" s="108">
        <f t="shared" si="14"/>
        <v>0</v>
      </c>
    </row>
    <row r="903" spans="1:4" x14ac:dyDescent="0.3">
      <c r="A903" s="10"/>
      <c r="B903" s="10">
        <f>SUMIFS('دفتر اليومية'!K:K, 'دفتر اليومية'!H:H, A903, 'دفتر اليومية'!E:E, "مبيعات اجل")</f>
        <v>0</v>
      </c>
      <c r="C903" s="10">
        <f>SUMIFS('دفتر اليومية'!L:L, 'دفتر اليومية'!H:H, A903, 'دفتر اليومية'!E:E, "مبيعات اجل")</f>
        <v>0</v>
      </c>
      <c r="D903" s="108">
        <f t="shared" si="14"/>
        <v>0</v>
      </c>
    </row>
    <row r="904" spans="1:4" x14ac:dyDescent="0.3">
      <c r="A904" s="10"/>
      <c r="B904" s="10">
        <f>SUMIFS('دفتر اليومية'!K:K, 'دفتر اليومية'!H:H, A904, 'دفتر اليومية'!E:E, "مبيعات اجل")</f>
        <v>0</v>
      </c>
      <c r="C904" s="10">
        <f>SUMIFS('دفتر اليومية'!L:L, 'دفتر اليومية'!H:H, A904, 'دفتر اليومية'!E:E, "مبيعات اجل")</f>
        <v>0</v>
      </c>
      <c r="D904" s="108">
        <f t="shared" si="14"/>
        <v>0</v>
      </c>
    </row>
    <row r="905" spans="1:4" x14ac:dyDescent="0.3">
      <c r="A905" s="10"/>
      <c r="B905" s="10">
        <f>SUMIFS('دفتر اليومية'!K:K, 'دفتر اليومية'!H:H, A905, 'دفتر اليومية'!E:E, "مبيعات اجل")</f>
        <v>0</v>
      </c>
      <c r="C905" s="10">
        <f>SUMIFS('دفتر اليومية'!L:L, 'دفتر اليومية'!H:H, A905, 'دفتر اليومية'!E:E, "مبيعات اجل")</f>
        <v>0</v>
      </c>
      <c r="D905" s="108">
        <f t="shared" si="14"/>
        <v>0</v>
      </c>
    </row>
    <row r="906" spans="1:4" x14ac:dyDescent="0.3">
      <c r="A906" s="10"/>
      <c r="B906" s="10">
        <f>SUMIFS('دفتر اليومية'!K:K, 'دفتر اليومية'!H:H, A906, 'دفتر اليومية'!E:E, "مبيعات اجل")</f>
        <v>0</v>
      </c>
      <c r="C906" s="10">
        <f>SUMIFS('دفتر اليومية'!L:L, 'دفتر اليومية'!H:H, A906, 'دفتر اليومية'!E:E, "مبيعات اجل")</f>
        <v>0</v>
      </c>
      <c r="D906" s="108">
        <f t="shared" si="14"/>
        <v>0</v>
      </c>
    </row>
    <row r="907" spans="1:4" x14ac:dyDescent="0.3">
      <c r="A907" s="10"/>
      <c r="B907" s="10">
        <f>SUMIFS('دفتر اليومية'!K:K, 'دفتر اليومية'!H:H, A907, 'دفتر اليومية'!E:E, "مبيعات اجل")</f>
        <v>0</v>
      </c>
      <c r="C907" s="10">
        <f>SUMIFS('دفتر اليومية'!L:L, 'دفتر اليومية'!H:H, A907, 'دفتر اليومية'!E:E, "مبيعات اجل")</f>
        <v>0</v>
      </c>
      <c r="D907" s="108">
        <f t="shared" si="14"/>
        <v>0</v>
      </c>
    </row>
    <row r="908" spans="1:4" x14ac:dyDescent="0.3">
      <c r="A908" s="10"/>
      <c r="B908" s="10">
        <f>SUMIFS('دفتر اليومية'!K:K, 'دفتر اليومية'!H:H, A908, 'دفتر اليومية'!E:E, "مبيعات اجل")</f>
        <v>0</v>
      </c>
      <c r="C908" s="10">
        <f>SUMIFS('دفتر اليومية'!L:L, 'دفتر اليومية'!H:H, A908, 'دفتر اليومية'!E:E, "مبيعات اجل")</f>
        <v>0</v>
      </c>
      <c r="D908" s="108">
        <f t="shared" si="14"/>
        <v>0</v>
      </c>
    </row>
    <row r="909" spans="1:4" x14ac:dyDescent="0.3">
      <c r="A909" s="10"/>
      <c r="B909" s="10">
        <f>SUMIFS('دفتر اليومية'!K:K, 'دفتر اليومية'!H:H, A909, 'دفتر اليومية'!E:E, "مبيعات اجل")</f>
        <v>0</v>
      </c>
      <c r="C909" s="10">
        <f>SUMIFS('دفتر اليومية'!L:L, 'دفتر اليومية'!H:H, A909, 'دفتر اليومية'!E:E, "مبيعات اجل")</f>
        <v>0</v>
      </c>
      <c r="D909" s="108">
        <f t="shared" si="14"/>
        <v>0</v>
      </c>
    </row>
    <row r="910" spans="1:4" x14ac:dyDescent="0.3">
      <c r="A910" s="10"/>
      <c r="B910" s="10">
        <f>SUMIFS('دفتر اليومية'!K:K, 'دفتر اليومية'!H:H, A910, 'دفتر اليومية'!E:E, "مبيعات اجل")</f>
        <v>0</v>
      </c>
      <c r="C910" s="10">
        <f>SUMIFS('دفتر اليومية'!L:L, 'دفتر اليومية'!H:H, A910, 'دفتر اليومية'!E:E, "مبيعات اجل")</f>
        <v>0</v>
      </c>
      <c r="D910" s="108">
        <f t="shared" si="14"/>
        <v>0</v>
      </c>
    </row>
    <row r="911" spans="1:4" x14ac:dyDescent="0.3">
      <c r="A911" s="10"/>
      <c r="B911" s="10">
        <f>SUMIFS('دفتر اليومية'!K:K, 'دفتر اليومية'!H:H, A911, 'دفتر اليومية'!E:E, "مبيعات اجل")</f>
        <v>0</v>
      </c>
      <c r="C911" s="10">
        <f>SUMIFS('دفتر اليومية'!L:L, 'دفتر اليومية'!H:H, A911, 'دفتر اليومية'!E:E, "مبيعات اجل")</f>
        <v>0</v>
      </c>
      <c r="D911" s="108">
        <f t="shared" si="14"/>
        <v>0</v>
      </c>
    </row>
    <row r="912" spans="1:4" x14ac:dyDescent="0.3">
      <c r="A912" s="10"/>
      <c r="B912" s="10">
        <f>SUMIFS('دفتر اليومية'!K:K, 'دفتر اليومية'!H:H, A912, 'دفتر اليومية'!E:E, "مبيعات اجل")</f>
        <v>0</v>
      </c>
      <c r="C912" s="10">
        <f>SUMIFS('دفتر اليومية'!L:L, 'دفتر اليومية'!H:H, A912, 'دفتر اليومية'!E:E, "مبيعات اجل")</f>
        <v>0</v>
      </c>
      <c r="D912" s="108">
        <f t="shared" si="14"/>
        <v>0</v>
      </c>
    </row>
    <row r="913" spans="1:4" x14ac:dyDescent="0.3">
      <c r="A913" s="10"/>
      <c r="B913" s="10">
        <f>SUMIFS('دفتر اليومية'!K:K, 'دفتر اليومية'!H:H, A913, 'دفتر اليومية'!E:E, "مبيعات اجل")</f>
        <v>0</v>
      </c>
      <c r="C913" s="10">
        <f>SUMIFS('دفتر اليومية'!L:L, 'دفتر اليومية'!H:H, A913, 'دفتر اليومية'!E:E, "مبيعات اجل")</f>
        <v>0</v>
      </c>
      <c r="D913" s="108">
        <f t="shared" si="14"/>
        <v>0</v>
      </c>
    </row>
    <row r="914" spans="1:4" x14ac:dyDescent="0.3">
      <c r="A914" s="10"/>
      <c r="B914" s="10">
        <f>SUMIFS('دفتر اليومية'!K:K, 'دفتر اليومية'!H:H, A914, 'دفتر اليومية'!E:E, "مبيعات اجل")</f>
        <v>0</v>
      </c>
      <c r="C914" s="10">
        <f>SUMIFS('دفتر اليومية'!L:L, 'دفتر اليومية'!H:H, A914, 'دفتر اليومية'!E:E, "مبيعات اجل")</f>
        <v>0</v>
      </c>
      <c r="D914" s="108">
        <f t="shared" si="14"/>
        <v>0</v>
      </c>
    </row>
    <row r="915" spans="1:4" x14ac:dyDescent="0.3">
      <c r="A915" s="10"/>
      <c r="B915" s="10">
        <f>SUMIFS('دفتر اليومية'!K:K, 'دفتر اليومية'!H:H, A915, 'دفتر اليومية'!E:E, "مبيعات اجل")</f>
        <v>0</v>
      </c>
      <c r="C915" s="10">
        <f>SUMIFS('دفتر اليومية'!L:L, 'دفتر اليومية'!H:H, A915, 'دفتر اليومية'!E:E, "مبيعات اجل")</f>
        <v>0</v>
      </c>
      <c r="D915" s="108">
        <f t="shared" si="14"/>
        <v>0</v>
      </c>
    </row>
    <row r="916" spans="1:4" x14ac:dyDescent="0.3">
      <c r="A916" s="10"/>
      <c r="B916" s="10">
        <f>SUMIFS('دفتر اليومية'!K:K, 'دفتر اليومية'!H:H, A916, 'دفتر اليومية'!E:E, "مبيعات اجل")</f>
        <v>0</v>
      </c>
      <c r="C916" s="10">
        <f>SUMIFS('دفتر اليومية'!L:L, 'دفتر اليومية'!H:H, A916, 'دفتر اليومية'!E:E, "مبيعات اجل")</f>
        <v>0</v>
      </c>
      <c r="D916" s="108">
        <f t="shared" si="14"/>
        <v>0</v>
      </c>
    </row>
    <row r="917" spans="1:4" x14ac:dyDescent="0.3">
      <c r="A917" s="10"/>
      <c r="B917" s="10">
        <f>SUMIFS('دفتر اليومية'!K:K, 'دفتر اليومية'!H:H, A917, 'دفتر اليومية'!E:E, "مبيعات اجل")</f>
        <v>0</v>
      </c>
      <c r="C917" s="10">
        <f>SUMIFS('دفتر اليومية'!L:L, 'دفتر اليومية'!H:H, A917, 'دفتر اليومية'!E:E, "مبيعات اجل")</f>
        <v>0</v>
      </c>
      <c r="D917" s="108">
        <f t="shared" si="14"/>
        <v>0</v>
      </c>
    </row>
    <row r="918" spans="1:4" x14ac:dyDescent="0.3">
      <c r="A918" s="10"/>
      <c r="B918" s="10">
        <f>SUMIFS('دفتر اليومية'!K:K, 'دفتر اليومية'!H:H, A918, 'دفتر اليومية'!E:E, "مبيعات اجل")</f>
        <v>0</v>
      </c>
      <c r="C918" s="10">
        <f>SUMIFS('دفتر اليومية'!L:L, 'دفتر اليومية'!H:H, A918, 'دفتر اليومية'!E:E, "مبيعات اجل")</f>
        <v>0</v>
      </c>
      <c r="D918" s="108">
        <f t="shared" si="14"/>
        <v>0</v>
      </c>
    </row>
    <row r="919" spans="1:4" x14ac:dyDescent="0.3">
      <c r="A919" s="10"/>
      <c r="B919" s="10">
        <f>SUMIFS('دفتر اليومية'!K:K, 'دفتر اليومية'!H:H, A919, 'دفتر اليومية'!E:E, "مبيعات اجل")</f>
        <v>0</v>
      </c>
      <c r="C919" s="10">
        <f>SUMIFS('دفتر اليومية'!L:L, 'دفتر اليومية'!H:H, A919, 'دفتر اليومية'!E:E, "مبيعات اجل")</f>
        <v>0</v>
      </c>
      <c r="D919" s="108">
        <f t="shared" si="14"/>
        <v>0</v>
      </c>
    </row>
    <row r="920" spans="1:4" x14ac:dyDescent="0.3">
      <c r="A920" s="10"/>
      <c r="B920" s="10">
        <f>SUMIFS('دفتر اليومية'!K:K, 'دفتر اليومية'!H:H, A920, 'دفتر اليومية'!E:E, "مبيعات اجل")</f>
        <v>0</v>
      </c>
      <c r="C920" s="10">
        <f>SUMIFS('دفتر اليومية'!L:L, 'دفتر اليومية'!H:H, A920, 'دفتر اليومية'!E:E, "مبيعات اجل")</f>
        <v>0</v>
      </c>
      <c r="D920" s="108">
        <f t="shared" si="14"/>
        <v>0</v>
      </c>
    </row>
    <row r="921" spans="1:4" x14ac:dyDescent="0.3">
      <c r="A921" s="10"/>
      <c r="B921" s="10">
        <f>SUMIFS('دفتر اليومية'!K:K, 'دفتر اليومية'!H:H, A921, 'دفتر اليومية'!E:E, "مبيعات اجل")</f>
        <v>0</v>
      </c>
      <c r="C921" s="10">
        <f>SUMIFS('دفتر اليومية'!L:L, 'دفتر اليومية'!H:H, A921, 'دفتر اليومية'!E:E, "مبيعات اجل")</f>
        <v>0</v>
      </c>
      <c r="D921" s="108">
        <f t="shared" si="14"/>
        <v>0</v>
      </c>
    </row>
    <row r="922" spans="1:4" x14ac:dyDescent="0.3">
      <c r="A922" s="10"/>
      <c r="B922" s="10">
        <f>SUMIFS('دفتر اليومية'!K:K, 'دفتر اليومية'!H:H, A922, 'دفتر اليومية'!E:E, "مبيعات اجل")</f>
        <v>0</v>
      </c>
      <c r="C922" s="10">
        <f>SUMIFS('دفتر اليومية'!L:L, 'دفتر اليومية'!H:H, A922, 'دفتر اليومية'!E:E, "مبيعات اجل")</f>
        <v>0</v>
      </c>
      <c r="D922" s="108">
        <f t="shared" si="14"/>
        <v>0</v>
      </c>
    </row>
    <row r="923" spans="1:4" x14ac:dyDescent="0.3">
      <c r="A923" s="10"/>
      <c r="B923" s="10">
        <f>SUMIFS('دفتر اليومية'!K:K, 'دفتر اليومية'!H:H, A923, 'دفتر اليومية'!E:E, "مبيعات اجل")</f>
        <v>0</v>
      </c>
      <c r="C923" s="10">
        <f>SUMIFS('دفتر اليومية'!L:L, 'دفتر اليومية'!H:H, A923, 'دفتر اليومية'!E:E, "مبيعات اجل")</f>
        <v>0</v>
      </c>
      <c r="D923" s="108">
        <f t="shared" si="14"/>
        <v>0</v>
      </c>
    </row>
    <row r="924" spans="1:4" x14ac:dyDescent="0.3">
      <c r="A924" s="10"/>
      <c r="B924" s="10">
        <f>SUMIFS('دفتر اليومية'!K:K, 'دفتر اليومية'!H:H, A924, 'دفتر اليومية'!E:E, "مبيعات اجل")</f>
        <v>0</v>
      </c>
      <c r="C924" s="10">
        <f>SUMIFS('دفتر اليومية'!L:L, 'دفتر اليومية'!H:H, A924, 'دفتر اليومية'!E:E, "مبيعات اجل")</f>
        <v>0</v>
      </c>
      <c r="D924" s="108">
        <f t="shared" si="14"/>
        <v>0</v>
      </c>
    </row>
    <row r="925" spans="1:4" x14ac:dyDescent="0.3">
      <c r="A925" s="10"/>
      <c r="B925" s="10">
        <f>SUMIFS('دفتر اليومية'!K:K, 'دفتر اليومية'!H:H, A925, 'دفتر اليومية'!E:E, "مبيعات اجل")</f>
        <v>0</v>
      </c>
      <c r="C925" s="10">
        <f>SUMIFS('دفتر اليومية'!L:L, 'دفتر اليومية'!H:H, A925, 'دفتر اليومية'!E:E, "مبيعات اجل")</f>
        <v>0</v>
      </c>
      <c r="D925" s="108">
        <f t="shared" si="14"/>
        <v>0</v>
      </c>
    </row>
    <row r="926" spans="1:4" x14ac:dyDescent="0.3">
      <c r="A926" s="10"/>
      <c r="B926" s="10">
        <f>SUMIFS('دفتر اليومية'!K:K, 'دفتر اليومية'!H:H, A926, 'دفتر اليومية'!E:E, "مبيعات اجل")</f>
        <v>0</v>
      </c>
      <c r="C926" s="10">
        <f>SUMIFS('دفتر اليومية'!L:L, 'دفتر اليومية'!H:H, A926, 'دفتر اليومية'!E:E, "مبيعات اجل")</f>
        <v>0</v>
      </c>
      <c r="D926" s="108">
        <f t="shared" si="14"/>
        <v>0</v>
      </c>
    </row>
    <row r="927" spans="1:4" x14ac:dyDescent="0.3">
      <c r="A927" s="10"/>
      <c r="B927" s="10">
        <f>SUMIFS('دفتر اليومية'!K:K, 'دفتر اليومية'!H:H, A927, 'دفتر اليومية'!E:E, "مبيعات اجل")</f>
        <v>0</v>
      </c>
      <c r="C927" s="10">
        <f>SUMIFS('دفتر اليومية'!L:L, 'دفتر اليومية'!H:H, A927, 'دفتر اليومية'!E:E, "مبيعات اجل")</f>
        <v>0</v>
      </c>
      <c r="D927" s="108">
        <f t="shared" si="14"/>
        <v>0</v>
      </c>
    </row>
    <row r="928" spans="1:4" x14ac:dyDescent="0.3">
      <c r="A928" s="10"/>
      <c r="B928" s="10">
        <f>SUMIFS('دفتر اليومية'!K:K, 'دفتر اليومية'!H:H, A928, 'دفتر اليومية'!E:E, "مبيعات اجل")</f>
        <v>0</v>
      </c>
      <c r="C928" s="10">
        <f>SUMIFS('دفتر اليومية'!L:L, 'دفتر اليومية'!H:H, A928, 'دفتر اليومية'!E:E, "مبيعات اجل")</f>
        <v>0</v>
      </c>
      <c r="D928" s="108">
        <f t="shared" si="14"/>
        <v>0</v>
      </c>
    </row>
    <row r="929" spans="1:4" x14ac:dyDescent="0.3">
      <c r="A929" s="10"/>
      <c r="B929" s="10">
        <f>SUMIFS('دفتر اليومية'!K:K, 'دفتر اليومية'!H:H, A929, 'دفتر اليومية'!E:E, "مبيعات اجل")</f>
        <v>0</v>
      </c>
      <c r="C929" s="10">
        <f>SUMIFS('دفتر اليومية'!L:L, 'دفتر اليومية'!H:H, A929, 'دفتر اليومية'!E:E, "مبيعات اجل")</f>
        <v>0</v>
      </c>
      <c r="D929" s="108">
        <f t="shared" si="14"/>
        <v>0</v>
      </c>
    </row>
    <row r="930" spans="1:4" x14ac:dyDescent="0.3">
      <c r="A930" s="10"/>
      <c r="B930" s="10">
        <f>SUMIFS('دفتر اليومية'!K:K, 'دفتر اليومية'!H:H, A930, 'دفتر اليومية'!E:E, "مبيعات اجل")</f>
        <v>0</v>
      </c>
      <c r="C930" s="10">
        <f>SUMIFS('دفتر اليومية'!L:L, 'دفتر اليومية'!H:H, A930, 'دفتر اليومية'!E:E, "مبيعات اجل")</f>
        <v>0</v>
      </c>
      <c r="D930" s="108">
        <f t="shared" si="14"/>
        <v>0</v>
      </c>
    </row>
    <row r="931" spans="1:4" x14ac:dyDescent="0.3">
      <c r="A931" s="10"/>
      <c r="B931" s="10">
        <f>SUMIFS('دفتر اليومية'!K:K, 'دفتر اليومية'!H:H, A931, 'دفتر اليومية'!E:E, "مبيعات اجل")</f>
        <v>0</v>
      </c>
      <c r="C931" s="10">
        <f>SUMIFS('دفتر اليومية'!L:L, 'دفتر اليومية'!H:H, A931, 'دفتر اليومية'!E:E, "مبيعات اجل")</f>
        <v>0</v>
      </c>
      <c r="D931" s="108">
        <f t="shared" si="14"/>
        <v>0</v>
      </c>
    </row>
    <row r="932" spans="1:4" x14ac:dyDescent="0.3">
      <c r="A932" s="10"/>
      <c r="B932" s="10">
        <f>SUMIFS('دفتر اليومية'!K:K, 'دفتر اليومية'!H:H, A932, 'دفتر اليومية'!E:E, "مبيعات اجل")</f>
        <v>0</v>
      </c>
      <c r="C932" s="10">
        <f>SUMIFS('دفتر اليومية'!L:L, 'دفتر اليومية'!H:H, A932, 'دفتر اليومية'!E:E, "مبيعات اجل")</f>
        <v>0</v>
      </c>
      <c r="D932" s="108">
        <f t="shared" si="14"/>
        <v>0</v>
      </c>
    </row>
    <row r="933" spans="1:4" x14ac:dyDescent="0.3">
      <c r="A933" s="10"/>
      <c r="B933" s="10">
        <f>SUMIFS('دفتر اليومية'!K:K, 'دفتر اليومية'!H:H, A933, 'دفتر اليومية'!E:E, "مبيعات اجل")</f>
        <v>0</v>
      </c>
      <c r="C933" s="10">
        <f>SUMIFS('دفتر اليومية'!L:L, 'دفتر اليومية'!H:H, A933, 'دفتر اليومية'!E:E, "مبيعات اجل")</f>
        <v>0</v>
      </c>
      <c r="D933" s="108">
        <f t="shared" si="14"/>
        <v>0</v>
      </c>
    </row>
    <row r="934" spans="1:4" x14ac:dyDescent="0.3">
      <c r="A934" s="10"/>
      <c r="B934" s="10">
        <f>SUMIFS('دفتر اليومية'!K:K, 'دفتر اليومية'!H:H, A934, 'دفتر اليومية'!E:E, "مبيعات اجل")</f>
        <v>0</v>
      </c>
      <c r="C934" s="10">
        <f>SUMIFS('دفتر اليومية'!L:L, 'دفتر اليومية'!H:H, A934, 'دفتر اليومية'!E:E, "مبيعات اجل")</f>
        <v>0</v>
      </c>
      <c r="D934" s="108">
        <f t="shared" si="14"/>
        <v>0</v>
      </c>
    </row>
    <row r="935" spans="1:4" x14ac:dyDescent="0.3">
      <c r="A935" s="10"/>
      <c r="B935" s="10">
        <f>SUMIFS('دفتر اليومية'!K:K, 'دفتر اليومية'!H:H, A935, 'دفتر اليومية'!E:E, "مبيعات اجل")</f>
        <v>0</v>
      </c>
      <c r="C935" s="10">
        <f>SUMIFS('دفتر اليومية'!L:L, 'دفتر اليومية'!H:H, A935, 'دفتر اليومية'!E:E, "مبيعات اجل")</f>
        <v>0</v>
      </c>
      <c r="D935" s="108">
        <f t="shared" si="14"/>
        <v>0</v>
      </c>
    </row>
    <row r="936" spans="1:4" x14ac:dyDescent="0.3">
      <c r="A936" s="10"/>
      <c r="B936" s="10">
        <f>SUMIFS('دفتر اليومية'!K:K, 'دفتر اليومية'!H:H, A936, 'دفتر اليومية'!E:E, "مبيعات اجل")</f>
        <v>0</v>
      </c>
      <c r="C936" s="10">
        <f>SUMIFS('دفتر اليومية'!L:L, 'دفتر اليومية'!H:H, A936, 'دفتر اليومية'!E:E, "مبيعات اجل")</f>
        <v>0</v>
      </c>
      <c r="D936" s="108">
        <f t="shared" si="14"/>
        <v>0</v>
      </c>
    </row>
    <row r="937" spans="1:4" x14ac:dyDescent="0.3">
      <c r="A937" s="10"/>
      <c r="B937" s="10">
        <f>SUMIFS('دفتر اليومية'!K:K, 'دفتر اليومية'!H:H, A937, 'دفتر اليومية'!E:E, "مبيعات اجل")</f>
        <v>0</v>
      </c>
      <c r="C937" s="10">
        <f>SUMIFS('دفتر اليومية'!L:L, 'دفتر اليومية'!H:H, A937, 'دفتر اليومية'!E:E, "مبيعات اجل")</f>
        <v>0</v>
      </c>
      <c r="D937" s="108">
        <f t="shared" si="14"/>
        <v>0</v>
      </c>
    </row>
    <row r="938" spans="1:4" x14ac:dyDescent="0.3">
      <c r="A938" s="10"/>
      <c r="B938" s="10">
        <f>SUMIFS('دفتر اليومية'!K:K, 'دفتر اليومية'!H:H, A938, 'دفتر اليومية'!E:E, "مبيعات اجل")</f>
        <v>0</v>
      </c>
      <c r="C938" s="10">
        <f>SUMIFS('دفتر اليومية'!L:L, 'دفتر اليومية'!H:H, A938, 'دفتر اليومية'!E:E, "مبيعات اجل")</f>
        <v>0</v>
      </c>
      <c r="D938" s="108">
        <f t="shared" si="14"/>
        <v>0</v>
      </c>
    </row>
    <row r="939" spans="1:4" x14ac:dyDescent="0.3">
      <c r="A939" s="10"/>
      <c r="B939" s="10">
        <f>SUMIFS('دفتر اليومية'!K:K, 'دفتر اليومية'!H:H, A939, 'دفتر اليومية'!E:E, "مبيعات اجل")</f>
        <v>0</v>
      </c>
      <c r="C939" s="10">
        <f>SUMIFS('دفتر اليومية'!L:L, 'دفتر اليومية'!H:H, A939, 'دفتر اليومية'!E:E, "مبيعات اجل")</f>
        <v>0</v>
      </c>
      <c r="D939" s="108">
        <f t="shared" si="14"/>
        <v>0</v>
      </c>
    </row>
    <row r="940" spans="1:4" x14ac:dyDescent="0.3">
      <c r="A940" s="10"/>
      <c r="B940" s="10">
        <f>SUMIFS('دفتر اليومية'!K:K, 'دفتر اليومية'!H:H, A940, 'دفتر اليومية'!E:E, "مبيعات اجل")</f>
        <v>0</v>
      </c>
      <c r="C940" s="10">
        <f>SUMIFS('دفتر اليومية'!L:L, 'دفتر اليومية'!H:H, A940, 'دفتر اليومية'!E:E, "مبيعات اجل")</f>
        <v>0</v>
      </c>
      <c r="D940" s="108">
        <f t="shared" si="14"/>
        <v>0</v>
      </c>
    </row>
    <row r="941" spans="1:4" x14ac:dyDescent="0.3">
      <c r="A941" s="10"/>
      <c r="B941" s="10">
        <f>SUMIFS('دفتر اليومية'!K:K, 'دفتر اليومية'!H:H, A941, 'دفتر اليومية'!E:E, "مبيعات اجل")</f>
        <v>0</v>
      </c>
      <c r="C941" s="10">
        <f>SUMIFS('دفتر اليومية'!L:L, 'دفتر اليومية'!H:H, A941, 'دفتر اليومية'!E:E, "مبيعات اجل")</f>
        <v>0</v>
      </c>
      <c r="D941" s="108">
        <f t="shared" si="14"/>
        <v>0</v>
      </c>
    </row>
    <row r="942" spans="1:4" x14ac:dyDescent="0.3">
      <c r="A942" s="10"/>
      <c r="B942" s="10">
        <f>SUMIFS('دفتر اليومية'!K:K, 'دفتر اليومية'!H:H, A942, 'دفتر اليومية'!E:E, "مبيعات اجل")</f>
        <v>0</v>
      </c>
      <c r="C942" s="10">
        <f>SUMIFS('دفتر اليومية'!L:L, 'دفتر اليومية'!H:H, A942, 'دفتر اليومية'!E:E, "مبيعات اجل")</f>
        <v>0</v>
      </c>
      <c r="D942" s="108">
        <f t="shared" si="14"/>
        <v>0</v>
      </c>
    </row>
    <row r="943" spans="1:4" x14ac:dyDescent="0.3">
      <c r="A943" s="10"/>
      <c r="B943" s="10">
        <f>SUMIFS('دفتر اليومية'!K:K, 'دفتر اليومية'!H:H, A943, 'دفتر اليومية'!E:E, "مبيعات اجل")</f>
        <v>0</v>
      </c>
      <c r="C943" s="10">
        <f>SUMIFS('دفتر اليومية'!L:L, 'دفتر اليومية'!H:H, A943, 'دفتر اليومية'!E:E, "مبيعات اجل")</f>
        <v>0</v>
      </c>
      <c r="D943" s="108">
        <f t="shared" si="14"/>
        <v>0</v>
      </c>
    </row>
    <row r="944" spans="1:4" x14ac:dyDescent="0.3">
      <c r="A944" s="10"/>
      <c r="B944" s="10">
        <f>SUMIFS('دفتر اليومية'!K:K, 'دفتر اليومية'!H:H, A944, 'دفتر اليومية'!E:E, "مبيعات اجل")</f>
        <v>0</v>
      </c>
      <c r="C944" s="10">
        <f>SUMIFS('دفتر اليومية'!L:L, 'دفتر اليومية'!H:H, A944, 'دفتر اليومية'!E:E, "مبيعات اجل")</f>
        <v>0</v>
      </c>
      <c r="D944" s="108">
        <f t="shared" si="14"/>
        <v>0</v>
      </c>
    </row>
    <row r="945" spans="1:4" x14ac:dyDescent="0.3">
      <c r="A945" s="10"/>
      <c r="B945" s="10">
        <f>SUMIFS('دفتر اليومية'!K:K, 'دفتر اليومية'!H:H, A945, 'دفتر اليومية'!E:E, "مبيعات اجل")</f>
        <v>0</v>
      </c>
      <c r="C945" s="10">
        <f>SUMIFS('دفتر اليومية'!L:L, 'دفتر اليومية'!H:H, A945, 'دفتر اليومية'!E:E, "مبيعات اجل")</f>
        <v>0</v>
      </c>
      <c r="D945" s="108">
        <f t="shared" si="14"/>
        <v>0</v>
      </c>
    </row>
    <row r="946" spans="1:4" x14ac:dyDescent="0.3">
      <c r="A946" s="10"/>
      <c r="B946" s="10">
        <f>SUMIFS('دفتر اليومية'!K:K, 'دفتر اليومية'!H:H, A946, 'دفتر اليومية'!E:E, "مبيعات اجل")</f>
        <v>0</v>
      </c>
      <c r="C946" s="10">
        <f>SUMIFS('دفتر اليومية'!L:L, 'دفتر اليومية'!H:H, A946, 'دفتر اليومية'!E:E, "مبيعات اجل")</f>
        <v>0</v>
      </c>
      <c r="D946" s="108">
        <f t="shared" si="14"/>
        <v>0</v>
      </c>
    </row>
    <row r="947" spans="1:4" x14ac:dyDescent="0.3">
      <c r="A947" s="10"/>
      <c r="B947" s="10">
        <f>SUMIFS('دفتر اليومية'!K:K, 'دفتر اليومية'!H:H, A947, 'دفتر اليومية'!E:E, "مبيعات اجل")</f>
        <v>0</v>
      </c>
      <c r="C947" s="10">
        <f>SUMIFS('دفتر اليومية'!L:L, 'دفتر اليومية'!H:H, A947, 'دفتر اليومية'!E:E, "مبيعات اجل")</f>
        <v>0</v>
      </c>
      <c r="D947" s="108">
        <f t="shared" si="14"/>
        <v>0</v>
      </c>
    </row>
    <row r="948" spans="1:4" x14ac:dyDescent="0.3">
      <c r="A948" s="10"/>
      <c r="B948" s="10">
        <f>SUMIFS('دفتر اليومية'!K:K, 'دفتر اليومية'!H:H, A948, 'دفتر اليومية'!E:E, "مبيعات اجل")</f>
        <v>0</v>
      </c>
      <c r="C948" s="10">
        <f>SUMIFS('دفتر اليومية'!L:L, 'دفتر اليومية'!H:H, A948, 'دفتر اليومية'!E:E, "مبيعات اجل")</f>
        <v>0</v>
      </c>
      <c r="D948" s="108">
        <f t="shared" si="14"/>
        <v>0</v>
      </c>
    </row>
    <row r="949" spans="1:4" x14ac:dyDescent="0.3">
      <c r="A949" s="10"/>
      <c r="B949" s="10">
        <f>SUMIFS('دفتر اليومية'!K:K, 'دفتر اليومية'!H:H, A949, 'دفتر اليومية'!E:E, "مبيعات اجل")</f>
        <v>0</v>
      </c>
      <c r="C949" s="10">
        <f>SUMIFS('دفتر اليومية'!L:L, 'دفتر اليومية'!H:H, A949, 'دفتر اليومية'!E:E, "مبيعات اجل")</f>
        <v>0</v>
      </c>
      <c r="D949" s="108">
        <f t="shared" si="14"/>
        <v>0</v>
      </c>
    </row>
    <row r="950" spans="1:4" x14ac:dyDescent="0.3">
      <c r="A950" s="10"/>
      <c r="B950" s="10">
        <f>SUMIFS('دفتر اليومية'!K:K, 'دفتر اليومية'!H:H, A950, 'دفتر اليومية'!E:E, "مبيعات اجل")</f>
        <v>0</v>
      </c>
      <c r="C950" s="10">
        <f>SUMIFS('دفتر اليومية'!L:L, 'دفتر اليومية'!H:H, A950, 'دفتر اليومية'!E:E, "مبيعات اجل")</f>
        <v>0</v>
      </c>
      <c r="D950" s="108">
        <f t="shared" si="14"/>
        <v>0</v>
      </c>
    </row>
    <row r="951" spans="1:4" x14ac:dyDescent="0.3">
      <c r="A951" s="10"/>
      <c r="B951" s="10">
        <f>SUMIFS('دفتر اليومية'!K:K, 'دفتر اليومية'!H:H, A951, 'دفتر اليومية'!E:E, "مبيعات اجل")</f>
        <v>0</v>
      </c>
      <c r="C951" s="10">
        <f>SUMIFS('دفتر اليومية'!L:L, 'دفتر اليومية'!H:H, A951, 'دفتر اليومية'!E:E, "مبيعات اجل")</f>
        <v>0</v>
      </c>
      <c r="D951" s="108">
        <f t="shared" si="14"/>
        <v>0</v>
      </c>
    </row>
    <row r="952" spans="1:4" x14ac:dyDescent="0.3">
      <c r="A952" s="10"/>
      <c r="B952" s="10">
        <f>SUMIFS('دفتر اليومية'!K:K, 'دفتر اليومية'!H:H, A952, 'دفتر اليومية'!E:E, "مبيعات اجل")</f>
        <v>0</v>
      </c>
      <c r="C952" s="10">
        <f>SUMIFS('دفتر اليومية'!L:L, 'دفتر اليومية'!H:H, A952, 'دفتر اليومية'!E:E, "مبيعات اجل")</f>
        <v>0</v>
      </c>
      <c r="D952" s="108">
        <f t="shared" si="14"/>
        <v>0</v>
      </c>
    </row>
    <row r="953" spans="1:4" x14ac:dyDescent="0.3">
      <c r="A953" s="10"/>
      <c r="B953" s="10">
        <f>SUMIFS('دفتر اليومية'!K:K, 'دفتر اليومية'!H:H, A953, 'دفتر اليومية'!E:E, "مبيعات اجل")</f>
        <v>0</v>
      </c>
      <c r="C953" s="10">
        <f>SUMIFS('دفتر اليومية'!L:L, 'دفتر اليومية'!H:H, A953, 'دفتر اليومية'!E:E, "مبيعات اجل")</f>
        <v>0</v>
      </c>
      <c r="D953" s="108">
        <f t="shared" si="14"/>
        <v>0</v>
      </c>
    </row>
    <row r="954" spans="1:4" x14ac:dyDescent="0.3">
      <c r="A954" s="10"/>
      <c r="B954" s="10">
        <f>SUMIFS('دفتر اليومية'!K:K, 'دفتر اليومية'!H:H, A954, 'دفتر اليومية'!E:E, "مبيعات اجل")</f>
        <v>0</v>
      </c>
      <c r="C954" s="10">
        <f>SUMIFS('دفتر اليومية'!L:L, 'دفتر اليومية'!H:H, A954, 'دفتر اليومية'!E:E, "مبيعات اجل")</f>
        <v>0</v>
      </c>
      <c r="D954" s="108">
        <f t="shared" si="14"/>
        <v>0</v>
      </c>
    </row>
    <row r="955" spans="1:4" x14ac:dyDescent="0.3">
      <c r="A955" s="10"/>
      <c r="B955" s="10">
        <f>SUMIFS('دفتر اليومية'!K:K, 'دفتر اليومية'!H:H, A955, 'دفتر اليومية'!E:E, "مبيعات اجل")</f>
        <v>0</v>
      </c>
      <c r="C955" s="10">
        <f>SUMIFS('دفتر اليومية'!L:L, 'دفتر اليومية'!H:H, A955, 'دفتر اليومية'!E:E, "مبيعات اجل")</f>
        <v>0</v>
      </c>
      <c r="D955" s="108">
        <f t="shared" si="14"/>
        <v>0</v>
      </c>
    </row>
    <row r="956" spans="1:4" x14ac:dyDescent="0.3">
      <c r="A956" s="10"/>
      <c r="B956" s="10">
        <f>SUMIFS('دفتر اليومية'!K:K, 'دفتر اليومية'!H:H, A956, 'دفتر اليومية'!E:E, "مبيعات اجل")</f>
        <v>0</v>
      </c>
      <c r="C956" s="10">
        <f>SUMIFS('دفتر اليومية'!L:L, 'دفتر اليومية'!H:H, A956, 'دفتر اليومية'!E:E, "مبيعات اجل")</f>
        <v>0</v>
      </c>
      <c r="D956" s="108">
        <f t="shared" si="14"/>
        <v>0</v>
      </c>
    </row>
    <row r="957" spans="1:4" x14ac:dyDescent="0.3">
      <c r="A957" s="10"/>
      <c r="B957" s="10">
        <f>SUMIFS('دفتر اليومية'!K:K, 'دفتر اليومية'!H:H, A957, 'دفتر اليومية'!E:E, "مبيعات اجل")</f>
        <v>0</v>
      </c>
      <c r="C957" s="10">
        <f>SUMIFS('دفتر اليومية'!L:L, 'دفتر اليومية'!H:H, A957, 'دفتر اليومية'!E:E, "مبيعات اجل")</f>
        <v>0</v>
      </c>
      <c r="D957" s="108">
        <f t="shared" si="14"/>
        <v>0</v>
      </c>
    </row>
    <row r="958" spans="1:4" x14ac:dyDescent="0.3">
      <c r="A958" s="10"/>
      <c r="B958" s="10">
        <f>SUMIFS('دفتر اليومية'!K:K, 'دفتر اليومية'!H:H, A958, 'دفتر اليومية'!E:E, "مبيعات اجل")</f>
        <v>0</v>
      </c>
      <c r="C958" s="10">
        <f>SUMIFS('دفتر اليومية'!L:L, 'دفتر اليومية'!H:H, A958, 'دفتر اليومية'!E:E, "مبيعات اجل")</f>
        <v>0</v>
      </c>
      <c r="D958" s="108">
        <f t="shared" si="14"/>
        <v>0</v>
      </c>
    </row>
    <row r="959" spans="1:4" x14ac:dyDescent="0.3">
      <c r="A959" s="10"/>
      <c r="B959" s="10">
        <f>SUMIFS('دفتر اليومية'!K:K, 'دفتر اليومية'!H:H, A959, 'دفتر اليومية'!E:E, "مبيعات اجل")</f>
        <v>0</v>
      </c>
      <c r="C959" s="10">
        <f>SUMIFS('دفتر اليومية'!L:L, 'دفتر اليومية'!H:H, A959, 'دفتر اليومية'!E:E, "مبيعات اجل")</f>
        <v>0</v>
      </c>
      <c r="D959" s="108">
        <f t="shared" si="14"/>
        <v>0</v>
      </c>
    </row>
    <row r="960" spans="1:4" x14ac:dyDescent="0.3">
      <c r="A960" s="10"/>
      <c r="B960" s="10">
        <f>SUMIFS('دفتر اليومية'!K:K, 'دفتر اليومية'!H:H, A960, 'دفتر اليومية'!E:E, "مبيعات اجل")</f>
        <v>0</v>
      </c>
      <c r="C960" s="10">
        <f>SUMIFS('دفتر اليومية'!L:L, 'دفتر اليومية'!H:H, A960, 'دفتر اليومية'!E:E, "مبيعات اجل")</f>
        <v>0</v>
      </c>
      <c r="D960" s="108">
        <f t="shared" si="14"/>
        <v>0</v>
      </c>
    </row>
    <row r="961" spans="1:4" x14ac:dyDescent="0.3">
      <c r="A961" s="10"/>
      <c r="B961" s="10">
        <f>SUMIFS('دفتر اليومية'!K:K, 'دفتر اليومية'!H:H, A961, 'دفتر اليومية'!E:E, "مبيعات اجل")</f>
        <v>0</v>
      </c>
      <c r="C961" s="10">
        <f>SUMIFS('دفتر اليومية'!L:L, 'دفتر اليومية'!H:H, A961, 'دفتر اليومية'!E:E, "مبيعات اجل")</f>
        <v>0</v>
      </c>
      <c r="D961" s="108">
        <f t="shared" si="14"/>
        <v>0</v>
      </c>
    </row>
    <row r="962" spans="1:4" x14ac:dyDescent="0.3">
      <c r="A962" s="10"/>
      <c r="B962" s="10">
        <f>SUMIFS('دفتر اليومية'!K:K, 'دفتر اليومية'!H:H, A962, 'دفتر اليومية'!E:E, "مبيعات اجل")</f>
        <v>0</v>
      </c>
      <c r="C962" s="10">
        <f>SUMIFS('دفتر اليومية'!L:L, 'دفتر اليومية'!H:H, A962, 'دفتر اليومية'!E:E, "مبيعات اجل")</f>
        <v>0</v>
      </c>
      <c r="D962" s="108">
        <f t="shared" si="14"/>
        <v>0</v>
      </c>
    </row>
    <row r="963" spans="1:4" x14ac:dyDescent="0.3">
      <c r="A963" s="10"/>
      <c r="B963" s="10">
        <f>SUMIFS('دفتر اليومية'!K:K, 'دفتر اليومية'!H:H, A963, 'دفتر اليومية'!E:E, "مبيعات اجل")</f>
        <v>0</v>
      </c>
      <c r="C963" s="10">
        <f>SUMIFS('دفتر اليومية'!L:L, 'دفتر اليومية'!H:H, A963, 'دفتر اليومية'!E:E, "مبيعات اجل")</f>
        <v>0</v>
      </c>
      <c r="D963" s="108">
        <f t="shared" ref="D963:D1026" si="15">B963-C963</f>
        <v>0</v>
      </c>
    </row>
    <row r="964" spans="1:4" x14ac:dyDescent="0.3">
      <c r="A964" s="10"/>
      <c r="B964" s="10">
        <f>SUMIFS('دفتر اليومية'!K:K, 'دفتر اليومية'!H:H, A964, 'دفتر اليومية'!E:E, "مبيعات اجل")</f>
        <v>0</v>
      </c>
      <c r="C964" s="10">
        <f>SUMIFS('دفتر اليومية'!L:L, 'دفتر اليومية'!H:H, A964, 'دفتر اليومية'!E:E, "مبيعات اجل")</f>
        <v>0</v>
      </c>
      <c r="D964" s="108">
        <f t="shared" si="15"/>
        <v>0</v>
      </c>
    </row>
    <row r="965" spans="1:4" x14ac:dyDescent="0.3">
      <c r="A965" s="10"/>
      <c r="B965" s="10">
        <f>SUMIFS('دفتر اليومية'!K:K, 'دفتر اليومية'!H:H, A965, 'دفتر اليومية'!E:E, "مبيعات اجل")</f>
        <v>0</v>
      </c>
      <c r="C965" s="10">
        <f>SUMIFS('دفتر اليومية'!L:L, 'دفتر اليومية'!H:H, A965, 'دفتر اليومية'!E:E, "مبيعات اجل")</f>
        <v>0</v>
      </c>
      <c r="D965" s="108">
        <f t="shared" si="15"/>
        <v>0</v>
      </c>
    </row>
    <row r="966" spans="1:4" x14ac:dyDescent="0.3">
      <c r="A966" s="10"/>
      <c r="B966" s="10">
        <f>SUMIFS('دفتر اليومية'!K:K, 'دفتر اليومية'!H:H, A966, 'دفتر اليومية'!E:E, "مبيعات اجل")</f>
        <v>0</v>
      </c>
      <c r="C966" s="10">
        <f>SUMIFS('دفتر اليومية'!L:L, 'دفتر اليومية'!H:H, A966, 'دفتر اليومية'!E:E, "مبيعات اجل")</f>
        <v>0</v>
      </c>
      <c r="D966" s="108">
        <f t="shared" si="15"/>
        <v>0</v>
      </c>
    </row>
    <row r="967" spans="1:4" x14ac:dyDescent="0.3">
      <c r="A967" s="10"/>
      <c r="B967" s="10">
        <f>SUMIFS('دفتر اليومية'!K:K, 'دفتر اليومية'!H:H, A967, 'دفتر اليومية'!E:E, "مبيعات اجل")</f>
        <v>0</v>
      </c>
      <c r="C967" s="10">
        <f>SUMIFS('دفتر اليومية'!L:L, 'دفتر اليومية'!H:H, A967, 'دفتر اليومية'!E:E, "مبيعات اجل")</f>
        <v>0</v>
      </c>
      <c r="D967" s="108">
        <f t="shared" si="15"/>
        <v>0</v>
      </c>
    </row>
    <row r="968" spans="1:4" x14ac:dyDescent="0.3">
      <c r="A968" s="10"/>
      <c r="B968" s="10">
        <f>SUMIFS('دفتر اليومية'!K:K, 'دفتر اليومية'!H:H, A968, 'دفتر اليومية'!E:E, "مبيعات اجل")</f>
        <v>0</v>
      </c>
      <c r="C968" s="10">
        <f>SUMIFS('دفتر اليومية'!L:L, 'دفتر اليومية'!H:H, A968, 'دفتر اليومية'!E:E, "مبيعات اجل")</f>
        <v>0</v>
      </c>
      <c r="D968" s="108">
        <f t="shared" si="15"/>
        <v>0</v>
      </c>
    </row>
    <row r="969" spans="1:4" x14ac:dyDescent="0.3">
      <c r="A969" s="10"/>
      <c r="B969" s="10">
        <f>SUMIFS('دفتر اليومية'!K:K, 'دفتر اليومية'!H:H, A969, 'دفتر اليومية'!E:E, "مبيعات اجل")</f>
        <v>0</v>
      </c>
      <c r="C969" s="10">
        <f>SUMIFS('دفتر اليومية'!L:L, 'دفتر اليومية'!H:H, A969, 'دفتر اليومية'!E:E, "مبيعات اجل")</f>
        <v>0</v>
      </c>
      <c r="D969" s="108">
        <f t="shared" si="15"/>
        <v>0</v>
      </c>
    </row>
    <row r="970" spans="1:4" x14ac:dyDescent="0.3">
      <c r="A970" s="10"/>
      <c r="B970" s="10">
        <f>SUMIFS('دفتر اليومية'!K:K, 'دفتر اليومية'!H:H, A970, 'دفتر اليومية'!E:E, "مبيعات اجل")</f>
        <v>0</v>
      </c>
      <c r="C970" s="10">
        <f>SUMIFS('دفتر اليومية'!L:L, 'دفتر اليومية'!H:H, A970, 'دفتر اليومية'!E:E, "مبيعات اجل")</f>
        <v>0</v>
      </c>
      <c r="D970" s="108">
        <f t="shared" si="15"/>
        <v>0</v>
      </c>
    </row>
    <row r="971" spans="1:4" x14ac:dyDescent="0.3">
      <c r="A971" s="10"/>
      <c r="B971" s="10">
        <f>SUMIFS('دفتر اليومية'!K:K, 'دفتر اليومية'!H:H, A971, 'دفتر اليومية'!E:E, "مبيعات اجل")</f>
        <v>0</v>
      </c>
      <c r="C971" s="10">
        <f>SUMIFS('دفتر اليومية'!L:L, 'دفتر اليومية'!H:H, A971, 'دفتر اليومية'!E:E, "مبيعات اجل")</f>
        <v>0</v>
      </c>
      <c r="D971" s="108">
        <f t="shared" si="15"/>
        <v>0</v>
      </c>
    </row>
    <row r="972" spans="1:4" x14ac:dyDescent="0.3">
      <c r="A972" s="10"/>
      <c r="B972" s="10">
        <f>SUMIFS('دفتر اليومية'!K:K, 'دفتر اليومية'!H:H, A972, 'دفتر اليومية'!E:E, "مبيعات اجل")</f>
        <v>0</v>
      </c>
      <c r="C972" s="10">
        <f>SUMIFS('دفتر اليومية'!L:L, 'دفتر اليومية'!H:H, A972, 'دفتر اليومية'!E:E, "مبيعات اجل")</f>
        <v>0</v>
      </c>
      <c r="D972" s="108">
        <f t="shared" si="15"/>
        <v>0</v>
      </c>
    </row>
    <row r="973" spans="1:4" x14ac:dyDescent="0.3">
      <c r="A973" s="10"/>
      <c r="B973" s="10">
        <f>SUMIFS('دفتر اليومية'!K:K, 'دفتر اليومية'!H:H, A973, 'دفتر اليومية'!E:E, "مبيعات اجل")</f>
        <v>0</v>
      </c>
      <c r="C973" s="10">
        <f>SUMIFS('دفتر اليومية'!L:L, 'دفتر اليومية'!H:H, A973, 'دفتر اليومية'!E:E, "مبيعات اجل")</f>
        <v>0</v>
      </c>
      <c r="D973" s="108">
        <f t="shared" si="15"/>
        <v>0</v>
      </c>
    </row>
    <row r="974" spans="1:4" x14ac:dyDescent="0.3">
      <c r="A974" s="10"/>
      <c r="B974" s="10">
        <f>SUMIFS('دفتر اليومية'!K:K, 'دفتر اليومية'!H:H, A974, 'دفتر اليومية'!E:E, "مبيعات اجل")</f>
        <v>0</v>
      </c>
      <c r="C974" s="10">
        <f>SUMIFS('دفتر اليومية'!L:L, 'دفتر اليومية'!H:H, A974, 'دفتر اليومية'!E:E, "مبيعات اجل")</f>
        <v>0</v>
      </c>
      <c r="D974" s="108">
        <f t="shared" si="15"/>
        <v>0</v>
      </c>
    </row>
    <row r="975" spans="1:4" x14ac:dyDescent="0.3">
      <c r="A975" s="10"/>
      <c r="B975" s="10">
        <f>SUMIFS('دفتر اليومية'!K:K, 'دفتر اليومية'!H:H, A975, 'دفتر اليومية'!E:E, "مبيعات اجل")</f>
        <v>0</v>
      </c>
      <c r="C975" s="10">
        <f>SUMIFS('دفتر اليومية'!L:L, 'دفتر اليومية'!H:H, A975, 'دفتر اليومية'!E:E, "مبيعات اجل")</f>
        <v>0</v>
      </c>
      <c r="D975" s="108">
        <f t="shared" si="15"/>
        <v>0</v>
      </c>
    </row>
    <row r="976" spans="1:4" x14ac:dyDescent="0.3">
      <c r="A976" s="10"/>
      <c r="B976" s="10">
        <f>SUMIFS('دفتر اليومية'!K:K, 'دفتر اليومية'!H:H, A976, 'دفتر اليومية'!E:E, "مبيعات اجل")</f>
        <v>0</v>
      </c>
      <c r="C976" s="10">
        <f>SUMIFS('دفتر اليومية'!L:L, 'دفتر اليومية'!H:H, A976, 'دفتر اليومية'!E:E, "مبيعات اجل")</f>
        <v>0</v>
      </c>
      <c r="D976" s="108">
        <f t="shared" si="15"/>
        <v>0</v>
      </c>
    </row>
    <row r="977" spans="1:4" x14ac:dyDescent="0.3">
      <c r="A977" s="10"/>
      <c r="B977" s="10">
        <f>SUMIFS('دفتر اليومية'!K:K, 'دفتر اليومية'!H:H, A977, 'دفتر اليومية'!E:E, "مبيعات اجل")</f>
        <v>0</v>
      </c>
      <c r="C977" s="10">
        <f>SUMIFS('دفتر اليومية'!L:L, 'دفتر اليومية'!H:H, A977, 'دفتر اليومية'!E:E, "مبيعات اجل")</f>
        <v>0</v>
      </c>
      <c r="D977" s="108">
        <f t="shared" si="15"/>
        <v>0</v>
      </c>
    </row>
    <row r="978" spans="1:4" x14ac:dyDescent="0.3">
      <c r="A978" s="10"/>
      <c r="B978" s="10">
        <f>SUMIFS('دفتر اليومية'!K:K, 'دفتر اليومية'!H:H, A978, 'دفتر اليومية'!E:E, "مبيعات اجل")</f>
        <v>0</v>
      </c>
      <c r="C978" s="10">
        <f>SUMIFS('دفتر اليومية'!L:L, 'دفتر اليومية'!H:H, A978, 'دفتر اليومية'!E:E, "مبيعات اجل")</f>
        <v>0</v>
      </c>
      <c r="D978" s="108">
        <f t="shared" si="15"/>
        <v>0</v>
      </c>
    </row>
    <row r="979" spans="1:4" x14ac:dyDescent="0.3">
      <c r="A979" s="10"/>
      <c r="B979" s="10">
        <f>SUMIFS('دفتر اليومية'!K:K, 'دفتر اليومية'!H:H, A979, 'دفتر اليومية'!E:E, "مبيعات اجل")</f>
        <v>0</v>
      </c>
      <c r="C979" s="10">
        <f>SUMIFS('دفتر اليومية'!L:L, 'دفتر اليومية'!H:H, A979, 'دفتر اليومية'!E:E, "مبيعات اجل")</f>
        <v>0</v>
      </c>
      <c r="D979" s="108">
        <f t="shared" si="15"/>
        <v>0</v>
      </c>
    </row>
    <row r="980" spans="1:4" x14ac:dyDescent="0.3">
      <c r="A980" s="10"/>
      <c r="B980" s="10">
        <f>SUMIFS('دفتر اليومية'!K:K, 'دفتر اليومية'!H:H, A980, 'دفتر اليومية'!E:E, "مبيعات اجل")</f>
        <v>0</v>
      </c>
      <c r="C980" s="10">
        <f>SUMIFS('دفتر اليومية'!L:L, 'دفتر اليومية'!H:H, A980, 'دفتر اليومية'!E:E, "مبيعات اجل")</f>
        <v>0</v>
      </c>
      <c r="D980" s="108">
        <f t="shared" si="15"/>
        <v>0</v>
      </c>
    </row>
    <row r="981" spans="1:4" x14ac:dyDescent="0.3">
      <c r="A981" s="10"/>
      <c r="B981" s="10">
        <f>SUMIFS('دفتر اليومية'!K:K, 'دفتر اليومية'!H:H, A981, 'دفتر اليومية'!E:E, "مبيعات اجل")</f>
        <v>0</v>
      </c>
      <c r="C981" s="10">
        <f>SUMIFS('دفتر اليومية'!L:L, 'دفتر اليومية'!H:H, A981, 'دفتر اليومية'!E:E, "مبيعات اجل")</f>
        <v>0</v>
      </c>
      <c r="D981" s="108">
        <f t="shared" si="15"/>
        <v>0</v>
      </c>
    </row>
    <row r="982" spans="1:4" x14ac:dyDescent="0.3">
      <c r="A982" s="10"/>
      <c r="B982" s="10">
        <f>SUMIFS('دفتر اليومية'!K:K, 'دفتر اليومية'!H:H, A982, 'دفتر اليومية'!E:E, "مبيعات اجل")</f>
        <v>0</v>
      </c>
      <c r="C982" s="10">
        <f>SUMIFS('دفتر اليومية'!L:L, 'دفتر اليومية'!H:H, A982, 'دفتر اليومية'!E:E, "مبيعات اجل")</f>
        <v>0</v>
      </c>
      <c r="D982" s="108">
        <f t="shared" si="15"/>
        <v>0</v>
      </c>
    </row>
    <row r="983" spans="1:4" x14ac:dyDescent="0.3">
      <c r="A983" s="10"/>
      <c r="B983" s="10">
        <f>SUMIFS('دفتر اليومية'!K:K, 'دفتر اليومية'!H:H, A983, 'دفتر اليومية'!E:E, "مبيعات اجل")</f>
        <v>0</v>
      </c>
      <c r="C983" s="10">
        <f>SUMIFS('دفتر اليومية'!L:L, 'دفتر اليومية'!H:H, A983, 'دفتر اليومية'!E:E, "مبيعات اجل")</f>
        <v>0</v>
      </c>
      <c r="D983" s="108">
        <f t="shared" si="15"/>
        <v>0</v>
      </c>
    </row>
    <row r="984" spans="1:4" x14ac:dyDescent="0.3">
      <c r="A984" s="10"/>
      <c r="B984" s="10">
        <f>SUMIFS('دفتر اليومية'!K:K, 'دفتر اليومية'!H:H, A984, 'دفتر اليومية'!E:E, "مبيعات اجل")</f>
        <v>0</v>
      </c>
      <c r="C984" s="10">
        <f>SUMIFS('دفتر اليومية'!L:L, 'دفتر اليومية'!H:H, A984, 'دفتر اليومية'!E:E, "مبيعات اجل")</f>
        <v>0</v>
      </c>
      <c r="D984" s="108">
        <f t="shared" si="15"/>
        <v>0</v>
      </c>
    </row>
    <row r="985" spans="1:4" x14ac:dyDescent="0.3">
      <c r="A985" s="10"/>
      <c r="B985" s="10">
        <f>SUMIFS('دفتر اليومية'!K:K, 'دفتر اليومية'!H:H, A985, 'دفتر اليومية'!E:E, "مبيعات اجل")</f>
        <v>0</v>
      </c>
      <c r="C985" s="10">
        <f>SUMIFS('دفتر اليومية'!L:L, 'دفتر اليومية'!H:H, A985, 'دفتر اليومية'!E:E, "مبيعات اجل")</f>
        <v>0</v>
      </c>
      <c r="D985" s="108">
        <f t="shared" si="15"/>
        <v>0</v>
      </c>
    </row>
    <row r="986" spans="1:4" x14ac:dyDescent="0.3">
      <c r="A986" s="10"/>
      <c r="B986" s="10">
        <f>SUMIFS('دفتر اليومية'!K:K, 'دفتر اليومية'!H:H, A986, 'دفتر اليومية'!E:E, "مبيعات اجل")</f>
        <v>0</v>
      </c>
      <c r="C986" s="10">
        <f>SUMIFS('دفتر اليومية'!L:L, 'دفتر اليومية'!H:H, A986, 'دفتر اليومية'!E:E, "مبيعات اجل")</f>
        <v>0</v>
      </c>
      <c r="D986" s="108">
        <f t="shared" si="15"/>
        <v>0</v>
      </c>
    </row>
    <row r="987" spans="1:4" x14ac:dyDescent="0.3">
      <c r="A987" s="10"/>
      <c r="B987" s="10">
        <f>SUMIFS('دفتر اليومية'!K:K, 'دفتر اليومية'!H:H, A987, 'دفتر اليومية'!E:E, "مبيعات اجل")</f>
        <v>0</v>
      </c>
      <c r="C987" s="10">
        <f>SUMIFS('دفتر اليومية'!L:L, 'دفتر اليومية'!H:H, A987, 'دفتر اليومية'!E:E, "مبيعات اجل")</f>
        <v>0</v>
      </c>
      <c r="D987" s="108">
        <f t="shared" si="15"/>
        <v>0</v>
      </c>
    </row>
    <row r="988" spans="1:4" x14ac:dyDescent="0.3">
      <c r="A988" s="10"/>
      <c r="B988" s="10">
        <f>SUMIFS('دفتر اليومية'!K:K, 'دفتر اليومية'!H:H, A988, 'دفتر اليومية'!E:E, "مبيعات اجل")</f>
        <v>0</v>
      </c>
      <c r="C988" s="10">
        <f>SUMIFS('دفتر اليومية'!L:L, 'دفتر اليومية'!H:H, A988, 'دفتر اليومية'!E:E, "مبيعات اجل")</f>
        <v>0</v>
      </c>
      <c r="D988" s="108">
        <f t="shared" si="15"/>
        <v>0</v>
      </c>
    </row>
    <row r="989" spans="1:4" x14ac:dyDescent="0.3">
      <c r="A989" s="10"/>
      <c r="B989" s="10">
        <f>SUMIFS('دفتر اليومية'!K:K, 'دفتر اليومية'!H:H, A989, 'دفتر اليومية'!E:E, "مبيعات اجل")</f>
        <v>0</v>
      </c>
      <c r="C989" s="10">
        <f>SUMIFS('دفتر اليومية'!L:L, 'دفتر اليومية'!H:H, A989, 'دفتر اليومية'!E:E, "مبيعات اجل")</f>
        <v>0</v>
      </c>
      <c r="D989" s="108">
        <f t="shared" si="15"/>
        <v>0</v>
      </c>
    </row>
    <row r="990" spans="1:4" x14ac:dyDescent="0.3">
      <c r="A990" s="10"/>
      <c r="B990" s="10">
        <f>SUMIFS('دفتر اليومية'!K:K, 'دفتر اليومية'!H:H, A990, 'دفتر اليومية'!E:E, "مبيعات اجل")</f>
        <v>0</v>
      </c>
      <c r="C990" s="10">
        <f>SUMIFS('دفتر اليومية'!L:L, 'دفتر اليومية'!H:H, A990, 'دفتر اليومية'!E:E, "مبيعات اجل")</f>
        <v>0</v>
      </c>
      <c r="D990" s="108">
        <f t="shared" si="15"/>
        <v>0</v>
      </c>
    </row>
    <row r="991" spans="1:4" x14ac:dyDescent="0.3">
      <c r="A991" s="10"/>
      <c r="B991" s="10">
        <f>SUMIFS('دفتر اليومية'!K:K, 'دفتر اليومية'!H:H, A991, 'دفتر اليومية'!E:E, "مبيعات اجل")</f>
        <v>0</v>
      </c>
      <c r="C991" s="10">
        <f>SUMIFS('دفتر اليومية'!L:L, 'دفتر اليومية'!H:H, A991, 'دفتر اليومية'!E:E, "مبيعات اجل")</f>
        <v>0</v>
      </c>
      <c r="D991" s="108">
        <f t="shared" si="15"/>
        <v>0</v>
      </c>
    </row>
    <row r="992" spans="1:4" x14ac:dyDescent="0.3">
      <c r="A992" s="10"/>
      <c r="B992" s="10">
        <f>SUMIFS('دفتر اليومية'!K:K, 'دفتر اليومية'!H:H, A992, 'دفتر اليومية'!E:E, "مبيعات اجل")</f>
        <v>0</v>
      </c>
      <c r="C992" s="10">
        <f>SUMIFS('دفتر اليومية'!L:L, 'دفتر اليومية'!H:H, A992, 'دفتر اليومية'!E:E, "مبيعات اجل")</f>
        <v>0</v>
      </c>
      <c r="D992" s="108">
        <f t="shared" si="15"/>
        <v>0</v>
      </c>
    </row>
    <row r="993" spans="1:4" x14ac:dyDescent="0.3">
      <c r="A993" s="10"/>
      <c r="B993" s="10">
        <f>SUMIFS('دفتر اليومية'!K:K, 'دفتر اليومية'!H:H, A993, 'دفتر اليومية'!E:E, "مبيعات اجل")</f>
        <v>0</v>
      </c>
      <c r="C993" s="10">
        <f>SUMIFS('دفتر اليومية'!L:L, 'دفتر اليومية'!H:H, A993, 'دفتر اليومية'!E:E, "مبيعات اجل")</f>
        <v>0</v>
      </c>
      <c r="D993" s="108">
        <f t="shared" si="15"/>
        <v>0</v>
      </c>
    </row>
    <row r="994" spans="1:4" x14ac:dyDescent="0.3">
      <c r="A994" s="10"/>
      <c r="B994" s="10">
        <f>SUMIFS('دفتر اليومية'!K:K, 'دفتر اليومية'!H:H, A994, 'دفتر اليومية'!E:E, "مبيعات اجل")</f>
        <v>0</v>
      </c>
      <c r="C994" s="10">
        <f>SUMIFS('دفتر اليومية'!L:L, 'دفتر اليومية'!H:H, A994, 'دفتر اليومية'!E:E, "مبيعات اجل")</f>
        <v>0</v>
      </c>
      <c r="D994" s="108">
        <f t="shared" si="15"/>
        <v>0</v>
      </c>
    </row>
    <row r="995" spans="1:4" x14ac:dyDescent="0.3">
      <c r="A995" s="10"/>
      <c r="B995" s="10">
        <f>SUMIFS('دفتر اليومية'!K:K, 'دفتر اليومية'!H:H, A995, 'دفتر اليومية'!E:E, "مبيعات اجل")</f>
        <v>0</v>
      </c>
      <c r="C995" s="10">
        <f>SUMIFS('دفتر اليومية'!L:L, 'دفتر اليومية'!H:H, A995, 'دفتر اليومية'!E:E, "مبيعات اجل")</f>
        <v>0</v>
      </c>
      <c r="D995" s="108">
        <f t="shared" si="15"/>
        <v>0</v>
      </c>
    </row>
    <row r="996" spans="1:4" x14ac:dyDescent="0.3">
      <c r="A996" s="10"/>
      <c r="B996" s="10">
        <f>SUMIFS('دفتر اليومية'!K:K, 'دفتر اليومية'!H:H, A996, 'دفتر اليومية'!E:E, "مبيعات اجل")</f>
        <v>0</v>
      </c>
      <c r="C996" s="10">
        <f>SUMIFS('دفتر اليومية'!L:L, 'دفتر اليومية'!H:H, A996, 'دفتر اليومية'!E:E, "مبيعات اجل")</f>
        <v>0</v>
      </c>
      <c r="D996" s="108">
        <f t="shared" si="15"/>
        <v>0</v>
      </c>
    </row>
    <row r="997" spans="1:4" x14ac:dyDescent="0.3">
      <c r="A997" s="10"/>
      <c r="B997" s="10">
        <f>SUMIFS('دفتر اليومية'!K:K, 'دفتر اليومية'!H:H, A997, 'دفتر اليومية'!E:E, "مبيعات اجل")</f>
        <v>0</v>
      </c>
      <c r="C997" s="10">
        <f>SUMIFS('دفتر اليومية'!L:L, 'دفتر اليومية'!H:H, A997, 'دفتر اليومية'!E:E, "مبيعات اجل")</f>
        <v>0</v>
      </c>
      <c r="D997" s="108">
        <f t="shared" si="15"/>
        <v>0</v>
      </c>
    </row>
    <row r="998" spans="1:4" x14ac:dyDescent="0.3">
      <c r="A998" s="10"/>
      <c r="B998" s="10">
        <f>SUMIFS('دفتر اليومية'!K:K, 'دفتر اليومية'!H:H, A998, 'دفتر اليومية'!E:E, "مبيعات اجل")</f>
        <v>0</v>
      </c>
      <c r="C998" s="10">
        <f>SUMIFS('دفتر اليومية'!L:L, 'دفتر اليومية'!H:H, A998, 'دفتر اليومية'!E:E, "مبيعات اجل")</f>
        <v>0</v>
      </c>
      <c r="D998" s="108">
        <f t="shared" si="15"/>
        <v>0</v>
      </c>
    </row>
    <row r="999" spans="1:4" x14ac:dyDescent="0.3">
      <c r="A999" s="10"/>
      <c r="B999" s="10">
        <f>SUMIFS('دفتر اليومية'!K:K, 'دفتر اليومية'!H:H, A999, 'دفتر اليومية'!E:E, "مبيعات اجل")</f>
        <v>0</v>
      </c>
      <c r="C999" s="10">
        <f>SUMIFS('دفتر اليومية'!L:L, 'دفتر اليومية'!H:H, A999, 'دفتر اليومية'!E:E, "مبيعات اجل")</f>
        <v>0</v>
      </c>
      <c r="D999" s="108">
        <f t="shared" si="15"/>
        <v>0</v>
      </c>
    </row>
    <row r="1000" spans="1:4" x14ac:dyDescent="0.3">
      <c r="A1000" s="10"/>
      <c r="B1000" s="10">
        <f>SUMIFS('دفتر اليومية'!K:K, 'دفتر اليومية'!H:H, A1000, 'دفتر اليومية'!E:E, "مبيعات اجل")</f>
        <v>0</v>
      </c>
      <c r="C1000" s="10">
        <f>SUMIFS('دفتر اليومية'!L:L, 'دفتر اليومية'!H:H, A1000, 'دفتر اليومية'!E:E, "مبيعات اجل")</f>
        <v>0</v>
      </c>
      <c r="D1000" s="108">
        <f t="shared" si="15"/>
        <v>0</v>
      </c>
    </row>
    <row r="1001" spans="1:4" x14ac:dyDescent="0.3">
      <c r="A1001" s="10"/>
      <c r="B1001" s="10">
        <f>SUMIFS('دفتر اليومية'!K:K, 'دفتر اليومية'!H:H, A1001, 'دفتر اليومية'!E:E, "مبيعات اجل")</f>
        <v>0</v>
      </c>
      <c r="C1001" s="10">
        <f>SUMIFS('دفتر اليومية'!L:L, 'دفتر اليومية'!H:H, A1001, 'دفتر اليومية'!E:E, "مبيعات اجل")</f>
        <v>0</v>
      </c>
      <c r="D1001" s="108">
        <f t="shared" si="15"/>
        <v>0</v>
      </c>
    </row>
    <row r="1002" spans="1:4" x14ac:dyDescent="0.3">
      <c r="A1002" s="10"/>
      <c r="B1002" s="10">
        <f>SUMIFS('دفتر اليومية'!K:K, 'دفتر اليومية'!H:H, A1002, 'دفتر اليومية'!E:E, "مبيعات اجل")</f>
        <v>0</v>
      </c>
      <c r="C1002" s="10">
        <f>SUMIFS('دفتر اليومية'!L:L, 'دفتر اليومية'!H:H, A1002, 'دفتر اليومية'!E:E, "مبيعات اجل")</f>
        <v>0</v>
      </c>
      <c r="D1002" s="108">
        <f t="shared" si="15"/>
        <v>0</v>
      </c>
    </row>
    <row r="1003" spans="1:4" x14ac:dyDescent="0.3">
      <c r="A1003" s="10"/>
      <c r="B1003" s="10">
        <f>SUMIFS('دفتر اليومية'!K:K, 'دفتر اليومية'!H:H, A1003, 'دفتر اليومية'!E:E, "مبيعات اجل")</f>
        <v>0</v>
      </c>
      <c r="C1003" s="10">
        <f>SUMIFS('دفتر اليومية'!L:L, 'دفتر اليومية'!H:H, A1003, 'دفتر اليومية'!E:E, "مبيعات اجل")</f>
        <v>0</v>
      </c>
      <c r="D1003" s="108">
        <f t="shared" si="15"/>
        <v>0</v>
      </c>
    </row>
    <row r="1004" spans="1:4" x14ac:dyDescent="0.3">
      <c r="A1004" s="10"/>
      <c r="B1004" s="10">
        <f>SUMIFS('دفتر اليومية'!K:K, 'دفتر اليومية'!H:H, A1004, 'دفتر اليومية'!E:E, "مبيعات اجل")</f>
        <v>0</v>
      </c>
      <c r="C1004" s="10">
        <f>SUMIFS('دفتر اليومية'!L:L, 'دفتر اليومية'!H:H, A1004, 'دفتر اليومية'!E:E, "مبيعات اجل")</f>
        <v>0</v>
      </c>
      <c r="D1004" s="108">
        <f t="shared" si="15"/>
        <v>0</v>
      </c>
    </row>
    <row r="1005" spans="1:4" x14ac:dyDescent="0.3">
      <c r="A1005" s="10"/>
      <c r="B1005" s="10">
        <f>SUMIFS('دفتر اليومية'!K:K, 'دفتر اليومية'!H:H, A1005, 'دفتر اليومية'!E:E, "مبيعات اجل")</f>
        <v>0</v>
      </c>
      <c r="C1005" s="10">
        <f>SUMIFS('دفتر اليومية'!L:L, 'دفتر اليومية'!H:H, A1005, 'دفتر اليومية'!E:E, "مبيعات اجل")</f>
        <v>0</v>
      </c>
      <c r="D1005" s="108">
        <f t="shared" si="15"/>
        <v>0</v>
      </c>
    </row>
    <row r="1006" spans="1:4" x14ac:dyDescent="0.3">
      <c r="A1006" s="10"/>
      <c r="B1006" s="10">
        <f>SUMIFS('دفتر اليومية'!K:K, 'دفتر اليومية'!H:H, A1006, 'دفتر اليومية'!E:E, "مبيعات اجل")</f>
        <v>0</v>
      </c>
      <c r="C1006" s="10">
        <f>SUMIFS('دفتر اليومية'!L:L, 'دفتر اليومية'!H:H, A1006, 'دفتر اليومية'!E:E, "مبيعات اجل")</f>
        <v>0</v>
      </c>
      <c r="D1006" s="108">
        <f t="shared" si="15"/>
        <v>0</v>
      </c>
    </row>
    <row r="1007" spans="1:4" x14ac:dyDescent="0.3">
      <c r="A1007" s="10"/>
      <c r="B1007" s="10">
        <f>SUMIFS('دفتر اليومية'!K:K, 'دفتر اليومية'!H:H, A1007, 'دفتر اليومية'!E:E, "مبيعات اجل")</f>
        <v>0</v>
      </c>
      <c r="C1007" s="10">
        <f>SUMIFS('دفتر اليومية'!L:L, 'دفتر اليومية'!H:H, A1007, 'دفتر اليومية'!E:E, "مبيعات اجل")</f>
        <v>0</v>
      </c>
      <c r="D1007" s="108">
        <f t="shared" si="15"/>
        <v>0</v>
      </c>
    </row>
    <row r="1008" spans="1:4" x14ac:dyDescent="0.3">
      <c r="A1008" s="10"/>
      <c r="B1008" s="10">
        <f>SUMIFS('دفتر اليومية'!K:K, 'دفتر اليومية'!H:H, A1008, 'دفتر اليومية'!E:E, "مبيعات اجل")</f>
        <v>0</v>
      </c>
      <c r="C1008" s="10">
        <f>SUMIFS('دفتر اليومية'!L:L, 'دفتر اليومية'!H:H, A1008, 'دفتر اليومية'!E:E, "مبيعات اجل")</f>
        <v>0</v>
      </c>
      <c r="D1008" s="108">
        <f t="shared" si="15"/>
        <v>0</v>
      </c>
    </row>
    <row r="1009" spans="1:4" x14ac:dyDescent="0.3">
      <c r="A1009" s="10"/>
      <c r="B1009" s="10">
        <f>SUMIFS('دفتر اليومية'!K:K, 'دفتر اليومية'!H:H, A1009, 'دفتر اليومية'!E:E, "مبيعات اجل")</f>
        <v>0</v>
      </c>
      <c r="C1009" s="10">
        <f>SUMIFS('دفتر اليومية'!L:L, 'دفتر اليومية'!H:H, A1009, 'دفتر اليومية'!E:E, "مبيعات اجل")</f>
        <v>0</v>
      </c>
      <c r="D1009" s="108">
        <f t="shared" si="15"/>
        <v>0</v>
      </c>
    </row>
    <row r="1010" spans="1:4" x14ac:dyDescent="0.3">
      <c r="A1010" s="10"/>
      <c r="B1010" s="10">
        <f>SUMIFS('دفتر اليومية'!K:K, 'دفتر اليومية'!H:H, A1010, 'دفتر اليومية'!E:E, "مبيعات اجل")</f>
        <v>0</v>
      </c>
      <c r="C1010" s="10">
        <f>SUMIFS('دفتر اليومية'!L:L, 'دفتر اليومية'!H:H, A1010, 'دفتر اليومية'!E:E, "مبيعات اجل")</f>
        <v>0</v>
      </c>
      <c r="D1010" s="108">
        <f t="shared" si="15"/>
        <v>0</v>
      </c>
    </row>
    <row r="1011" spans="1:4" x14ac:dyDescent="0.3">
      <c r="A1011" s="10"/>
      <c r="B1011" s="10">
        <f>SUMIFS('دفتر اليومية'!K:K, 'دفتر اليومية'!H:H, A1011, 'دفتر اليومية'!E:E, "مبيعات اجل")</f>
        <v>0</v>
      </c>
      <c r="C1011" s="10">
        <f>SUMIFS('دفتر اليومية'!L:L, 'دفتر اليومية'!H:H, A1011, 'دفتر اليومية'!E:E, "مبيعات اجل")</f>
        <v>0</v>
      </c>
      <c r="D1011" s="108">
        <f t="shared" si="15"/>
        <v>0</v>
      </c>
    </row>
    <row r="1012" spans="1:4" x14ac:dyDescent="0.3">
      <c r="A1012" s="10"/>
      <c r="B1012" s="10">
        <f>SUMIFS('دفتر اليومية'!K:K, 'دفتر اليومية'!H:H, A1012, 'دفتر اليومية'!E:E, "مبيعات اجل")</f>
        <v>0</v>
      </c>
      <c r="C1012" s="10">
        <f>SUMIFS('دفتر اليومية'!L:L, 'دفتر اليومية'!H:H, A1012, 'دفتر اليومية'!E:E, "مبيعات اجل")</f>
        <v>0</v>
      </c>
      <c r="D1012" s="108">
        <f t="shared" si="15"/>
        <v>0</v>
      </c>
    </row>
    <row r="1013" spans="1:4" x14ac:dyDescent="0.3">
      <c r="A1013" s="10"/>
      <c r="B1013" s="10">
        <f>SUMIFS('دفتر اليومية'!K:K, 'دفتر اليومية'!H:H, A1013, 'دفتر اليومية'!E:E, "مبيعات اجل")</f>
        <v>0</v>
      </c>
      <c r="C1013" s="10">
        <f>SUMIFS('دفتر اليومية'!L:L, 'دفتر اليومية'!H:H, A1013, 'دفتر اليومية'!E:E, "مبيعات اجل")</f>
        <v>0</v>
      </c>
      <c r="D1013" s="108">
        <f t="shared" si="15"/>
        <v>0</v>
      </c>
    </row>
    <row r="1014" spans="1:4" x14ac:dyDescent="0.3">
      <c r="A1014" s="10"/>
      <c r="B1014" s="10">
        <f>SUMIFS('دفتر اليومية'!K:K, 'دفتر اليومية'!H:H, A1014, 'دفتر اليومية'!E:E, "مبيعات اجل")</f>
        <v>0</v>
      </c>
      <c r="C1014" s="10">
        <f>SUMIFS('دفتر اليومية'!L:L, 'دفتر اليومية'!H:H, A1014, 'دفتر اليومية'!E:E, "مبيعات اجل")</f>
        <v>0</v>
      </c>
      <c r="D1014" s="108">
        <f t="shared" si="15"/>
        <v>0</v>
      </c>
    </row>
    <row r="1015" spans="1:4" x14ac:dyDescent="0.3">
      <c r="A1015" s="10"/>
      <c r="B1015" s="10">
        <f>SUMIFS('دفتر اليومية'!K:K, 'دفتر اليومية'!H:H, A1015, 'دفتر اليومية'!E:E, "مبيعات اجل")</f>
        <v>0</v>
      </c>
      <c r="C1015" s="10">
        <f>SUMIFS('دفتر اليومية'!L:L, 'دفتر اليومية'!H:H, A1015, 'دفتر اليومية'!E:E, "مبيعات اجل")</f>
        <v>0</v>
      </c>
      <c r="D1015" s="108">
        <f t="shared" si="15"/>
        <v>0</v>
      </c>
    </row>
    <row r="1016" spans="1:4" x14ac:dyDescent="0.3">
      <c r="A1016" s="10"/>
      <c r="B1016" s="10">
        <f>SUMIFS('دفتر اليومية'!K:K, 'دفتر اليومية'!H:H, A1016, 'دفتر اليومية'!E:E, "مبيعات اجل")</f>
        <v>0</v>
      </c>
      <c r="C1016" s="10">
        <f>SUMIFS('دفتر اليومية'!L:L, 'دفتر اليومية'!H:H, A1016, 'دفتر اليومية'!E:E, "مبيعات اجل")</f>
        <v>0</v>
      </c>
      <c r="D1016" s="108">
        <f t="shared" si="15"/>
        <v>0</v>
      </c>
    </row>
    <row r="1017" spans="1:4" x14ac:dyDescent="0.3">
      <c r="A1017" s="10"/>
      <c r="B1017" s="10">
        <f>SUMIFS('دفتر اليومية'!K:K, 'دفتر اليومية'!H:H, A1017, 'دفتر اليومية'!E:E, "مبيعات اجل")</f>
        <v>0</v>
      </c>
      <c r="C1017" s="10">
        <f>SUMIFS('دفتر اليومية'!L:L, 'دفتر اليومية'!H:H, A1017, 'دفتر اليومية'!E:E, "مبيعات اجل")</f>
        <v>0</v>
      </c>
      <c r="D1017" s="108">
        <f t="shared" si="15"/>
        <v>0</v>
      </c>
    </row>
    <row r="1018" spans="1:4" x14ac:dyDescent="0.3">
      <c r="A1018" s="10"/>
      <c r="B1018" s="10">
        <f>SUMIFS('دفتر اليومية'!K:K, 'دفتر اليومية'!H:H, A1018, 'دفتر اليومية'!E:E, "مبيعات اجل")</f>
        <v>0</v>
      </c>
      <c r="C1018" s="10">
        <f>SUMIFS('دفتر اليومية'!L:L, 'دفتر اليومية'!H:H, A1018, 'دفتر اليومية'!E:E, "مبيعات اجل")</f>
        <v>0</v>
      </c>
      <c r="D1018" s="108">
        <f t="shared" si="15"/>
        <v>0</v>
      </c>
    </row>
    <row r="1019" spans="1:4" x14ac:dyDescent="0.3">
      <c r="A1019" s="10"/>
      <c r="B1019" s="10">
        <f>SUMIFS('دفتر اليومية'!K:K, 'دفتر اليومية'!H:H, A1019, 'دفتر اليومية'!E:E, "مبيعات اجل")</f>
        <v>0</v>
      </c>
      <c r="C1019" s="10">
        <f>SUMIFS('دفتر اليومية'!L:L, 'دفتر اليومية'!H:H, A1019, 'دفتر اليومية'!E:E, "مبيعات اجل")</f>
        <v>0</v>
      </c>
      <c r="D1019" s="108">
        <f t="shared" si="15"/>
        <v>0</v>
      </c>
    </row>
    <row r="1020" spans="1:4" x14ac:dyDescent="0.3">
      <c r="A1020" s="10"/>
      <c r="B1020" s="10">
        <f>SUMIFS('دفتر اليومية'!K:K, 'دفتر اليومية'!H:H, A1020, 'دفتر اليومية'!E:E, "مبيعات اجل")</f>
        <v>0</v>
      </c>
      <c r="C1020" s="10">
        <f>SUMIFS('دفتر اليومية'!L:L, 'دفتر اليومية'!H:H, A1020, 'دفتر اليومية'!E:E, "مبيعات اجل")</f>
        <v>0</v>
      </c>
      <c r="D1020" s="108">
        <f t="shared" si="15"/>
        <v>0</v>
      </c>
    </row>
    <row r="1021" spans="1:4" x14ac:dyDescent="0.3">
      <c r="A1021" s="10"/>
      <c r="B1021" s="10">
        <f>SUMIFS('دفتر اليومية'!K:K, 'دفتر اليومية'!H:H, A1021, 'دفتر اليومية'!E:E, "مبيعات اجل")</f>
        <v>0</v>
      </c>
      <c r="C1021" s="10">
        <f>SUMIFS('دفتر اليومية'!L:L, 'دفتر اليومية'!H:H, A1021, 'دفتر اليومية'!E:E, "مبيعات اجل")</f>
        <v>0</v>
      </c>
      <c r="D1021" s="108">
        <f t="shared" si="15"/>
        <v>0</v>
      </c>
    </row>
    <row r="1022" spans="1:4" x14ac:dyDescent="0.3">
      <c r="A1022" s="10"/>
      <c r="B1022" s="10">
        <f>SUMIFS('دفتر اليومية'!K:K, 'دفتر اليومية'!H:H, A1022, 'دفتر اليومية'!E:E, "مبيعات اجل")</f>
        <v>0</v>
      </c>
      <c r="C1022" s="10">
        <f>SUMIFS('دفتر اليومية'!L:L, 'دفتر اليومية'!H:H, A1022, 'دفتر اليومية'!E:E, "مبيعات اجل")</f>
        <v>0</v>
      </c>
      <c r="D1022" s="108">
        <f t="shared" si="15"/>
        <v>0</v>
      </c>
    </row>
    <row r="1023" spans="1:4" x14ac:dyDescent="0.3">
      <c r="A1023" s="10"/>
      <c r="B1023" s="10">
        <f>SUMIFS('دفتر اليومية'!K:K, 'دفتر اليومية'!H:H, A1023, 'دفتر اليومية'!E:E, "مبيعات اجل")</f>
        <v>0</v>
      </c>
      <c r="C1023" s="10">
        <f>SUMIFS('دفتر اليومية'!L:L, 'دفتر اليومية'!H:H, A1023, 'دفتر اليومية'!E:E, "مبيعات اجل")</f>
        <v>0</v>
      </c>
      <c r="D1023" s="108">
        <f t="shared" si="15"/>
        <v>0</v>
      </c>
    </row>
    <row r="1024" spans="1:4" x14ac:dyDescent="0.3">
      <c r="A1024" s="10"/>
      <c r="B1024" s="10">
        <f>SUMIFS('دفتر اليومية'!K:K, 'دفتر اليومية'!H:H, A1024, 'دفتر اليومية'!E:E, "مبيعات اجل")</f>
        <v>0</v>
      </c>
      <c r="C1024" s="10">
        <f>SUMIFS('دفتر اليومية'!L:L, 'دفتر اليومية'!H:H, A1024, 'دفتر اليومية'!E:E, "مبيعات اجل")</f>
        <v>0</v>
      </c>
      <c r="D1024" s="108">
        <f t="shared" si="15"/>
        <v>0</v>
      </c>
    </row>
    <row r="1025" spans="1:4" x14ac:dyDescent="0.3">
      <c r="A1025" s="10"/>
      <c r="B1025" s="10">
        <f>SUMIFS('دفتر اليومية'!K:K, 'دفتر اليومية'!H:H, A1025, 'دفتر اليومية'!E:E, "مبيعات اجل")</f>
        <v>0</v>
      </c>
      <c r="C1025" s="10">
        <f>SUMIFS('دفتر اليومية'!L:L, 'دفتر اليومية'!H:H, A1025, 'دفتر اليومية'!E:E, "مبيعات اجل")</f>
        <v>0</v>
      </c>
      <c r="D1025" s="108">
        <f t="shared" si="15"/>
        <v>0</v>
      </c>
    </row>
    <row r="1026" spans="1:4" x14ac:dyDescent="0.3">
      <c r="A1026" s="10"/>
      <c r="B1026" s="10">
        <f>SUMIFS('دفتر اليومية'!K:K, 'دفتر اليومية'!H:H, A1026, 'دفتر اليومية'!E:E, "مبيعات اجل")</f>
        <v>0</v>
      </c>
      <c r="C1026" s="10">
        <f>SUMIFS('دفتر اليومية'!L:L, 'دفتر اليومية'!H:H, A1026, 'دفتر اليومية'!E:E, "مبيعات اجل")</f>
        <v>0</v>
      </c>
      <c r="D1026" s="108">
        <f t="shared" si="15"/>
        <v>0</v>
      </c>
    </row>
    <row r="1027" spans="1:4" x14ac:dyDescent="0.3">
      <c r="A1027" s="10"/>
      <c r="B1027" s="10">
        <f>SUMIFS('دفتر اليومية'!K:K, 'دفتر اليومية'!H:H, A1027, 'دفتر اليومية'!E:E, "مبيعات اجل")</f>
        <v>0</v>
      </c>
      <c r="C1027" s="10">
        <f>SUMIFS('دفتر اليومية'!L:L, 'دفتر اليومية'!H:H, A1027, 'دفتر اليومية'!E:E, "مبيعات اجل")</f>
        <v>0</v>
      </c>
      <c r="D1027" s="108">
        <f t="shared" ref="D1027:D1090" si="16">B1027-C1027</f>
        <v>0</v>
      </c>
    </row>
    <row r="1028" spans="1:4" x14ac:dyDescent="0.3">
      <c r="A1028" s="10"/>
      <c r="B1028" s="10">
        <f>SUMIFS('دفتر اليومية'!K:K, 'دفتر اليومية'!H:H, A1028, 'دفتر اليومية'!E:E, "مبيعات اجل")</f>
        <v>0</v>
      </c>
      <c r="C1028" s="10">
        <f>SUMIFS('دفتر اليومية'!L:L, 'دفتر اليومية'!H:H, A1028, 'دفتر اليومية'!E:E, "مبيعات اجل")</f>
        <v>0</v>
      </c>
      <c r="D1028" s="108">
        <f t="shared" si="16"/>
        <v>0</v>
      </c>
    </row>
    <row r="1029" spans="1:4" x14ac:dyDescent="0.3">
      <c r="A1029" s="10"/>
      <c r="B1029" s="10">
        <f>SUMIFS('دفتر اليومية'!K:K, 'دفتر اليومية'!H:H, A1029, 'دفتر اليومية'!E:E, "مبيعات اجل")</f>
        <v>0</v>
      </c>
      <c r="C1029" s="10">
        <f>SUMIFS('دفتر اليومية'!L:L, 'دفتر اليومية'!H:H, A1029, 'دفتر اليومية'!E:E, "مبيعات اجل")</f>
        <v>0</v>
      </c>
      <c r="D1029" s="108">
        <f t="shared" si="16"/>
        <v>0</v>
      </c>
    </row>
    <row r="1030" spans="1:4" x14ac:dyDescent="0.3">
      <c r="A1030" s="10"/>
      <c r="B1030" s="10">
        <f>SUMIFS('دفتر اليومية'!K:K, 'دفتر اليومية'!H:H, A1030, 'دفتر اليومية'!E:E, "مبيعات اجل")</f>
        <v>0</v>
      </c>
      <c r="C1030" s="10">
        <f>SUMIFS('دفتر اليومية'!L:L, 'دفتر اليومية'!H:H, A1030, 'دفتر اليومية'!E:E, "مبيعات اجل")</f>
        <v>0</v>
      </c>
      <c r="D1030" s="108">
        <f t="shared" si="16"/>
        <v>0</v>
      </c>
    </row>
    <row r="1031" spans="1:4" x14ac:dyDescent="0.3">
      <c r="A1031" s="10"/>
      <c r="B1031" s="10">
        <f>SUMIFS('دفتر اليومية'!K:K, 'دفتر اليومية'!H:H, A1031, 'دفتر اليومية'!E:E, "مبيعات اجل")</f>
        <v>0</v>
      </c>
      <c r="C1031" s="10">
        <f>SUMIFS('دفتر اليومية'!L:L, 'دفتر اليومية'!H:H, A1031, 'دفتر اليومية'!E:E, "مبيعات اجل")</f>
        <v>0</v>
      </c>
      <c r="D1031" s="108">
        <f t="shared" si="16"/>
        <v>0</v>
      </c>
    </row>
    <row r="1032" spans="1:4" x14ac:dyDescent="0.3">
      <c r="A1032" s="10"/>
      <c r="B1032" s="10">
        <f>SUMIFS('دفتر اليومية'!K:K, 'دفتر اليومية'!H:H, A1032, 'دفتر اليومية'!E:E, "مبيعات اجل")</f>
        <v>0</v>
      </c>
      <c r="C1032" s="10">
        <f>SUMIFS('دفتر اليومية'!L:L, 'دفتر اليومية'!H:H, A1032, 'دفتر اليومية'!E:E, "مبيعات اجل")</f>
        <v>0</v>
      </c>
      <c r="D1032" s="108">
        <f t="shared" si="16"/>
        <v>0</v>
      </c>
    </row>
    <row r="1033" spans="1:4" x14ac:dyDescent="0.3">
      <c r="A1033" s="10"/>
      <c r="B1033" s="10">
        <f>SUMIFS('دفتر اليومية'!K:K, 'دفتر اليومية'!H:H, A1033, 'دفتر اليومية'!E:E, "مبيعات اجل")</f>
        <v>0</v>
      </c>
      <c r="C1033" s="10">
        <f>SUMIFS('دفتر اليومية'!L:L, 'دفتر اليومية'!H:H, A1033, 'دفتر اليومية'!E:E, "مبيعات اجل")</f>
        <v>0</v>
      </c>
      <c r="D1033" s="108">
        <f t="shared" si="16"/>
        <v>0</v>
      </c>
    </row>
    <row r="1034" spans="1:4" x14ac:dyDescent="0.3">
      <c r="A1034" s="10"/>
      <c r="B1034" s="10">
        <f>SUMIFS('دفتر اليومية'!K:K, 'دفتر اليومية'!H:H, A1034, 'دفتر اليومية'!E:E, "مبيعات اجل")</f>
        <v>0</v>
      </c>
      <c r="C1034" s="10">
        <f>SUMIFS('دفتر اليومية'!L:L, 'دفتر اليومية'!H:H, A1034, 'دفتر اليومية'!E:E, "مبيعات اجل")</f>
        <v>0</v>
      </c>
      <c r="D1034" s="108">
        <f t="shared" si="16"/>
        <v>0</v>
      </c>
    </row>
    <row r="1035" spans="1:4" x14ac:dyDescent="0.3">
      <c r="A1035" s="10"/>
      <c r="B1035" s="10">
        <f>SUMIFS('دفتر اليومية'!K:K, 'دفتر اليومية'!H:H, A1035, 'دفتر اليومية'!E:E, "مبيعات اجل")</f>
        <v>0</v>
      </c>
      <c r="C1035" s="10">
        <f>SUMIFS('دفتر اليومية'!L:L, 'دفتر اليومية'!H:H, A1035, 'دفتر اليومية'!E:E, "مبيعات اجل")</f>
        <v>0</v>
      </c>
      <c r="D1035" s="108">
        <f t="shared" si="16"/>
        <v>0</v>
      </c>
    </row>
    <row r="1036" spans="1:4" x14ac:dyDescent="0.3">
      <c r="A1036" s="10"/>
      <c r="B1036" s="10">
        <f>SUMIFS('دفتر اليومية'!K:K, 'دفتر اليومية'!H:H, A1036, 'دفتر اليومية'!E:E, "مبيعات اجل")</f>
        <v>0</v>
      </c>
      <c r="C1036" s="10">
        <f>SUMIFS('دفتر اليومية'!L:L, 'دفتر اليومية'!H:H, A1036, 'دفتر اليومية'!E:E, "مبيعات اجل")</f>
        <v>0</v>
      </c>
      <c r="D1036" s="108">
        <f t="shared" si="16"/>
        <v>0</v>
      </c>
    </row>
    <row r="1037" spans="1:4" x14ac:dyDescent="0.3">
      <c r="A1037" s="10"/>
      <c r="B1037" s="10">
        <f>SUMIFS('دفتر اليومية'!K:K, 'دفتر اليومية'!H:H, A1037, 'دفتر اليومية'!E:E, "مبيعات اجل")</f>
        <v>0</v>
      </c>
      <c r="C1037" s="10">
        <f>SUMIFS('دفتر اليومية'!L:L, 'دفتر اليومية'!H:H, A1037, 'دفتر اليومية'!E:E, "مبيعات اجل")</f>
        <v>0</v>
      </c>
      <c r="D1037" s="108">
        <f t="shared" si="16"/>
        <v>0</v>
      </c>
    </row>
    <row r="1038" spans="1:4" x14ac:dyDescent="0.3">
      <c r="A1038" s="10"/>
      <c r="B1038" s="10">
        <f>SUMIFS('دفتر اليومية'!K:K, 'دفتر اليومية'!H:H, A1038, 'دفتر اليومية'!E:E, "مبيعات اجل")</f>
        <v>0</v>
      </c>
      <c r="C1038" s="10">
        <f>SUMIFS('دفتر اليومية'!L:L, 'دفتر اليومية'!H:H, A1038, 'دفتر اليومية'!E:E, "مبيعات اجل")</f>
        <v>0</v>
      </c>
      <c r="D1038" s="108">
        <f t="shared" si="16"/>
        <v>0</v>
      </c>
    </row>
    <row r="1039" spans="1:4" x14ac:dyDescent="0.3">
      <c r="A1039" s="10"/>
      <c r="B1039" s="10">
        <f>SUMIFS('دفتر اليومية'!K:K, 'دفتر اليومية'!H:H, A1039, 'دفتر اليومية'!E:E, "مبيعات اجل")</f>
        <v>0</v>
      </c>
      <c r="C1039" s="10">
        <f>SUMIFS('دفتر اليومية'!L:L, 'دفتر اليومية'!H:H, A1039, 'دفتر اليومية'!E:E, "مبيعات اجل")</f>
        <v>0</v>
      </c>
      <c r="D1039" s="108">
        <f t="shared" si="16"/>
        <v>0</v>
      </c>
    </row>
    <row r="1040" spans="1:4" x14ac:dyDescent="0.3">
      <c r="A1040" s="10"/>
      <c r="B1040" s="10">
        <f>SUMIFS('دفتر اليومية'!K:K, 'دفتر اليومية'!H:H, A1040, 'دفتر اليومية'!E:E, "مبيعات اجل")</f>
        <v>0</v>
      </c>
      <c r="C1040" s="10">
        <f>SUMIFS('دفتر اليومية'!L:L, 'دفتر اليومية'!H:H, A1040, 'دفتر اليومية'!E:E, "مبيعات اجل")</f>
        <v>0</v>
      </c>
      <c r="D1040" s="108">
        <f t="shared" si="16"/>
        <v>0</v>
      </c>
    </row>
    <row r="1041" spans="1:4" x14ac:dyDescent="0.3">
      <c r="A1041" s="10"/>
      <c r="B1041" s="10">
        <f>SUMIFS('دفتر اليومية'!K:K, 'دفتر اليومية'!H:H, A1041, 'دفتر اليومية'!E:E, "مبيعات اجل")</f>
        <v>0</v>
      </c>
      <c r="C1041" s="10">
        <f>SUMIFS('دفتر اليومية'!L:L, 'دفتر اليومية'!H:H, A1041, 'دفتر اليومية'!E:E, "مبيعات اجل")</f>
        <v>0</v>
      </c>
      <c r="D1041" s="108">
        <f t="shared" si="16"/>
        <v>0</v>
      </c>
    </row>
    <row r="1042" spans="1:4" x14ac:dyDescent="0.3">
      <c r="A1042" s="10"/>
      <c r="B1042" s="10">
        <f>SUMIFS('دفتر اليومية'!K:K, 'دفتر اليومية'!H:H, A1042, 'دفتر اليومية'!E:E, "مبيعات اجل")</f>
        <v>0</v>
      </c>
      <c r="C1042" s="10">
        <f>SUMIFS('دفتر اليومية'!L:L, 'دفتر اليومية'!H:H, A1042, 'دفتر اليومية'!E:E, "مبيعات اجل")</f>
        <v>0</v>
      </c>
      <c r="D1042" s="108">
        <f t="shared" si="16"/>
        <v>0</v>
      </c>
    </row>
    <row r="1043" spans="1:4" x14ac:dyDescent="0.3">
      <c r="A1043" s="10"/>
      <c r="B1043" s="10">
        <f>SUMIFS('دفتر اليومية'!K:K, 'دفتر اليومية'!H:H, A1043, 'دفتر اليومية'!E:E, "مبيعات اجل")</f>
        <v>0</v>
      </c>
      <c r="C1043" s="10">
        <f>SUMIFS('دفتر اليومية'!L:L, 'دفتر اليومية'!H:H, A1043, 'دفتر اليومية'!E:E, "مبيعات اجل")</f>
        <v>0</v>
      </c>
      <c r="D1043" s="108">
        <f t="shared" si="16"/>
        <v>0</v>
      </c>
    </row>
    <row r="1044" spans="1:4" x14ac:dyDescent="0.3">
      <c r="A1044" s="10"/>
      <c r="B1044" s="10">
        <f>SUMIFS('دفتر اليومية'!K:K, 'دفتر اليومية'!H:H, A1044, 'دفتر اليومية'!E:E, "مبيعات اجل")</f>
        <v>0</v>
      </c>
      <c r="C1044" s="10">
        <f>SUMIFS('دفتر اليومية'!L:L, 'دفتر اليومية'!H:H, A1044, 'دفتر اليومية'!E:E, "مبيعات اجل")</f>
        <v>0</v>
      </c>
      <c r="D1044" s="108">
        <f t="shared" si="16"/>
        <v>0</v>
      </c>
    </row>
    <row r="1045" spans="1:4" x14ac:dyDescent="0.3">
      <c r="A1045" s="10"/>
      <c r="B1045" s="10">
        <f>SUMIFS('دفتر اليومية'!K:K, 'دفتر اليومية'!H:H, A1045, 'دفتر اليومية'!E:E, "مبيعات اجل")</f>
        <v>0</v>
      </c>
      <c r="C1045" s="10">
        <f>SUMIFS('دفتر اليومية'!L:L, 'دفتر اليومية'!H:H, A1045, 'دفتر اليومية'!E:E, "مبيعات اجل")</f>
        <v>0</v>
      </c>
      <c r="D1045" s="108">
        <f t="shared" si="16"/>
        <v>0</v>
      </c>
    </row>
    <row r="1046" spans="1:4" x14ac:dyDescent="0.3">
      <c r="A1046" s="10"/>
      <c r="B1046" s="10">
        <f>SUMIFS('دفتر اليومية'!K:K, 'دفتر اليومية'!H:H, A1046, 'دفتر اليومية'!E:E, "مبيعات اجل")</f>
        <v>0</v>
      </c>
      <c r="C1046" s="10">
        <f>SUMIFS('دفتر اليومية'!L:L, 'دفتر اليومية'!H:H, A1046, 'دفتر اليومية'!E:E, "مبيعات اجل")</f>
        <v>0</v>
      </c>
      <c r="D1046" s="108">
        <f t="shared" si="16"/>
        <v>0</v>
      </c>
    </row>
    <row r="1047" spans="1:4" x14ac:dyDescent="0.3">
      <c r="A1047" s="10"/>
      <c r="B1047" s="10">
        <f>SUMIFS('دفتر اليومية'!K:K, 'دفتر اليومية'!H:H, A1047, 'دفتر اليومية'!E:E, "مبيعات اجل")</f>
        <v>0</v>
      </c>
      <c r="C1047" s="10">
        <f>SUMIFS('دفتر اليومية'!L:L, 'دفتر اليومية'!H:H, A1047, 'دفتر اليومية'!E:E, "مبيعات اجل")</f>
        <v>0</v>
      </c>
      <c r="D1047" s="108">
        <f t="shared" si="16"/>
        <v>0</v>
      </c>
    </row>
    <row r="1048" spans="1:4" x14ac:dyDescent="0.3">
      <c r="A1048" s="10"/>
      <c r="B1048" s="10">
        <f>SUMIFS('دفتر اليومية'!K:K, 'دفتر اليومية'!H:H, A1048, 'دفتر اليومية'!E:E, "مبيعات اجل")</f>
        <v>0</v>
      </c>
      <c r="C1048" s="10">
        <f>SUMIFS('دفتر اليومية'!L:L, 'دفتر اليومية'!H:H, A1048, 'دفتر اليومية'!E:E, "مبيعات اجل")</f>
        <v>0</v>
      </c>
      <c r="D1048" s="108">
        <f t="shared" si="16"/>
        <v>0</v>
      </c>
    </row>
    <row r="1049" spans="1:4" x14ac:dyDescent="0.3">
      <c r="A1049" s="10"/>
      <c r="B1049" s="10">
        <f>SUMIFS('دفتر اليومية'!K:K, 'دفتر اليومية'!H:H, A1049, 'دفتر اليومية'!E:E, "مبيعات اجل")</f>
        <v>0</v>
      </c>
      <c r="C1049" s="10">
        <f>SUMIFS('دفتر اليومية'!L:L, 'دفتر اليومية'!H:H, A1049, 'دفتر اليومية'!E:E, "مبيعات اجل")</f>
        <v>0</v>
      </c>
      <c r="D1049" s="108">
        <f t="shared" si="16"/>
        <v>0</v>
      </c>
    </row>
    <row r="1050" spans="1:4" x14ac:dyDescent="0.3">
      <c r="A1050" s="10"/>
      <c r="B1050" s="10">
        <f>SUMIFS('دفتر اليومية'!K:K, 'دفتر اليومية'!H:H, A1050, 'دفتر اليومية'!E:E, "مبيعات اجل")</f>
        <v>0</v>
      </c>
      <c r="C1050" s="10">
        <f>SUMIFS('دفتر اليومية'!L:L, 'دفتر اليومية'!H:H, A1050, 'دفتر اليومية'!E:E, "مبيعات اجل")</f>
        <v>0</v>
      </c>
      <c r="D1050" s="108">
        <f t="shared" si="16"/>
        <v>0</v>
      </c>
    </row>
    <row r="1051" spans="1:4" x14ac:dyDescent="0.3">
      <c r="A1051" s="10"/>
      <c r="B1051" s="10">
        <f>SUMIFS('دفتر اليومية'!K:K, 'دفتر اليومية'!H:H, A1051, 'دفتر اليومية'!E:E, "مبيعات اجل")</f>
        <v>0</v>
      </c>
      <c r="C1051" s="10">
        <f>SUMIFS('دفتر اليومية'!L:L, 'دفتر اليومية'!H:H, A1051, 'دفتر اليومية'!E:E, "مبيعات اجل")</f>
        <v>0</v>
      </c>
      <c r="D1051" s="108">
        <f t="shared" si="16"/>
        <v>0</v>
      </c>
    </row>
    <row r="1052" spans="1:4" x14ac:dyDescent="0.3">
      <c r="A1052" s="10"/>
      <c r="B1052" s="10">
        <f>SUMIFS('دفتر اليومية'!K:K, 'دفتر اليومية'!H:H, A1052, 'دفتر اليومية'!E:E, "مبيعات اجل")</f>
        <v>0</v>
      </c>
      <c r="C1052" s="10">
        <f>SUMIFS('دفتر اليومية'!L:L, 'دفتر اليومية'!H:H, A1052, 'دفتر اليومية'!E:E, "مبيعات اجل")</f>
        <v>0</v>
      </c>
      <c r="D1052" s="108">
        <f t="shared" si="16"/>
        <v>0</v>
      </c>
    </row>
    <row r="1053" spans="1:4" x14ac:dyDescent="0.3">
      <c r="A1053" s="10"/>
      <c r="B1053" s="10">
        <f>SUMIFS('دفتر اليومية'!K:K, 'دفتر اليومية'!H:H, A1053, 'دفتر اليومية'!E:E, "مبيعات اجل")</f>
        <v>0</v>
      </c>
      <c r="C1053" s="10">
        <f>SUMIFS('دفتر اليومية'!L:L, 'دفتر اليومية'!H:H, A1053, 'دفتر اليومية'!E:E, "مبيعات اجل")</f>
        <v>0</v>
      </c>
      <c r="D1053" s="108">
        <f t="shared" si="16"/>
        <v>0</v>
      </c>
    </row>
    <row r="1054" spans="1:4" x14ac:dyDescent="0.3">
      <c r="A1054" s="10"/>
      <c r="B1054" s="10">
        <f>SUMIFS('دفتر اليومية'!K:K, 'دفتر اليومية'!H:H, A1054, 'دفتر اليومية'!E:E, "مبيعات اجل")</f>
        <v>0</v>
      </c>
      <c r="C1054" s="10">
        <f>SUMIFS('دفتر اليومية'!L:L, 'دفتر اليومية'!H:H, A1054, 'دفتر اليومية'!E:E, "مبيعات اجل")</f>
        <v>0</v>
      </c>
      <c r="D1054" s="108">
        <f t="shared" si="16"/>
        <v>0</v>
      </c>
    </row>
    <row r="1055" spans="1:4" x14ac:dyDescent="0.3">
      <c r="A1055" s="10"/>
      <c r="B1055" s="10">
        <f>SUMIFS('دفتر اليومية'!K:K, 'دفتر اليومية'!H:H, A1055, 'دفتر اليومية'!E:E, "مبيعات اجل")</f>
        <v>0</v>
      </c>
      <c r="C1055" s="10">
        <f>SUMIFS('دفتر اليومية'!L:L, 'دفتر اليومية'!H:H, A1055, 'دفتر اليومية'!E:E, "مبيعات اجل")</f>
        <v>0</v>
      </c>
      <c r="D1055" s="108">
        <f t="shared" si="16"/>
        <v>0</v>
      </c>
    </row>
    <row r="1056" spans="1:4" x14ac:dyDescent="0.3">
      <c r="A1056" s="10"/>
      <c r="B1056" s="10">
        <f>SUMIFS('دفتر اليومية'!K:K, 'دفتر اليومية'!H:H, A1056, 'دفتر اليومية'!E:E, "مبيعات اجل")</f>
        <v>0</v>
      </c>
      <c r="C1056" s="10">
        <f>SUMIFS('دفتر اليومية'!L:L, 'دفتر اليومية'!H:H, A1056, 'دفتر اليومية'!E:E, "مبيعات اجل")</f>
        <v>0</v>
      </c>
      <c r="D1056" s="108">
        <f t="shared" si="16"/>
        <v>0</v>
      </c>
    </row>
    <row r="1057" spans="1:4" x14ac:dyDescent="0.3">
      <c r="A1057" s="10"/>
      <c r="B1057" s="10">
        <f>SUMIFS('دفتر اليومية'!K:K, 'دفتر اليومية'!H:H, A1057, 'دفتر اليومية'!E:E, "مبيعات اجل")</f>
        <v>0</v>
      </c>
      <c r="C1057" s="10">
        <f>SUMIFS('دفتر اليومية'!L:L, 'دفتر اليومية'!H:H, A1057, 'دفتر اليومية'!E:E, "مبيعات اجل")</f>
        <v>0</v>
      </c>
      <c r="D1057" s="108">
        <f t="shared" si="16"/>
        <v>0</v>
      </c>
    </row>
    <row r="1058" spans="1:4" x14ac:dyDescent="0.3">
      <c r="A1058" s="10"/>
      <c r="B1058" s="10">
        <f>SUMIFS('دفتر اليومية'!K:K, 'دفتر اليومية'!H:H, A1058, 'دفتر اليومية'!E:E, "مبيعات اجل")</f>
        <v>0</v>
      </c>
      <c r="C1058" s="10">
        <f>SUMIFS('دفتر اليومية'!L:L, 'دفتر اليومية'!H:H, A1058, 'دفتر اليومية'!E:E, "مبيعات اجل")</f>
        <v>0</v>
      </c>
      <c r="D1058" s="108">
        <f t="shared" si="16"/>
        <v>0</v>
      </c>
    </row>
    <row r="1059" spans="1:4" x14ac:dyDescent="0.3">
      <c r="A1059" s="10"/>
      <c r="B1059" s="10">
        <f>SUMIFS('دفتر اليومية'!K:K, 'دفتر اليومية'!H:H, A1059, 'دفتر اليومية'!E:E, "مبيعات اجل")</f>
        <v>0</v>
      </c>
      <c r="C1059" s="10">
        <f>SUMIFS('دفتر اليومية'!L:L, 'دفتر اليومية'!H:H, A1059, 'دفتر اليومية'!E:E, "مبيعات اجل")</f>
        <v>0</v>
      </c>
      <c r="D1059" s="108">
        <f t="shared" si="16"/>
        <v>0</v>
      </c>
    </row>
    <row r="1060" spans="1:4" x14ac:dyDescent="0.3">
      <c r="A1060" s="10"/>
      <c r="B1060" s="10">
        <f>SUMIFS('دفتر اليومية'!K:K, 'دفتر اليومية'!H:H, A1060, 'دفتر اليومية'!E:E, "مبيعات اجل")</f>
        <v>0</v>
      </c>
      <c r="C1060" s="10">
        <f>SUMIFS('دفتر اليومية'!L:L, 'دفتر اليومية'!H:H, A1060, 'دفتر اليومية'!E:E, "مبيعات اجل")</f>
        <v>0</v>
      </c>
      <c r="D1060" s="108">
        <f t="shared" si="16"/>
        <v>0</v>
      </c>
    </row>
    <row r="1061" spans="1:4" x14ac:dyDescent="0.3">
      <c r="A1061" s="10"/>
      <c r="B1061" s="10">
        <f>SUMIFS('دفتر اليومية'!K:K, 'دفتر اليومية'!H:H, A1061, 'دفتر اليومية'!E:E, "مبيعات اجل")</f>
        <v>0</v>
      </c>
      <c r="C1061" s="10">
        <f>SUMIFS('دفتر اليومية'!L:L, 'دفتر اليومية'!H:H, A1061, 'دفتر اليومية'!E:E, "مبيعات اجل")</f>
        <v>0</v>
      </c>
      <c r="D1061" s="108">
        <f t="shared" si="16"/>
        <v>0</v>
      </c>
    </row>
    <row r="1062" spans="1:4" x14ac:dyDescent="0.3">
      <c r="A1062" s="10"/>
      <c r="B1062" s="10">
        <f>SUMIFS('دفتر اليومية'!K:K, 'دفتر اليومية'!H:H, A1062, 'دفتر اليومية'!E:E, "مبيعات اجل")</f>
        <v>0</v>
      </c>
      <c r="C1062" s="10">
        <f>SUMIFS('دفتر اليومية'!L:L, 'دفتر اليومية'!H:H, A1062, 'دفتر اليومية'!E:E, "مبيعات اجل")</f>
        <v>0</v>
      </c>
      <c r="D1062" s="108">
        <f t="shared" si="16"/>
        <v>0</v>
      </c>
    </row>
    <row r="1063" spans="1:4" x14ac:dyDescent="0.3">
      <c r="A1063" s="10"/>
      <c r="B1063" s="10">
        <f>SUMIFS('دفتر اليومية'!K:K, 'دفتر اليومية'!H:H, A1063, 'دفتر اليومية'!E:E, "مبيعات اجل")</f>
        <v>0</v>
      </c>
      <c r="C1063" s="10">
        <f>SUMIFS('دفتر اليومية'!L:L, 'دفتر اليومية'!H:H, A1063, 'دفتر اليومية'!E:E, "مبيعات اجل")</f>
        <v>0</v>
      </c>
      <c r="D1063" s="108">
        <f t="shared" si="16"/>
        <v>0</v>
      </c>
    </row>
    <row r="1064" spans="1:4" x14ac:dyDescent="0.3">
      <c r="A1064" s="10"/>
      <c r="B1064" s="10">
        <f>SUMIFS('دفتر اليومية'!K:K, 'دفتر اليومية'!H:H, A1064, 'دفتر اليومية'!E:E, "مبيعات اجل")</f>
        <v>0</v>
      </c>
      <c r="C1064" s="10">
        <f>SUMIFS('دفتر اليومية'!L:L, 'دفتر اليومية'!H:H, A1064, 'دفتر اليومية'!E:E, "مبيعات اجل")</f>
        <v>0</v>
      </c>
      <c r="D1064" s="108">
        <f t="shared" si="16"/>
        <v>0</v>
      </c>
    </row>
    <row r="1065" spans="1:4" x14ac:dyDescent="0.3">
      <c r="A1065" s="10"/>
      <c r="B1065" s="10">
        <f>SUMIFS('دفتر اليومية'!K:K, 'دفتر اليومية'!H:H, A1065, 'دفتر اليومية'!E:E, "مبيعات اجل")</f>
        <v>0</v>
      </c>
      <c r="C1065" s="10">
        <f>SUMIFS('دفتر اليومية'!L:L, 'دفتر اليومية'!H:H, A1065, 'دفتر اليومية'!E:E, "مبيعات اجل")</f>
        <v>0</v>
      </c>
      <c r="D1065" s="108">
        <f t="shared" si="16"/>
        <v>0</v>
      </c>
    </row>
    <row r="1066" spans="1:4" x14ac:dyDescent="0.3">
      <c r="A1066" s="10"/>
      <c r="B1066" s="10">
        <f>SUMIFS('دفتر اليومية'!K:K, 'دفتر اليومية'!H:H, A1066, 'دفتر اليومية'!E:E, "مبيعات اجل")</f>
        <v>0</v>
      </c>
      <c r="C1066" s="10">
        <f>SUMIFS('دفتر اليومية'!L:L, 'دفتر اليومية'!H:H, A1066, 'دفتر اليومية'!E:E, "مبيعات اجل")</f>
        <v>0</v>
      </c>
      <c r="D1066" s="108">
        <f t="shared" si="16"/>
        <v>0</v>
      </c>
    </row>
    <row r="1067" spans="1:4" x14ac:dyDescent="0.3">
      <c r="A1067" s="10"/>
      <c r="B1067" s="10">
        <f>SUMIFS('دفتر اليومية'!K:K, 'دفتر اليومية'!H:H, A1067, 'دفتر اليومية'!E:E, "مبيعات اجل")</f>
        <v>0</v>
      </c>
      <c r="C1067" s="10">
        <f>SUMIFS('دفتر اليومية'!L:L, 'دفتر اليومية'!H:H, A1067, 'دفتر اليومية'!E:E, "مبيعات اجل")</f>
        <v>0</v>
      </c>
      <c r="D1067" s="108">
        <f t="shared" si="16"/>
        <v>0</v>
      </c>
    </row>
    <row r="1068" spans="1:4" x14ac:dyDescent="0.3">
      <c r="A1068" s="10"/>
      <c r="B1068" s="10">
        <f>SUMIFS('دفتر اليومية'!K:K, 'دفتر اليومية'!H:H, A1068, 'دفتر اليومية'!E:E, "مبيعات اجل")</f>
        <v>0</v>
      </c>
      <c r="C1068" s="10">
        <f>SUMIFS('دفتر اليومية'!L:L, 'دفتر اليومية'!H:H, A1068, 'دفتر اليومية'!E:E, "مبيعات اجل")</f>
        <v>0</v>
      </c>
      <c r="D1068" s="108">
        <f t="shared" si="16"/>
        <v>0</v>
      </c>
    </row>
    <row r="1069" spans="1:4" x14ac:dyDescent="0.3">
      <c r="A1069" s="10"/>
      <c r="B1069" s="10">
        <f>SUMIFS('دفتر اليومية'!K:K, 'دفتر اليومية'!H:H, A1069, 'دفتر اليومية'!E:E, "مبيعات اجل")</f>
        <v>0</v>
      </c>
      <c r="C1069" s="10">
        <f>SUMIFS('دفتر اليومية'!L:L, 'دفتر اليومية'!H:H, A1069, 'دفتر اليومية'!E:E, "مبيعات اجل")</f>
        <v>0</v>
      </c>
      <c r="D1069" s="108">
        <f t="shared" si="16"/>
        <v>0</v>
      </c>
    </row>
    <row r="1070" spans="1:4" x14ac:dyDescent="0.3">
      <c r="A1070" s="10"/>
      <c r="B1070" s="10">
        <f>SUMIFS('دفتر اليومية'!K:K, 'دفتر اليومية'!H:H, A1070, 'دفتر اليومية'!E:E, "مبيعات اجل")</f>
        <v>0</v>
      </c>
      <c r="C1070" s="10">
        <f>SUMIFS('دفتر اليومية'!L:L, 'دفتر اليومية'!H:H, A1070, 'دفتر اليومية'!E:E, "مبيعات اجل")</f>
        <v>0</v>
      </c>
      <c r="D1070" s="108">
        <f t="shared" si="16"/>
        <v>0</v>
      </c>
    </row>
    <row r="1071" spans="1:4" x14ac:dyDescent="0.3">
      <c r="A1071" s="10"/>
      <c r="B1071" s="10">
        <f>SUMIFS('دفتر اليومية'!K:K, 'دفتر اليومية'!H:H, A1071, 'دفتر اليومية'!E:E, "مبيعات اجل")</f>
        <v>0</v>
      </c>
      <c r="C1071" s="10">
        <f>SUMIFS('دفتر اليومية'!L:L, 'دفتر اليومية'!H:H, A1071, 'دفتر اليومية'!E:E, "مبيعات اجل")</f>
        <v>0</v>
      </c>
      <c r="D1071" s="108">
        <f t="shared" si="16"/>
        <v>0</v>
      </c>
    </row>
    <row r="1072" spans="1:4" x14ac:dyDescent="0.3">
      <c r="A1072" s="10"/>
      <c r="B1072" s="10">
        <f>SUMIFS('دفتر اليومية'!K:K, 'دفتر اليومية'!H:H, A1072, 'دفتر اليومية'!E:E, "مبيعات اجل")</f>
        <v>0</v>
      </c>
      <c r="C1072" s="10">
        <f>SUMIFS('دفتر اليومية'!L:L, 'دفتر اليومية'!H:H, A1072, 'دفتر اليومية'!E:E, "مبيعات اجل")</f>
        <v>0</v>
      </c>
      <c r="D1072" s="108">
        <f t="shared" si="16"/>
        <v>0</v>
      </c>
    </row>
    <row r="1073" spans="1:4" x14ac:dyDescent="0.3">
      <c r="A1073" s="10"/>
      <c r="B1073" s="10">
        <f>SUMIFS('دفتر اليومية'!K:K, 'دفتر اليومية'!H:H, A1073, 'دفتر اليومية'!E:E, "مبيعات اجل")</f>
        <v>0</v>
      </c>
      <c r="C1073" s="10">
        <f>SUMIFS('دفتر اليومية'!L:L, 'دفتر اليومية'!H:H, A1073, 'دفتر اليومية'!E:E, "مبيعات اجل")</f>
        <v>0</v>
      </c>
      <c r="D1073" s="108">
        <f t="shared" si="16"/>
        <v>0</v>
      </c>
    </row>
    <row r="1074" spans="1:4" x14ac:dyDescent="0.3">
      <c r="A1074" s="10"/>
      <c r="B1074" s="10">
        <f>SUMIFS('دفتر اليومية'!K:K, 'دفتر اليومية'!H:H, A1074, 'دفتر اليومية'!E:E, "مبيعات اجل")</f>
        <v>0</v>
      </c>
      <c r="C1074" s="10">
        <f>SUMIFS('دفتر اليومية'!L:L, 'دفتر اليومية'!H:H, A1074, 'دفتر اليومية'!E:E, "مبيعات اجل")</f>
        <v>0</v>
      </c>
      <c r="D1074" s="108">
        <f t="shared" si="16"/>
        <v>0</v>
      </c>
    </row>
    <row r="1075" spans="1:4" x14ac:dyDescent="0.3">
      <c r="A1075" s="10"/>
      <c r="B1075" s="10">
        <f>SUMIFS('دفتر اليومية'!K:K, 'دفتر اليومية'!H:H, A1075, 'دفتر اليومية'!E:E, "مبيعات اجل")</f>
        <v>0</v>
      </c>
      <c r="C1075" s="10">
        <f>SUMIFS('دفتر اليومية'!L:L, 'دفتر اليومية'!H:H, A1075, 'دفتر اليومية'!E:E, "مبيعات اجل")</f>
        <v>0</v>
      </c>
      <c r="D1075" s="108">
        <f t="shared" si="16"/>
        <v>0</v>
      </c>
    </row>
    <row r="1076" spans="1:4" x14ac:dyDescent="0.3">
      <c r="A1076" s="10"/>
      <c r="B1076" s="10">
        <f>SUMIFS('دفتر اليومية'!K:K, 'دفتر اليومية'!H:H, A1076, 'دفتر اليومية'!E:E, "مبيعات اجل")</f>
        <v>0</v>
      </c>
      <c r="C1076" s="10">
        <f>SUMIFS('دفتر اليومية'!L:L, 'دفتر اليومية'!H:H, A1076, 'دفتر اليومية'!E:E, "مبيعات اجل")</f>
        <v>0</v>
      </c>
      <c r="D1076" s="108">
        <f t="shared" si="16"/>
        <v>0</v>
      </c>
    </row>
    <row r="1077" spans="1:4" x14ac:dyDescent="0.3">
      <c r="A1077" s="10"/>
      <c r="B1077" s="10">
        <f>SUMIFS('دفتر اليومية'!K:K, 'دفتر اليومية'!H:H, A1077, 'دفتر اليومية'!E:E, "مبيعات اجل")</f>
        <v>0</v>
      </c>
      <c r="C1077" s="10">
        <f>SUMIFS('دفتر اليومية'!L:L, 'دفتر اليومية'!H:H, A1077, 'دفتر اليومية'!E:E, "مبيعات اجل")</f>
        <v>0</v>
      </c>
      <c r="D1077" s="108">
        <f t="shared" si="16"/>
        <v>0</v>
      </c>
    </row>
    <row r="1078" spans="1:4" x14ac:dyDescent="0.3">
      <c r="A1078" s="10"/>
      <c r="B1078" s="10">
        <f>SUMIFS('دفتر اليومية'!K:K, 'دفتر اليومية'!H:H, A1078, 'دفتر اليومية'!E:E, "مبيعات اجل")</f>
        <v>0</v>
      </c>
      <c r="C1078" s="10">
        <f>SUMIFS('دفتر اليومية'!L:L, 'دفتر اليومية'!H:H, A1078, 'دفتر اليومية'!E:E, "مبيعات اجل")</f>
        <v>0</v>
      </c>
      <c r="D1078" s="108">
        <f t="shared" si="16"/>
        <v>0</v>
      </c>
    </row>
    <row r="1079" spans="1:4" x14ac:dyDescent="0.3">
      <c r="A1079" s="10"/>
      <c r="B1079" s="10">
        <f>SUMIFS('دفتر اليومية'!K:K, 'دفتر اليومية'!H:H, A1079, 'دفتر اليومية'!E:E, "مبيعات اجل")</f>
        <v>0</v>
      </c>
      <c r="C1079" s="10">
        <f>SUMIFS('دفتر اليومية'!L:L, 'دفتر اليومية'!H:H, A1079, 'دفتر اليومية'!E:E, "مبيعات اجل")</f>
        <v>0</v>
      </c>
      <c r="D1079" s="108">
        <f t="shared" si="16"/>
        <v>0</v>
      </c>
    </row>
    <row r="1080" spans="1:4" x14ac:dyDescent="0.3">
      <c r="A1080" s="10"/>
      <c r="B1080" s="10">
        <f>SUMIFS('دفتر اليومية'!K:K, 'دفتر اليومية'!H:H, A1080, 'دفتر اليومية'!E:E, "مبيعات اجل")</f>
        <v>0</v>
      </c>
      <c r="C1080" s="10">
        <f>SUMIFS('دفتر اليومية'!L:L, 'دفتر اليومية'!H:H, A1080, 'دفتر اليومية'!E:E, "مبيعات اجل")</f>
        <v>0</v>
      </c>
      <c r="D1080" s="108">
        <f t="shared" si="16"/>
        <v>0</v>
      </c>
    </row>
    <row r="1081" spans="1:4" x14ac:dyDescent="0.3">
      <c r="A1081" s="10"/>
      <c r="B1081" s="10">
        <f>SUMIFS('دفتر اليومية'!K:K, 'دفتر اليومية'!H:H, A1081, 'دفتر اليومية'!E:E, "مبيعات اجل")</f>
        <v>0</v>
      </c>
      <c r="C1081" s="10">
        <f>SUMIFS('دفتر اليومية'!L:L, 'دفتر اليومية'!H:H, A1081, 'دفتر اليومية'!E:E, "مبيعات اجل")</f>
        <v>0</v>
      </c>
      <c r="D1081" s="108">
        <f t="shared" si="16"/>
        <v>0</v>
      </c>
    </row>
    <row r="1082" spans="1:4" x14ac:dyDescent="0.3">
      <c r="A1082" s="10"/>
      <c r="B1082" s="10">
        <f>SUMIFS('دفتر اليومية'!K:K, 'دفتر اليومية'!H:H, A1082, 'دفتر اليومية'!E:E, "مبيعات اجل")</f>
        <v>0</v>
      </c>
      <c r="C1082" s="10">
        <f>SUMIFS('دفتر اليومية'!L:L, 'دفتر اليومية'!H:H, A1082, 'دفتر اليومية'!E:E, "مبيعات اجل")</f>
        <v>0</v>
      </c>
      <c r="D1082" s="108">
        <f t="shared" si="16"/>
        <v>0</v>
      </c>
    </row>
    <row r="1083" spans="1:4" x14ac:dyDescent="0.3">
      <c r="A1083" s="10"/>
      <c r="B1083" s="10">
        <f>SUMIFS('دفتر اليومية'!K:K, 'دفتر اليومية'!H:H, A1083, 'دفتر اليومية'!E:E, "مبيعات اجل")</f>
        <v>0</v>
      </c>
      <c r="C1083" s="10">
        <f>SUMIFS('دفتر اليومية'!L:L, 'دفتر اليومية'!H:H, A1083, 'دفتر اليومية'!E:E, "مبيعات اجل")</f>
        <v>0</v>
      </c>
      <c r="D1083" s="108">
        <f t="shared" si="16"/>
        <v>0</v>
      </c>
    </row>
    <row r="1084" spans="1:4" x14ac:dyDescent="0.3">
      <c r="A1084" s="10"/>
      <c r="B1084" s="10">
        <f>SUMIFS('دفتر اليومية'!K:K, 'دفتر اليومية'!H:H, A1084, 'دفتر اليومية'!E:E, "مبيعات اجل")</f>
        <v>0</v>
      </c>
      <c r="C1084" s="10">
        <f>SUMIFS('دفتر اليومية'!L:L, 'دفتر اليومية'!H:H, A1084, 'دفتر اليومية'!E:E, "مبيعات اجل")</f>
        <v>0</v>
      </c>
      <c r="D1084" s="108">
        <f t="shared" si="16"/>
        <v>0</v>
      </c>
    </row>
    <row r="1085" spans="1:4" x14ac:dyDescent="0.3">
      <c r="A1085" s="10"/>
      <c r="B1085" s="10">
        <f>SUMIFS('دفتر اليومية'!K:K, 'دفتر اليومية'!H:H, A1085, 'دفتر اليومية'!E:E, "مبيعات اجل")</f>
        <v>0</v>
      </c>
      <c r="C1085" s="10">
        <f>SUMIFS('دفتر اليومية'!L:L, 'دفتر اليومية'!H:H, A1085, 'دفتر اليومية'!E:E, "مبيعات اجل")</f>
        <v>0</v>
      </c>
      <c r="D1085" s="108">
        <f t="shared" si="16"/>
        <v>0</v>
      </c>
    </row>
    <row r="1086" spans="1:4" x14ac:dyDescent="0.3">
      <c r="A1086" s="10"/>
      <c r="B1086" s="10">
        <f>SUMIFS('دفتر اليومية'!K:K, 'دفتر اليومية'!H:H, A1086, 'دفتر اليومية'!E:E, "مبيعات اجل")</f>
        <v>0</v>
      </c>
      <c r="C1086" s="10">
        <f>SUMIFS('دفتر اليومية'!L:L, 'دفتر اليومية'!H:H, A1086, 'دفتر اليومية'!E:E, "مبيعات اجل")</f>
        <v>0</v>
      </c>
      <c r="D1086" s="108">
        <f t="shared" si="16"/>
        <v>0</v>
      </c>
    </row>
    <row r="1087" spans="1:4" x14ac:dyDescent="0.3">
      <c r="A1087" s="10"/>
      <c r="B1087" s="10">
        <f>SUMIFS('دفتر اليومية'!K:K, 'دفتر اليومية'!H:H, A1087, 'دفتر اليومية'!E:E, "مبيعات اجل")</f>
        <v>0</v>
      </c>
      <c r="C1087" s="10">
        <f>SUMIFS('دفتر اليومية'!L:L, 'دفتر اليومية'!H:H, A1087, 'دفتر اليومية'!E:E, "مبيعات اجل")</f>
        <v>0</v>
      </c>
      <c r="D1087" s="108">
        <f t="shared" si="16"/>
        <v>0</v>
      </c>
    </row>
    <row r="1088" spans="1:4" x14ac:dyDescent="0.3">
      <c r="A1088" s="10"/>
      <c r="B1088" s="10">
        <f>SUMIFS('دفتر اليومية'!K:K, 'دفتر اليومية'!H:H, A1088, 'دفتر اليومية'!E:E, "مبيعات اجل")</f>
        <v>0</v>
      </c>
      <c r="C1088" s="10">
        <f>SUMIFS('دفتر اليومية'!L:L, 'دفتر اليومية'!H:H, A1088, 'دفتر اليومية'!E:E, "مبيعات اجل")</f>
        <v>0</v>
      </c>
      <c r="D1088" s="108">
        <f t="shared" si="16"/>
        <v>0</v>
      </c>
    </row>
    <row r="1089" spans="1:4" x14ac:dyDescent="0.3">
      <c r="A1089" s="10"/>
      <c r="B1089" s="10">
        <f>SUMIFS('دفتر اليومية'!K:K, 'دفتر اليومية'!H:H, A1089, 'دفتر اليومية'!E:E, "مبيعات اجل")</f>
        <v>0</v>
      </c>
      <c r="C1089" s="10">
        <f>SUMIFS('دفتر اليومية'!L:L, 'دفتر اليومية'!H:H, A1089, 'دفتر اليومية'!E:E, "مبيعات اجل")</f>
        <v>0</v>
      </c>
      <c r="D1089" s="108">
        <f t="shared" si="16"/>
        <v>0</v>
      </c>
    </row>
    <row r="1090" spans="1:4" x14ac:dyDescent="0.3">
      <c r="A1090" s="10"/>
      <c r="B1090" s="10">
        <f>SUMIFS('دفتر اليومية'!K:K, 'دفتر اليومية'!H:H, A1090, 'دفتر اليومية'!E:E, "مبيعات اجل")</f>
        <v>0</v>
      </c>
      <c r="C1090" s="10">
        <f>SUMIFS('دفتر اليومية'!L:L, 'دفتر اليومية'!H:H, A1090, 'دفتر اليومية'!E:E, "مبيعات اجل")</f>
        <v>0</v>
      </c>
      <c r="D1090" s="108">
        <f t="shared" si="16"/>
        <v>0</v>
      </c>
    </row>
    <row r="1091" spans="1:4" x14ac:dyDescent="0.3">
      <c r="A1091" s="10"/>
      <c r="B1091" s="10">
        <f>SUMIFS('دفتر اليومية'!K:K, 'دفتر اليومية'!H:H, A1091, 'دفتر اليومية'!E:E, "مبيعات اجل")</f>
        <v>0</v>
      </c>
      <c r="C1091" s="10">
        <f>SUMIFS('دفتر اليومية'!L:L, 'دفتر اليومية'!H:H, A1091, 'دفتر اليومية'!E:E, "مبيعات اجل")</f>
        <v>0</v>
      </c>
      <c r="D1091" s="108">
        <f t="shared" ref="D1091:D1154" si="17">B1091-C1091</f>
        <v>0</v>
      </c>
    </row>
    <row r="1092" spans="1:4" x14ac:dyDescent="0.3">
      <c r="A1092" s="10"/>
      <c r="B1092" s="10">
        <f>SUMIFS('دفتر اليومية'!K:K, 'دفتر اليومية'!H:H, A1092, 'دفتر اليومية'!E:E, "مبيعات اجل")</f>
        <v>0</v>
      </c>
      <c r="C1092" s="10">
        <f>SUMIFS('دفتر اليومية'!L:L, 'دفتر اليومية'!H:H, A1092, 'دفتر اليومية'!E:E, "مبيعات اجل")</f>
        <v>0</v>
      </c>
      <c r="D1092" s="108">
        <f t="shared" si="17"/>
        <v>0</v>
      </c>
    </row>
    <row r="1093" spans="1:4" x14ac:dyDescent="0.3">
      <c r="A1093" s="10"/>
      <c r="B1093" s="10">
        <f>SUMIFS('دفتر اليومية'!K:K, 'دفتر اليومية'!H:H, A1093, 'دفتر اليومية'!E:E, "مبيعات اجل")</f>
        <v>0</v>
      </c>
      <c r="C1093" s="10">
        <f>SUMIFS('دفتر اليومية'!L:L, 'دفتر اليومية'!H:H, A1093, 'دفتر اليومية'!E:E, "مبيعات اجل")</f>
        <v>0</v>
      </c>
      <c r="D1093" s="108">
        <f t="shared" si="17"/>
        <v>0</v>
      </c>
    </row>
    <row r="1094" spans="1:4" x14ac:dyDescent="0.3">
      <c r="A1094" s="10"/>
      <c r="B1094" s="10">
        <f>SUMIFS('دفتر اليومية'!K:K, 'دفتر اليومية'!H:H, A1094, 'دفتر اليومية'!E:E, "مبيعات اجل")</f>
        <v>0</v>
      </c>
      <c r="C1094" s="10">
        <f>SUMIFS('دفتر اليومية'!L:L, 'دفتر اليومية'!H:H, A1094, 'دفتر اليومية'!E:E, "مبيعات اجل")</f>
        <v>0</v>
      </c>
      <c r="D1094" s="108">
        <f t="shared" si="17"/>
        <v>0</v>
      </c>
    </row>
    <row r="1095" spans="1:4" x14ac:dyDescent="0.3">
      <c r="A1095" s="10"/>
      <c r="B1095" s="10">
        <f>SUMIFS('دفتر اليومية'!K:K, 'دفتر اليومية'!H:H, A1095, 'دفتر اليومية'!E:E, "مبيعات اجل")</f>
        <v>0</v>
      </c>
      <c r="C1095" s="10">
        <f>SUMIFS('دفتر اليومية'!L:L, 'دفتر اليومية'!H:H, A1095, 'دفتر اليومية'!E:E, "مبيعات اجل")</f>
        <v>0</v>
      </c>
      <c r="D1095" s="108">
        <f t="shared" si="17"/>
        <v>0</v>
      </c>
    </row>
    <row r="1096" spans="1:4" x14ac:dyDescent="0.3">
      <c r="A1096" s="10"/>
      <c r="B1096" s="10">
        <f>SUMIFS('دفتر اليومية'!K:K, 'دفتر اليومية'!H:H, A1096, 'دفتر اليومية'!E:E, "مبيعات اجل")</f>
        <v>0</v>
      </c>
      <c r="C1096" s="10">
        <f>SUMIFS('دفتر اليومية'!L:L, 'دفتر اليومية'!H:H, A1096, 'دفتر اليومية'!E:E, "مبيعات اجل")</f>
        <v>0</v>
      </c>
      <c r="D1096" s="108">
        <f t="shared" si="17"/>
        <v>0</v>
      </c>
    </row>
    <row r="1097" spans="1:4" x14ac:dyDescent="0.3">
      <c r="A1097" s="10"/>
      <c r="B1097" s="10">
        <f>SUMIFS('دفتر اليومية'!K:K, 'دفتر اليومية'!H:H, A1097, 'دفتر اليومية'!E:E, "مبيعات اجل")</f>
        <v>0</v>
      </c>
      <c r="C1097" s="10">
        <f>SUMIFS('دفتر اليومية'!L:L, 'دفتر اليومية'!H:H, A1097, 'دفتر اليومية'!E:E, "مبيعات اجل")</f>
        <v>0</v>
      </c>
      <c r="D1097" s="108">
        <f t="shared" si="17"/>
        <v>0</v>
      </c>
    </row>
    <row r="1098" spans="1:4" x14ac:dyDescent="0.3">
      <c r="A1098" s="10"/>
      <c r="B1098" s="10">
        <f>SUMIFS('دفتر اليومية'!K:K, 'دفتر اليومية'!H:H, A1098, 'دفتر اليومية'!E:E, "مبيعات اجل")</f>
        <v>0</v>
      </c>
      <c r="C1098" s="10">
        <f>SUMIFS('دفتر اليومية'!L:L, 'دفتر اليومية'!H:H, A1098, 'دفتر اليومية'!E:E, "مبيعات اجل")</f>
        <v>0</v>
      </c>
      <c r="D1098" s="108">
        <f t="shared" si="17"/>
        <v>0</v>
      </c>
    </row>
    <row r="1099" spans="1:4" x14ac:dyDescent="0.3">
      <c r="A1099" s="10"/>
      <c r="B1099" s="10">
        <f>SUMIFS('دفتر اليومية'!K:K, 'دفتر اليومية'!H:H, A1099, 'دفتر اليومية'!E:E, "مبيعات اجل")</f>
        <v>0</v>
      </c>
      <c r="C1099" s="10">
        <f>SUMIFS('دفتر اليومية'!L:L, 'دفتر اليومية'!H:H, A1099, 'دفتر اليومية'!E:E, "مبيعات اجل")</f>
        <v>0</v>
      </c>
      <c r="D1099" s="108">
        <f t="shared" si="17"/>
        <v>0</v>
      </c>
    </row>
    <row r="1100" spans="1:4" x14ac:dyDescent="0.3">
      <c r="A1100" s="10"/>
      <c r="B1100" s="10">
        <f>SUMIFS('دفتر اليومية'!K:K, 'دفتر اليومية'!H:H, A1100, 'دفتر اليومية'!E:E, "مبيعات اجل")</f>
        <v>0</v>
      </c>
      <c r="C1100" s="10">
        <f>SUMIFS('دفتر اليومية'!L:L, 'دفتر اليومية'!H:H, A1100, 'دفتر اليومية'!E:E, "مبيعات اجل")</f>
        <v>0</v>
      </c>
      <c r="D1100" s="108">
        <f t="shared" si="17"/>
        <v>0</v>
      </c>
    </row>
    <row r="1101" spans="1:4" x14ac:dyDescent="0.3">
      <c r="A1101" s="10"/>
      <c r="B1101" s="10">
        <f>SUMIFS('دفتر اليومية'!K:K, 'دفتر اليومية'!H:H, A1101, 'دفتر اليومية'!E:E, "مبيعات اجل")</f>
        <v>0</v>
      </c>
      <c r="C1101" s="10">
        <f>SUMIFS('دفتر اليومية'!L:L, 'دفتر اليومية'!H:H, A1101, 'دفتر اليومية'!E:E, "مبيعات اجل")</f>
        <v>0</v>
      </c>
      <c r="D1101" s="108">
        <f t="shared" si="17"/>
        <v>0</v>
      </c>
    </row>
    <row r="1102" spans="1:4" x14ac:dyDescent="0.3">
      <c r="A1102" s="10"/>
      <c r="B1102" s="10">
        <f>SUMIFS('دفتر اليومية'!K:K, 'دفتر اليومية'!H:H, A1102, 'دفتر اليومية'!E:E, "مبيعات اجل")</f>
        <v>0</v>
      </c>
      <c r="C1102" s="10">
        <f>SUMIFS('دفتر اليومية'!L:L, 'دفتر اليومية'!H:H, A1102, 'دفتر اليومية'!E:E, "مبيعات اجل")</f>
        <v>0</v>
      </c>
      <c r="D1102" s="108">
        <f t="shared" si="17"/>
        <v>0</v>
      </c>
    </row>
    <row r="1103" spans="1:4" x14ac:dyDescent="0.3">
      <c r="A1103" s="10"/>
      <c r="B1103" s="10">
        <f>SUMIFS('دفتر اليومية'!K:K, 'دفتر اليومية'!H:H, A1103, 'دفتر اليومية'!E:E, "مبيعات اجل")</f>
        <v>0</v>
      </c>
      <c r="C1103" s="10">
        <f>SUMIFS('دفتر اليومية'!L:L, 'دفتر اليومية'!H:H, A1103, 'دفتر اليومية'!E:E, "مبيعات اجل")</f>
        <v>0</v>
      </c>
      <c r="D1103" s="108">
        <f t="shared" si="17"/>
        <v>0</v>
      </c>
    </row>
    <row r="1104" spans="1:4" x14ac:dyDescent="0.3">
      <c r="A1104" s="10"/>
      <c r="B1104" s="10">
        <f>SUMIFS('دفتر اليومية'!K:K, 'دفتر اليومية'!H:H, A1104, 'دفتر اليومية'!E:E, "مبيعات اجل")</f>
        <v>0</v>
      </c>
      <c r="C1104" s="10">
        <f>SUMIFS('دفتر اليومية'!L:L, 'دفتر اليومية'!H:H, A1104, 'دفتر اليومية'!E:E, "مبيعات اجل")</f>
        <v>0</v>
      </c>
      <c r="D1104" s="108">
        <f t="shared" si="17"/>
        <v>0</v>
      </c>
    </row>
    <row r="1105" spans="1:4" x14ac:dyDescent="0.3">
      <c r="A1105" s="10"/>
      <c r="B1105" s="10">
        <f>SUMIFS('دفتر اليومية'!K:K, 'دفتر اليومية'!H:H, A1105, 'دفتر اليومية'!E:E, "مبيعات اجل")</f>
        <v>0</v>
      </c>
      <c r="C1105" s="10">
        <f>SUMIFS('دفتر اليومية'!L:L, 'دفتر اليومية'!H:H, A1105, 'دفتر اليومية'!E:E, "مبيعات اجل")</f>
        <v>0</v>
      </c>
      <c r="D1105" s="108">
        <f t="shared" si="17"/>
        <v>0</v>
      </c>
    </row>
    <row r="1106" spans="1:4" x14ac:dyDescent="0.3">
      <c r="A1106" s="10"/>
      <c r="B1106" s="10">
        <f>SUMIFS('دفتر اليومية'!K:K, 'دفتر اليومية'!H:H, A1106, 'دفتر اليومية'!E:E, "مبيعات اجل")</f>
        <v>0</v>
      </c>
      <c r="C1106" s="10">
        <f>SUMIFS('دفتر اليومية'!L:L, 'دفتر اليومية'!H:H, A1106, 'دفتر اليومية'!E:E, "مبيعات اجل")</f>
        <v>0</v>
      </c>
      <c r="D1106" s="108">
        <f t="shared" si="17"/>
        <v>0</v>
      </c>
    </row>
    <row r="1107" spans="1:4" x14ac:dyDescent="0.3">
      <c r="A1107" s="10"/>
      <c r="B1107" s="10">
        <f>SUMIFS('دفتر اليومية'!K:K, 'دفتر اليومية'!H:H, A1107, 'دفتر اليومية'!E:E, "مبيعات اجل")</f>
        <v>0</v>
      </c>
      <c r="C1107" s="10">
        <f>SUMIFS('دفتر اليومية'!L:L, 'دفتر اليومية'!H:H, A1107, 'دفتر اليومية'!E:E, "مبيعات اجل")</f>
        <v>0</v>
      </c>
      <c r="D1107" s="108">
        <f t="shared" si="17"/>
        <v>0</v>
      </c>
    </row>
    <row r="1108" spans="1:4" x14ac:dyDescent="0.3">
      <c r="A1108" s="10"/>
      <c r="B1108" s="10">
        <f>SUMIFS('دفتر اليومية'!K:K, 'دفتر اليومية'!H:H, A1108, 'دفتر اليومية'!E:E, "مبيعات اجل")</f>
        <v>0</v>
      </c>
      <c r="C1108" s="10">
        <f>SUMIFS('دفتر اليومية'!L:L, 'دفتر اليومية'!H:H, A1108, 'دفتر اليومية'!E:E, "مبيعات اجل")</f>
        <v>0</v>
      </c>
      <c r="D1108" s="108">
        <f t="shared" si="17"/>
        <v>0</v>
      </c>
    </row>
    <row r="1109" spans="1:4" x14ac:dyDescent="0.3">
      <c r="A1109" s="10"/>
      <c r="B1109" s="10">
        <f>SUMIFS('دفتر اليومية'!K:K, 'دفتر اليومية'!H:H, A1109, 'دفتر اليومية'!E:E, "مبيعات اجل")</f>
        <v>0</v>
      </c>
      <c r="C1109" s="10">
        <f>SUMIFS('دفتر اليومية'!L:L, 'دفتر اليومية'!H:H, A1109, 'دفتر اليومية'!E:E, "مبيعات اجل")</f>
        <v>0</v>
      </c>
      <c r="D1109" s="108">
        <f t="shared" si="17"/>
        <v>0</v>
      </c>
    </row>
    <row r="1110" spans="1:4" x14ac:dyDescent="0.3">
      <c r="A1110" s="10"/>
      <c r="B1110" s="10">
        <f>SUMIFS('دفتر اليومية'!K:K, 'دفتر اليومية'!H:H, A1110, 'دفتر اليومية'!E:E, "مبيعات اجل")</f>
        <v>0</v>
      </c>
      <c r="C1110" s="10">
        <f>SUMIFS('دفتر اليومية'!L:L, 'دفتر اليومية'!H:H, A1110, 'دفتر اليومية'!E:E, "مبيعات اجل")</f>
        <v>0</v>
      </c>
      <c r="D1110" s="108">
        <f t="shared" si="17"/>
        <v>0</v>
      </c>
    </row>
    <row r="1111" spans="1:4" x14ac:dyDescent="0.3">
      <c r="A1111" s="10"/>
      <c r="B1111" s="10">
        <f>SUMIFS('دفتر اليومية'!K:K, 'دفتر اليومية'!H:H, A1111, 'دفتر اليومية'!E:E, "مبيعات اجل")</f>
        <v>0</v>
      </c>
      <c r="C1111" s="10">
        <f>SUMIFS('دفتر اليومية'!L:L, 'دفتر اليومية'!H:H, A1111, 'دفتر اليومية'!E:E, "مبيعات اجل")</f>
        <v>0</v>
      </c>
      <c r="D1111" s="108">
        <f t="shared" si="17"/>
        <v>0</v>
      </c>
    </row>
    <row r="1112" spans="1:4" x14ac:dyDescent="0.3">
      <c r="A1112" s="10"/>
      <c r="B1112" s="10">
        <f>SUMIFS('دفتر اليومية'!K:K, 'دفتر اليومية'!H:H, A1112, 'دفتر اليومية'!E:E, "مبيعات اجل")</f>
        <v>0</v>
      </c>
      <c r="C1112" s="10">
        <f>SUMIFS('دفتر اليومية'!L:L, 'دفتر اليومية'!H:H, A1112, 'دفتر اليومية'!E:E, "مبيعات اجل")</f>
        <v>0</v>
      </c>
      <c r="D1112" s="108">
        <f t="shared" si="17"/>
        <v>0</v>
      </c>
    </row>
    <row r="1113" spans="1:4" x14ac:dyDescent="0.3">
      <c r="A1113" s="10"/>
      <c r="B1113" s="10">
        <f>SUMIFS('دفتر اليومية'!K:K, 'دفتر اليومية'!H:H, A1113, 'دفتر اليومية'!E:E, "مبيعات اجل")</f>
        <v>0</v>
      </c>
      <c r="C1113" s="10">
        <f>SUMIFS('دفتر اليومية'!L:L, 'دفتر اليومية'!H:H, A1113, 'دفتر اليومية'!E:E, "مبيعات اجل")</f>
        <v>0</v>
      </c>
      <c r="D1113" s="108">
        <f t="shared" si="17"/>
        <v>0</v>
      </c>
    </row>
    <row r="1114" spans="1:4" x14ac:dyDescent="0.3">
      <c r="A1114" s="10"/>
      <c r="B1114" s="10">
        <f>SUMIFS('دفتر اليومية'!K:K, 'دفتر اليومية'!H:H, A1114, 'دفتر اليومية'!E:E, "مبيعات اجل")</f>
        <v>0</v>
      </c>
      <c r="C1114" s="10">
        <f>SUMIFS('دفتر اليومية'!L:L, 'دفتر اليومية'!H:H, A1114, 'دفتر اليومية'!E:E, "مبيعات اجل")</f>
        <v>0</v>
      </c>
      <c r="D1114" s="108">
        <f t="shared" si="17"/>
        <v>0</v>
      </c>
    </row>
    <row r="1115" spans="1:4" x14ac:dyDescent="0.3">
      <c r="A1115" s="10"/>
      <c r="B1115" s="10">
        <f>SUMIFS('دفتر اليومية'!K:K, 'دفتر اليومية'!H:H, A1115, 'دفتر اليومية'!E:E, "مبيعات اجل")</f>
        <v>0</v>
      </c>
      <c r="C1115" s="10">
        <f>SUMIFS('دفتر اليومية'!L:L, 'دفتر اليومية'!H:H, A1115, 'دفتر اليومية'!E:E, "مبيعات اجل")</f>
        <v>0</v>
      </c>
      <c r="D1115" s="108">
        <f t="shared" si="17"/>
        <v>0</v>
      </c>
    </row>
    <row r="1116" spans="1:4" x14ac:dyDescent="0.3">
      <c r="A1116" s="10"/>
      <c r="B1116" s="10">
        <f>SUMIFS('دفتر اليومية'!K:K, 'دفتر اليومية'!H:H, A1116, 'دفتر اليومية'!E:E, "مبيعات اجل")</f>
        <v>0</v>
      </c>
      <c r="C1116" s="10">
        <f>SUMIFS('دفتر اليومية'!L:L, 'دفتر اليومية'!H:H, A1116, 'دفتر اليومية'!E:E, "مبيعات اجل")</f>
        <v>0</v>
      </c>
      <c r="D1116" s="108">
        <f t="shared" si="17"/>
        <v>0</v>
      </c>
    </row>
    <row r="1117" spans="1:4" x14ac:dyDescent="0.3">
      <c r="A1117" s="10"/>
      <c r="B1117" s="10">
        <f>SUMIFS('دفتر اليومية'!K:K, 'دفتر اليومية'!H:H, A1117, 'دفتر اليومية'!E:E, "مبيعات اجل")</f>
        <v>0</v>
      </c>
      <c r="C1117" s="10">
        <f>SUMIFS('دفتر اليومية'!L:L, 'دفتر اليومية'!H:H, A1117, 'دفتر اليومية'!E:E, "مبيعات اجل")</f>
        <v>0</v>
      </c>
      <c r="D1117" s="108">
        <f t="shared" si="17"/>
        <v>0</v>
      </c>
    </row>
    <row r="1118" spans="1:4" x14ac:dyDescent="0.3">
      <c r="A1118" s="10"/>
      <c r="B1118" s="10">
        <f>SUMIFS('دفتر اليومية'!K:K, 'دفتر اليومية'!H:H, A1118, 'دفتر اليومية'!E:E, "مبيعات اجل")</f>
        <v>0</v>
      </c>
      <c r="C1118" s="10">
        <f>SUMIFS('دفتر اليومية'!L:L, 'دفتر اليومية'!H:H, A1118, 'دفتر اليومية'!E:E, "مبيعات اجل")</f>
        <v>0</v>
      </c>
      <c r="D1118" s="108">
        <f t="shared" si="17"/>
        <v>0</v>
      </c>
    </row>
    <row r="1119" spans="1:4" x14ac:dyDescent="0.3">
      <c r="A1119" s="10"/>
      <c r="B1119" s="10">
        <f>SUMIFS('دفتر اليومية'!K:K, 'دفتر اليومية'!H:H, A1119, 'دفتر اليومية'!E:E, "مبيعات اجل")</f>
        <v>0</v>
      </c>
      <c r="C1119" s="10">
        <f>SUMIFS('دفتر اليومية'!L:L, 'دفتر اليومية'!H:H, A1119, 'دفتر اليومية'!E:E, "مبيعات اجل")</f>
        <v>0</v>
      </c>
      <c r="D1119" s="108">
        <f t="shared" si="17"/>
        <v>0</v>
      </c>
    </row>
    <row r="1120" spans="1:4" x14ac:dyDescent="0.3">
      <c r="A1120" s="10"/>
      <c r="B1120" s="10">
        <f>SUMIFS('دفتر اليومية'!K:K, 'دفتر اليومية'!H:H, A1120, 'دفتر اليومية'!E:E, "مبيعات اجل")</f>
        <v>0</v>
      </c>
      <c r="C1120" s="10">
        <f>SUMIFS('دفتر اليومية'!L:L, 'دفتر اليومية'!H:H, A1120, 'دفتر اليومية'!E:E, "مبيعات اجل")</f>
        <v>0</v>
      </c>
      <c r="D1120" s="108">
        <f t="shared" si="17"/>
        <v>0</v>
      </c>
    </row>
    <row r="1121" spans="1:4" x14ac:dyDescent="0.3">
      <c r="A1121" s="10"/>
      <c r="B1121" s="10">
        <f>SUMIFS('دفتر اليومية'!K:K, 'دفتر اليومية'!H:H, A1121, 'دفتر اليومية'!E:E, "مبيعات اجل")</f>
        <v>0</v>
      </c>
      <c r="C1121" s="10">
        <f>SUMIFS('دفتر اليومية'!L:L, 'دفتر اليومية'!H:H, A1121, 'دفتر اليومية'!E:E, "مبيعات اجل")</f>
        <v>0</v>
      </c>
      <c r="D1121" s="108">
        <f t="shared" si="17"/>
        <v>0</v>
      </c>
    </row>
    <row r="1122" spans="1:4" x14ac:dyDescent="0.3">
      <c r="A1122" s="10"/>
      <c r="B1122" s="10">
        <f>SUMIFS('دفتر اليومية'!K:K, 'دفتر اليومية'!H:H, A1122, 'دفتر اليومية'!E:E, "مبيعات اجل")</f>
        <v>0</v>
      </c>
      <c r="C1122" s="10">
        <f>SUMIFS('دفتر اليومية'!L:L, 'دفتر اليومية'!H:H, A1122, 'دفتر اليومية'!E:E, "مبيعات اجل")</f>
        <v>0</v>
      </c>
      <c r="D1122" s="108">
        <f t="shared" si="17"/>
        <v>0</v>
      </c>
    </row>
    <row r="1123" spans="1:4" x14ac:dyDescent="0.3">
      <c r="A1123" s="10"/>
      <c r="B1123" s="10">
        <f>SUMIFS('دفتر اليومية'!K:K, 'دفتر اليومية'!H:H, A1123, 'دفتر اليومية'!E:E, "مبيعات اجل")</f>
        <v>0</v>
      </c>
      <c r="C1123" s="10">
        <f>SUMIFS('دفتر اليومية'!L:L, 'دفتر اليومية'!H:H, A1123, 'دفتر اليومية'!E:E, "مبيعات اجل")</f>
        <v>0</v>
      </c>
      <c r="D1123" s="108">
        <f t="shared" si="17"/>
        <v>0</v>
      </c>
    </row>
    <row r="1124" spans="1:4" x14ac:dyDescent="0.3">
      <c r="A1124" s="10"/>
      <c r="B1124" s="10">
        <f>SUMIFS('دفتر اليومية'!K:K, 'دفتر اليومية'!H:H, A1124, 'دفتر اليومية'!E:E, "مبيعات اجل")</f>
        <v>0</v>
      </c>
      <c r="C1124" s="10">
        <f>SUMIFS('دفتر اليومية'!L:L, 'دفتر اليومية'!H:H, A1124, 'دفتر اليومية'!E:E, "مبيعات اجل")</f>
        <v>0</v>
      </c>
      <c r="D1124" s="108">
        <f t="shared" si="17"/>
        <v>0</v>
      </c>
    </row>
    <row r="1125" spans="1:4" x14ac:dyDescent="0.3">
      <c r="A1125" s="10"/>
      <c r="B1125" s="10">
        <f>SUMIFS('دفتر اليومية'!K:K, 'دفتر اليومية'!H:H, A1125, 'دفتر اليومية'!E:E, "مبيعات اجل")</f>
        <v>0</v>
      </c>
      <c r="C1125" s="10">
        <f>SUMIFS('دفتر اليومية'!L:L, 'دفتر اليومية'!H:H, A1125, 'دفتر اليومية'!E:E, "مبيعات اجل")</f>
        <v>0</v>
      </c>
      <c r="D1125" s="108">
        <f t="shared" si="17"/>
        <v>0</v>
      </c>
    </row>
    <row r="1126" spans="1:4" x14ac:dyDescent="0.3">
      <c r="A1126" s="10"/>
      <c r="B1126" s="10">
        <f>SUMIFS('دفتر اليومية'!K:K, 'دفتر اليومية'!H:H, A1126, 'دفتر اليومية'!E:E, "مبيعات اجل")</f>
        <v>0</v>
      </c>
      <c r="C1126" s="10">
        <f>SUMIFS('دفتر اليومية'!L:L, 'دفتر اليومية'!H:H, A1126, 'دفتر اليومية'!E:E, "مبيعات اجل")</f>
        <v>0</v>
      </c>
      <c r="D1126" s="108">
        <f t="shared" si="17"/>
        <v>0</v>
      </c>
    </row>
    <row r="1127" spans="1:4" x14ac:dyDescent="0.3">
      <c r="A1127" s="10"/>
      <c r="B1127" s="10">
        <f>SUMIFS('دفتر اليومية'!K:K, 'دفتر اليومية'!H:H, A1127, 'دفتر اليومية'!E:E, "مبيعات اجل")</f>
        <v>0</v>
      </c>
      <c r="C1127" s="10">
        <f>SUMIFS('دفتر اليومية'!L:L, 'دفتر اليومية'!H:H, A1127, 'دفتر اليومية'!E:E, "مبيعات اجل")</f>
        <v>0</v>
      </c>
      <c r="D1127" s="108">
        <f t="shared" si="17"/>
        <v>0</v>
      </c>
    </row>
    <row r="1128" spans="1:4" x14ac:dyDescent="0.3">
      <c r="A1128" s="10"/>
      <c r="B1128" s="10">
        <f>SUMIFS('دفتر اليومية'!K:K, 'دفتر اليومية'!H:H, A1128, 'دفتر اليومية'!E:E, "مبيعات اجل")</f>
        <v>0</v>
      </c>
      <c r="C1128" s="10">
        <f>SUMIFS('دفتر اليومية'!L:L, 'دفتر اليومية'!H:H, A1128, 'دفتر اليومية'!E:E, "مبيعات اجل")</f>
        <v>0</v>
      </c>
      <c r="D1128" s="108">
        <f t="shared" si="17"/>
        <v>0</v>
      </c>
    </row>
    <row r="1129" spans="1:4" x14ac:dyDescent="0.3">
      <c r="A1129" s="10"/>
      <c r="B1129" s="10">
        <f>SUMIFS('دفتر اليومية'!K:K, 'دفتر اليومية'!H:H, A1129, 'دفتر اليومية'!E:E, "مبيعات اجل")</f>
        <v>0</v>
      </c>
      <c r="C1129" s="10">
        <f>SUMIFS('دفتر اليومية'!L:L, 'دفتر اليومية'!H:H, A1129, 'دفتر اليومية'!E:E, "مبيعات اجل")</f>
        <v>0</v>
      </c>
      <c r="D1129" s="108">
        <f t="shared" si="17"/>
        <v>0</v>
      </c>
    </row>
    <row r="1130" spans="1:4" x14ac:dyDescent="0.3">
      <c r="A1130" s="10"/>
      <c r="B1130" s="10">
        <f>SUMIFS('دفتر اليومية'!K:K, 'دفتر اليومية'!H:H, A1130, 'دفتر اليومية'!E:E, "مبيعات اجل")</f>
        <v>0</v>
      </c>
      <c r="C1130" s="10">
        <f>SUMIFS('دفتر اليومية'!L:L, 'دفتر اليومية'!H:H, A1130, 'دفتر اليومية'!E:E, "مبيعات اجل")</f>
        <v>0</v>
      </c>
      <c r="D1130" s="108">
        <f t="shared" si="17"/>
        <v>0</v>
      </c>
    </row>
    <row r="1131" spans="1:4" x14ac:dyDescent="0.3">
      <c r="A1131" s="10"/>
      <c r="B1131" s="10">
        <f>SUMIFS('دفتر اليومية'!K:K, 'دفتر اليومية'!H:H, A1131, 'دفتر اليومية'!E:E, "مبيعات اجل")</f>
        <v>0</v>
      </c>
      <c r="C1131" s="10">
        <f>SUMIFS('دفتر اليومية'!L:L, 'دفتر اليومية'!H:H, A1131, 'دفتر اليومية'!E:E, "مبيعات اجل")</f>
        <v>0</v>
      </c>
      <c r="D1131" s="108">
        <f t="shared" si="17"/>
        <v>0</v>
      </c>
    </row>
    <row r="1132" spans="1:4" x14ac:dyDescent="0.3">
      <c r="A1132" s="10"/>
      <c r="B1132" s="10">
        <f>SUMIFS('دفتر اليومية'!K:K, 'دفتر اليومية'!H:H, A1132, 'دفتر اليومية'!E:E, "مبيعات اجل")</f>
        <v>0</v>
      </c>
      <c r="C1132" s="10">
        <f>SUMIFS('دفتر اليومية'!L:L, 'دفتر اليومية'!H:H, A1132, 'دفتر اليومية'!E:E, "مبيعات اجل")</f>
        <v>0</v>
      </c>
      <c r="D1132" s="108">
        <f t="shared" si="17"/>
        <v>0</v>
      </c>
    </row>
    <row r="1133" spans="1:4" x14ac:dyDescent="0.3">
      <c r="A1133" s="10"/>
      <c r="B1133" s="10">
        <f>SUMIFS('دفتر اليومية'!K:K, 'دفتر اليومية'!H:H, A1133, 'دفتر اليومية'!E:E, "مبيعات اجل")</f>
        <v>0</v>
      </c>
      <c r="C1133" s="10">
        <f>SUMIFS('دفتر اليومية'!L:L, 'دفتر اليومية'!H:H, A1133, 'دفتر اليومية'!E:E, "مبيعات اجل")</f>
        <v>0</v>
      </c>
      <c r="D1133" s="108">
        <f t="shared" si="17"/>
        <v>0</v>
      </c>
    </row>
    <row r="1134" spans="1:4" x14ac:dyDescent="0.3">
      <c r="A1134" s="10"/>
      <c r="B1134" s="10">
        <f>SUMIFS('دفتر اليومية'!K:K, 'دفتر اليومية'!H:H, A1134, 'دفتر اليومية'!E:E, "مبيعات اجل")</f>
        <v>0</v>
      </c>
      <c r="C1134" s="10">
        <f>SUMIFS('دفتر اليومية'!L:L, 'دفتر اليومية'!H:H, A1134, 'دفتر اليومية'!E:E, "مبيعات اجل")</f>
        <v>0</v>
      </c>
      <c r="D1134" s="108">
        <f t="shared" si="17"/>
        <v>0</v>
      </c>
    </row>
    <row r="1135" spans="1:4" x14ac:dyDescent="0.3">
      <c r="A1135" s="10"/>
      <c r="B1135" s="10">
        <f>SUMIFS('دفتر اليومية'!K:K, 'دفتر اليومية'!H:H, A1135, 'دفتر اليومية'!E:E, "مبيعات اجل")</f>
        <v>0</v>
      </c>
      <c r="C1135" s="10">
        <f>SUMIFS('دفتر اليومية'!L:L, 'دفتر اليومية'!H:H, A1135, 'دفتر اليومية'!E:E, "مبيعات اجل")</f>
        <v>0</v>
      </c>
      <c r="D1135" s="108">
        <f t="shared" si="17"/>
        <v>0</v>
      </c>
    </row>
    <row r="1136" spans="1:4" x14ac:dyDescent="0.3">
      <c r="A1136" s="10"/>
      <c r="B1136" s="10">
        <f>SUMIFS('دفتر اليومية'!K:K, 'دفتر اليومية'!H:H, A1136, 'دفتر اليومية'!E:E, "مبيعات اجل")</f>
        <v>0</v>
      </c>
      <c r="C1136" s="10">
        <f>SUMIFS('دفتر اليومية'!L:L, 'دفتر اليومية'!H:H, A1136, 'دفتر اليومية'!E:E, "مبيعات اجل")</f>
        <v>0</v>
      </c>
      <c r="D1136" s="108">
        <f t="shared" si="17"/>
        <v>0</v>
      </c>
    </row>
    <row r="1137" spans="1:4" x14ac:dyDescent="0.3">
      <c r="A1137" s="10"/>
      <c r="B1137" s="10">
        <f>SUMIFS('دفتر اليومية'!K:K, 'دفتر اليومية'!H:H, A1137, 'دفتر اليومية'!E:E, "مبيعات اجل")</f>
        <v>0</v>
      </c>
      <c r="C1137" s="10">
        <f>SUMIFS('دفتر اليومية'!L:L, 'دفتر اليومية'!H:H, A1137, 'دفتر اليومية'!E:E, "مبيعات اجل")</f>
        <v>0</v>
      </c>
      <c r="D1137" s="108">
        <f t="shared" si="17"/>
        <v>0</v>
      </c>
    </row>
    <row r="1138" spans="1:4" x14ac:dyDescent="0.3">
      <c r="A1138" s="10"/>
      <c r="B1138" s="10">
        <f>SUMIFS('دفتر اليومية'!K:K, 'دفتر اليومية'!H:H, A1138, 'دفتر اليومية'!E:E, "مبيعات اجل")</f>
        <v>0</v>
      </c>
      <c r="C1138" s="10">
        <f>SUMIFS('دفتر اليومية'!L:L, 'دفتر اليومية'!H:H, A1138, 'دفتر اليومية'!E:E, "مبيعات اجل")</f>
        <v>0</v>
      </c>
      <c r="D1138" s="108">
        <f t="shared" si="17"/>
        <v>0</v>
      </c>
    </row>
    <row r="1139" spans="1:4" x14ac:dyDescent="0.3">
      <c r="A1139" s="10"/>
      <c r="B1139" s="10">
        <f>SUMIFS('دفتر اليومية'!K:K, 'دفتر اليومية'!H:H, A1139, 'دفتر اليومية'!E:E, "مبيعات اجل")</f>
        <v>0</v>
      </c>
      <c r="C1139" s="10">
        <f>SUMIFS('دفتر اليومية'!L:L, 'دفتر اليومية'!H:H, A1139, 'دفتر اليومية'!E:E, "مبيعات اجل")</f>
        <v>0</v>
      </c>
      <c r="D1139" s="108">
        <f t="shared" si="17"/>
        <v>0</v>
      </c>
    </row>
    <row r="1140" spans="1:4" x14ac:dyDescent="0.3">
      <c r="A1140" s="10"/>
      <c r="B1140" s="10">
        <f>SUMIFS('دفتر اليومية'!K:K, 'دفتر اليومية'!H:H, A1140, 'دفتر اليومية'!E:E, "مبيعات اجل")</f>
        <v>0</v>
      </c>
      <c r="C1140" s="10">
        <f>SUMIFS('دفتر اليومية'!L:L, 'دفتر اليومية'!H:H, A1140, 'دفتر اليومية'!E:E, "مبيعات اجل")</f>
        <v>0</v>
      </c>
      <c r="D1140" s="108">
        <f t="shared" si="17"/>
        <v>0</v>
      </c>
    </row>
    <row r="1141" spans="1:4" x14ac:dyDescent="0.3">
      <c r="A1141" s="10"/>
      <c r="B1141" s="10">
        <f>SUMIFS('دفتر اليومية'!K:K, 'دفتر اليومية'!H:H, A1141, 'دفتر اليومية'!E:E, "مبيعات اجل")</f>
        <v>0</v>
      </c>
      <c r="C1141" s="10">
        <f>SUMIFS('دفتر اليومية'!L:L, 'دفتر اليومية'!H:H, A1141, 'دفتر اليومية'!E:E, "مبيعات اجل")</f>
        <v>0</v>
      </c>
      <c r="D1141" s="108">
        <f t="shared" si="17"/>
        <v>0</v>
      </c>
    </row>
    <row r="1142" spans="1:4" x14ac:dyDescent="0.3">
      <c r="A1142" s="10"/>
      <c r="B1142" s="10">
        <f>SUMIFS('دفتر اليومية'!K:K, 'دفتر اليومية'!H:H, A1142, 'دفتر اليومية'!E:E, "مبيعات اجل")</f>
        <v>0</v>
      </c>
      <c r="C1142" s="10">
        <f>SUMIFS('دفتر اليومية'!L:L, 'دفتر اليومية'!H:H, A1142, 'دفتر اليومية'!E:E, "مبيعات اجل")</f>
        <v>0</v>
      </c>
      <c r="D1142" s="108">
        <f t="shared" si="17"/>
        <v>0</v>
      </c>
    </row>
    <row r="1143" spans="1:4" x14ac:dyDescent="0.3">
      <c r="A1143" s="10"/>
      <c r="B1143" s="10">
        <f>SUMIFS('دفتر اليومية'!K:K, 'دفتر اليومية'!H:H, A1143, 'دفتر اليومية'!E:E, "مبيعات اجل")</f>
        <v>0</v>
      </c>
      <c r="C1143" s="10">
        <f>SUMIFS('دفتر اليومية'!L:L, 'دفتر اليومية'!H:H, A1143, 'دفتر اليومية'!E:E, "مبيعات اجل")</f>
        <v>0</v>
      </c>
      <c r="D1143" s="108">
        <f t="shared" si="17"/>
        <v>0</v>
      </c>
    </row>
    <row r="1144" spans="1:4" x14ac:dyDescent="0.3">
      <c r="A1144" s="10"/>
      <c r="B1144" s="10">
        <f>SUMIFS('دفتر اليومية'!K:K, 'دفتر اليومية'!H:H, A1144, 'دفتر اليومية'!E:E, "مبيعات اجل")</f>
        <v>0</v>
      </c>
      <c r="C1144" s="10">
        <f>SUMIFS('دفتر اليومية'!L:L, 'دفتر اليومية'!H:H, A1144, 'دفتر اليومية'!E:E, "مبيعات اجل")</f>
        <v>0</v>
      </c>
      <c r="D1144" s="108">
        <f t="shared" si="17"/>
        <v>0</v>
      </c>
    </row>
    <row r="1145" spans="1:4" x14ac:dyDescent="0.3">
      <c r="A1145" s="10"/>
      <c r="B1145" s="10">
        <f>SUMIFS('دفتر اليومية'!K:K, 'دفتر اليومية'!H:H, A1145, 'دفتر اليومية'!E:E, "مبيعات اجل")</f>
        <v>0</v>
      </c>
      <c r="C1145" s="10">
        <f>SUMIFS('دفتر اليومية'!L:L, 'دفتر اليومية'!H:H, A1145, 'دفتر اليومية'!E:E, "مبيعات اجل")</f>
        <v>0</v>
      </c>
      <c r="D1145" s="108">
        <f t="shared" si="17"/>
        <v>0</v>
      </c>
    </row>
    <row r="1146" spans="1:4" x14ac:dyDescent="0.3">
      <c r="A1146" s="10"/>
      <c r="B1146" s="10">
        <f>SUMIFS('دفتر اليومية'!K:K, 'دفتر اليومية'!H:H, A1146, 'دفتر اليومية'!E:E, "مبيعات اجل")</f>
        <v>0</v>
      </c>
      <c r="C1146" s="10">
        <f>SUMIFS('دفتر اليومية'!L:L, 'دفتر اليومية'!H:H, A1146, 'دفتر اليومية'!E:E, "مبيعات اجل")</f>
        <v>0</v>
      </c>
      <c r="D1146" s="108">
        <f t="shared" si="17"/>
        <v>0</v>
      </c>
    </row>
    <row r="1147" spans="1:4" x14ac:dyDescent="0.3">
      <c r="A1147" s="10"/>
      <c r="B1147" s="10">
        <f>SUMIFS('دفتر اليومية'!K:K, 'دفتر اليومية'!H:H, A1147, 'دفتر اليومية'!E:E, "مبيعات اجل")</f>
        <v>0</v>
      </c>
      <c r="C1147" s="10">
        <f>SUMIFS('دفتر اليومية'!L:L, 'دفتر اليومية'!H:H, A1147, 'دفتر اليومية'!E:E, "مبيعات اجل")</f>
        <v>0</v>
      </c>
      <c r="D1147" s="108">
        <f t="shared" si="17"/>
        <v>0</v>
      </c>
    </row>
    <row r="1148" spans="1:4" x14ac:dyDescent="0.3">
      <c r="A1148" s="10"/>
      <c r="B1148" s="10">
        <f>SUMIFS('دفتر اليومية'!K:K, 'دفتر اليومية'!H:H, A1148, 'دفتر اليومية'!E:E, "مبيعات اجل")</f>
        <v>0</v>
      </c>
      <c r="C1148" s="10">
        <f>SUMIFS('دفتر اليومية'!L:L, 'دفتر اليومية'!H:H, A1148, 'دفتر اليومية'!E:E, "مبيعات اجل")</f>
        <v>0</v>
      </c>
      <c r="D1148" s="108">
        <f t="shared" si="17"/>
        <v>0</v>
      </c>
    </row>
    <row r="1149" spans="1:4" x14ac:dyDescent="0.3">
      <c r="A1149" s="10"/>
      <c r="B1149" s="10">
        <f>SUMIFS('دفتر اليومية'!K:K, 'دفتر اليومية'!H:H, A1149, 'دفتر اليومية'!E:E, "مبيعات اجل")</f>
        <v>0</v>
      </c>
      <c r="C1149" s="10">
        <f>SUMIFS('دفتر اليومية'!L:L, 'دفتر اليومية'!H:H, A1149, 'دفتر اليومية'!E:E, "مبيعات اجل")</f>
        <v>0</v>
      </c>
      <c r="D1149" s="108">
        <f t="shared" si="17"/>
        <v>0</v>
      </c>
    </row>
    <row r="1150" spans="1:4" x14ac:dyDescent="0.3">
      <c r="A1150" s="10"/>
      <c r="B1150" s="10">
        <f>SUMIFS('دفتر اليومية'!K:K, 'دفتر اليومية'!H:H, A1150, 'دفتر اليومية'!E:E, "مبيعات اجل")</f>
        <v>0</v>
      </c>
      <c r="C1150" s="10">
        <f>SUMIFS('دفتر اليومية'!L:L, 'دفتر اليومية'!H:H, A1150, 'دفتر اليومية'!E:E, "مبيعات اجل")</f>
        <v>0</v>
      </c>
      <c r="D1150" s="108">
        <f t="shared" si="17"/>
        <v>0</v>
      </c>
    </row>
    <row r="1151" spans="1:4" x14ac:dyDescent="0.3">
      <c r="A1151" s="10"/>
      <c r="B1151" s="10">
        <f>SUMIFS('دفتر اليومية'!K:K, 'دفتر اليومية'!H:H, A1151, 'دفتر اليومية'!E:E, "مبيعات اجل")</f>
        <v>0</v>
      </c>
      <c r="C1151" s="10">
        <f>SUMIFS('دفتر اليومية'!L:L, 'دفتر اليومية'!H:H, A1151, 'دفتر اليومية'!E:E, "مبيعات اجل")</f>
        <v>0</v>
      </c>
      <c r="D1151" s="108">
        <f t="shared" si="17"/>
        <v>0</v>
      </c>
    </row>
    <row r="1152" spans="1:4" x14ac:dyDescent="0.3">
      <c r="A1152" s="10"/>
      <c r="B1152" s="10">
        <f>SUMIFS('دفتر اليومية'!K:K, 'دفتر اليومية'!H:H, A1152, 'دفتر اليومية'!E:E, "مبيعات اجل")</f>
        <v>0</v>
      </c>
      <c r="C1152" s="10">
        <f>SUMIFS('دفتر اليومية'!L:L, 'دفتر اليومية'!H:H, A1152, 'دفتر اليومية'!E:E, "مبيعات اجل")</f>
        <v>0</v>
      </c>
      <c r="D1152" s="108">
        <f t="shared" si="17"/>
        <v>0</v>
      </c>
    </row>
    <row r="1153" spans="1:4" x14ac:dyDescent="0.3">
      <c r="A1153" s="10"/>
      <c r="B1153" s="10">
        <f>SUMIFS('دفتر اليومية'!K:K, 'دفتر اليومية'!H:H, A1153, 'دفتر اليومية'!E:E, "مبيعات اجل")</f>
        <v>0</v>
      </c>
      <c r="C1153" s="10">
        <f>SUMIFS('دفتر اليومية'!L:L, 'دفتر اليومية'!H:H, A1153, 'دفتر اليومية'!E:E, "مبيعات اجل")</f>
        <v>0</v>
      </c>
      <c r="D1153" s="108">
        <f t="shared" si="17"/>
        <v>0</v>
      </c>
    </row>
    <row r="1154" spans="1:4" x14ac:dyDescent="0.3">
      <c r="A1154" s="10"/>
      <c r="B1154" s="10">
        <f>SUMIFS('دفتر اليومية'!K:K, 'دفتر اليومية'!H:H, A1154, 'دفتر اليومية'!E:E, "مبيعات اجل")</f>
        <v>0</v>
      </c>
      <c r="C1154" s="10">
        <f>SUMIFS('دفتر اليومية'!L:L, 'دفتر اليومية'!H:H, A1154, 'دفتر اليومية'!E:E, "مبيعات اجل")</f>
        <v>0</v>
      </c>
      <c r="D1154" s="108">
        <f t="shared" si="17"/>
        <v>0</v>
      </c>
    </row>
    <row r="1155" spans="1:4" x14ac:dyDescent="0.3">
      <c r="A1155" s="10"/>
      <c r="B1155" s="10">
        <f>SUMIFS('دفتر اليومية'!K:K, 'دفتر اليومية'!H:H, A1155, 'دفتر اليومية'!E:E, "مبيعات اجل")</f>
        <v>0</v>
      </c>
      <c r="C1155" s="10">
        <f>SUMIFS('دفتر اليومية'!L:L, 'دفتر اليومية'!H:H, A1155, 'دفتر اليومية'!E:E, "مبيعات اجل")</f>
        <v>0</v>
      </c>
      <c r="D1155" s="108">
        <f t="shared" ref="D1155:D1169" si="18">B1155-C1155</f>
        <v>0</v>
      </c>
    </row>
    <row r="1156" spans="1:4" x14ac:dyDescent="0.3">
      <c r="A1156" s="10"/>
      <c r="B1156" s="10">
        <f>SUMIFS('دفتر اليومية'!K:K, 'دفتر اليومية'!H:H, A1156, 'دفتر اليومية'!E:E, "مبيعات اجل")</f>
        <v>0</v>
      </c>
      <c r="C1156" s="10">
        <f>SUMIFS('دفتر اليومية'!L:L, 'دفتر اليومية'!H:H, A1156, 'دفتر اليومية'!E:E, "مبيعات اجل")</f>
        <v>0</v>
      </c>
      <c r="D1156" s="108">
        <f t="shared" si="18"/>
        <v>0</v>
      </c>
    </row>
    <row r="1157" spans="1:4" x14ac:dyDescent="0.3">
      <c r="A1157" s="10"/>
      <c r="B1157" s="10">
        <f>SUMIFS('دفتر اليومية'!K:K, 'دفتر اليومية'!H:H, A1157, 'دفتر اليومية'!E:E, "مبيعات اجل")</f>
        <v>0</v>
      </c>
      <c r="C1157" s="10">
        <f>SUMIFS('دفتر اليومية'!L:L, 'دفتر اليومية'!H:H, A1157, 'دفتر اليومية'!E:E, "مبيعات اجل")</f>
        <v>0</v>
      </c>
      <c r="D1157" s="108">
        <f t="shared" si="18"/>
        <v>0</v>
      </c>
    </row>
    <row r="1158" spans="1:4" x14ac:dyDescent="0.3">
      <c r="A1158" s="10"/>
      <c r="B1158" s="10">
        <f>SUMIFS('دفتر اليومية'!K:K, 'دفتر اليومية'!H:H, A1158, 'دفتر اليومية'!E:E, "مبيعات اجل")</f>
        <v>0</v>
      </c>
      <c r="C1158" s="10">
        <f>SUMIFS('دفتر اليومية'!L:L, 'دفتر اليومية'!H:H, A1158, 'دفتر اليومية'!E:E, "مبيعات اجل")</f>
        <v>0</v>
      </c>
      <c r="D1158" s="108">
        <f t="shared" si="18"/>
        <v>0</v>
      </c>
    </row>
    <row r="1159" spans="1:4" x14ac:dyDescent="0.3">
      <c r="A1159" s="10"/>
      <c r="B1159" s="10">
        <f>SUMIFS('دفتر اليومية'!K:K, 'دفتر اليومية'!H:H, A1159, 'دفتر اليومية'!E:E, "مبيعات اجل")</f>
        <v>0</v>
      </c>
      <c r="C1159" s="10">
        <f>SUMIFS('دفتر اليومية'!L:L, 'دفتر اليومية'!H:H, A1159, 'دفتر اليومية'!E:E, "مبيعات اجل")</f>
        <v>0</v>
      </c>
      <c r="D1159" s="108">
        <f t="shared" si="18"/>
        <v>0</v>
      </c>
    </row>
    <row r="1160" spans="1:4" x14ac:dyDescent="0.3">
      <c r="A1160" s="10"/>
      <c r="B1160" s="10">
        <f>SUMIFS('دفتر اليومية'!K:K, 'دفتر اليومية'!H:H, A1160, 'دفتر اليومية'!E:E, "مبيعات اجل")</f>
        <v>0</v>
      </c>
      <c r="C1160" s="10">
        <f>SUMIFS('دفتر اليومية'!L:L, 'دفتر اليومية'!H:H, A1160, 'دفتر اليومية'!E:E, "مبيعات اجل")</f>
        <v>0</v>
      </c>
      <c r="D1160" s="108">
        <f t="shared" si="18"/>
        <v>0</v>
      </c>
    </row>
    <row r="1161" spans="1:4" x14ac:dyDescent="0.3">
      <c r="A1161" s="10"/>
      <c r="B1161" s="10">
        <f>SUMIFS('دفتر اليومية'!K:K, 'دفتر اليومية'!H:H, A1161, 'دفتر اليومية'!E:E, "مبيعات اجل")</f>
        <v>0</v>
      </c>
      <c r="C1161" s="10">
        <f>SUMIFS('دفتر اليومية'!L:L, 'دفتر اليومية'!H:H, A1161, 'دفتر اليومية'!E:E, "مبيعات اجل")</f>
        <v>0</v>
      </c>
      <c r="D1161" s="108">
        <f t="shared" si="18"/>
        <v>0</v>
      </c>
    </row>
    <row r="1162" spans="1:4" x14ac:dyDescent="0.3">
      <c r="A1162" s="10"/>
      <c r="B1162" s="10">
        <f>SUMIFS('دفتر اليومية'!K:K, 'دفتر اليومية'!H:H, A1162, 'دفتر اليومية'!E:E, "مبيعات اجل")</f>
        <v>0</v>
      </c>
      <c r="C1162" s="10">
        <f>SUMIFS('دفتر اليومية'!L:L, 'دفتر اليومية'!H:H, A1162, 'دفتر اليومية'!E:E, "مبيعات اجل")</f>
        <v>0</v>
      </c>
      <c r="D1162" s="108">
        <f t="shared" si="18"/>
        <v>0</v>
      </c>
    </row>
    <row r="1163" spans="1:4" x14ac:dyDescent="0.3">
      <c r="A1163" s="10"/>
      <c r="B1163" s="10">
        <f>SUMIFS('دفتر اليومية'!K:K, 'دفتر اليومية'!H:H, A1163, 'دفتر اليومية'!E:E, "مبيعات اجل")</f>
        <v>0</v>
      </c>
      <c r="C1163" s="10">
        <f>SUMIFS('دفتر اليومية'!L:L, 'دفتر اليومية'!H:H, A1163, 'دفتر اليومية'!E:E, "مبيعات اجل")</f>
        <v>0</v>
      </c>
      <c r="D1163" s="108">
        <f t="shared" si="18"/>
        <v>0</v>
      </c>
    </row>
    <row r="1164" spans="1:4" x14ac:dyDescent="0.3">
      <c r="A1164" s="10"/>
      <c r="B1164" s="10">
        <f>SUMIFS('دفتر اليومية'!K:K, 'دفتر اليومية'!H:H, A1164, 'دفتر اليومية'!E:E, "مبيعات اجل")</f>
        <v>0</v>
      </c>
      <c r="C1164" s="10">
        <f>SUMIFS('دفتر اليومية'!L:L, 'دفتر اليومية'!H:H, A1164, 'دفتر اليومية'!E:E, "مبيعات اجل")</f>
        <v>0</v>
      </c>
      <c r="D1164" s="108">
        <f t="shared" si="18"/>
        <v>0</v>
      </c>
    </row>
    <row r="1165" spans="1:4" x14ac:dyDescent="0.3">
      <c r="A1165" s="10"/>
      <c r="B1165" s="10">
        <f>SUMIFS('دفتر اليومية'!K:K, 'دفتر اليومية'!H:H, A1165, 'دفتر اليومية'!E:E, "مبيعات اجل")</f>
        <v>0</v>
      </c>
      <c r="C1165" s="10">
        <f>SUMIFS('دفتر اليومية'!L:L, 'دفتر اليومية'!H:H, A1165, 'دفتر اليومية'!E:E, "مبيعات اجل")</f>
        <v>0</v>
      </c>
      <c r="D1165" s="108">
        <f t="shared" si="18"/>
        <v>0</v>
      </c>
    </row>
    <row r="1166" spans="1:4" x14ac:dyDescent="0.3">
      <c r="A1166" s="10"/>
      <c r="B1166" s="10">
        <f>SUMIFS('دفتر اليومية'!K:K, 'دفتر اليومية'!H:H, A1166, 'دفتر اليومية'!E:E, "مبيعات اجل")</f>
        <v>0</v>
      </c>
      <c r="C1166" s="10">
        <f>SUMIFS('دفتر اليومية'!L:L, 'دفتر اليومية'!H:H, A1166, 'دفتر اليومية'!E:E, "مبيعات اجل")</f>
        <v>0</v>
      </c>
      <c r="D1166" s="108">
        <f t="shared" si="18"/>
        <v>0</v>
      </c>
    </row>
    <row r="1167" spans="1:4" x14ac:dyDescent="0.3">
      <c r="A1167" s="10"/>
      <c r="B1167" s="10">
        <f>SUMIFS('دفتر اليومية'!K:K, 'دفتر اليومية'!H:H, A1167, 'دفتر اليومية'!E:E, "مبيعات اجل")</f>
        <v>0</v>
      </c>
      <c r="C1167" s="10">
        <f>SUMIFS('دفتر اليومية'!L:L, 'دفتر اليومية'!H:H, A1167, 'دفتر اليومية'!E:E, "مبيعات اجل")</f>
        <v>0</v>
      </c>
      <c r="D1167" s="108">
        <f t="shared" si="18"/>
        <v>0</v>
      </c>
    </row>
    <row r="1168" spans="1:4" x14ac:dyDescent="0.3">
      <c r="A1168" s="10"/>
      <c r="B1168" s="10">
        <f>SUMIFS('دفتر اليومية'!K:K, 'دفتر اليومية'!H:H, A1168, 'دفتر اليومية'!E:E, "مبيعات اجل")</f>
        <v>0</v>
      </c>
      <c r="C1168" s="10">
        <f>SUMIFS('دفتر اليومية'!L:L, 'دفتر اليومية'!H:H, A1168, 'دفتر اليومية'!E:E, "مبيعات اجل")</f>
        <v>0</v>
      </c>
      <c r="D1168" s="108">
        <f t="shared" si="18"/>
        <v>0</v>
      </c>
    </row>
    <row r="1169" spans="2:4" x14ac:dyDescent="0.3">
      <c r="B1169">
        <f>SUMIFS('دفتر اليومية'!K:K, 'دفتر اليومية'!H:H, A1169, 'دفتر اليومية'!E:E, "مبيعات اجل")</f>
        <v>0</v>
      </c>
      <c r="C1169">
        <f>SUMIFS('دفتر اليومية'!L:L, 'دفتر اليومية'!H:H, A1169, 'دفتر اليومية'!E:E, "مبيعات اجل")</f>
        <v>0</v>
      </c>
      <c r="D1169" s="105">
        <f t="shared" si="18"/>
        <v>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303C-F278-4A10-960F-59AB99A050F5}">
  <dimension ref="B2:AD1117"/>
  <sheetViews>
    <sheetView rightToLeft="1" zoomScale="116" workbookViewId="0">
      <selection activeCell="A14" sqref="A14"/>
    </sheetView>
  </sheetViews>
  <sheetFormatPr defaultRowHeight="14.4" x14ac:dyDescent="0.3"/>
  <cols>
    <col min="2" max="2" width="46.5546875" customWidth="1"/>
    <col min="3" max="3" width="11.44140625" customWidth="1"/>
    <col min="4" max="12" width="12.44140625" customWidth="1"/>
    <col min="13" max="13" width="12.5546875" bestFit="1" customWidth="1"/>
    <col min="14" max="14" width="11.33203125" bestFit="1" customWidth="1"/>
    <col min="15" max="15" width="8.88671875" style="7"/>
    <col min="17" max="17" width="57.44140625" bestFit="1" customWidth="1"/>
  </cols>
  <sheetData>
    <row r="2" spans="2:30" x14ac:dyDescent="0.3">
      <c r="D2" s="86" t="s">
        <v>204</v>
      </c>
    </row>
    <row r="3" spans="2:30" x14ac:dyDescent="0.3">
      <c r="D3" s="86" t="s">
        <v>0</v>
      </c>
    </row>
    <row r="4" spans="2:30" x14ac:dyDescent="0.3">
      <c r="D4" s="86" t="s">
        <v>233</v>
      </c>
    </row>
    <row r="5" spans="2:30" x14ac:dyDescent="0.3">
      <c r="D5" s="86" t="s">
        <v>1</v>
      </c>
      <c r="L5">
        <f>SUM(L8:L1117)</f>
        <v>110375</v>
      </c>
    </row>
    <row r="6" spans="2:30" ht="25.5" customHeight="1" thickBot="1" x14ac:dyDescent="0.35">
      <c r="B6" s="32" t="s">
        <v>228</v>
      </c>
      <c r="C6" s="32" t="s">
        <v>9</v>
      </c>
      <c r="D6" s="32" t="s">
        <v>232</v>
      </c>
      <c r="E6" s="163" t="s">
        <v>229</v>
      </c>
      <c r="F6" s="163"/>
      <c r="G6" s="163" t="s">
        <v>230</v>
      </c>
      <c r="H6" s="163"/>
      <c r="I6" s="163" t="s">
        <v>212</v>
      </c>
      <c r="J6" s="163"/>
      <c r="K6" s="163" t="s">
        <v>231</v>
      </c>
      <c r="L6" s="163"/>
      <c r="M6" s="10"/>
      <c r="N6" s="10"/>
      <c r="O6" s="44"/>
      <c r="Q6" s="128" t="s">
        <v>228</v>
      </c>
      <c r="R6" s="129" t="s">
        <v>423</v>
      </c>
      <c r="S6" s="129" t="s">
        <v>424</v>
      </c>
      <c r="T6" s="129" t="s">
        <v>425</v>
      </c>
      <c r="U6" s="129" t="s">
        <v>434</v>
      </c>
      <c r="V6" s="129" t="s">
        <v>426</v>
      </c>
      <c r="W6" s="129" t="s">
        <v>436</v>
      </c>
      <c r="X6" s="129" t="s">
        <v>435</v>
      </c>
      <c r="Y6" s="129" t="s">
        <v>427</v>
      </c>
      <c r="Z6" s="129" t="s">
        <v>428</v>
      </c>
      <c r="AA6" s="129" t="s">
        <v>429</v>
      </c>
      <c r="AB6" s="129" t="s">
        <v>430</v>
      </c>
      <c r="AC6" s="129" t="s">
        <v>431</v>
      </c>
      <c r="AD6" s="129" t="s">
        <v>437</v>
      </c>
    </row>
    <row r="7" spans="2:30" ht="25.5" customHeight="1" thickTop="1" thickBot="1" x14ac:dyDescent="0.35">
      <c r="B7" s="32"/>
      <c r="C7" s="32"/>
      <c r="D7" s="32"/>
      <c r="E7" s="33" t="s">
        <v>3</v>
      </c>
      <c r="F7" s="33" t="s">
        <v>6</v>
      </c>
      <c r="G7" s="34" t="s">
        <v>3</v>
      </c>
      <c r="H7" s="34" t="s">
        <v>6</v>
      </c>
      <c r="I7" s="35" t="s">
        <v>3</v>
      </c>
      <c r="J7" s="35" t="s">
        <v>6</v>
      </c>
      <c r="K7" s="36" t="s">
        <v>3</v>
      </c>
      <c r="L7" s="36" t="s">
        <v>6</v>
      </c>
      <c r="M7" s="142" t="s">
        <v>448</v>
      </c>
      <c r="N7" s="143" t="s">
        <v>449</v>
      </c>
      <c r="O7" s="144" t="s">
        <v>237</v>
      </c>
      <c r="Q7" s="130" t="str" cm="1">
        <f t="array" ref="Q7:Q162">_xlfn.UNIQUE(_xlfn._xlws.FILTER('تحليل مبيعات'!C10:C3996, 'تحليل مبيعات'!C10:C3996&lt;&gt;""))</f>
        <v>بطارية كلورايد 70 معكوسة</v>
      </c>
      <c r="R7" s="131">
        <f>SUMIFS('تحليل مبيعات'!H:H,'تحليل مبيعات'!C:C,'حركة المخزن'!Q7,'تحليل مبيعات'!W:W,'حركة المخزن'!$R$6)</f>
        <v>0</v>
      </c>
      <c r="S7" s="132">
        <f>SUMIFS('تحليل مبيعات'!H:H,'تحليل مبيعات'!C:C,'حركة المخزن'!Q7,'تحليل مبيعات'!W:W,'حركة المخزن'!$S$6)</f>
        <v>0</v>
      </c>
      <c r="T7" s="132">
        <f>SUMIFS('تحليل مبيعات'!H:H,'تحليل مبيعات'!C:C,'حركة المخزن'!Q7,'تحليل مبيعات'!W:W,'حركة المخزن'!$T$6)</f>
        <v>0</v>
      </c>
      <c r="U7" s="132">
        <f>SUMIFS('تحليل مبيعات'!H:H,'تحليل مبيعات'!C:C,'حركة المخزن'!Q7,'تحليل مبيعات'!W:W,'حركة المخزن'!$U$6)</f>
        <v>0</v>
      </c>
      <c r="V7" s="132">
        <f>SUMIFS('تحليل مبيعات'!H:H,'تحليل مبيعات'!C:C,'حركة المخزن'!Q7,'تحليل مبيعات'!W:W,'حركة المخزن'!$V$6)</f>
        <v>0</v>
      </c>
      <c r="W7" s="132">
        <f>SUMIFS('تحليل مبيعات'!H:H,'تحليل مبيعات'!C:C,'حركة المخزن'!Q7,'تحليل مبيعات'!W:W,'حركة المخزن'!$W$6)</f>
        <v>0</v>
      </c>
      <c r="X7" s="132">
        <f>SUMIFS('تحليل مبيعات'!H:H,'تحليل مبيعات'!C:C,'حركة المخزن'!Q7,'تحليل مبيعات'!W:W,'حركة المخزن'!$X$6)</f>
        <v>1</v>
      </c>
      <c r="Y7" s="132">
        <f>SUMIFS('تحليل مبيعات'!H:H,'تحليل مبيعات'!C:C,'حركة المخزن'!Q7,'تحليل مبيعات'!W:W,'حركة المخزن'!$Y$6)</f>
        <v>0</v>
      </c>
      <c r="Z7" s="132">
        <f>SUMIFS('تحليل مبيعات'!H:H,'تحليل مبيعات'!C:C,'حركة المخزن'!Q7,'تحليل مبيعات'!W:W,'حركة المخزن'!$Z$6)</f>
        <v>0</v>
      </c>
      <c r="AA7" s="132">
        <f>SUMIFS('تحليل مبيعات'!H:H,'تحليل مبيعات'!C:C,'حركة المخزن'!Q7,'تحليل مبيعات'!W:W,'حركة المخزن'!$AA$6)</f>
        <v>0</v>
      </c>
      <c r="AB7" s="132">
        <f>SUMIFS('تحليل مبيعات'!H:H,'تحليل مبيعات'!C:C,'حركة المخزن'!Q7,'تحليل مبيعات'!W:W,'حركة المخزن'!$AB$6)</f>
        <v>0</v>
      </c>
      <c r="AC7" s="133">
        <f>SUMIFS('تحليل مبيعات'!H:H,'تحليل مبيعات'!C:C,'حركة المخزن'!Q7,'تحليل مبيعات'!W:W,'حركة المخزن'!$AC$6)</f>
        <v>0</v>
      </c>
      <c r="AD7" s="134">
        <f t="shared" ref="AD7:AD38" si="0">SUM(R7:AC7)</f>
        <v>1</v>
      </c>
    </row>
    <row r="8" spans="2:30" ht="16.2" thickBot="1" x14ac:dyDescent="0.35">
      <c r="B8" s="70" t="s">
        <v>7</v>
      </c>
      <c r="C8" s="10" t="s">
        <v>269</v>
      </c>
      <c r="D8" s="10" t="s">
        <v>0</v>
      </c>
      <c r="E8" s="10">
        <v>5</v>
      </c>
      <c r="F8" s="10">
        <v>1000</v>
      </c>
      <c r="G8" s="10">
        <v>0</v>
      </c>
      <c r="H8" s="10">
        <v>0</v>
      </c>
      <c r="I8" s="10">
        <f>IFERROR(IF(SUMIF('تحليل مبيعات'!C:C, 'حركة المخزن'!B8, 'تحليل مبيعات'!H:H)=0,"",SUMIF('تحليل مبيعات'!C:C, 'حركة المخزن'!B8, 'تحليل مبيعات'!H:H)),"")</f>
        <v>5</v>
      </c>
      <c r="J8" s="10">
        <f>IFERROR(IF(SUMIF('تحليل مبيعات'!C:C, 'حركة المخزن'!B8, 'تحليل مبيعات'!L:L)=0,"",SUMIF('تحليل مبيعات'!C:C, 'حركة المخزن'!B8, 'تحليل مبيعات'!L:L)),"")</f>
        <v>8850</v>
      </c>
      <c r="K8" s="10">
        <f>IFERROR(E8+G8-I8,"")</f>
        <v>0</v>
      </c>
      <c r="L8" s="10">
        <f>IFERROR(F8+H8-J8,"")</f>
        <v>-7850</v>
      </c>
      <c r="M8" s="10">
        <v>5</v>
      </c>
      <c r="N8" s="10" t="str">
        <f>IF(K8&lt;M8,"أعادة الطلب","يوجد رصيد كافى")</f>
        <v>أعادة الطلب</v>
      </c>
      <c r="O8" s="44">
        <v>100</v>
      </c>
      <c r="Q8" s="130" t="str">
        <v>اكسليرا 13/175/70</v>
      </c>
      <c r="R8" s="135">
        <f>SUMIFS('تحليل مبيعات'!H:H,'تحليل مبيعات'!C:C,'حركة المخزن'!Q8,'تحليل مبيعات'!W:W,'حركة المخزن'!$R$6)</f>
        <v>0</v>
      </c>
      <c r="S8" s="136">
        <f>SUMIFS('تحليل مبيعات'!H:H,'تحليل مبيعات'!C:C,'حركة المخزن'!Q8,'تحليل مبيعات'!W:W,'حركة المخزن'!$S$6)</f>
        <v>0</v>
      </c>
      <c r="T8" s="136">
        <f>SUMIFS('تحليل مبيعات'!H:H,'تحليل مبيعات'!C:C,'حركة المخزن'!Q8,'تحليل مبيعات'!W:W,'حركة المخزن'!$T$6)</f>
        <v>0</v>
      </c>
      <c r="U8" s="136">
        <f>SUMIFS('تحليل مبيعات'!H:H,'تحليل مبيعات'!C:C,'حركة المخزن'!Q8,'تحليل مبيعات'!W:W,'حركة المخزن'!$U$6)</f>
        <v>0</v>
      </c>
      <c r="V8" s="136">
        <f>SUMIFS('تحليل مبيعات'!H:H,'تحليل مبيعات'!C:C,'حركة المخزن'!Q8,'تحليل مبيعات'!W:W,'حركة المخزن'!$V$6)</f>
        <v>0</v>
      </c>
      <c r="W8" s="136">
        <f>SUMIFS('تحليل مبيعات'!H:H,'تحليل مبيعات'!C:C,'حركة المخزن'!Q8,'تحليل مبيعات'!W:W,'حركة المخزن'!$W$6)</f>
        <v>1</v>
      </c>
      <c r="X8" s="136">
        <f>SUMIFS('تحليل مبيعات'!H:H,'تحليل مبيعات'!C:C,'حركة المخزن'!Q8,'تحليل مبيعات'!W:W,'حركة المخزن'!$X$6)</f>
        <v>4</v>
      </c>
      <c r="Y8" s="136">
        <f>SUMIFS('تحليل مبيعات'!H:H,'تحليل مبيعات'!C:C,'حركة المخزن'!Q8,'تحليل مبيعات'!W:W,'حركة المخزن'!$Y$6)</f>
        <v>0</v>
      </c>
      <c r="Z8" s="136">
        <f>SUMIFS('تحليل مبيعات'!H:H,'تحليل مبيعات'!C:C,'حركة المخزن'!Q8,'تحليل مبيعات'!W:W,'حركة المخزن'!$Z$6)</f>
        <v>0</v>
      </c>
      <c r="AA8" s="136">
        <f>SUMIFS('تحليل مبيعات'!H:H,'تحليل مبيعات'!C:C,'حركة المخزن'!Q8,'تحليل مبيعات'!W:W,'حركة المخزن'!$AA$6)</f>
        <v>0</v>
      </c>
      <c r="AB8" s="136">
        <f>SUMIFS('تحليل مبيعات'!H:H,'تحليل مبيعات'!C:C,'حركة المخزن'!Q8,'تحليل مبيعات'!W:W,'حركة المخزن'!$AB$6)</f>
        <v>0</v>
      </c>
      <c r="AC8" s="137">
        <f>SUMIFS('تحليل مبيعات'!H:H,'تحليل مبيعات'!C:C,'حركة المخزن'!Q8,'تحليل مبيعات'!W:W,'حركة المخزن'!$AC$6)</f>
        <v>0</v>
      </c>
      <c r="AD8" s="134">
        <f t="shared" si="0"/>
        <v>5</v>
      </c>
    </row>
    <row r="9" spans="2:30" ht="16.2" thickBot="1" x14ac:dyDescent="0.35">
      <c r="B9" s="70" t="s">
        <v>34</v>
      </c>
      <c r="C9" s="10" t="s">
        <v>270</v>
      </c>
      <c r="D9" s="10" t="s">
        <v>0</v>
      </c>
      <c r="E9" s="10">
        <v>5</v>
      </c>
      <c r="F9" s="10">
        <v>1000</v>
      </c>
      <c r="G9" s="10">
        <v>0</v>
      </c>
      <c r="H9" s="10">
        <v>0</v>
      </c>
      <c r="I9" s="10">
        <f>IFERROR(IF(SUMIF('تحليل مبيعات'!C:C, 'حركة المخزن'!B9, 'تحليل مبيعات'!H:H)=0,"",SUMIF('تحليل مبيعات'!C:C, 'حركة المخزن'!B9, 'تحليل مبيعات'!H:H)),"")</f>
        <v>2</v>
      </c>
      <c r="J9" s="10">
        <f>IFERROR(IF(SUMIF('تحليل مبيعات'!C:C, 'حركة المخزن'!B9, 'تحليل مبيعات'!L:L)=0,"",SUMIF('تحليل مبيعات'!C:C, 'حركة المخزن'!B9, 'تحليل مبيعات'!L:L)),"")</f>
        <v>4500</v>
      </c>
      <c r="K9" s="10">
        <f t="shared" ref="K9:K72" si="1">IFERROR(E9+G9-I9,"")</f>
        <v>3</v>
      </c>
      <c r="L9" s="10">
        <f t="shared" ref="L9:L72" si="2">IFERROR(F9+H9-J9,"")</f>
        <v>-3500</v>
      </c>
      <c r="M9" s="10">
        <v>5</v>
      </c>
      <c r="N9" s="10" t="str">
        <f t="shared" ref="N9:N72" si="3">IF(K9&lt;M9,"أعادة الطلب","يوجد رصيد كافى")</f>
        <v>أعادة الطلب</v>
      </c>
      <c r="O9" s="44">
        <v>200</v>
      </c>
      <c r="Q9" s="130" t="str">
        <v xml:space="preserve">بلف كتينة </v>
      </c>
      <c r="R9" s="135">
        <f>SUMIFS('تحليل مبيعات'!H:H,'تحليل مبيعات'!C:C,'حركة المخزن'!Q9,'تحليل مبيعات'!W:W,'حركة المخزن'!$R$6)</f>
        <v>0</v>
      </c>
      <c r="S9" s="136">
        <f>SUMIFS('تحليل مبيعات'!H:H,'تحليل مبيعات'!C:C,'حركة المخزن'!Q9,'تحليل مبيعات'!W:W,'حركة المخزن'!$S$6)</f>
        <v>0</v>
      </c>
      <c r="T9" s="136">
        <f>SUMIFS('تحليل مبيعات'!H:H,'تحليل مبيعات'!C:C,'حركة المخزن'!Q9,'تحليل مبيعات'!W:W,'حركة المخزن'!$T$6)</f>
        <v>0</v>
      </c>
      <c r="U9" s="136">
        <f>SUMIFS('تحليل مبيعات'!H:H,'تحليل مبيعات'!C:C,'حركة المخزن'!Q9,'تحليل مبيعات'!W:W,'حركة المخزن'!$U$6)</f>
        <v>0</v>
      </c>
      <c r="V9" s="136">
        <f>SUMIFS('تحليل مبيعات'!H:H,'تحليل مبيعات'!C:C,'حركة المخزن'!Q9,'تحليل مبيعات'!W:W,'حركة المخزن'!$V$6)</f>
        <v>0</v>
      </c>
      <c r="W9" s="136">
        <f>SUMIFS('تحليل مبيعات'!H:H,'تحليل مبيعات'!C:C,'حركة المخزن'!Q9,'تحليل مبيعات'!W:W,'حركة المخزن'!$W$6)</f>
        <v>0</v>
      </c>
      <c r="X9" s="136">
        <f>SUMIFS('تحليل مبيعات'!H:H,'تحليل مبيعات'!C:C,'حركة المخزن'!Q9,'تحليل مبيعات'!W:W,'حركة المخزن'!$X$6)</f>
        <v>17</v>
      </c>
      <c r="Y9" s="136">
        <f>SUMIFS('تحليل مبيعات'!H:H,'تحليل مبيعات'!C:C,'حركة المخزن'!Q9,'تحليل مبيعات'!W:W,'حركة المخزن'!$Y$6)</f>
        <v>0</v>
      </c>
      <c r="Z9" s="136">
        <f>SUMIFS('تحليل مبيعات'!H:H,'تحليل مبيعات'!C:C,'حركة المخزن'!Q9,'تحليل مبيعات'!W:W,'حركة المخزن'!$Z$6)</f>
        <v>0</v>
      </c>
      <c r="AA9" s="136">
        <f>SUMIFS('تحليل مبيعات'!H:H,'تحليل مبيعات'!C:C,'حركة المخزن'!Q9,'تحليل مبيعات'!W:W,'حركة المخزن'!$AA$6)</f>
        <v>0</v>
      </c>
      <c r="AB9" s="136">
        <f>SUMIFS('تحليل مبيعات'!H:H,'تحليل مبيعات'!C:C,'حركة المخزن'!Q9,'تحليل مبيعات'!W:W,'حركة المخزن'!$AB$6)</f>
        <v>0</v>
      </c>
      <c r="AC9" s="137">
        <f>SUMIFS('تحليل مبيعات'!H:H,'تحليل مبيعات'!C:C,'حركة المخزن'!Q9,'تحليل مبيعات'!W:W,'حركة المخزن'!$AC$6)</f>
        <v>0</v>
      </c>
      <c r="AD9" s="134">
        <f t="shared" si="0"/>
        <v>17</v>
      </c>
    </row>
    <row r="10" spans="2:30" ht="16.2" thickBot="1" x14ac:dyDescent="0.35">
      <c r="B10" s="70" t="s">
        <v>50</v>
      </c>
      <c r="C10" s="10" t="s">
        <v>271</v>
      </c>
      <c r="D10" s="10" t="s">
        <v>0</v>
      </c>
      <c r="E10" s="10">
        <v>5</v>
      </c>
      <c r="F10" s="10">
        <v>1000</v>
      </c>
      <c r="G10" s="10">
        <v>0</v>
      </c>
      <c r="H10" s="10">
        <v>0</v>
      </c>
      <c r="I10" s="10">
        <f>IFERROR(IF(SUMIF('تحليل مبيعات'!C:C, 'حركة المخزن'!B10, 'تحليل مبيعات'!H:H)=0,"",SUMIF('تحليل مبيعات'!C:C, 'حركة المخزن'!B10, 'تحليل مبيعات'!H:H)),"")</f>
        <v>6</v>
      </c>
      <c r="J10" s="10">
        <f>IFERROR(IF(SUMIF('تحليل مبيعات'!C:C, 'حركة المخزن'!B10, 'تحليل مبيعات'!L:L)=0,"",SUMIF('تحليل مبيعات'!C:C, 'حركة المخزن'!B10, 'تحليل مبيعات'!L:L)),"")</f>
        <v>11100</v>
      </c>
      <c r="K10" s="10">
        <f t="shared" si="1"/>
        <v>-1</v>
      </c>
      <c r="L10" s="10">
        <f t="shared" si="2"/>
        <v>-10100</v>
      </c>
      <c r="M10" s="10">
        <v>5</v>
      </c>
      <c r="N10" s="10" t="str">
        <f t="shared" si="3"/>
        <v>أعادة الطلب</v>
      </c>
      <c r="O10" s="44">
        <v>100</v>
      </c>
      <c r="Q10" s="130" t="str">
        <v>مروحة تويوتا عريضة</v>
      </c>
      <c r="R10" s="135">
        <f>SUMIFS('تحليل مبيعات'!H:H,'تحليل مبيعات'!C:C,'حركة المخزن'!Q10,'تحليل مبيعات'!W:W,'حركة المخزن'!$R$6)</f>
        <v>0</v>
      </c>
      <c r="S10" s="136">
        <f>SUMIFS('تحليل مبيعات'!H:H,'تحليل مبيعات'!C:C,'حركة المخزن'!Q10,'تحليل مبيعات'!W:W,'حركة المخزن'!$S$6)</f>
        <v>0</v>
      </c>
      <c r="T10" s="136">
        <f>SUMIFS('تحليل مبيعات'!H:H,'تحليل مبيعات'!C:C,'حركة المخزن'!Q10,'تحليل مبيعات'!W:W,'حركة المخزن'!$T$6)</f>
        <v>0</v>
      </c>
      <c r="U10" s="136">
        <f>SUMIFS('تحليل مبيعات'!H:H,'تحليل مبيعات'!C:C,'حركة المخزن'!Q10,'تحليل مبيعات'!W:W,'حركة المخزن'!$U$6)</f>
        <v>0</v>
      </c>
      <c r="V10" s="136">
        <f>SUMIFS('تحليل مبيعات'!H:H,'تحليل مبيعات'!C:C,'حركة المخزن'!Q10,'تحليل مبيعات'!W:W,'حركة المخزن'!$V$6)</f>
        <v>0</v>
      </c>
      <c r="W10" s="136">
        <f>SUMIFS('تحليل مبيعات'!H:H,'تحليل مبيعات'!C:C,'حركة المخزن'!Q10,'تحليل مبيعات'!W:W,'حركة المخزن'!$W$6)</f>
        <v>0</v>
      </c>
      <c r="X10" s="136">
        <f>SUMIFS('تحليل مبيعات'!H:H,'تحليل مبيعات'!C:C,'حركة المخزن'!Q10,'تحليل مبيعات'!W:W,'حركة المخزن'!$X$6)</f>
        <v>7</v>
      </c>
      <c r="Y10" s="136">
        <f>SUMIFS('تحليل مبيعات'!H:H,'تحليل مبيعات'!C:C,'حركة المخزن'!Q10,'تحليل مبيعات'!W:W,'حركة المخزن'!$Y$6)</f>
        <v>0</v>
      </c>
      <c r="Z10" s="136">
        <f>SUMIFS('تحليل مبيعات'!H:H,'تحليل مبيعات'!C:C,'حركة المخزن'!Q10,'تحليل مبيعات'!W:W,'حركة المخزن'!$Z$6)</f>
        <v>0</v>
      </c>
      <c r="AA10" s="136">
        <f>SUMIFS('تحليل مبيعات'!H:H,'تحليل مبيعات'!C:C,'حركة المخزن'!Q10,'تحليل مبيعات'!W:W,'حركة المخزن'!$AA$6)</f>
        <v>0</v>
      </c>
      <c r="AB10" s="136">
        <f>SUMIFS('تحليل مبيعات'!H:H,'تحليل مبيعات'!C:C,'حركة المخزن'!Q10,'تحليل مبيعات'!W:W,'حركة المخزن'!$AB$6)</f>
        <v>0</v>
      </c>
      <c r="AC10" s="137">
        <f>SUMIFS('تحليل مبيعات'!H:H,'تحليل مبيعات'!C:C,'حركة المخزن'!Q10,'تحليل مبيعات'!W:W,'حركة المخزن'!$AC$6)</f>
        <v>0</v>
      </c>
      <c r="AD10" s="134">
        <f t="shared" si="0"/>
        <v>7</v>
      </c>
    </row>
    <row r="11" spans="2:30" ht="16.2" thickBot="1" x14ac:dyDescent="0.35">
      <c r="B11" s="70" t="s">
        <v>56</v>
      </c>
      <c r="C11" s="10" t="s">
        <v>272</v>
      </c>
      <c r="D11" s="10" t="s">
        <v>0</v>
      </c>
      <c r="E11" s="10">
        <v>5</v>
      </c>
      <c r="F11" s="10">
        <v>1000</v>
      </c>
      <c r="G11" s="10">
        <v>0</v>
      </c>
      <c r="H11" s="10">
        <v>0</v>
      </c>
      <c r="I11" s="10">
        <f>IFERROR(IF(SUMIF('تحليل مبيعات'!C:C, 'حركة المخزن'!B11, 'تحليل مبيعات'!H:H)=0,"",SUMIF('تحليل مبيعات'!C:C, 'حركة المخزن'!B11, 'تحليل مبيعات'!H:H)),"")</f>
        <v>13</v>
      </c>
      <c r="J11" s="10">
        <f>IFERROR(IF(SUMIF('تحليل مبيعات'!C:C, 'حركة المخزن'!B11, 'تحليل مبيعات'!L:L)=0,"",SUMIF('تحليل مبيعات'!C:C, 'حركة المخزن'!B11, 'تحليل مبيعات'!L:L)),"")</f>
        <v>49100</v>
      </c>
      <c r="K11" s="10">
        <f t="shared" si="1"/>
        <v>-8</v>
      </c>
      <c r="L11" s="10">
        <f t="shared" si="2"/>
        <v>-48100</v>
      </c>
      <c r="M11" s="10">
        <v>5</v>
      </c>
      <c r="N11" s="10" t="str">
        <f t="shared" si="3"/>
        <v>أعادة الطلب</v>
      </c>
      <c r="O11" s="44">
        <v>50</v>
      </c>
      <c r="Q11" s="130" t="str">
        <v>قميص رداتير</v>
      </c>
      <c r="R11" s="135">
        <f>SUMIFS('تحليل مبيعات'!H:H,'تحليل مبيعات'!C:C,'حركة المخزن'!Q11,'تحليل مبيعات'!W:W,'حركة المخزن'!$R$6)</f>
        <v>0</v>
      </c>
      <c r="S11" s="136">
        <f>SUMIFS('تحليل مبيعات'!H:H,'تحليل مبيعات'!C:C,'حركة المخزن'!Q11,'تحليل مبيعات'!W:W,'حركة المخزن'!$S$6)</f>
        <v>0</v>
      </c>
      <c r="T11" s="136">
        <f>SUMIFS('تحليل مبيعات'!H:H,'تحليل مبيعات'!C:C,'حركة المخزن'!Q11,'تحليل مبيعات'!W:W,'حركة المخزن'!$T$6)</f>
        <v>0</v>
      </c>
      <c r="U11" s="136">
        <f>SUMIFS('تحليل مبيعات'!H:H,'تحليل مبيعات'!C:C,'حركة المخزن'!Q11,'تحليل مبيعات'!W:W,'حركة المخزن'!$U$6)</f>
        <v>0</v>
      </c>
      <c r="V11" s="136">
        <f>SUMIFS('تحليل مبيعات'!H:H,'تحليل مبيعات'!C:C,'حركة المخزن'!Q11,'تحليل مبيعات'!W:W,'حركة المخزن'!$V$6)</f>
        <v>0</v>
      </c>
      <c r="W11" s="136">
        <f>SUMIFS('تحليل مبيعات'!H:H,'تحليل مبيعات'!C:C,'حركة المخزن'!Q11,'تحليل مبيعات'!W:W,'حركة المخزن'!$W$6)</f>
        <v>0</v>
      </c>
      <c r="X11" s="136">
        <f>SUMIFS('تحليل مبيعات'!H:H,'تحليل مبيعات'!C:C,'حركة المخزن'!Q11,'تحليل مبيعات'!W:W,'حركة المخزن'!$X$6)</f>
        <v>8</v>
      </c>
      <c r="Y11" s="136">
        <f>SUMIFS('تحليل مبيعات'!H:H,'تحليل مبيعات'!C:C,'حركة المخزن'!Q11,'تحليل مبيعات'!W:W,'حركة المخزن'!$Y$6)</f>
        <v>0</v>
      </c>
      <c r="Z11" s="136">
        <f>SUMIFS('تحليل مبيعات'!H:H,'تحليل مبيعات'!C:C,'حركة المخزن'!Q11,'تحليل مبيعات'!W:W,'حركة المخزن'!$Z$6)</f>
        <v>0</v>
      </c>
      <c r="AA11" s="136">
        <f>SUMIFS('تحليل مبيعات'!H:H,'تحليل مبيعات'!C:C,'حركة المخزن'!Q11,'تحليل مبيعات'!W:W,'حركة المخزن'!$AA$6)</f>
        <v>0</v>
      </c>
      <c r="AB11" s="136">
        <f>SUMIFS('تحليل مبيعات'!H:H,'تحليل مبيعات'!C:C,'حركة المخزن'!Q11,'تحليل مبيعات'!W:W,'حركة المخزن'!$AB$6)</f>
        <v>0</v>
      </c>
      <c r="AC11" s="137">
        <f>SUMIFS('تحليل مبيعات'!H:H,'تحليل مبيعات'!C:C,'حركة المخزن'!Q11,'تحليل مبيعات'!W:W,'حركة المخزن'!$AC$6)</f>
        <v>0</v>
      </c>
      <c r="AD11" s="134">
        <f t="shared" si="0"/>
        <v>8</v>
      </c>
    </row>
    <row r="12" spans="2:30" ht="16.2" thickBot="1" x14ac:dyDescent="0.35">
      <c r="B12" s="70" t="s">
        <v>62</v>
      </c>
      <c r="C12" s="10" t="s">
        <v>273</v>
      </c>
      <c r="D12" s="10" t="s">
        <v>0</v>
      </c>
      <c r="E12" s="10">
        <v>5</v>
      </c>
      <c r="F12" s="10">
        <v>1000</v>
      </c>
      <c r="G12" s="10">
        <v>0</v>
      </c>
      <c r="H12" s="10">
        <v>0</v>
      </c>
      <c r="I12" s="10">
        <f>IFERROR(IF(SUMIF('تحليل مبيعات'!C:C, 'حركة المخزن'!B12, 'تحليل مبيعات'!H:H)=0,"",SUMIF('تحليل مبيعات'!C:C, 'حركة المخزن'!B12, 'تحليل مبيعات'!H:H)),"")</f>
        <v>4</v>
      </c>
      <c r="J12" s="10">
        <f>IFERROR(IF(SUMIF('تحليل مبيعات'!C:C, 'حركة المخزن'!B12, 'تحليل مبيعات'!L:L)=0,"",SUMIF('تحليل مبيعات'!C:C, 'حركة المخزن'!B12, 'تحليل مبيعات'!L:L)),"")</f>
        <v>30700</v>
      </c>
      <c r="K12" s="10">
        <f t="shared" si="1"/>
        <v>1</v>
      </c>
      <c r="L12" s="10">
        <f t="shared" si="2"/>
        <v>-29700</v>
      </c>
      <c r="M12" s="10">
        <v>5</v>
      </c>
      <c r="N12" s="10" t="str">
        <f t="shared" si="3"/>
        <v>أعادة الطلب</v>
      </c>
      <c r="O12" s="44">
        <v>50</v>
      </c>
      <c r="Q12" s="130" t="str">
        <v>طقم جوان تويوتا</v>
      </c>
      <c r="R12" s="135">
        <f>SUMIFS('تحليل مبيعات'!H:H,'تحليل مبيعات'!C:C,'حركة المخزن'!Q12,'تحليل مبيعات'!W:W,'حركة المخزن'!$R$6)</f>
        <v>0</v>
      </c>
      <c r="S12" s="136">
        <f>SUMIFS('تحليل مبيعات'!H:H,'تحليل مبيعات'!C:C,'حركة المخزن'!Q12,'تحليل مبيعات'!W:W,'حركة المخزن'!$S$6)</f>
        <v>0</v>
      </c>
      <c r="T12" s="136">
        <f>SUMIFS('تحليل مبيعات'!H:H,'تحليل مبيعات'!C:C,'حركة المخزن'!Q12,'تحليل مبيعات'!W:W,'حركة المخزن'!$T$6)</f>
        <v>0</v>
      </c>
      <c r="U12" s="136">
        <f>SUMIFS('تحليل مبيعات'!H:H,'تحليل مبيعات'!C:C,'حركة المخزن'!Q12,'تحليل مبيعات'!W:W,'حركة المخزن'!$U$6)</f>
        <v>0</v>
      </c>
      <c r="V12" s="136">
        <f>SUMIFS('تحليل مبيعات'!H:H,'تحليل مبيعات'!C:C,'حركة المخزن'!Q12,'تحليل مبيعات'!W:W,'حركة المخزن'!$V$6)</f>
        <v>0</v>
      </c>
      <c r="W12" s="136">
        <f>SUMIFS('تحليل مبيعات'!H:H,'تحليل مبيعات'!C:C,'حركة المخزن'!Q12,'تحليل مبيعات'!W:W,'حركة المخزن'!$W$6)</f>
        <v>0</v>
      </c>
      <c r="X12" s="136">
        <f>SUMIFS('تحليل مبيعات'!H:H,'تحليل مبيعات'!C:C,'حركة المخزن'!Q12,'تحليل مبيعات'!W:W,'حركة المخزن'!$X$6)</f>
        <v>3</v>
      </c>
      <c r="Y12" s="136">
        <f>SUMIFS('تحليل مبيعات'!H:H,'تحليل مبيعات'!C:C,'حركة المخزن'!Q12,'تحليل مبيعات'!W:W,'حركة المخزن'!$Y$6)</f>
        <v>0</v>
      </c>
      <c r="Z12" s="136">
        <f>SUMIFS('تحليل مبيعات'!H:H,'تحليل مبيعات'!C:C,'حركة المخزن'!Q12,'تحليل مبيعات'!W:W,'حركة المخزن'!$Z$6)</f>
        <v>0</v>
      </c>
      <c r="AA12" s="136">
        <f>SUMIFS('تحليل مبيعات'!H:H,'تحليل مبيعات'!C:C,'حركة المخزن'!Q12,'تحليل مبيعات'!W:W,'حركة المخزن'!$AA$6)</f>
        <v>0</v>
      </c>
      <c r="AB12" s="136">
        <f>SUMIFS('تحليل مبيعات'!H:H,'تحليل مبيعات'!C:C,'حركة المخزن'!Q12,'تحليل مبيعات'!W:W,'حركة المخزن'!$AB$6)</f>
        <v>0</v>
      </c>
      <c r="AC12" s="137">
        <f>SUMIFS('تحليل مبيعات'!H:H,'تحليل مبيعات'!C:C,'حركة المخزن'!Q12,'تحليل مبيعات'!W:W,'حركة المخزن'!$AC$6)</f>
        <v>0</v>
      </c>
      <c r="AD12" s="134">
        <f t="shared" si="0"/>
        <v>3</v>
      </c>
    </row>
    <row r="13" spans="2:30" ht="16.2" thickBot="1" x14ac:dyDescent="0.35">
      <c r="B13" s="70" t="s">
        <v>84</v>
      </c>
      <c r="C13" s="10" t="s">
        <v>274</v>
      </c>
      <c r="D13" s="10" t="s">
        <v>0</v>
      </c>
      <c r="E13" s="10">
        <v>5</v>
      </c>
      <c r="F13" s="10">
        <v>1000</v>
      </c>
      <c r="G13" s="10">
        <v>0</v>
      </c>
      <c r="H13" s="10">
        <v>0</v>
      </c>
      <c r="I13" s="10">
        <f>IFERROR(IF(SUMIF('تحليل مبيعات'!C:C, 'حركة المخزن'!B13, 'تحليل مبيعات'!H:H)=0,"",SUMIF('تحليل مبيعات'!C:C, 'حركة المخزن'!B13, 'تحليل مبيعات'!H:H)),"")</f>
        <v>4</v>
      </c>
      <c r="J13" s="10">
        <f>IFERROR(IF(SUMIF('تحليل مبيعات'!C:C, 'حركة المخزن'!B13, 'تحليل مبيعات'!L:L)=0,"",SUMIF('تحليل مبيعات'!C:C, 'حركة المخزن'!B13, 'تحليل مبيعات'!L:L)),"")</f>
        <v>15500</v>
      </c>
      <c r="K13" s="10">
        <f t="shared" si="1"/>
        <v>1</v>
      </c>
      <c r="L13" s="10">
        <f t="shared" si="2"/>
        <v>-14500</v>
      </c>
      <c r="M13" s="10">
        <v>5</v>
      </c>
      <c r="N13" s="10" t="str">
        <f t="shared" si="3"/>
        <v>أعادة الطلب</v>
      </c>
      <c r="O13" s="44">
        <v>40</v>
      </c>
      <c r="Q13" s="130" t="str">
        <v>طقم تيل امامى</v>
      </c>
      <c r="R13" s="135">
        <f>SUMIFS('تحليل مبيعات'!H:H,'تحليل مبيعات'!C:C,'حركة المخزن'!Q13,'تحليل مبيعات'!W:W,'حركة المخزن'!$R$6)</f>
        <v>0</v>
      </c>
      <c r="S13" s="136">
        <f>SUMIFS('تحليل مبيعات'!H:H,'تحليل مبيعات'!C:C,'حركة المخزن'!Q13,'تحليل مبيعات'!W:W,'حركة المخزن'!$S$6)</f>
        <v>0</v>
      </c>
      <c r="T13" s="136">
        <f>SUMIFS('تحليل مبيعات'!H:H,'تحليل مبيعات'!C:C,'حركة المخزن'!Q13,'تحليل مبيعات'!W:W,'حركة المخزن'!$T$6)</f>
        <v>0</v>
      </c>
      <c r="U13" s="136">
        <f>SUMIFS('تحليل مبيعات'!H:H,'تحليل مبيعات'!C:C,'حركة المخزن'!Q13,'تحليل مبيعات'!W:W,'حركة المخزن'!$U$6)</f>
        <v>0</v>
      </c>
      <c r="V13" s="136">
        <f>SUMIFS('تحليل مبيعات'!H:H,'تحليل مبيعات'!C:C,'حركة المخزن'!Q13,'تحليل مبيعات'!W:W,'حركة المخزن'!$V$6)</f>
        <v>0</v>
      </c>
      <c r="W13" s="136">
        <f>SUMIFS('تحليل مبيعات'!H:H,'تحليل مبيعات'!C:C,'حركة المخزن'!Q13,'تحليل مبيعات'!W:W,'حركة المخزن'!$W$6)</f>
        <v>0</v>
      </c>
      <c r="X13" s="136">
        <f>SUMIFS('تحليل مبيعات'!H:H,'تحليل مبيعات'!C:C,'حركة المخزن'!Q13,'تحليل مبيعات'!W:W,'حركة المخزن'!$X$6)</f>
        <v>8</v>
      </c>
      <c r="Y13" s="136">
        <f>SUMIFS('تحليل مبيعات'!H:H,'تحليل مبيعات'!C:C,'حركة المخزن'!Q13,'تحليل مبيعات'!W:W,'حركة المخزن'!$Y$6)</f>
        <v>0</v>
      </c>
      <c r="Z13" s="136">
        <f>SUMIFS('تحليل مبيعات'!H:H,'تحليل مبيعات'!C:C,'حركة المخزن'!Q13,'تحليل مبيعات'!W:W,'حركة المخزن'!$Z$6)</f>
        <v>0</v>
      </c>
      <c r="AA13" s="136">
        <f>SUMIFS('تحليل مبيعات'!H:H,'تحليل مبيعات'!C:C,'حركة المخزن'!Q13,'تحليل مبيعات'!W:W,'حركة المخزن'!$AA$6)</f>
        <v>0</v>
      </c>
      <c r="AB13" s="136">
        <f>SUMIFS('تحليل مبيعات'!H:H,'تحليل مبيعات'!C:C,'حركة المخزن'!Q13,'تحليل مبيعات'!W:W,'حركة المخزن'!$AB$6)</f>
        <v>0</v>
      </c>
      <c r="AC13" s="137">
        <f>SUMIFS('تحليل مبيعات'!H:H,'تحليل مبيعات'!C:C,'حركة المخزن'!Q13,'تحليل مبيعات'!W:W,'حركة المخزن'!$AC$6)</f>
        <v>0</v>
      </c>
      <c r="AD13" s="134">
        <f t="shared" si="0"/>
        <v>8</v>
      </c>
    </row>
    <row r="14" spans="2:30" ht="16.2" thickBot="1" x14ac:dyDescent="0.35">
      <c r="B14" s="70" t="s">
        <v>176</v>
      </c>
      <c r="C14" s="10" t="s">
        <v>275</v>
      </c>
      <c r="D14" s="10" t="s">
        <v>0</v>
      </c>
      <c r="E14" s="10">
        <v>5</v>
      </c>
      <c r="F14" s="10">
        <v>1000</v>
      </c>
      <c r="G14" s="10">
        <v>0</v>
      </c>
      <c r="H14" s="10">
        <v>0</v>
      </c>
      <c r="I14" s="10">
        <f>IFERROR(IF(SUMIF('تحليل مبيعات'!C:C, 'حركة المخزن'!B14, 'تحليل مبيعات'!H:H)=0,"",SUMIF('تحليل مبيعات'!C:C, 'حركة المخزن'!B14, 'تحليل مبيعات'!H:H)),"")</f>
        <v>2</v>
      </c>
      <c r="J14" s="10">
        <f>IFERROR(IF(SUMIF('تحليل مبيعات'!C:C, 'حركة المخزن'!B14, 'تحليل مبيعات'!L:L)=0,"",SUMIF('تحليل مبيعات'!C:C, 'حركة المخزن'!B14, 'تحليل مبيعات'!L:L)),"")</f>
        <v>6400</v>
      </c>
      <c r="K14" s="10">
        <f t="shared" si="1"/>
        <v>3</v>
      </c>
      <c r="L14" s="10">
        <f t="shared" si="2"/>
        <v>-5400</v>
      </c>
      <c r="M14" s="10">
        <v>5</v>
      </c>
      <c r="N14" s="10" t="str">
        <f t="shared" si="3"/>
        <v>أعادة الطلب</v>
      </c>
      <c r="O14" s="44">
        <v>100</v>
      </c>
      <c r="Q14" s="130" t="str">
        <v>غطاء تنك</v>
      </c>
      <c r="R14" s="135">
        <f>SUMIFS('تحليل مبيعات'!H:H,'تحليل مبيعات'!C:C,'حركة المخزن'!Q14,'تحليل مبيعات'!W:W,'حركة المخزن'!$R$6)</f>
        <v>0</v>
      </c>
      <c r="S14" s="136">
        <f>SUMIFS('تحليل مبيعات'!H:H,'تحليل مبيعات'!C:C,'حركة المخزن'!Q14,'تحليل مبيعات'!W:W,'حركة المخزن'!$S$6)</f>
        <v>0</v>
      </c>
      <c r="T14" s="136">
        <f>SUMIFS('تحليل مبيعات'!H:H,'تحليل مبيعات'!C:C,'حركة المخزن'!Q14,'تحليل مبيعات'!W:W,'حركة المخزن'!$T$6)</f>
        <v>0</v>
      </c>
      <c r="U14" s="136">
        <f>SUMIFS('تحليل مبيعات'!H:H,'تحليل مبيعات'!C:C,'حركة المخزن'!Q14,'تحليل مبيعات'!W:W,'حركة المخزن'!$U$6)</f>
        <v>0</v>
      </c>
      <c r="V14" s="136">
        <f>SUMIFS('تحليل مبيعات'!H:H,'تحليل مبيعات'!C:C,'حركة المخزن'!Q14,'تحليل مبيعات'!W:W,'حركة المخزن'!$V$6)</f>
        <v>0</v>
      </c>
      <c r="W14" s="136">
        <f>SUMIFS('تحليل مبيعات'!H:H,'تحليل مبيعات'!C:C,'حركة المخزن'!Q14,'تحليل مبيعات'!W:W,'حركة المخزن'!$W$6)</f>
        <v>0</v>
      </c>
      <c r="X14" s="136">
        <f>SUMIFS('تحليل مبيعات'!H:H,'تحليل مبيعات'!C:C,'حركة المخزن'!Q14,'تحليل مبيعات'!W:W,'حركة المخزن'!$X$6)</f>
        <v>1</v>
      </c>
      <c r="Y14" s="136">
        <f>SUMIFS('تحليل مبيعات'!H:H,'تحليل مبيعات'!C:C,'حركة المخزن'!Q14,'تحليل مبيعات'!W:W,'حركة المخزن'!$Y$6)</f>
        <v>0</v>
      </c>
      <c r="Z14" s="136">
        <f>SUMIFS('تحليل مبيعات'!H:H,'تحليل مبيعات'!C:C,'حركة المخزن'!Q14,'تحليل مبيعات'!W:W,'حركة المخزن'!$Z$6)</f>
        <v>0</v>
      </c>
      <c r="AA14" s="136">
        <f>SUMIFS('تحليل مبيعات'!H:H,'تحليل مبيعات'!C:C,'حركة المخزن'!Q14,'تحليل مبيعات'!W:W,'حركة المخزن'!$AA$6)</f>
        <v>0</v>
      </c>
      <c r="AB14" s="136">
        <f>SUMIFS('تحليل مبيعات'!H:H,'تحليل مبيعات'!C:C,'حركة المخزن'!Q14,'تحليل مبيعات'!W:W,'حركة المخزن'!$AB$6)</f>
        <v>0</v>
      </c>
      <c r="AC14" s="137">
        <f>SUMIFS('تحليل مبيعات'!H:H,'تحليل مبيعات'!C:C,'حركة المخزن'!Q14,'تحليل مبيعات'!W:W,'حركة المخزن'!$AC$6)</f>
        <v>0</v>
      </c>
      <c r="AD14" s="134">
        <f t="shared" si="0"/>
        <v>1</v>
      </c>
    </row>
    <row r="15" spans="2:30" ht="16.2" thickBot="1" x14ac:dyDescent="0.35">
      <c r="B15" s="70" t="s">
        <v>178</v>
      </c>
      <c r="C15" s="10" t="s">
        <v>276</v>
      </c>
      <c r="D15" s="10" t="s">
        <v>0</v>
      </c>
      <c r="E15" s="10">
        <v>5</v>
      </c>
      <c r="F15" s="10">
        <v>1000</v>
      </c>
      <c r="G15" s="10">
        <v>0</v>
      </c>
      <c r="H15" s="10">
        <v>0</v>
      </c>
      <c r="I15" s="10">
        <f>IFERROR(IF(SUMIF('تحليل مبيعات'!C:C, 'حركة المخزن'!B15, 'تحليل مبيعات'!H:H)=0,"",SUMIF('تحليل مبيعات'!C:C, 'حركة المخزن'!B15, 'تحليل مبيعات'!H:H)),"")</f>
        <v>4</v>
      </c>
      <c r="J15" s="10">
        <f>IFERROR(IF(SUMIF('تحليل مبيعات'!C:C, 'حركة المخزن'!B15, 'تحليل مبيعات'!L:L)=0,"",SUMIF('تحليل مبيعات'!C:C, 'حركة المخزن'!B15, 'تحليل مبيعات'!L:L)),"")</f>
        <v>22700</v>
      </c>
      <c r="K15" s="10">
        <f t="shared" si="1"/>
        <v>1</v>
      </c>
      <c r="L15" s="10">
        <f t="shared" si="2"/>
        <v>-21700</v>
      </c>
      <c r="M15" s="10">
        <v>5</v>
      </c>
      <c r="N15" s="10" t="str">
        <f t="shared" si="3"/>
        <v>أعادة الطلب</v>
      </c>
      <c r="O15" s="44">
        <v>200</v>
      </c>
      <c r="Q15" s="130" t="str">
        <v>طقم بلية صره امامى + اويل سيل</v>
      </c>
      <c r="R15" s="135">
        <f>SUMIFS('تحليل مبيعات'!H:H,'تحليل مبيعات'!C:C,'حركة المخزن'!Q15,'تحليل مبيعات'!W:W,'حركة المخزن'!$R$6)</f>
        <v>0</v>
      </c>
      <c r="S15" s="136">
        <f>SUMIFS('تحليل مبيعات'!H:H,'تحليل مبيعات'!C:C,'حركة المخزن'!Q15,'تحليل مبيعات'!W:W,'حركة المخزن'!$S$6)</f>
        <v>0</v>
      </c>
      <c r="T15" s="136">
        <f>SUMIFS('تحليل مبيعات'!H:H,'تحليل مبيعات'!C:C,'حركة المخزن'!Q15,'تحليل مبيعات'!W:W,'حركة المخزن'!$T$6)</f>
        <v>0</v>
      </c>
      <c r="U15" s="136">
        <f>SUMIFS('تحليل مبيعات'!H:H,'تحليل مبيعات'!C:C,'حركة المخزن'!Q15,'تحليل مبيعات'!W:W,'حركة المخزن'!$U$6)</f>
        <v>0</v>
      </c>
      <c r="V15" s="136">
        <f>SUMIFS('تحليل مبيعات'!H:H,'تحليل مبيعات'!C:C,'حركة المخزن'!Q15,'تحليل مبيعات'!W:W,'حركة المخزن'!$V$6)</f>
        <v>0</v>
      </c>
      <c r="W15" s="136">
        <f>SUMIFS('تحليل مبيعات'!H:H,'تحليل مبيعات'!C:C,'حركة المخزن'!Q15,'تحليل مبيعات'!W:W,'حركة المخزن'!$W$6)</f>
        <v>0</v>
      </c>
      <c r="X15" s="136">
        <f>SUMIFS('تحليل مبيعات'!H:H,'تحليل مبيعات'!C:C,'حركة المخزن'!Q15,'تحليل مبيعات'!W:W,'حركة المخزن'!$X$6)</f>
        <v>6</v>
      </c>
      <c r="Y15" s="136">
        <f>SUMIFS('تحليل مبيعات'!H:H,'تحليل مبيعات'!C:C,'حركة المخزن'!Q15,'تحليل مبيعات'!W:W,'حركة المخزن'!$Y$6)</f>
        <v>1</v>
      </c>
      <c r="Z15" s="136">
        <f>SUMIFS('تحليل مبيعات'!H:H,'تحليل مبيعات'!C:C,'حركة المخزن'!Q15,'تحليل مبيعات'!W:W,'حركة المخزن'!$Z$6)</f>
        <v>0</v>
      </c>
      <c r="AA15" s="136">
        <f>SUMIFS('تحليل مبيعات'!H:H,'تحليل مبيعات'!C:C,'حركة المخزن'!Q15,'تحليل مبيعات'!W:W,'حركة المخزن'!$AA$6)</f>
        <v>0</v>
      </c>
      <c r="AB15" s="136">
        <f>SUMIFS('تحليل مبيعات'!H:H,'تحليل مبيعات'!C:C,'حركة المخزن'!Q15,'تحليل مبيعات'!W:W,'حركة المخزن'!$AB$6)</f>
        <v>0</v>
      </c>
      <c r="AC15" s="137">
        <f>SUMIFS('تحليل مبيعات'!H:H,'تحليل مبيعات'!C:C,'حركة المخزن'!Q15,'تحليل مبيعات'!W:W,'حركة المخزن'!$AC$6)</f>
        <v>0</v>
      </c>
      <c r="AD15" s="134">
        <f t="shared" si="0"/>
        <v>7</v>
      </c>
    </row>
    <row r="16" spans="2:30" ht="16.2" thickBot="1" x14ac:dyDescent="0.35">
      <c r="B16" s="74" t="s">
        <v>192</v>
      </c>
      <c r="C16" s="10" t="s">
        <v>277</v>
      </c>
      <c r="D16" s="10" t="s">
        <v>0</v>
      </c>
      <c r="E16" s="10">
        <v>5</v>
      </c>
      <c r="F16" s="10">
        <v>1000</v>
      </c>
      <c r="G16" s="10">
        <v>0</v>
      </c>
      <c r="H16" s="10">
        <v>0</v>
      </c>
      <c r="I16" s="10">
        <f>IFERROR(IF(SUMIF('تحليل مبيعات'!C:C, 'حركة المخزن'!B16, 'تحليل مبيعات'!H:H)=0,"",SUMIF('تحليل مبيعات'!C:C, 'حركة المخزن'!B16, 'تحليل مبيعات'!H:H)),"")</f>
        <v>4</v>
      </c>
      <c r="J16" s="10">
        <f>IFERROR(IF(SUMIF('تحليل مبيعات'!C:C, 'حركة المخزن'!B16, 'تحليل مبيعات'!L:L)=0,"",SUMIF('تحليل مبيعات'!C:C, 'حركة المخزن'!B16, 'تحليل مبيعات'!L:L)),"")</f>
        <v>7200</v>
      </c>
      <c r="K16" s="10">
        <f t="shared" si="1"/>
        <v>1</v>
      </c>
      <c r="L16" s="10">
        <f t="shared" si="2"/>
        <v>-6200</v>
      </c>
      <c r="M16" s="10">
        <v>5</v>
      </c>
      <c r="N16" s="10" t="str">
        <f t="shared" si="3"/>
        <v>أعادة الطلب</v>
      </c>
      <c r="O16" s="44">
        <v>250</v>
      </c>
      <c r="Q16" s="130" t="str">
        <v>تيل خلفى 902317</v>
      </c>
      <c r="R16" s="135">
        <f>SUMIFS('تحليل مبيعات'!H:H,'تحليل مبيعات'!C:C,'حركة المخزن'!Q16,'تحليل مبيعات'!W:W,'حركة المخزن'!$R$6)</f>
        <v>0</v>
      </c>
      <c r="S16" s="136">
        <f>SUMIFS('تحليل مبيعات'!H:H,'تحليل مبيعات'!C:C,'حركة المخزن'!Q16,'تحليل مبيعات'!W:W,'حركة المخزن'!$S$6)</f>
        <v>0</v>
      </c>
      <c r="T16" s="136">
        <f>SUMIFS('تحليل مبيعات'!H:H,'تحليل مبيعات'!C:C,'حركة المخزن'!Q16,'تحليل مبيعات'!W:W,'حركة المخزن'!$T$6)</f>
        <v>0</v>
      </c>
      <c r="U16" s="136">
        <f>SUMIFS('تحليل مبيعات'!H:H,'تحليل مبيعات'!C:C,'حركة المخزن'!Q16,'تحليل مبيعات'!W:W,'حركة المخزن'!$U$6)</f>
        <v>0</v>
      </c>
      <c r="V16" s="136">
        <f>SUMIFS('تحليل مبيعات'!H:H,'تحليل مبيعات'!C:C,'حركة المخزن'!Q16,'تحليل مبيعات'!W:W,'حركة المخزن'!$V$6)</f>
        <v>0</v>
      </c>
      <c r="W16" s="136">
        <f>SUMIFS('تحليل مبيعات'!H:H,'تحليل مبيعات'!C:C,'حركة المخزن'!Q16,'تحليل مبيعات'!W:W,'حركة المخزن'!$W$6)</f>
        <v>0</v>
      </c>
      <c r="X16" s="136">
        <f>SUMIFS('تحليل مبيعات'!H:H,'تحليل مبيعات'!C:C,'حركة المخزن'!Q16,'تحليل مبيعات'!W:W,'حركة المخزن'!$X$6)</f>
        <v>6</v>
      </c>
      <c r="Y16" s="136">
        <f>SUMIFS('تحليل مبيعات'!H:H,'تحليل مبيعات'!C:C,'حركة المخزن'!Q16,'تحليل مبيعات'!W:W,'حركة المخزن'!$Y$6)</f>
        <v>0</v>
      </c>
      <c r="Z16" s="136">
        <f>SUMIFS('تحليل مبيعات'!H:H,'تحليل مبيعات'!C:C,'حركة المخزن'!Q16,'تحليل مبيعات'!W:W,'حركة المخزن'!$Z$6)</f>
        <v>0</v>
      </c>
      <c r="AA16" s="136">
        <f>SUMIFS('تحليل مبيعات'!H:H,'تحليل مبيعات'!C:C,'حركة المخزن'!Q16,'تحليل مبيعات'!W:W,'حركة المخزن'!$AA$6)</f>
        <v>0</v>
      </c>
      <c r="AB16" s="136">
        <f>SUMIFS('تحليل مبيعات'!H:H,'تحليل مبيعات'!C:C,'حركة المخزن'!Q16,'تحليل مبيعات'!W:W,'حركة المخزن'!$AB$6)</f>
        <v>0</v>
      </c>
      <c r="AC16" s="137">
        <f>SUMIFS('تحليل مبيعات'!H:H,'تحليل مبيعات'!C:C,'حركة المخزن'!Q16,'تحليل مبيعات'!W:W,'حركة المخزن'!$AC$6)</f>
        <v>0</v>
      </c>
      <c r="AD16" s="134">
        <f t="shared" si="0"/>
        <v>6</v>
      </c>
    </row>
    <row r="17" spans="2:30" ht="16.2" thickBot="1" x14ac:dyDescent="0.35">
      <c r="B17" s="74" t="s">
        <v>13</v>
      </c>
      <c r="C17" s="10" t="s">
        <v>278</v>
      </c>
      <c r="D17" s="10" t="s">
        <v>0</v>
      </c>
      <c r="E17" s="10">
        <v>5</v>
      </c>
      <c r="F17" s="10">
        <v>1000</v>
      </c>
      <c r="G17" s="10">
        <v>0</v>
      </c>
      <c r="H17" s="10">
        <v>0</v>
      </c>
      <c r="I17" s="10">
        <f>IFERROR(IF(SUMIF('تحليل مبيعات'!C:C, 'حركة المخزن'!B17, 'تحليل مبيعات'!H:H)=0,"",SUMIF('تحليل مبيعات'!C:C, 'حركة المخزن'!B17, 'تحليل مبيعات'!H:H)),"")</f>
        <v>17</v>
      </c>
      <c r="J17" s="10">
        <f>IFERROR(IF(SUMIF('تحليل مبيعات'!C:C, 'حركة المخزن'!B17, 'تحليل مبيعات'!L:L)=0,"",SUMIF('تحليل مبيعات'!C:C, 'حركة المخزن'!B17, 'تحليل مبيعات'!L:L)),"")</f>
        <v>79800</v>
      </c>
      <c r="K17" s="10">
        <f t="shared" si="1"/>
        <v>-12</v>
      </c>
      <c r="L17" s="10">
        <f t="shared" si="2"/>
        <v>-78800</v>
      </c>
      <c r="M17" s="10">
        <v>5</v>
      </c>
      <c r="N17" s="10" t="str">
        <f t="shared" si="3"/>
        <v>أعادة الطلب</v>
      </c>
      <c r="O17" s="44">
        <v>150</v>
      </c>
      <c r="Q17" s="130" t="str">
        <v xml:space="preserve">بطارية نسر 70  </v>
      </c>
      <c r="R17" s="135">
        <f>SUMIFS('تحليل مبيعات'!H:H,'تحليل مبيعات'!C:C,'حركة المخزن'!Q17,'تحليل مبيعات'!W:W,'حركة المخزن'!$R$6)</f>
        <v>0</v>
      </c>
      <c r="S17" s="136">
        <f>SUMIFS('تحليل مبيعات'!H:H,'تحليل مبيعات'!C:C,'حركة المخزن'!Q17,'تحليل مبيعات'!W:W,'حركة المخزن'!$S$6)</f>
        <v>0</v>
      </c>
      <c r="T17" s="136">
        <f>SUMIFS('تحليل مبيعات'!H:H,'تحليل مبيعات'!C:C,'حركة المخزن'!Q17,'تحليل مبيعات'!W:W,'حركة المخزن'!$T$6)</f>
        <v>0</v>
      </c>
      <c r="U17" s="136">
        <f>SUMIFS('تحليل مبيعات'!H:H,'تحليل مبيعات'!C:C,'حركة المخزن'!Q17,'تحليل مبيعات'!W:W,'حركة المخزن'!$U$6)</f>
        <v>0</v>
      </c>
      <c r="V17" s="136">
        <f>SUMIFS('تحليل مبيعات'!H:H,'تحليل مبيعات'!C:C,'حركة المخزن'!Q17,'تحليل مبيعات'!W:W,'حركة المخزن'!$V$6)</f>
        <v>0</v>
      </c>
      <c r="W17" s="136">
        <f>SUMIFS('تحليل مبيعات'!H:H,'تحليل مبيعات'!C:C,'حركة المخزن'!Q17,'تحليل مبيعات'!W:W,'حركة المخزن'!$W$6)</f>
        <v>0</v>
      </c>
      <c r="X17" s="136">
        <f>SUMIFS('تحليل مبيعات'!H:H,'تحليل مبيعات'!C:C,'حركة المخزن'!Q17,'تحليل مبيعات'!W:W,'حركة المخزن'!$X$6)</f>
        <v>1</v>
      </c>
      <c r="Y17" s="136">
        <f>SUMIFS('تحليل مبيعات'!H:H,'تحليل مبيعات'!C:C,'حركة المخزن'!Q17,'تحليل مبيعات'!W:W,'حركة المخزن'!$Y$6)</f>
        <v>0</v>
      </c>
      <c r="Z17" s="136">
        <f>SUMIFS('تحليل مبيعات'!H:H,'تحليل مبيعات'!C:C,'حركة المخزن'!Q17,'تحليل مبيعات'!W:W,'حركة المخزن'!$Z$6)</f>
        <v>0</v>
      </c>
      <c r="AA17" s="136">
        <f>SUMIFS('تحليل مبيعات'!H:H,'تحليل مبيعات'!C:C,'حركة المخزن'!Q17,'تحليل مبيعات'!W:W,'حركة المخزن'!$AA$6)</f>
        <v>0</v>
      </c>
      <c r="AB17" s="136">
        <f>SUMIFS('تحليل مبيعات'!H:H,'تحليل مبيعات'!C:C,'حركة المخزن'!Q17,'تحليل مبيعات'!W:W,'حركة المخزن'!$AB$6)</f>
        <v>0</v>
      </c>
      <c r="AC17" s="137">
        <f>SUMIFS('تحليل مبيعات'!H:H,'تحليل مبيعات'!C:C,'حركة المخزن'!Q17,'تحليل مبيعات'!W:W,'حركة المخزن'!$AC$6)</f>
        <v>0</v>
      </c>
      <c r="AD17" s="134">
        <f t="shared" si="0"/>
        <v>1</v>
      </c>
    </row>
    <row r="18" spans="2:30" ht="16.2" thickBot="1" x14ac:dyDescent="0.35">
      <c r="B18" s="74" t="s">
        <v>32</v>
      </c>
      <c r="C18" s="10" t="s">
        <v>279</v>
      </c>
      <c r="D18" s="10" t="s">
        <v>0</v>
      </c>
      <c r="E18" s="10">
        <v>5</v>
      </c>
      <c r="F18" s="10">
        <v>1000</v>
      </c>
      <c r="G18" s="10">
        <v>0</v>
      </c>
      <c r="H18" s="10">
        <v>0</v>
      </c>
      <c r="I18" s="10">
        <f>IFERROR(IF(SUMIF('تحليل مبيعات'!C:C, 'حركة المخزن'!B18, 'تحليل مبيعات'!H:H)=0,"",SUMIF('تحليل مبيعات'!C:C, 'حركة المخزن'!B18, 'تحليل مبيعات'!H:H)),"")</f>
        <v>9</v>
      </c>
      <c r="J18" s="10">
        <f>IFERROR(IF(SUMIF('تحليل مبيعات'!C:C, 'حركة المخزن'!B18, 'تحليل مبيعات'!L:L)=0,"",SUMIF('تحليل مبيعات'!C:C, 'حركة المخزن'!B18, 'تحليل مبيعات'!L:L)),"")</f>
        <v>39750</v>
      </c>
      <c r="K18" s="10">
        <f t="shared" si="1"/>
        <v>-4</v>
      </c>
      <c r="L18" s="10">
        <f t="shared" si="2"/>
        <v>-38750</v>
      </c>
      <c r="M18" s="10">
        <v>5</v>
      </c>
      <c r="N18" s="10" t="str">
        <f t="shared" si="3"/>
        <v>أعادة الطلب</v>
      </c>
      <c r="O18" s="44">
        <v>150</v>
      </c>
      <c r="Q18" s="130" t="str">
        <v>شريحة اسبرتير</v>
      </c>
      <c r="R18" s="135">
        <f>SUMIFS('تحليل مبيعات'!H:H,'تحليل مبيعات'!C:C,'حركة المخزن'!Q18,'تحليل مبيعات'!W:W,'حركة المخزن'!$R$6)</f>
        <v>0</v>
      </c>
      <c r="S18" s="136">
        <f>SUMIFS('تحليل مبيعات'!H:H,'تحليل مبيعات'!C:C,'حركة المخزن'!Q18,'تحليل مبيعات'!W:W,'حركة المخزن'!$S$6)</f>
        <v>0</v>
      </c>
      <c r="T18" s="136">
        <f>SUMIFS('تحليل مبيعات'!H:H,'تحليل مبيعات'!C:C,'حركة المخزن'!Q18,'تحليل مبيعات'!W:W,'حركة المخزن'!$T$6)</f>
        <v>0</v>
      </c>
      <c r="U18" s="136">
        <f>SUMIFS('تحليل مبيعات'!H:H,'تحليل مبيعات'!C:C,'حركة المخزن'!Q18,'تحليل مبيعات'!W:W,'حركة المخزن'!$U$6)</f>
        <v>0</v>
      </c>
      <c r="V18" s="136">
        <f>SUMIFS('تحليل مبيعات'!H:H,'تحليل مبيعات'!C:C,'حركة المخزن'!Q18,'تحليل مبيعات'!W:W,'حركة المخزن'!$V$6)</f>
        <v>0</v>
      </c>
      <c r="W18" s="136">
        <f>SUMIFS('تحليل مبيعات'!H:H,'تحليل مبيعات'!C:C,'حركة المخزن'!Q18,'تحليل مبيعات'!W:W,'حركة المخزن'!$W$6)</f>
        <v>0</v>
      </c>
      <c r="X18" s="136">
        <f>SUMIFS('تحليل مبيعات'!H:H,'تحليل مبيعات'!C:C,'حركة المخزن'!Q18,'تحليل مبيعات'!W:W,'حركة المخزن'!$X$6)</f>
        <v>3</v>
      </c>
      <c r="Y18" s="136">
        <f>SUMIFS('تحليل مبيعات'!H:H,'تحليل مبيعات'!C:C,'حركة المخزن'!Q18,'تحليل مبيعات'!W:W,'حركة المخزن'!$Y$6)</f>
        <v>0</v>
      </c>
      <c r="Z18" s="136">
        <f>SUMIFS('تحليل مبيعات'!H:H,'تحليل مبيعات'!C:C,'حركة المخزن'!Q18,'تحليل مبيعات'!W:W,'حركة المخزن'!$Z$6)</f>
        <v>0</v>
      </c>
      <c r="AA18" s="136">
        <f>SUMIFS('تحليل مبيعات'!H:H,'تحليل مبيعات'!C:C,'حركة المخزن'!Q18,'تحليل مبيعات'!W:W,'حركة المخزن'!$AA$6)</f>
        <v>0</v>
      </c>
      <c r="AB18" s="136">
        <f>SUMIFS('تحليل مبيعات'!H:H,'تحليل مبيعات'!C:C,'حركة المخزن'!Q18,'تحليل مبيعات'!W:W,'حركة المخزن'!$AB$6)</f>
        <v>0</v>
      </c>
      <c r="AC18" s="137">
        <f>SUMIFS('تحليل مبيعات'!H:H,'تحليل مبيعات'!C:C,'حركة المخزن'!Q18,'تحليل مبيعات'!W:W,'حركة المخزن'!$AC$6)</f>
        <v>0</v>
      </c>
      <c r="AD18" s="134">
        <f t="shared" si="0"/>
        <v>3</v>
      </c>
    </row>
    <row r="19" spans="2:30" ht="16.2" thickBot="1" x14ac:dyDescent="0.35">
      <c r="B19" s="74" t="s">
        <v>61</v>
      </c>
      <c r="C19" s="10" t="s">
        <v>280</v>
      </c>
      <c r="D19" s="10" t="s">
        <v>0</v>
      </c>
      <c r="E19" s="10">
        <v>5</v>
      </c>
      <c r="F19" s="10">
        <v>1000</v>
      </c>
      <c r="G19" s="10">
        <v>0</v>
      </c>
      <c r="H19" s="10">
        <v>0</v>
      </c>
      <c r="I19" s="10">
        <f>IFERROR(IF(SUMIF('تحليل مبيعات'!C:C, 'حركة المخزن'!B19, 'تحليل مبيعات'!H:H)=0,"",SUMIF('تحليل مبيعات'!C:C, 'حركة المخزن'!B19, 'تحليل مبيعات'!H:H)),"")</f>
        <v>4</v>
      </c>
      <c r="J19" s="10">
        <f>IFERROR(IF(SUMIF('تحليل مبيعات'!C:C, 'حركة المخزن'!B19, 'تحليل مبيعات'!L:L)=0,"",SUMIF('تحليل مبيعات'!C:C, 'حركة المخزن'!B19, 'تحليل مبيعات'!L:L)),"")</f>
        <v>17650</v>
      </c>
      <c r="K19" s="10">
        <f t="shared" si="1"/>
        <v>1</v>
      </c>
      <c r="L19" s="10">
        <f t="shared" si="2"/>
        <v>-16650</v>
      </c>
      <c r="M19" s="10">
        <v>5</v>
      </c>
      <c r="N19" s="10" t="str">
        <f t="shared" si="3"/>
        <v>أعادة الطلب</v>
      </c>
      <c r="O19" s="44">
        <v>125</v>
      </c>
      <c r="Q19" s="130" t="str">
        <v xml:space="preserve">بطارية كلورايد 70  </v>
      </c>
      <c r="R19" s="135">
        <f>SUMIFS('تحليل مبيعات'!H:H,'تحليل مبيعات'!C:C,'حركة المخزن'!Q19,'تحليل مبيعات'!W:W,'حركة المخزن'!$R$6)</f>
        <v>0</v>
      </c>
      <c r="S19" s="136">
        <f>SUMIFS('تحليل مبيعات'!H:H,'تحليل مبيعات'!C:C,'حركة المخزن'!Q19,'تحليل مبيعات'!W:W,'حركة المخزن'!$S$6)</f>
        <v>0</v>
      </c>
      <c r="T19" s="136">
        <f>SUMIFS('تحليل مبيعات'!H:H,'تحليل مبيعات'!C:C,'حركة المخزن'!Q19,'تحليل مبيعات'!W:W,'حركة المخزن'!$T$6)</f>
        <v>0</v>
      </c>
      <c r="U19" s="136">
        <f>SUMIFS('تحليل مبيعات'!H:H,'تحليل مبيعات'!C:C,'حركة المخزن'!Q19,'تحليل مبيعات'!W:W,'حركة المخزن'!$U$6)</f>
        <v>0</v>
      </c>
      <c r="V19" s="136">
        <f>SUMIFS('تحليل مبيعات'!H:H,'تحليل مبيعات'!C:C,'حركة المخزن'!Q19,'تحليل مبيعات'!W:W,'حركة المخزن'!$V$6)</f>
        <v>0</v>
      </c>
      <c r="W19" s="136">
        <f>SUMIFS('تحليل مبيعات'!H:H,'تحليل مبيعات'!C:C,'حركة المخزن'!Q19,'تحليل مبيعات'!W:W,'حركة المخزن'!$W$6)</f>
        <v>0</v>
      </c>
      <c r="X19" s="136">
        <f>SUMIFS('تحليل مبيعات'!H:H,'تحليل مبيعات'!C:C,'حركة المخزن'!Q19,'تحليل مبيعات'!W:W,'حركة المخزن'!$X$6)</f>
        <v>3</v>
      </c>
      <c r="Y19" s="136">
        <f>SUMIFS('تحليل مبيعات'!H:H,'تحليل مبيعات'!C:C,'حركة المخزن'!Q19,'تحليل مبيعات'!W:W,'حركة المخزن'!$Y$6)</f>
        <v>0</v>
      </c>
      <c r="Z19" s="136">
        <f>SUMIFS('تحليل مبيعات'!H:H,'تحليل مبيعات'!C:C,'حركة المخزن'!Q19,'تحليل مبيعات'!W:W,'حركة المخزن'!$Z$6)</f>
        <v>0</v>
      </c>
      <c r="AA19" s="136">
        <f>SUMIFS('تحليل مبيعات'!H:H,'تحليل مبيعات'!C:C,'حركة المخزن'!Q19,'تحليل مبيعات'!W:W,'حركة المخزن'!$AA$6)</f>
        <v>0</v>
      </c>
      <c r="AB19" s="136">
        <f>SUMIFS('تحليل مبيعات'!H:H,'تحليل مبيعات'!C:C,'حركة المخزن'!Q19,'تحليل مبيعات'!W:W,'حركة المخزن'!$AB$6)</f>
        <v>0</v>
      </c>
      <c r="AC19" s="137">
        <f>SUMIFS('تحليل مبيعات'!H:H,'تحليل مبيعات'!C:C,'حركة المخزن'!Q19,'تحليل مبيعات'!W:W,'حركة المخزن'!$AC$6)</f>
        <v>0</v>
      </c>
      <c r="AD19" s="134">
        <f t="shared" si="0"/>
        <v>3</v>
      </c>
    </row>
    <row r="20" spans="2:30" ht="16.2" thickBot="1" x14ac:dyDescent="0.35">
      <c r="B20" s="74" t="s">
        <v>143</v>
      </c>
      <c r="C20" s="10" t="s">
        <v>281</v>
      </c>
      <c r="D20" s="10" t="s">
        <v>0</v>
      </c>
      <c r="E20" s="10">
        <v>5</v>
      </c>
      <c r="F20" s="10">
        <v>1000</v>
      </c>
      <c r="G20" s="10">
        <v>0</v>
      </c>
      <c r="H20" s="10">
        <v>0</v>
      </c>
      <c r="I20" s="10">
        <f>IFERROR(IF(SUMIF('تحليل مبيعات'!C:C, 'حركة المخزن'!B20, 'تحليل مبيعات'!H:H)=0,"",SUMIF('تحليل مبيعات'!C:C, 'حركة المخزن'!B20, 'تحليل مبيعات'!H:H)),"")</f>
        <v>2</v>
      </c>
      <c r="J20" s="10">
        <f>IFERROR(IF(SUMIF('تحليل مبيعات'!C:C, 'حركة المخزن'!B20, 'تحليل مبيعات'!L:L)=0,"",SUMIF('تحليل مبيعات'!C:C, 'حركة المخزن'!B20, 'تحليل مبيعات'!L:L)),"")</f>
        <v>2500</v>
      </c>
      <c r="K20" s="10">
        <f t="shared" si="1"/>
        <v>3</v>
      </c>
      <c r="L20" s="10">
        <f t="shared" si="2"/>
        <v>-1500</v>
      </c>
      <c r="M20" s="10">
        <v>5</v>
      </c>
      <c r="N20" s="10" t="str">
        <f t="shared" si="3"/>
        <v>أعادة الطلب</v>
      </c>
      <c r="O20" s="44">
        <v>100</v>
      </c>
      <c r="Q20" s="130" t="str">
        <v>جوان وش سلندر</v>
      </c>
      <c r="R20" s="135">
        <f>SUMIFS('تحليل مبيعات'!H:H,'تحليل مبيعات'!C:C,'حركة المخزن'!Q20,'تحليل مبيعات'!W:W,'حركة المخزن'!$R$6)</f>
        <v>0</v>
      </c>
      <c r="S20" s="136">
        <f>SUMIFS('تحليل مبيعات'!H:H,'تحليل مبيعات'!C:C,'حركة المخزن'!Q20,'تحليل مبيعات'!W:W,'حركة المخزن'!$S$6)</f>
        <v>0</v>
      </c>
      <c r="T20" s="136">
        <f>SUMIFS('تحليل مبيعات'!H:H,'تحليل مبيعات'!C:C,'حركة المخزن'!Q20,'تحليل مبيعات'!W:W,'حركة المخزن'!$T$6)</f>
        <v>0</v>
      </c>
      <c r="U20" s="136">
        <f>SUMIFS('تحليل مبيعات'!H:H,'تحليل مبيعات'!C:C,'حركة المخزن'!Q20,'تحليل مبيعات'!W:W,'حركة المخزن'!$U$6)</f>
        <v>0</v>
      </c>
      <c r="V20" s="136">
        <f>SUMIFS('تحليل مبيعات'!H:H,'تحليل مبيعات'!C:C,'حركة المخزن'!Q20,'تحليل مبيعات'!W:W,'حركة المخزن'!$V$6)</f>
        <v>0</v>
      </c>
      <c r="W20" s="136">
        <f>SUMIFS('تحليل مبيعات'!H:H,'تحليل مبيعات'!C:C,'حركة المخزن'!Q20,'تحليل مبيعات'!W:W,'حركة المخزن'!$W$6)</f>
        <v>0</v>
      </c>
      <c r="X20" s="136">
        <f>SUMIFS('تحليل مبيعات'!H:H,'تحليل مبيعات'!C:C,'حركة المخزن'!Q20,'تحليل مبيعات'!W:W,'حركة المخزن'!$X$6)</f>
        <v>11</v>
      </c>
      <c r="Y20" s="136">
        <f>SUMIFS('تحليل مبيعات'!H:H,'تحليل مبيعات'!C:C,'حركة المخزن'!Q20,'تحليل مبيعات'!W:W,'حركة المخزن'!$Y$6)</f>
        <v>0</v>
      </c>
      <c r="Z20" s="136">
        <f>SUMIFS('تحليل مبيعات'!H:H,'تحليل مبيعات'!C:C,'حركة المخزن'!Q20,'تحليل مبيعات'!W:W,'حركة المخزن'!$Z$6)</f>
        <v>0</v>
      </c>
      <c r="AA20" s="136">
        <f>SUMIFS('تحليل مبيعات'!H:H,'تحليل مبيعات'!C:C,'حركة المخزن'!Q20,'تحليل مبيعات'!W:W,'حركة المخزن'!$AA$6)</f>
        <v>0</v>
      </c>
      <c r="AB20" s="136">
        <f>SUMIFS('تحليل مبيعات'!H:H,'تحليل مبيعات'!C:C,'حركة المخزن'!Q20,'تحليل مبيعات'!W:W,'حركة المخزن'!$AB$6)</f>
        <v>0</v>
      </c>
      <c r="AC20" s="137">
        <f>SUMIFS('تحليل مبيعات'!H:H,'تحليل مبيعات'!C:C,'حركة المخزن'!Q20,'تحليل مبيعات'!W:W,'حركة المخزن'!$AC$6)</f>
        <v>0</v>
      </c>
      <c r="AD20" s="134">
        <f t="shared" si="0"/>
        <v>11</v>
      </c>
    </row>
    <row r="21" spans="2:30" ht="16.2" thickBot="1" x14ac:dyDescent="0.35">
      <c r="B21" s="74" t="s">
        <v>149</v>
      </c>
      <c r="C21" s="10" t="s">
        <v>282</v>
      </c>
      <c r="D21" s="10" t="s">
        <v>0</v>
      </c>
      <c r="E21" s="10">
        <v>5</v>
      </c>
      <c r="F21" s="10">
        <v>1000</v>
      </c>
      <c r="G21" s="10">
        <v>0</v>
      </c>
      <c r="H21" s="10">
        <v>0</v>
      </c>
      <c r="I21" s="10">
        <f>IFERROR(IF(SUMIF('تحليل مبيعات'!C:C, 'حركة المخزن'!B21, 'تحليل مبيعات'!H:H)=0,"",SUMIF('تحليل مبيعات'!C:C, 'حركة المخزن'!B21, 'تحليل مبيعات'!H:H)),"")</f>
        <v>4</v>
      </c>
      <c r="J21" s="10">
        <f>IFERROR(IF(SUMIF('تحليل مبيعات'!C:C, 'حركة المخزن'!B21, 'تحليل مبيعات'!L:L)=0,"",SUMIF('تحليل مبيعات'!C:C, 'حركة المخزن'!B21, 'تحليل مبيعات'!L:L)),"")</f>
        <v>17150</v>
      </c>
      <c r="K21" s="10">
        <f t="shared" si="1"/>
        <v>1</v>
      </c>
      <c r="L21" s="10">
        <f t="shared" si="2"/>
        <v>-16150</v>
      </c>
      <c r="M21" s="10">
        <v>5</v>
      </c>
      <c r="N21" s="10" t="str">
        <f t="shared" si="3"/>
        <v>أعادة الطلب</v>
      </c>
      <c r="O21" s="44">
        <v>100</v>
      </c>
      <c r="Q21" s="130" t="str">
        <v>فلتر بنزين دايو /هيوندى</v>
      </c>
      <c r="R21" s="135">
        <f>SUMIFS('تحليل مبيعات'!H:H,'تحليل مبيعات'!C:C,'حركة المخزن'!Q21,'تحليل مبيعات'!W:W,'حركة المخزن'!$R$6)</f>
        <v>0</v>
      </c>
      <c r="S21" s="136">
        <f>SUMIFS('تحليل مبيعات'!H:H,'تحليل مبيعات'!C:C,'حركة المخزن'!Q21,'تحليل مبيعات'!W:W,'حركة المخزن'!$S$6)</f>
        <v>0</v>
      </c>
      <c r="T21" s="136">
        <f>SUMIFS('تحليل مبيعات'!H:H,'تحليل مبيعات'!C:C,'حركة المخزن'!Q21,'تحليل مبيعات'!W:W,'حركة المخزن'!$T$6)</f>
        <v>0</v>
      </c>
      <c r="U21" s="136">
        <f>SUMIFS('تحليل مبيعات'!H:H,'تحليل مبيعات'!C:C,'حركة المخزن'!Q21,'تحليل مبيعات'!W:W,'حركة المخزن'!$U$6)</f>
        <v>0</v>
      </c>
      <c r="V21" s="136">
        <f>SUMIFS('تحليل مبيعات'!H:H,'تحليل مبيعات'!C:C,'حركة المخزن'!Q21,'تحليل مبيعات'!W:W,'حركة المخزن'!$V$6)</f>
        <v>0</v>
      </c>
      <c r="W21" s="136">
        <f>SUMIFS('تحليل مبيعات'!H:H,'تحليل مبيعات'!C:C,'حركة المخزن'!Q21,'تحليل مبيعات'!W:W,'حركة المخزن'!$W$6)</f>
        <v>0</v>
      </c>
      <c r="X21" s="136">
        <f>SUMIFS('تحليل مبيعات'!H:H,'تحليل مبيعات'!C:C,'حركة المخزن'!Q21,'تحليل مبيعات'!W:W,'حركة المخزن'!$X$6)</f>
        <v>5</v>
      </c>
      <c r="Y21" s="136">
        <f>SUMIFS('تحليل مبيعات'!H:H,'تحليل مبيعات'!C:C,'حركة المخزن'!Q21,'تحليل مبيعات'!W:W,'حركة المخزن'!$Y$6)</f>
        <v>1</v>
      </c>
      <c r="Z21" s="136">
        <f>SUMIFS('تحليل مبيعات'!H:H,'تحليل مبيعات'!C:C,'حركة المخزن'!Q21,'تحليل مبيعات'!W:W,'حركة المخزن'!$Z$6)</f>
        <v>0</v>
      </c>
      <c r="AA21" s="136">
        <f>SUMIFS('تحليل مبيعات'!H:H,'تحليل مبيعات'!C:C,'حركة المخزن'!Q21,'تحليل مبيعات'!W:W,'حركة المخزن'!$AA$6)</f>
        <v>0</v>
      </c>
      <c r="AB21" s="136">
        <f>SUMIFS('تحليل مبيعات'!H:H,'تحليل مبيعات'!C:C,'حركة المخزن'!Q21,'تحليل مبيعات'!W:W,'حركة المخزن'!$AB$6)</f>
        <v>0</v>
      </c>
      <c r="AC21" s="137">
        <f>SUMIFS('تحليل مبيعات'!H:H,'تحليل مبيعات'!C:C,'حركة المخزن'!Q21,'تحليل مبيعات'!W:W,'حركة المخزن'!$AC$6)</f>
        <v>0</v>
      </c>
      <c r="AD21" s="134">
        <f t="shared" si="0"/>
        <v>6</v>
      </c>
    </row>
    <row r="22" spans="2:30" ht="16.2" thickBot="1" x14ac:dyDescent="0.35">
      <c r="B22" s="74" t="s">
        <v>164</v>
      </c>
      <c r="C22" s="10" t="s">
        <v>283</v>
      </c>
      <c r="D22" s="10" t="s">
        <v>0</v>
      </c>
      <c r="E22" s="10">
        <v>5</v>
      </c>
      <c r="F22" s="10">
        <v>1000</v>
      </c>
      <c r="G22" s="10">
        <v>0</v>
      </c>
      <c r="H22" s="10">
        <v>0</v>
      </c>
      <c r="I22" s="10">
        <f>IFERROR(IF(SUMIF('تحليل مبيعات'!C:C, 'حركة المخزن'!B22, 'تحليل مبيعات'!H:H)=0,"",SUMIF('تحليل مبيعات'!C:C, 'حركة المخزن'!B22, 'تحليل مبيعات'!H:H)),"")</f>
        <v>4</v>
      </c>
      <c r="J22" s="10">
        <f>IFERROR(IF(SUMIF('تحليل مبيعات'!C:C, 'حركة المخزن'!B22, 'تحليل مبيعات'!L:L)=0,"",SUMIF('تحليل مبيعات'!C:C, 'حركة المخزن'!B22, 'تحليل مبيعات'!L:L)),"")</f>
        <v>19000</v>
      </c>
      <c r="K22" s="10">
        <f t="shared" si="1"/>
        <v>1</v>
      </c>
      <c r="L22" s="10">
        <f t="shared" si="2"/>
        <v>-18000</v>
      </c>
      <c r="M22" s="10">
        <v>5</v>
      </c>
      <c r="N22" s="10" t="str">
        <f t="shared" si="3"/>
        <v>أعادة الطلب</v>
      </c>
      <c r="O22" s="44">
        <v>100</v>
      </c>
      <c r="Q22" s="130" t="str">
        <v xml:space="preserve">طقم تيل امامى </v>
      </c>
      <c r="R22" s="135">
        <f>SUMIFS('تحليل مبيعات'!H:H,'تحليل مبيعات'!C:C,'حركة المخزن'!Q22,'تحليل مبيعات'!W:W,'حركة المخزن'!$R$6)</f>
        <v>0</v>
      </c>
      <c r="S22" s="136">
        <f>SUMIFS('تحليل مبيعات'!H:H,'تحليل مبيعات'!C:C,'حركة المخزن'!Q22,'تحليل مبيعات'!W:W,'حركة المخزن'!$S$6)</f>
        <v>0</v>
      </c>
      <c r="T22" s="136">
        <f>SUMIFS('تحليل مبيعات'!H:H,'تحليل مبيعات'!C:C,'حركة المخزن'!Q22,'تحليل مبيعات'!W:W,'حركة المخزن'!$T$6)</f>
        <v>0</v>
      </c>
      <c r="U22" s="136">
        <f>SUMIFS('تحليل مبيعات'!H:H,'تحليل مبيعات'!C:C,'حركة المخزن'!Q22,'تحليل مبيعات'!W:W,'حركة المخزن'!$U$6)</f>
        <v>0</v>
      </c>
      <c r="V22" s="136">
        <f>SUMIFS('تحليل مبيعات'!H:H,'تحليل مبيعات'!C:C,'حركة المخزن'!Q22,'تحليل مبيعات'!W:W,'حركة المخزن'!$V$6)</f>
        <v>0</v>
      </c>
      <c r="W22" s="136">
        <f>SUMIFS('تحليل مبيعات'!H:H,'تحليل مبيعات'!C:C,'حركة المخزن'!Q22,'تحليل مبيعات'!W:W,'حركة المخزن'!$W$6)</f>
        <v>0</v>
      </c>
      <c r="X22" s="136">
        <f>SUMIFS('تحليل مبيعات'!H:H,'تحليل مبيعات'!C:C,'حركة المخزن'!Q22,'تحليل مبيعات'!W:W,'حركة المخزن'!$X$6)</f>
        <v>23</v>
      </c>
      <c r="Y22" s="136">
        <f>SUMIFS('تحليل مبيعات'!H:H,'تحليل مبيعات'!C:C,'حركة المخزن'!Q22,'تحليل مبيعات'!W:W,'حركة المخزن'!$Y$6)</f>
        <v>1</v>
      </c>
      <c r="Z22" s="136">
        <f>SUMIFS('تحليل مبيعات'!H:H,'تحليل مبيعات'!C:C,'حركة المخزن'!Q22,'تحليل مبيعات'!W:W,'حركة المخزن'!$Z$6)</f>
        <v>0</v>
      </c>
      <c r="AA22" s="136">
        <f>SUMIFS('تحليل مبيعات'!H:H,'تحليل مبيعات'!C:C,'حركة المخزن'!Q22,'تحليل مبيعات'!W:W,'حركة المخزن'!$AA$6)</f>
        <v>0</v>
      </c>
      <c r="AB22" s="136">
        <f>SUMIFS('تحليل مبيعات'!H:H,'تحليل مبيعات'!C:C,'حركة المخزن'!Q22,'تحليل مبيعات'!W:W,'حركة المخزن'!$AB$6)</f>
        <v>0</v>
      </c>
      <c r="AC22" s="137">
        <f>SUMIFS('تحليل مبيعات'!H:H,'تحليل مبيعات'!C:C,'حركة المخزن'!Q22,'تحليل مبيعات'!W:W,'حركة المخزن'!$AC$6)</f>
        <v>0</v>
      </c>
      <c r="AD22" s="134">
        <f t="shared" si="0"/>
        <v>24</v>
      </c>
    </row>
    <row r="23" spans="2:30" ht="18.600000000000001" thickBot="1" x14ac:dyDescent="0.4">
      <c r="B23" s="102" t="s">
        <v>165</v>
      </c>
      <c r="C23" s="10" t="s">
        <v>284</v>
      </c>
      <c r="D23" s="10" t="s">
        <v>0</v>
      </c>
      <c r="E23" s="10">
        <v>5</v>
      </c>
      <c r="F23" s="10">
        <v>1000</v>
      </c>
      <c r="G23" s="10">
        <v>0</v>
      </c>
      <c r="H23" s="10">
        <v>0</v>
      </c>
      <c r="I23" s="10">
        <f>IFERROR(IF(SUMIF('تحليل مبيعات'!C:C, 'حركة المخزن'!B23, 'تحليل مبيعات'!H:H)=0,"",SUMIF('تحليل مبيعات'!C:C, 'حركة المخزن'!B23, 'تحليل مبيعات'!H:H)),"")</f>
        <v>2</v>
      </c>
      <c r="J23" s="10">
        <f>IFERROR(IF(SUMIF('تحليل مبيعات'!C:C, 'حركة المخزن'!B23, 'تحليل مبيعات'!L:L)=0,"",SUMIF('تحليل مبيعات'!C:C, 'حركة المخزن'!B23, 'تحليل مبيعات'!L:L)),"")</f>
        <v>4200</v>
      </c>
      <c r="K23" s="10">
        <f t="shared" si="1"/>
        <v>3</v>
      </c>
      <c r="L23" s="10">
        <f t="shared" si="2"/>
        <v>-3200</v>
      </c>
      <c r="M23" s="10">
        <v>5</v>
      </c>
      <c r="N23" s="10" t="str">
        <f t="shared" si="3"/>
        <v>أعادة الطلب</v>
      </c>
      <c r="O23" s="44">
        <v>100</v>
      </c>
      <c r="Q23" s="130" t="str">
        <v>اسبراتير تويوتا سباركس</v>
      </c>
      <c r="R23" s="135">
        <f>SUMIFS('تحليل مبيعات'!H:H,'تحليل مبيعات'!C:C,'حركة المخزن'!Q23,'تحليل مبيعات'!W:W,'حركة المخزن'!$R$6)</f>
        <v>0</v>
      </c>
      <c r="S23" s="136">
        <f>SUMIFS('تحليل مبيعات'!H:H,'تحليل مبيعات'!C:C,'حركة المخزن'!Q23,'تحليل مبيعات'!W:W,'حركة المخزن'!$S$6)</f>
        <v>0</v>
      </c>
      <c r="T23" s="136">
        <f>SUMIFS('تحليل مبيعات'!H:H,'تحليل مبيعات'!C:C,'حركة المخزن'!Q23,'تحليل مبيعات'!W:W,'حركة المخزن'!$T$6)</f>
        <v>0</v>
      </c>
      <c r="U23" s="136">
        <f>SUMIFS('تحليل مبيعات'!H:H,'تحليل مبيعات'!C:C,'حركة المخزن'!Q23,'تحليل مبيعات'!W:W,'حركة المخزن'!$U$6)</f>
        <v>0</v>
      </c>
      <c r="V23" s="136">
        <f>SUMIFS('تحليل مبيعات'!H:H,'تحليل مبيعات'!C:C,'حركة المخزن'!Q23,'تحليل مبيعات'!W:W,'حركة المخزن'!$V$6)</f>
        <v>0</v>
      </c>
      <c r="W23" s="136">
        <f>SUMIFS('تحليل مبيعات'!H:H,'تحليل مبيعات'!C:C,'حركة المخزن'!Q23,'تحليل مبيعات'!W:W,'حركة المخزن'!$W$6)</f>
        <v>0</v>
      </c>
      <c r="X23" s="136">
        <f>SUMIFS('تحليل مبيعات'!H:H,'تحليل مبيعات'!C:C,'حركة المخزن'!Q23,'تحليل مبيعات'!W:W,'حركة المخزن'!$X$6)</f>
        <v>4</v>
      </c>
      <c r="Y23" s="136">
        <f>SUMIFS('تحليل مبيعات'!H:H,'تحليل مبيعات'!C:C,'حركة المخزن'!Q23,'تحليل مبيعات'!W:W,'حركة المخزن'!$Y$6)</f>
        <v>0</v>
      </c>
      <c r="Z23" s="136">
        <f>SUMIFS('تحليل مبيعات'!H:H,'تحليل مبيعات'!C:C,'حركة المخزن'!Q23,'تحليل مبيعات'!W:W,'حركة المخزن'!$Z$6)</f>
        <v>0</v>
      </c>
      <c r="AA23" s="136">
        <f>SUMIFS('تحليل مبيعات'!H:H,'تحليل مبيعات'!C:C,'حركة المخزن'!Q23,'تحليل مبيعات'!W:W,'حركة المخزن'!$AA$6)</f>
        <v>0</v>
      </c>
      <c r="AB23" s="136">
        <f>SUMIFS('تحليل مبيعات'!H:H,'تحليل مبيعات'!C:C,'حركة المخزن'!Q23,'تحليل مبيعات'!W:W,'حركة المخزن'!$AB$6)</f>
        <v>0</v>
      </c>
      <c r="AC23" s="137">
        <f>SUMIFS('تحليل مبيعات'!H:H,'تحليل مبيعات'!C:C,'حركة المخزن'!Q23,'تحليل مبيعات'!W:W,'حركة المخزن'!$AC$6)</f>
        <v>0</v>
      </c>
      <c r="AD23" s="134">
        <f t="shared" si="0"/>
        <v>4</v>
      </c>
    </row>
    <row r="24" spans="2:30" ht="16.2" thickBot="1" x14ac:dyDescent="0.35">
      <c r="B24" s="70" t="s">
        <v>94</v>
      </c>
      <c r="C24" s="10" t="s">
        <v>285</v>
      </c>
      <c r="D24" s="10" t="s">
        <v>204</v>
      </c>
      <c r="E24" s="10">
        <v>5</v>
      </c>
      <c r="F24" s="10">
        <v>1000</v>
      </c>
      <c r="G24" s="10">
        <v>0</v>
      </c>
      <c r="H24" s="10">
        <v>0</v>
      </c>
      <c r="I24" s="10">
        <f>IFERROR(IF(SUMIF('تحليل مبيعات'!C:C, 'حركة المخزن'!B24, 'تحليل مبيعات'!H:H)=0,"",SUMIF('تحليل مبيعات'!C:C, 'حركة المخزن'!B24, 'تحليل مبيعات'!H:H)),"")</f>
        <v>17</v>
      </c>
      <c r="J24" s="10">
        <f>IFERROR(IF(SUMIF('تحليل مبيعات'!C:C, 'حركة المخزن'!B24, 'تحليل مبيعات'!L:L)=0,"",SUMIF('تحليل مبيعات'!C:C, 'حركة المخزن'!B24, 'تحليل مبيعات'!L:L)),"")</f>
        <v>3355</v>
      </c>
      <c r="K24" s="10">
        <f t="shared" si="1"/>
        <v>-12</v>
      </c>
      <c r="L24" s="10">
        <f t="shared" si="2"/>
        <v>-2355</v>
      </c>
      <c r="M24" s="10">
        <v>5</v>
      </c>
      <c r="N24" s="10" t="str">
        <f t="shared" si="3"/>
        <v>أعادة الطلب</v>
      </c>
      <c r="O24" s="44">
        <v>100</v>
      </c>
      <c r="Q24" s="130" t="str">
        <v>بطارية كلورايد 90</v>
      </c>
      <c r="R24" s="135">
        <f>SUMIFS('تحليل مبيعات'!H:H,'تحليل مبيعات'!C:C,'حركة المخزن'!Q24,'تحليل مبيعات'!W:W,'حركة المخزن'!$R$6)</f>
        <v>0</v>
      </c>
      <c r="S24" s="136">
        <f>SUMIFS('تحليل مبيعات'!H:H,'تحليل مبيعات'!C:C,'حركة المخزن'!Q24,'تحليل مبيعات'!W:W,'حركة المخزن'!$S$6)</f>
        <v>0</v>
      </c>
      <c r="T24" s="136">
        <f>SUMIFS('تحليل مبيعات'!H:H,'تحليل مبيعات'!C:C,'حركة المخزن'!Q24,'تحليل مبيعات'!W:W,'حركة المخزن'!$T$6)</f>
        <v>0</v>
      </c>
      <c r="U24" s="136">
        <f>SUMIFS('تحليل مبيعات'!H:H,'تحليل مبيعات'!C:C,'حركة المخزن'!Q24,'تحليل مبيعات'!W:W,'حركة المخزن'!$U$6)</f>
        <v>0</v>
      </c>
      <c r="V24" s="136">
        <f>SUMIFS('تحليل مبيعات'!H:H,'تحليل مبيعات'!C:C,'حركة المخزن'!Q24,'تحليل مبيعات'!W:W,'حركة المخزن'!$V$6)</f>
        <v>0</v>
      </c>
      <c r="W24" s="136">
        <f>SUMIFS('تحليل مبيعات'!H:H,'تحليل مبيعات'!C:C,'حركة المخزن'!Q24,'تحليل مبيعات'!W:W,'حركة المخزن'!$W$6)</f>
        <v>0</v>
      </c>
      <c r="X24" s="136">
        <f>SUMIFS('تحليل مبيعات'!H:H,'تحليل مبيعات'!C:C,'حركة المخزن'!Q24,'تحليل مبيعات'!W:W,'حركة المخزن'!$X$6)</f>
        <v>6</v>
      </c>
      <c r="Y24" s="136">
        <f>SUMIFS('تحليل مبيعات'!H:H,'تحليل مبيعات'!C:C,'حركة المخزن'!Q24,'تحليل مبيعات'!W:W,'حركة المخزن'!$Y$6)</f>
        <v>1</v>
      </c>
      <c r="Z24" s="136">
        <f>SUMIFS('تحليل مبيعات'!H:H,'تحليل مبيعات'!C:C,'حركة المخزن'!Q24,'تحليل مبيعات'!W:W,'حركة المخزن'!$Z$6)</f>
        <v>0</v>
      </c>
      <c r="AA24" s="136">
        <f>SUMIFS('تحليل مبيعات'!H:H,'تحليل مبيعات'!C:C,'حركة المخزن'!Q24,'تحليل مبيعات'!W:W,'حركة المخزن'!$AA$6)</f>
        <v>0</v>
      </c>
      <c r="AB24" s="136">
        <f>SUMIFS('تحليل مبيعات'!H:H,'تحليل مبيعات'!C:C,'حركة المخزن'!Q24,'تحليل مبيعات'!W:W,'حركة المخزن'!$AB$6)</f>
        <v>0</v>
      </c>
      <c r="AC24" s="137">
        <f>SUMIFS('تحليل مبيعات'!H:H,'تحليل مبيعات'!C:C,'حركة المخزن'!Q24,'تحليل مبيعات'!W:W,'حركة المخزن'!$AC$6)</f>
        <v>0</v>
      </c>
      <c r="AD24" s="134">
        <f t="shared" si="0"/>
        <v>7</v>
      </c>
    </row>
    <row r="25" spans="2:30" ht="16.2" thickBot="1" x14ac:dyDescent="0.35">
      <c r="B25" s="70" t="s">
        <v>129</v>
      </c>
      <c r="C25" s="10" t="s">
        <v>286</v>
      </c>
      <c r="D25" s="10" t="s">
        <v>204</v>
      </c>
      <c r="E25" s="10">
        <v>5</v>
      </c>
      <c r="F25" s="10">
        <v>1000</v>
      </c>
      <c r="G25" s="10">
        <v>0</v>
      </c>
      <c r="H25" s="10">
        <v>0</v>
      </c>
      <c r="I25" s="10">
        <f>IFERROR(IF(SUMIF('تحليل مبيعات'!C:C, 'حركة المخزن'!B25, 'تحليل مبيعات'!H:H)=0,"",SUMIF('تحليل مبيعات'!C:C, 'حركة المخزن'!B25, 'تحليل مبيعات'!H:H)),"")</f>
        <v>7</v>
      </c>
      <c r="J25" s="10">
        <f>IFERROR(IF(SUMIF('تحليل مبيعات'!C:C, 'حركة المخزن'!B25, 'تحليل مبيعات'!L:L)=0,"",SUMIF('تحليل مبيعات'!C:C, 'حركة المخزن'!B25, 'تحليل مبيعات'!L:L)),"")</f>
        <v>1650</v>
      </c>
      <c r="K25" s="10">
        <f t="shared" si="1"/>
        <v>-2</v>
      </c>
      <c r="L25" s="10">
        <f t="shared" si="2"/>
        <v>-650</v>
      </c>
      <c r="M25" s="10">
        <v>5</v>
      </c>
      <c r="N25" s="10" t="str">
        <f t="shared" si="3"/>
        <v>أعادة الطلب</v>
      </c>
      <c r="O25" s="44">
        <v>100</v>
      </c>
      <c r="Q25" s="130" t="str">
        <v xml:space="preserve">نص كربراتير </v>
      </c>
      <c r="R25" s="135">
        <f>SUMIFS('تحليل مبيعات'!H:H,'تحليل مبيعات'!C:C,'حركة المخزن'!Q25,'تحليل مبيعات'!W:W,'حركة المخزن'!$R$6)</f>
        <v>0</v>
      </c>
      <c r="S25" s="136">
        <f>SUMIFS('تحليل مبيعات'!H:H,'تحليل مبيعات'!C:C,'حركة المخزن'!Q25,'تحليل مبيعات'!W:W,'حركة المخزن'!$S$6)</f>
        <v>0</v>
      </c>
      <c r="T25" s="136">
        <f>SUMIFS('تحليل مبيعات'!H:H,'تحليل مبيعات'!C:C,'حركة المخزن'!Q25,'تحليل مبيعات'!W:W,'حركة المخزن'!$T$6)</f>
        <v>0</v>
      </c>
      <c r="U25" s="136">
        <f>SUMIFS('تحليل مبيعات'!H:H,'تحليل مبيعات'!C:C,'حركة المخزن'!Q25,'تحليل مبيعات'!W:W,'حركة المخزن'!$U$6)</f>
        <v>0</v>
      </c>
      <c r="V25" s="136">
        <f>SUMIFS('تحليل مبيعات'!H:H,'تحليل مبيعات'!C:C,'حركة المخزن'!Q25,'تحليل مبيعات'!W:W,'حركة المخزن'!$V$6)</f>
        <v>0</v>
      </c>
      <c r="W25" s="136">
        <f>SUMIFS('تحليل مبيعات'!H:H,'تحليل مبيعات'!C:C,'حركة المخزن'!Q25,'تحليل مبيعات'!W:W,'حركة المخزن'!$W$6)</f>
        <v>0</v>
      </c>
      <c r="X25" s="136">
        <f>SUMIFS('تحليل مبيعات'!H:H,'تحليل مبيعات'!C:C,'حركة المخزن'!Q25,'تحليل مبيعات'!W:W,'حركة المخزن'!$X$6)</f>
        <v>2</v>
      </c>
      <c r="Y25" s="136">
        <f>SUMIFS('تحليل مبيعات'!H:H,'تحليل مبيعات'!C:C,'حركة المخزن'!Q25,'تحليل مبيعات'!W:W,'حركة المخزن'!$Y$6)</f>
        <v>0</v>
      </c>
      <c r="Z25" s="136">
        <f>SUMIFS('تحليل مبيعات'!H:H,'تحليل مبيعات'!C:C,'حركة المخزن'!Q25,'تحليل مبيعات'!W:W,'حركة المخزن'!$Z$6)</f>
        <v>0</v>
      </c>
      <c r="AA25" s="136">
        <f>SUMIFS('تحليل مبيعات'!H:H,'تحليل مبيعات'!C:C,'حركة المخزن'!Q25,'تحليل مبيعات'!W:W,'حركة المخزن'!$AA$6)</f>
        <v>0</v>
      </c>
      <c r="AB25" s="136">
        <f>SUMIFS('تحليل مبيعات'!H:H,'تحليل مبيعات'!C:C,'حركة المخزن'!Q25,'تحليل مبيعات'!W:W,'حركة المخزن'!$AB$6)</f>
        <v>0</v>
      </c>
      <c r="AC25" s="137">
        <f>SUMIFS('تحليل مبيعات'!H:H,'تحليل مبيعات'!C:C,'حركة المخزن'!Q25,'تحليل مبيعات'!W:W,'حركة المخزن'!$AC$6)</f>
        <v>0</v>
      </c>
      <c r="AD25" s="134">
        <f t="shared" si="0"/>
        <v>2</v>
      </c>
    </row>
    <row r="26" spans="2:30" ht="16.2" thickBot="1" x14ac:dyDescent="0.35">
      <c r="B26" s="70" t="s">
        <v>11</v>
      </c>
      <c r="C26" s="10" t="s">
        <v>287</v>
      </c>
      <c r="D26" s="10" t="s">
        <v>204</v>
      </c>
      <c r="E26" s="10">
        <v>5</v>
      </c>
      <c r="F26" s="10">
        <v>1000</v>
      </c>
      <c r="G26" s="10">
        <v>0</v>
      </c>
      <c r="H26" s="10">
        <v>0</v>
      </c>
      <c r="I26" s="10">
        <f>IFERROR(IF(SUMIF('تحليل مبيعات'!C:C, 'حركة المخزن'!B26, 'تحليل مبيعات'!H:H)=0,"",SUMIF('تحليل مبيعات'!C:C, 'حركة المخزن'!B26, 'تحليل مبيعات'!H:H)),"")</f>
        <v>8</v>
      </c>
      <c r="J26" s="10">
        <f>IFERROR(IF(SUMIF('تحليل مبيعات'!C:C, 'حركة المخزن'!B26, 'تحليل مبيعات'!L:L)=0,"",SUMIF('تحليل مبيعات'!C:C, 'حركة المخزن'!B26, 'تحليل مبيعات'!L:L)),"")</f>
        <v>1700</v>
      </c>
      <c r="K26" s="10">
        <f t="shared" si="1"/>
        <v>-3</v>
      </c>
      <c r="L26" s="10">
        <f t="shared" si="2"/>
        <v>-700</v>
      </c>
      <c r="M26" s="10">
        <v>5</v>
      </c>
      <c r="N26" s="10" t="str">
        <f t="shared" si="3"/>
        <v>أعادة الطلب</v>
      </c>
      <c r="O26" s="44">
        <v>100</v>
      </c>
      <c r="Q26" s="130" t="str">
        <v>جوان شكمان كعكة</v>
      </c>
      <c r="R26" s="135">
        <f>SUMIFS('تحليل مبيعات'!H:H,'تحليل مبيعات'!C:C,'حركة المخزن'!Q26,'تحليل مبيعات'!W:W,'حركة المخزن'!$R$6)</f>
        <v>0</v>
      </c>
      <c r="S26" s="136">
        <f>SUMIFS('تحليل مبيعات'!H:H,'تحليل مبيعات'!C:C,'حركة المخزن'!Q26,'تحليل مبيعات'!W:W,'حركة المخزن'!$S$6)</f>
        <v>0</v>
      </c>
      <c r="T26" s="136">
        <f>SUMIFS('تحليل مبيعات'!H:H,'تحليل مبيعات'!C:C,'حركة المخزن'!Q26,'تحليل مبيعات'!W:W,'حركة المخزن'!$T$6)</f>
        <v>0</v>
      </c>
      <c r="U26" s="136">
        <f>SUMIFS('تحليل مبيعات'!H:H,'تحليل مبيعات'!C:C,'حركة المخزن'!Q26,'تحليل مبيعات'!W:W,'حركة المخزن'!$U$6)</f>
        <v>0</v>
      </c>
      <c r="V26" s="136">
        <f>SUMIFS('تحليل مبيعات'!H:H,'تحليل مبيعات'!C:C,'حركة المخزن'!Q26,'تحليل مبيعات'!W:W,'حركة المخزن'!$V$6)</f>
        <v>0</v>
      </c>
      <c r="W26" s="136">
        <f>SUMIFS('تحليل مبيعات'!H:H,'تحليل مبيعات'!C:C,'حركة المخزن'!Q26,'تحليل مبيعات'!W:W,'حركة المخزن'!$W$6)</f>
        <v>0</v>
      </c>
      <c r="X26" s="136">
        <f>SUMIFS('تحليل مبيعات'!H:H,'تحليل مبيعات'!C:C,'حركة المخزن'!Q26,'تحليل مبيعات'!W:W,'حركة المخزن'!$X$6)</f>
        <v>1</v>
      </c>
      <c r="Y26" s="136">
        <f>SUMIFS('تحليل مبيعات'!H:H,'تحليل مبيعات'!C:C,'حركة المخزن'!Q26,'تحليل مبيعات'!W:W,'حركة المخزن'!$Y$6)</f>
        <v>0</v>
      </c>
      <c r="Z26" s="136">
        <f>SUMIFS('تحليل مبيعات'!H:H,'تحليل مبيعات'!C:C,'حركة المخزن'!Q26,'تحليل مبيعات'!W:W,'حركة المخزن'!$Z$6)</f>
        <v>0</v>
      </c>
      <c r="AA26" s="136">
        <f>SUMIFS('تحليل مبيعات'!H:H,'تحليل مبيعات'!C:C,'حركة المخزن'!Q26,'تحليل مبيعات'!W:W,'حركة المخزن'!$AA$6)</f>
        <v>0</v>
      </c>
      <c r="AB26" s="136">
        <f>SUMIFS('تحليل مبيعات'!H:H,'تحليل مبيعات'!C:C,'حركة المخزن'!Q26,'تحليل مبيعات'!W:W,'حركة المخزن'!$AB$6)</f>
        <v>0</v>
      </c>
      <c r="AC26" s="137">
        <f>SUMIFS('تحليل مبيعات'!H:H,'تحليل مبيعات'!C:C,'حركة المخزن'!Q26,'تحليل مبيعات'!W:W,'حركة المخزن'!$AC$6)</f>
        <v>0</v>
      </c>
      <c r="AD26" s="134">
        <f t="shared" si="0"/>
        <v>1</v>
      </c>
    </row>
    <row r="27" spans="2:30" ht="16.2" thickBot="1" x14ac:dyDescent="0.35">
      <c r="B27" s="70" t="s">
        <v>159</v>
      </c>
      <c r="C27" s="10" t="s">
        <v>288</v>
      </c>
      <c r="D27" s="10" t="s">
        <v>204</v>
      </c>
      <c r="E27" s="10">
        <v>5</v>
      </c>
      <c r="F27" s="10">
        <v>1000</v>
      </c>
      <c r="G27" s="10">
        <v>0</v>
      </c>
      <c r="H27" s="10">
        <v>0</v>
      </c>
      <c r="I27" s="10">
        <f>IFERROR(IF(SUMIF('تحليل مبيعات'!C:C, 'حركة المخزن'!B27, 'تحليل مبيعات'!H:H)=0,"",SUMIF('تحليل مبيعات'!C:C, 'حركة المخزن'!B27, 'تحليل مبيعات'!H:H)),"")</f>
        <v>3</v>
      </c>
      <c r="J27" s="10">
        <f>IFERROR(IF(SUMIF('تحليل مبيعات'!C:C, 'حركة المخزن'!B27, 'تحليل مبيعات'!L:L)=0,"",SUMIF('تحليل مبيعات'!C:C, 'حركة المخزن'!B27, 'تحليل مبيعات'!L:L)),"")</f>
        <v>850</v>
      </c>
      <c r="K27" s="10">
        <f t="shared" si="1"/>
        <v>2</v>
      </c>
      <c r="L27" s="10">
        <f t="shared" si="2"/>
        <v>150</v>
      </c>
      <c r="M27" s="10">
        <v>5</v>
      </c>
      <c r="N27" s="10" t="str">
        <f t="shared" si="3"/>
        <v>أعادة الطلب</v>
      </c>
      <c r="O27" s="44">
        <v>100</v>
      </c>
      <c r="Q27" s="130" t="str">
        <v>غطاء اسبرتير</v>
      </c>
      <c r="R27" s="135">
        <f>SUMIFS('تحليل مبيعات'!H:H,'تحليل مبيعات'!C:C,'حركة المخزن'!Q27,'تحليل مبيعات'!W:W,'حركة المخزن'!$R$6)</f>
        <v>0</v>
      </c>
      <c r="S27" s="136">
        <f>SUMIFS('تحليل مبيعات'!H:H,'تحليل مبيعات'!C:C,'حركة المخزن'!Q27,'تحليل مبيعات'!W:W,'حركة المخزن'!$S$6)</f>
        <v>0</v>
      </c>
      <c r="T27" s="136">
        <f>SUMIFS('تحليل مبيعات'!H:H,'تحليل مبيعات'!C:C,'حركة المخزن'!Q27,'تحليل مبيعات'!W:W,'حركة المخزن'!$T$6)</f>
        <v>0</v>
      </c>
      <c r="U27" s="136">
        <f>SUMIFS('تحليل مبيعات'!H:H,'تحليل مبيعات'!C:C,'حركة المخزن'!Q27,'تحليل مبيعات'!W:W,'حركة المخزن'!$U$6)</f>
        <v>0</v>
      </c>
      <c r="V27" s="136">
        <f>SUMIFS('تحليل مبيعات'!H:H,'تحليل مبيعات'!C:C,'حركة المخزن'!Q27,'تحليل مبيعات'!W:W,'حركة المخزن'!$V$6)</f>
        <v>0</v>
      </c>
      <c r="W27" s="136">
        <f>SUMIFS('تحليل مبيعات'!H:H,'تحليل مبيعات'!C:C,'حركة المخزن'!Q27,'تحليل مبيعات'!W:W,'حركة المخزن'!$W$6)</f>
        <v>0</v>
      </c>
      <c r="X27" s="136">
        <f>SUMIFS('تحليل مبيعات'!H:H,'تحليل مبيعات'!C:C,'حركة المخزن'!Q27,'تحليل مبيعات'!W:W,'حركة المخزن'!$X$6)</f>
        <v>3</v>
      </c>
      <c r="Y27" s="136">
        <f>SUMIFS('تحليل مبيعات'!H:H,'تحليل مبيعات'!C:C,'حركة المخزن'!Q27,'تحليل مبيعات'!W:W,'حركة المخزن'!$Y$6)</f>
        <v>0</v>
      </c>
      <c r="Z27" s="136">
        <f>SUMIFS('تحليل مبيعات'!H:H,'تحليل مبيعات'!C:C,'حركة المخزن'!Q27,'تحليل مبيعات'!W:W,'حركة المخزن'!$Z$6)</f>
        <v>0</v>
      </c>
      <c r="AA27" s="136">
        <f>SUMIFS('تحليل مبيعات'!H:H,'تحليل مبيعات'!C:C,'حركة المخزن'!Q27,'تحليل مبيعات'!W:W,'حركة المخزن'!$AA$6)</f>
        <v>0</v>
      </c>
      <c r="AB27" s="136">
        <f>SUMIFS('تحليل مبيعات'!H:H,'تحليل مبيعات'!C:C,'حركة المخزن'!Q27,'تحليل مبيعات'!W:W,'حركة المخزن'!$AB$6)</f>
        <v>0</v>
      </c>
      <c r="AC27" s="137">
        <f>SUMIFS('تحليل مبيعات'!H:H,'تحليل مبيعات'!C:C,'حركة المخزن'!Q27,'تحليل مبيعات'!W:W,'حركة المخزن'!$AC$6)</f>
        <v>0</v>
      </c>
      <c r="AD27" s="134">
        <f t="shared" si="0"/>
        <v>3</v>
      </c>
    </row>
    <row r="28" spans="2:30" ht="16.2" thickBot="1" x14ac:dyDescent="0.35">
      <c r="B28" s="70" t="s">
        <v>12</v>
      </c>
      <c r="C28" s="10" t="s">
        <v>289</v>
      </c>
      <c r="D28" s="10" t="s">
        <v>204</v>
      </c>
      <c r="E28" s="10">
        <v>5</v>
      </c>
      <c r="F28" s="10">
        <v>1000</v>
      </c>
      <c r="G28" s="10">
        <v>0</v>
      </c>
      <c r="H28" s="10">
        <v>0</v>
      </c>
      <c r="I28" s="10">
        <f>IFERROR(IF(SUMIF('تحليل مبيعات'!C:C, 'حركة المخزن'!B28, 'تحليل مبيعات'!H:H)=0,"",SUMIF('تحليل مبيعات'!C:C, 'حركة المخزن'!B28, 'تحليل مبيعات'!H:H)),"")</f>
        <v>8</v>
      </c>
      <c r="J28" s="10">
        <f>IFERROR(IF(SUMIF('تحليل مبيعات'!C:C, 'حركة المخزن'!B28, 'تحليل مبيعات'!L:L)=0,"",SUMIF('تحليل مبيعات'!C:C, 'حركة المخزن'!B28, 'تحليل مبيعات'!L:L)),"")</f>
        <v>2350</v>
      </c>
      <c r="K28" s="10">
        <f t="shared" si="1"/>
        <v>-3</v>
      </c>
      <c r="L28" s="10">
        <f t="shared" si="2"/>
        <v>-1350</v>
      </c>
      <c r="M28" s="10">
        <v>5</v>
      </c>
      <c r="N28" s="10" t="str">
        <f t="shared" si="3"/>
        <v>أعادة الطلب</v>
      </c>
      <c r="O28" s="44">
        <v>100</v>
      </c>
      <c r="Q28" s="130" t="str">
        <v>موبية اسبراتير داخلية</v>
      </c>
      <c r="R28" s="135">
        <f>SUMIFS('تحليل مبيعات'!H:H,'تحليل مبيعات'!C:C,'حركة المخزن'!Q28,'تحليل مبيعات'!W:W,'حركة المخزن'!$R$6)</f>
        <v>0</v>
      </c>
      <c r="S28" s="136">
        <f>SUMIFS('تحليل مبيعات'!H:H,'تحليل مبيعات'!C:C,'حركة المخزن'!Q28,'تحليل مبيعات'!W:W,'حركة المخزن'!$S$6)</f>
        <v>0</v>
      </c>
      <c r="T28" s="136">
        <f>SUMIFS('تحليل مبيعات'!H:H,'تحليل مبيعات'!C:C,'حركة المخزن'!Q28,'تحليل مبيعات'!W:W,'حركة المخزن'!$T$6)</f>
        <v>0</v>
      </c>
      <c r="U28" s="136">
        <f>SUMIFS('تحليل مبيعات'!H:H,'تحليل مبيعات'!C:C,'حركة المخزن'!Q28,'تحليل مبيعات'!W:W,'حركة المخزن'!$U$6)</f>
        <v>0</v>
      </c>
      <c r="V28" s="136">
        <f>SUMIFS('تحليل مبيعات'!H:H,'تحليل مبيعات'!C:C,'حركة المخزن'!Q28,'تحليل مبيعات'!W:W,'حركة المخزن'!$V$6)</f>
        <v>0</v>
      </c>
      <c r="W28" s="136">
        <f>SUMIFS('تحليل مبيعات'!H:H,'تحليل مبيعات'!C:C,'حركة المخزن'!Q28,'تحليل مبيعات'!W:W,'حركة المخزن'!$W$6)</f>
        <v>0</v>
      </c>
      <c r="X28" s="136">
        <f>SUMIFS('تحليل مبيعات'!H:H,'تحليل مبيعات'!C:C,'حركة المخزن'!Q28,'تحليل مبيعات'!W:W,'حركة المخزن'!$X$6)</f>
        <v>2</v>
      </c>
      <c r="Y28" s="136">
        <f>SUMIFS('تحليل مبيعات'!H:H,'تحليل مبيعات'!C:C,'حركة المخزن'!Q28,'تحليل مبيعات'!W:W,'حركة المخزن'!$Y$6)</f>
        <v>0</v>
      </c>
      <c r="Z28" s="136">
        <f>SUMIFS('تحليل مبيعات'!H:H,'تحليل مبيعات'!C:C,'حركة المخزن'!Q28,'تحليل مبيعات'!W:W,'حركة المخزن'!$Z$6)</f>
        <v>0</v>
      </c>
      <c r="AA28" s="136">
        <f>SUMIFS('تحليل مبيعات'!H:H,'تحليل مبيعات'!C:C,'حركة المخزن'!Q28,'تحليل مبيعات'!W:W,'حركة المخزن'!$AA$6)</f>
        <v>0</v>
      </c>
      <c r="AB28" s="136">
        <f>SUMIFS('تحليل مبيعات'!H:H,'تحليل مبيعات'!C:C,'حركة المخزن'!Q28,'تحليل مبيعات'!W:W,'حركة المخزن'!$AB$6)</f>
        <v>0</v>
      </c>
      <c r="AC28" s="137">
        <f>SUMIFS('تحليل مبيعات'!H:H,'تحليل مبيعات'!C:C,'حركة المخزن'!Q28,'تحليل مبيعات'!W:W,'حركة المخزن'!$AC$6)</f>
        <v>0</v>
      </c>
      <c r="AD28" s="134">
        <f t="shared" si="0"/>
        <v>2</v>
      </c>
    </row>
    <row r="29" spans="2:30" ht="16.2" thickBot="1" x14ac:dyDescent="0.35">
      <c r="B29" s="70" t="s">
        <v>17</v>
      </c>
      <c r="C29" s="10" t="s">
        <v>290</v>
      </c>
      <c r="D29" s="10" t="s">
        <v>204</v>
      </c>
      <c r="E29" s="10">
        <v>5</v>
      </c>
      <c r="F29" s="10">
        <v>1000</v>
      </c>
      <c r="G29" s="10">
        <v>0</v>
      </c>
      <c r="H29" s="10">
        <v>0</v>
      </c>
      <c r="I29" s="10">
        <f>IFERROR(IF(SUMIF('تحليل مبيعات'!C:C, 'حركة المخزن'!B29, 'تحليل مبيعات'!H:H)=0,"",SUMIF('تحليل مبيعات'!C:C, 'حركة المخزن'!B29, 'تحليل مبيعات'!H:H)),"")</f>
        <v>1</v>
      </c>
      <c r="J29" s="10">
        <f>IFERROR(IF(SUMIF('تحليل مبيعات'!C:C, 'حركة المخزن'!B29, 'تحليل مبيعات'!L:L)=0,"",SUMIF('تحليل مبيعات'!C:C, 'حركة المخزن'!B29, 'تحليل مبيعات'!L:L)),"")</f>
        <v>70</v>
      </c>
      <c r="K29" s="10">
        <f t="shared" si="1"/>
        <v>4</v>
      </c>
      <c r="L29" s="10">
        <f t="shared" si="2"/>
        <v>930</v>
      </c>
      <c r="M29" s="10">
        <v>5</v>
      </c>
      <c r="N29" s="10" t="str">
        <f t="shared" si="3"/>
        <v>أعادة الطلب</v>
      </c>
      <c r="O29" s="44">
        <v>150</v>
      </c>
      <c r="Q29" s="130" t="str">
        <v>شريحة اسبرتير /مشط</v>
      </c>
      <c r="R29" s="135">
        <f>SUMIFS('تحليل مبيعات'!H:H,'تحليل مبيعات'!C:C,'حركة المخزن'!Q29,'تحليل مبيعات'!W:W,'حركة المخزن'!$R$6)</f>
        <v>0</v>
      </c>
      <c r="S29" s="136">
        <f>SUMIFS('تحليل مبيعات'!H:H,'تحليل مبيعات'!C:C,'حركة المخزن'!Q29,'تحليل مبيعات'!W:W,'حركة المخزن'!$S$6)</f>
        <v>0</v>
      </c>
      <c r="T29" s="136">
        <f>SUMIFS('تحليل مبيعات'!H:H,'تحليل مبيعات'!C:C,'حركة المخزن'!Q29,'تحليل مبيعات'!W:W,'حركة المخزن'!$T$6)</f>
        <v>0</v>
      </c>
      <c r="U29" s="136">
        <f>SUMIFS('تحليل مبيعات'!H:H,'تحليل مبيعات'!C:C,'حركة المخزن'!Q29,'تحليل مبيعات'!W:W,'حركة المخزن'!$U$6)</f>
        <v>0</v>
      </c>
      <c r="V29" s="136">
        <f>SUMIFS('تحليل مبيعات'!H:H,'تحليل مبيعات'!C:C,'حركة المخزن'!Q29,'تحليل مبيعات'!W:W,'حركة المخزن'!$V$6)</f>
        <v>0</v>
      </c>
      <c r="W29" s="136">
        <f>SUMIFS('تحليل مبيعات'!H:H,'تحليل مبيعات'!C:C,'حركة المخزن'!Q29,'تحليل مبيعات'!W:W,'حركة المخزن'!$W$6)</f>
        <v>0</v>
      </c>
      <c r="X29" s="136">
        <f>SUMIFS('تحليل مبيعات'!H:H,'تحليل مبيعات'!C:C,'حركة المخزن'!Q29,'تحليل مبيعات'!W:W,'حركة المخزن'!$X$6)</f>
        <v>1</v>
      </c>
      <c r="Y29" s="136">
        <f>SUMIFS('تحليل مبيعات'!H:H,'تحليل مبيعات'!C:C,'حركة المخزن'!Q29,'تحليل مبيعات'!W:W,'حركة المخزن'!$Y$6)</f>
        <v>0</v>
      </c>
      <c r="Z29" s="136">
        <f>SUMIFS('تحليل مبيعات'!H:H,'تحليل مبيعات'!C:C,'حركة المخزن'!Q29,'تحليل مبيعات'!W:W,'حركة المخزن'!$Z$6)</f>
        <v>0</v>
      </c>
      <c r="AA29" s="136">
        <f>SUMIFS('تحليل مبيعات'!H:H,'تحليل مبيعات'!C:C,'حركة المخزن'!Q29,'تحليل مبيعات'!W:W,'حركة المخزن'!$AA$6)</f>
        <v>0</v>
      </c>
      <c r="AB29" s="136">
        <f>SUMIFS('تحليل مبيعات'!H:H,'تحليل مبيعات'!C:C,'حركة المخزن'!Q29,'تحليل مبيعات'!W:W,'حركة المخزن'!$AB$6)</f>
        <v>0</v>
      </c>
      <c r="AC29" s="137">
        <f>SUMIFS('تحليل مبيعات'!H:H,'تحليل مبيعات'!C:C,'حركة المخزن'!Q29,'تحليل مبيعات'!W:W,'حركة المخزن'!$AC$6)</f>
        <v>0</v>
      </c>
      <c r="AD29" s="134">
        <f t="shared" si="0"/>
        <v>1</v>
      </c>
    </row>
    <row r="30" spans="2:30" ht="16.2" thickBot="1" x14ac:dyDescent="0.35">
      <c r="B30" s="70" t="s">
        <v>35</v>
      </c>
      <c r="C30" s="10" t="s">
        <v>291</v>
      </c>
      <c r="D30" s="10" t="s">
        <v>204</v>
      </c>
      <c r="E30" s="10">
        <v>5</v>
      </c>
      <c r="F30" s="10">
        <v>1000</v>
      </c>
      <c r="G30" s="10">
        <v>0</v>
      </c>
      <c r="H30" s="10">
        <v>0</v>
      </c>
      <c r="I30" s="10">
        <f>IFERROR(IF(SUMIF('تحليل مبيعات'!C:C, 'حركة المخزن'!B30, 'تحليل مبيعات'!H:H)=0,"",SUMIF('تحليل مبيعات'!C:C, 'حركة المخزن'!B30, 'تحليل مبيعات'!H:H)),"")</f>
        <v>7</v>
      </c>
      <c r="J30" s="10">
        <f>IFERROR(IF(SUMIF('تحليل مبيعات'!C:C, 'حركة المخزن'!B30, 'تحليل مبيعات'!L:L)=0,"",SUMIF('تحليل مبيعات'!C:C, 'حركة المخزن'!B30, 'تحليل مبيعات'!L:L)),"")</f>
        <v>1460</v>
      </c>
      <c r="K30" s="10">
        <f t="shared" si="1"/>
        <v>-2</v>
      </c>
      <c r="L30" s="10">
        <f t="shared" si="2"/>
        <v>-460</v>
      </c>
      <c r="M30" s="10">
        <v>5</v>
      </c>
      <c r="N30" s="10" t="str">
        <f t="shared" si="3"/>
        <v>أعادة الطلب</v>
      </c>
      <c r="O30" s="44">
        <v>70</v>
      </c>
      <c r="Q30" s="130" t="str">
        <v>بطارية كلورايد 80</v>
      </c>
      <c r="R30" s="135">
        <f>SUMIFS('تحليل مبيعات'!H:H,'تحليل مبيعات'!C:C,'حركة المخزن'!Q30,'تحليل مبيعات'!W:W,'حركة المخزن'!$R$6)</f>
        <v>0</v>
      </c>
      <c r="S30" s="136">
        <f>SUMIFS('تحليل مبيعات'!H:H,'تحليل مبيعات'!C:C,'حركة المخزن'!Q30,'تحليل مبيعات'!W:W,'حركة المخزن'!$S$6)</f>
        <v>0</v>
      </c>
      <c r="T30" s="136">
        <f>SUMIFS('تحليل مبيعات'!H:H,'تحليل مبيعات'!C:C,'حركة المخزن'!Q30,'تحليل مبيعات'!W:W,'حركة المخزن'!$T$6)</f>
        <v>0</v>
      </c>
      <c r="U30" s="136">
        <f>SUMIFS('تحليل مبيعات'!H:H,'تحليل مبيعات'!C:C,'حركة المخزن'!Q30,'تحليل مبيعات'!W:W,'حركة المخزن'!$U$6)</f>
        <v>0</v>
      </c>
      <c r="V30" s="136">
        <f>SUMIFS('تحليل مبيعات'!H:H,'تحليل مبيعات'!C:C,'حركة المخزن'!Q30,'تحليل مبيعات'!W:W,'حركة المخزن'!$V$6)</f>
        <v>0</v>
      </c>
      <c r="W30" s="136">
        <f>SUMIFS('تحليل مبيعات'!H:H,'تحليل مبيعات'!C:C,'حركة المخزن'!Q30,'تحليل مبيعات'!W:W,'حركة المخزن'!$W$6)</f>
        <v>0</v>
      </c>
      <c r="X30" s="136">
        <f>SUMIFS('تحليل مبيعات'!H:H,'تحليل مبيعات'!C:C,'حركة المخزن'!Q30,'تحليل مبيعات'!W:W,'حركة المخزن'!$X$6)</f>
        <v>2</v>
      </c>
      <c r="Y30" s="136">
        <f>SUMIFS('تحليل مبيعات'!H:H,'تحليل مبيعات'!C:C,'حركة المخزن'!Q30,'تحليل مبيعات'!W:W,'حركة المخزن'!$Y$6)</f>
        <v>0</v>
      </c>
      <c r="Z30" s="136">
        <f>SUMIFS('تحليل مبيعات'!H:H,'تحليل مبيعات'!C:C,'حركة المخزن'!Q30,'تحليل مبيعات'!W:W,'حركة المخزن'!$Z$6)</f>
        <v>0</v>
      </c>
      <c r="AA30" s="136">
        <f>SUMIFS('تحليل مبيعات'!H:H,'تحليل مبيعات'!C:C,'حركة المخزن'!Q30,'تحليل مبيعات'!W:W,'حركة المخزن'!$AA$6)</f>
        <v>0</v>
      </c>
      <c r="AB30" s="136">
        <f>SUMIFS('تحليل مبيعات'!H:H,'تحليل مبيعات'!C:C,'حركة المخزن'!Q30,'تحليل مبيعات'!W:W,'حركة المخزن'!$AB$6)</f>
        <v>0</v>
      </c>
      <c r="AC30" s="137">
        <f>SUMIFS('تحليل مبيعات'!H:H,'تحليل مبيعات'!C:C,'حركة المخزن'!Q30,'تحليل مبيعات'!W:W,'حركة المخزن'!$AC$6)</f>
        <v>0</v>
      </c>
      <c r="AD30" s="134">
        <f t="shared" si="0"/>
        <v>2</v>
      </c>
    </row>
    <row r="31" spans="2:30" ht="16.2" thickBot="1" x14ac:dyDescent="0.35">
      <c r="B31" s="70" t="s">
        <v>102</v>
      </c>
      <c r="C31" s="10" t="s">
        <v>292</v>
      </c>
      <c r="D31" s="10" t="s">
        <v>204</v>
      </c>
      <c r="E31" s="10">
        <v>5</v>
      </c>
      <c r="F31" s="10">
        <v>1000</v>
      </c>
      <c r="G31" s="10">
        <v>0</v>
      </c>
      <c r="H31" s="10">
        <v>0</v>
      </c>
      <c r="I31" s="10">
        <f>IFERROR(IF(SUMIF('تحليل مبيعات'!C:C, 'حركة المخزن'!B31, 'تحليل مبيعات'!H:H)=0,"",SUMIF('تحليل مبيعات'!C:C, 'حركة المخزن'!B31, 'تحليل مبيعات'!H:H)),"")</f>
        <v>6</v>
      </c>
      <c r="J31" s="10">
        <f>IFERROR(IF(SUMIF('تحليل مبيعات'!C:C, 'حركة المخزن'!B31, 'تحليل مبيعات'!L:L)=0,"",SUMIF('تحليل مبيعات'!C:C, 'حركة المخزن'!B31, 'تحليل مبيعات'!L:L)),"")</f>
        <v>5270</v>
      </c>
      <c r="K31" s="10">
        <f t="shared" si="1"/>
        <v>-1</v>
      </c>
      <c r="L31" s="10">
        <f t="shared" si="2"/>
        <v>-4270</v>
      </c>
      <c r="M31" s="10">
        <v>5</v>
      </c>
      <c r="N31" s="10" t="str">
        <f t="shared" si="3"/>
        <v>أعادة الطلب</v>
      </c>
      <c r="O31" s="44">
        <v>80</v>
      </c>
      <c r="Q31" s="130" t="str">
        <v>بطارية 70 نسر</v>
      </c>
      <c r="R31" s="135">
        <f>SUMIFS('تحليل مبيعات'!H:H,'تحليل مبيعات'!C:C,'حركة المخزن'!Q31,'تحليل مبيعات'!W:W,'حركة المخزن'!$R$6)</f>
        <v>0</v>
      </c>
      <c r="S31" s="136">
        <f>SUMIFS('تحليل مبيعات'!H:H,'تحليل مبيعات'!C:C,'حركة المخزن'!Q31,'تحليل مبيعات'!W:W,'حركة المخزن'!$S$6)</f>
        <v>0</v>
      </c>
      <c r="T31" s="136">
        <f>SUMIFS('تحليل مبيعات'!H:H,'تحليل مبيعات'!C:C,'حركة المخزن'!Q31,'تحليل مبيعات'!W:W,'حركة المخزن'!$T$6)</f>
        <v>0</v>
      </c>
      <c r="U31" s="136">
        <f>SUMIFS('تحليل مبيعات'!H:H,'تحليل مبيعات'!C:C,'حركة المخزن'!Q31,'تحليل مبيعات'!W:W,'حركة المخزن'!$U$6)</f>
        <v>0</v>
      </c>
      <c r="V31" s="136">
        <f>SUMIFS('تحليل مبيعات'!H:H,'تحليل مبيعات'!C:C,'حركة المخزن'!Q31,'تحليل مبيعات'!W:W,'حركة المخزن'!$V$6)</f>
        <v>0</v>
      </c>
      <c r="W31" s="136">
        <f>SUMIFS('تحليل مبيعات'!H:H,'تحليل مبيعات'!C:C,'حركة المخزن'!Q31,'تحليل مبيعات'!W:W,'حركة المخزن'!$W$6)</f>
        <v>0</v>
      </c>
      <c r="X31" s="136">
        <f>SUMIFS('تحليل مبيعات'!H:H,'تحليل مبيعات'!C:C,'حركة المخزن'!Q31,'تحليل مبيعات'!W:W,'حركة المخزن'!$X$6)</f>
        <v>1</v>
      </c>
      <c r="Y31" s="136">
        <f>SUMIFS('تحليل مبيعات'!H:H,'تحليل مبيعات'!C:C,'حركة المخزن'!Q31,'تحليل مبيعات'!W:W,'حركة المخزن'!$Y$6)</f>
        <v>0</v>
      </c>
      <c r="Z31" s="136">
        <f>SUMIFS('تحليل مبيعات'!H:H,'تحليل مبيعات'!C:C,'حركة المخزن'!Q31,'تحليل مبيعات'!W:W,'حركة المخزن'!$Z$6)</f>
        <v>0</v>
      </c>
      <c r="AA31" s="136">
        <f>SUMIFS('تحليل مبيعات'!H:H,'تحليل مبيعات'!C:C,'حركة المخزن'!Q31,'تحليل مبيعات'!W:W,'حركة المخزن'!$AA$6)</f>
        <v>0</v>
      </c>
      <c r="AB31" s="136">
        <f>SUMIFS('تحليل مبيعات'!H:H,'تحليل مبيعات'!C:C,'حركة المخزن'!Q31,'تحليل مبيعات'!W:W,'حركة المخزن'!$AB$6)</f>
        <v>0</v>
      </c>
      <c r="AC31" s="137">
        <f>SUMIFS('تحليل مبيعات'!H:H,'تحليل مبيعات'!C:C,'حركة المخزن'!Q31,'تحليل مبيعات'!W:W,'حركة المخزن'!$AC$6)</f>
        <v>0</v>
      </c>
      <c r="AD31" s="134">
        <f t="shared" si="0"/>
        <v>1</v>
      </c>
    </row>
    <row r="32" spans="2:30" ht="16.2" thickBot="1" x14ac:dyDescent="0.35">
      <c r="B32" s="70" t="s">
        <v>79</v>
      </c>
      <c r="C32" s="10" t="s">
        <v>293</v>
      </c>
      <c r="D32" s="10" t="s">
        <v>204</v>
      </c>
      <c r="E32" s="10">
        <v>5</v>
      </c>
      <c r="F32" s="10">
        <v>1000</v>
      </c>
      <c r="G32" s="10">
        <v>0</v>
      </c>
      <c r="H32" s="10">
        <v>0</v>
      </c>
      <c r="I32" s="10">
        <f>IFERROR(IF(SUMIF('تحليل مبيعات'!C:C, 'حركة المخزن'!B32, 'تحليل مبيعات'!H:H)=0,"",SUMIF('تحليل مبيعات'!C:C, 'حركة المخزن'!B32, 'تحليل مبيعات'!H:H)),"")</f>
        <v>3</v>
      </c>
      <c r="J32" s="10">
        <f>IFERROR(IF(SUMIF('تحليل مبيعات'!C:C, 'حركة المخزن'!B32, 'تحليل مبيعات'!L:L)=0,"",SUMIF('تحليل مبيعات'!C:C, 'حركة المخزن'!B32, 'تحليل مبيعات'!L:L)),"")</f>
        <v>2450</v>
      </c>
      <c r="K32" s="10">
        <f t="shared" si="1"/>
        <v>2</v>
      </c>
      <c r="L32" s="10">
        <f t="shared" si="2"/>
        <v>-1450</v>
      </c>
      <c r="M32" s="10">
        <v>5</v>
      </c>
      <c r="N32" s="10" t="str">
        <f t="shared" si="3"/>
        <v>أعادة الطلب</v>
      </c>
      <c r="O32" s="44">
        <v>50</v>
      </c>
      <c r="Q32" s="130" t="str">
        <v>اكسليرا 15/195/65</v>
      </c>
      <c r="R32" s="135">
        <f>SUMIFS('تحليل مبيعات'!H:H,'تحليل مبيعات'!C:C,'حركة المخزن'!Q32,'تحليل مبيعات'!W:W,'حركة المخزن'!$R$6)</f>
        <v>0</v>
      </c>
      <c r="S32" s="136">
        <f>SUMIFS('تحليل مبيعات'!H:H,'تحليل مبيعات'!C:C,'حركة المخزن'!Q32,'تحليل مبيعات'!W:W,'حركة المخزن'!$S$6)</f>
        <v>0</v>
      </c>
      <c r="T32" s="136">
        <f>SUMIFS('تحليل مبيعات'!H:H,'تحليل مبيعات'!C:C,'حركة المخزن'!Q32,'تحليل مبيعات'!W:W,'حركة المخزن'!$T$6)</f>
        <v>0</v>
      </c>
      <c r="U32" s="136">
        <f>SUMIFS('تحليل مبيعات'!H:H,'تحليل مبيعات'!C:C,'حركة المخزن'!Q32,'تحليل مبيعات'!W:W,'حركة المخزن'!$U$6)</f>
        <v>0</v>
      </c>
      <c r="V32" s="136">
        <f>SUMIFS('تحليل مبيعات'!H:H,'تحليل مبيعات'!C:C,'حركة المخزن'!Q32,'تحليل مبيعات'!W:W,'حركة المخزن'!$V$6)</f>
        <v>0</v>
      </c>
      <c r="W32" s="136">
        <f>SUMIFS('تحليل مبيعات'!H:H,'تحليل مبيعات'!C:C,'حركة المخزن'!Q32,'تحليل مبيعات'!W:W,'حركة المخزن'!$W$6)</f>
        <v>0</v>
      </c>
      <c r="X32" s="136">
        <f>SUMIFS('تحليل مبيعات'!H:H,'تحليل مبيعات'!C:C,'حركة المخزن'!Q32,'تحليل مبيعات'!W:W,'حركة المخزن'!$X$6)</f>
        <v>2</v>
      </c>
      <c r="Y32" s="136">
        <f>SUMIFS('تحليل مبيعات'!H:H,'تحليل مبيعات'!C:C,'حركة المخزن'!Q32,'تحليل مبيعات'!W:W,'حركة المخزن'!$Y$6)</f>
        <v>0</v>
      </c>
      <c r="Z32" s="136">
        <f>SUMIFS('تحليل مبيعات'!H:H,'تحليل مبيعات'!C:C,'حركة المخزن'!Q32,'تحليل مبيعات'!W:W,'حركة المخزن'!$Z$6)</f>
        <v>0</v>
      </c>
      <c r="AA32" s="136">
        <f>SUMIFS('تحليل مبيعات'!H:H,'تحليل مبيعات'!C:C,'حركة المخزن'!Q32,'تحليل مبيعات'!W:W,'حركة المخزن'!$AA$6)</f>
        <v>0</v>
      </c>
      <c r="AB32" s="136">
        <f>SUMIFS('تحليل مبيعات'!H:H,'تحليل مبيعات'!C:C,'حركة المخزن'!Q32,'تحليل مبيعات'!W:W,'حركة المخزن'!$AB$6)</f>
        <v>0</v>
      </c>
      <c r="AC32" s="137">
        <f>SUMIFS('تحليل مبيعات'!H:H,'تحليل مبيعات'!C:C,'حركة المخزن'!Q32,'تحليل مبيعات'!W:W,'حركة المخزن'!$AC$6)</f>
        <v>0</v>
      </c>
      <c r="AD32" s="134">
        <f t="shared" si="0"/>
        <v>2</v>
      </c>
    </row>
    <row r="33" spans="2:30" ht="16.2" thickBot="1" x14ac:dyDescent="0.35">
      <c r="B33" s="70" t="s">
        <v>23</v>
      </c>
      <c r="C33" s="10" t="s">
        <v>294</v>
      </c>
      <c r="D33" s="10" t="s">
        <v>204</v>
      </c>
      <c r="E33" s="10">
        <v>5</v>
      </c>
      <c r="F33" s="10">
        <v>1000</v>
      </c>
      <c r="G33" s="10">
        <v>0</v>
      </c>
      <c r="H33" s="10">
        <v>0</v>
      </c>
      <c r="I33" s="10">
        <f>IFERROR(IF(SUMIF('تحليل مبيعات'!C:C, 'حركة المخزن'!B33, 'تحليل مبيعات'!H:H)=0,"",SUMIF('تحليل مبيعات'!C:C, 'حركة المخزن'!B33, 'تحليل مبيعات'!H:H)),"")</f>
        <v>11</v>
      </c>
      <c r="J33" s="10">
        <f>IFERROR(IF(SUMIF('تحليل مبيعات'!C:C, 'حركة المخزن'!B33, 'تحليل مبيعات'!L:L)=0,"",SUMIF('تحليل مبيعات'!C:C, 'حركة المخزن'!B33, 'تحليل مبيعات'!L:L)),"")</f>
        <v>2600</v>
      </c>
      <c r="K33" s="10">
        <f t="shared" si="1"/>
        <v>-6</v>
      </c>
      <c r="L33" s="10">
        <f t="shared" si="2"/>
        <v>-1600</v>
      </c>
      <c r="M33" s="10">
        <v>5</v>
      </c>
      <c r="N33" s="10" t="str">
        <f t="shared" si="3"/>
        <v>أعادة الطلب</v>
      </c>
      <c r="O33" s="44">
        <v>80</v>
      </c>
      <c r="Q33" s="130" t="str">
        <v>كالون باب شنطة+ سكاكة</v>
      </c>
      <c r="R33" s="135">
        <f>SUMIFS('تحليل مبيعات'!H:H,'تحليل مبيعات'!C:C,'حركة المخزن'!Q33,'تحليل مبيعات'!W:W,'حركة المخزن'!$R$6)</f>
        <v>0</v>
      </c>
      <c r="S33" s="136">
        <f>SUMIFS('تحليل مبيعات'!H:H,'تحليل مبيعات'!C:C,'حركة المخزن'!Q33,'تحليل مبيعات'!W:W,'حركة المخزن'!$S$6)</f>
        <v>0</v>
      </c>
      <c r="T33" s="136">
        <f>SUMIFS('تحليل مبيعات'!H:H,'تحليل مبيعات'!C:C,'حركة المخزن'!Q33,'تحليل مبيعات'!W:W,'حركة المخزن'!$T$6)</f>
        <v>0</v>
      </c>
      <c r="U33" s="136">
        <f>SUMIFS('تحليل مبيعات'!H:H,'تحليل مبيعات'!C:C,'حركة المخزن'!Q33,'تحليل مبيعات'!W:W,'حركة المخزن'!$U$6)</f>
        <v>0</v>
      </c>
      <c r="V33" s="136">
        <f>SUMIFS('تحليل مبيعات'!H:H,'تحليل مبيعات'!C:C,'حركة المخزن'!Q33,'تحليل مبيعات'!W:W,'حركة المخزن'!$V$6)</f>
        <v>0</v>
      </c>
      <c r="W33" s="136">
        <f>SUMIFS('تحليل مبيعات'!H:H,'تحليل مبيعات'!C:C,'حركة المخزن'!Q33,'تحليل مبيعات'!W:W,'حركة المخزن'!$W$6)</f>
        <v>0</v>
      </c>
      <c r="X33" s="136">
        <f>SUMIFS('تحليل مبيعات'!H:H,'تحليل مبيعات'!C:C,'حركة المخزن'!Q33,'تحليل مبيعات'!W:W,'حركة المخزن'!$X$6)</f>
        <v>1</v>
      </c>
      <c r="Y33" s="136">
        <f>SUMIFS('تحليل مبيعات'!H:H,'تحليل مبيعات'!C:C,'حركة المخزن'!Q33,'تحليل مبيعات'!W:W,'حركة المخزن'!$Y$6)</f>
        <v>0</v>
      </c>
      <c r="Z33" s="136">
        <f>SUMIFS('تحليل مبيعات'!H:H,'تحليل مبيعات'!C:C,'حركة المخزن'!Q33,'تحليل مبيعات'!W:W,'حركة المخزن'!$Z$6)</f>
        <v>0</v>
      </c>
      <c r="AA33" s="136">
        <f>SUMIFS('تحليل مبيعات'!H:H,'تحليل مبيعات'!C:C,'حركة المخزن'!Q33,'تحليل مبيعات'!W:W,'حركة المخزن'!$AA$6)</f>
        <v>0</v>
      </c>
      <c r="AB33" s="136">
        <f>SUMIFS('تحليل مبيعات'!H:H,'تحليل مبيعات'!C:C,'حركة المخزن'!Q33,'تحليل مبيعات'!W:W,'حركة المخزن'!$AB$6)</f>
        <v>0</v>
      </c>
      <c r="AC33" s="137">
        <f>SUMIFS('تحليل مبيعات'!H:H,'تحليل مبيعات'!C:C,'حركة المخزن'!Q33,'تحليل مبيعات'!W:W,'حركة المخزن'!$AC$6)</f>
        <v>0</v>
      </c>
      <c r="AD33" s="134">
        <f t="shared" si="0"/>
        <v>1</v>
      </c>
    </row>
    <row r="34" spans="2:30" ht="16.2" thickBot="1" x14ac:dyDescent="0.35">
      <c r="B34" s="70" t="s">
        <v>24</v>
      </c>
      <c r="C34" s="10" t="s">
        <v>295</v>
      </c>
      <c r="D34" s="10" t="s">
        <v>204</v>
      </c>
      <c r="E34" s="10">
        <v>5</v>
      </c>
      <c r="F34" s="10">
        <v>1000</v>
      </c>
      <c r="G34" s="10">
        <v>0</v>
      </c>
      <c r="H34" s="10">
        <v>0</v>
      </c>
      <c r="I34" s="10">
        <f>IFERROR(IF(SUMIF('تحليل مبيعات'!C:C, 'حركة المخزن'!B34, 'تحليل مبيعات'!H:H)=0,"",SUMIF('تحليل مبيعات'!C:C, 'حركة المخزن'!B34, 'تحليل مبيعات'!H:H)),"")</f>
        <v>6</v>
      </c>
      <c r="J34" s="10">
        <f>IFERROR(IF(SUMIF('تحليل مبيعات'!C:C, 'حركة المخزن'!B34, 'تحليل مبيعات'!L:L)=0,"",SUMIF('تحليل مبيعات'!C:C, 'حركة المخزن'!B34, 'تحليل مبيعات'!L:L)),"")</f>
        <v>520</v>
      </c>
      <c r="K34" s="10">
        <f t="shared" si="1"/>
        <v>-1</v>
      </c>
      <c r="L34" s="10">
        <f t="shared" si="2"/>
        <v>480</v>
      </c>
      <c r="M34" s="10">
        <v>5</v>
      </c>
      <c r="N34" s="10" t="str">
        <f t="shared" si="3"/>
        <v>أعادة الطلب</v>
      </c>
      <c r="O34" s="44">
        <v>100</v>
      </c>
      <c r="Q34" s="130" t="str">
        <v>بلية اكس خلفى</v>
      </c>
      <c r="R34" s="135">
        <f>SUMIFS('تحليل مبيعات'!H:H,'تحليل مبيعات'!C:C,'حركة المخزن'!Q34,'تحليل مبيعات'!W:W,'حركة المخزن'!$R$6)</f>
        <v>0</v>
      </c>
      <c r="S34" s="136">
        <f>SUMIFS('تحليل مبيعات'!H:H,'تحليل مبيعات'!C:C,'حركة المخزن'!Q34,'تحليل مبيعات'!W:W,'حركة المخزن'!$S$6)</f>
        <v>0</v>
      </c>
      <c r="T34" s="136">
        <f>SUMIFS('تحليل مبيعات'!H:H,'تحليل مبيعات'!C:C,'حركة المخزن'!Q34,'تحليل مبيعات'!W:W,'حركة المخزن'!$T$6)</f>
        <v>0</v>
      </c>
      <c r="U34" s="136">
        <f>SUMIFS('تحليل مبيعات'!H:H,'تحليل مبيعات'!C:C,'حركة المخزن'!Q34,'تحليل مبيعات'!W:W,'حركة المخزن'!$U$6)</f>
        <v>0</v>
      </c>
      <c r="V34" s="136">
        <f>SUMIFS('تحليل مبيعات'!H:H,'تحليل مبيعات'!C:C,'حركة المخزن'!Q34,'تحليل مبيعات'!W:W,'حركة المخزن'!$V$6)</f>
        <v>0</v>
      </c>
      <c r="W34" s="136">
        <f>SUMIFS('تحليل مبيعات'!H:H,'تحليل مبيعات'!C:C,'حركة المخزن'!Q34,'تحليل مبيعات'!W:W,'حركة المخزن'!$W$6)</f>
        <v>0</v>
      </c>
      <c r="X34" s="136">
        <f>SUMIFS('تحليل مبيعات'!H:H,'تحليل مبيعات'!C:C,'حركة المخزن'!Q34,'تحليل مبيعات'!W:W,'حركة المخزن'!$X$6)</f>
        <v>4</v>
      </c>
      <c r="Y34" s="136">
        <f>SUMIFS('تحليل مبيعات'!H:H,'تحليل مبيعات'!C:C,'حركة المخزن'!Q34,'تحليل مبيعات'!W:W,'حركة المخزن'!$Y$6)</f>
        <v>0</v>
      </c>
      <c r="Z34" s="136">
        <f>SUMIFS('تحليل مبيعات'!H:H,'تحليل مبيعات'!C:C,'حركة المخزن'!Q34,'تحليل مبيعات'!W:W,'حركة المخزن'!$Z$6)</f>
        <v>0</v>
      </c>
      <c r="AA34" s="136">
        <f>SUMIFS('تحليل مبيعات'!H:H,'تحليل مبيعات'!C:C,'حركة المخزن'!Q34,'تحليل مبيعات'!W:W,'حركة المخزن'!$AA$6)</f>
        <v>0</v>
      </c>
      <c r="AB34" s="136">
        <f>SUMIFS('تحليل مبيعات'!H:H,'تحليل مبيعات'!C:C,'حركة المخزن'!Q34,'تحليل مبيعات'!W:W,'حركة المخزن'!$AB$6)</f>
        <v>0</v>
      </c>
      <c r="AC34" s="137">
        <f>SUMIFS('تحليل مبيعات'!H:H,'تحليل مبيعات'!C:C,'حركة المخزن'!Q34,'تحليل مبيعات'!W:W,'حركة المخزن'!$AC$6)</f>
        <v>0</v>
      </c>
      <c r="AD34" s="134">
        <f t="shared" si="0"/>
        <v>4</v>
      </c>
    </row>
    <row r="35" spans="2:30" ht="16.2" thickBot="1" x14ac:dyDescent="0.35">
      <c r="B35" s="70" t="s">
        <v>25</v>
      </c>
      <c r="C35" s="10" t="s">
        <v>296</v>
      </c>
      <c r="D35" s="10" t="s">
        <v>204</v>
      </c>
      <c r="E35" s="10">
        <v>5</v>
      </c>
      <c r="F35" s="10">
        <v>1000</v>
      </c>
      <c r="G35" s="10">
        <v>0</v>
      </c>
      <c r="H35" s="10">
        <v>0</v>
      </c>
      <c r="I35" s="10">
        <f>IFERROR(IF(SUMIF('تحليل مبيعات'!C:C, 'حركة المخزن'!B35, 'تحليل مبيعات'!H:H)=0,"",SUMIF('تحليل مبيعات'!C:C, 'حركة المخزن'!B35, 'تحليل مبيعات'!H:H)),"")</f>
        <v>24</v>
      </c>
      <c r="J35" s="10">
        <f>IFERROR(IF(SUMIF('تحليل مبيعات'!C:C, 'حركة المخزن'!B35, 'تحليل مبيعات'!L:L)=0,"",SUMIF('تحليل مبيعات'!C:C, 'حركة المخزن'!B35, 'تحليل مبيعات'!L:L)),"")</f>
        <v>8025</v>
      </c>
      <c r="K35" s="10">
        <f t="shared" si="1"/>
        <v>-19</v>
      </c>
      <c r="L35" s="10">
        <f t="shared" si="2"/>
        <v>-7025</v>
      </c>
      <c r="M35" s="10">
        <v>5</v>
      </c>
      <c r="N35" s="10" t="str">
        <f t="shared" si="3"/>
        <v>أعادة الطلب</v>
      </c>
      <c r="O35" s="44">
        <v>60</v>
      </c>
      <c r="Q35" s="130" t="str">
        <v>طلمة بنزين</v>
      </c>
      <c r="R35" s="135">
        <f>SUMIFS('تحليل مبيعات'!H:H,'تحليل مبيعات'!C:C,'حركة المخزن'!Q35,'تحليل مبيعات'!W:W,'حركة المخزن'!$R$6)</f>
        <v>0</v>
      </c>
      <c r="S35" s="136">
        <f>SUMIFS('تحليل مبيعات'!H:H,'تحليل مبيعات'!C:C,'حركة المخزن'!Q35,'تحليل مبيعات'!W:W,'حركة المخزن'!$S$6)</f>
        <v>0</v>
      </c>
      <c r="T35" s="136">
        <f>SUMIFS('تحليل مبيعات'!H:H,'تحليل مبيعات'!C:C,'حركة المخزن'!Q35,'تحليل مبيعات'!W:W,'حركة المخزن'!$T$6)</f>
        <v>0</v>
      </c>
      <c r="U35" s="136">
        <f>SUMIFS('تحليل مبيعات'!H:H,'تحليل مبيعات'!C:C,'حركة المخزن'!Q35,'تحليل مبيعات'!W:W,'حركة المخزن'!$U$6)</f>
        <v>0</v>
      </c>
      <c r="V35" s="136">
        <f>SUMIFS('تحليل مبيعات'!H:H,'تحليل مبيعات'!C:C,'حركة المخزن'!Q35,'تحليل مبيعات'!W:W,'حركة المخزن'!$V$6)</f>
        <v>0</v>
      </c>
      <c r="W35" s="136">
        <f>SUMIFS('تحليل مبيعات'!H:H,'تحليل مبيعات'!C:C,'حركة المخزن'!Q35,'تحليل مبيعات'!W:W,'حركة المخزن'!$W$6)</f>
        <v>0</v>
      </c>
      <c r="X35" s="136">
        <f>SUMIFS('تحليل مبيعات'!H:H,'تحليل مبيعات'!C:C,'حركة المخزن'!Q35,'تحليل مبيعات'!W:W,'حركة المخزن'!$X$6)</f>
        <v>1</v>
      </c>
      <c r="Y35" s="136">
        <f>SUMIFS('تحليل مبيعات'!H:H,'تحليل مبيعات'!C:C,'حركة المخزن'!Q35,'تحليل مبيعات'!W:W,'حركة المخزن'!$Y$6)</f>
        <v>0</v>
      </c>
      <c r="Z35" s="136">
        <f>SUMIFS('تحليل مبيعات'!H:H,'تحليل مبيعات'!C:C,'حركة المخزن'!Q35,'تحليل مبيعات'!W:W,'حركة المخزن'!$Z$6)</f>
        <v>0</v>
      </c>
      <c r="AA35" s="136">
        <f>SUMIFS('تحليل مبيعات'!H:H,'تحليل مبيعات'!C:C,'حركة المخزن'!Q35,'تحليل مبيعات'!W:W,'حركة المخزن'!$AA$6)</f>
        <v>0</v>
      </c>
      <c r="AB35" s="136">
        <f>SUMIFS('تحليل مبيعات'!H:H,'تحليل مبيعات'!C:C,'حركة المخزن'!Q35,'تحليل مبيعات'!W:W,'حركة المخزن'!$AB$6)</f>
        <v>0</v>
      </c>
      <c r="AC35" s="137">
        <f>SUMIFS('تحليل مبيعات'!H:H,'تحليل مبيعات'!C:C,'حركة المخزن'!Q35,'تحليل مبيعات'!W:W,'حركة المخزن'!$AC$6)</f>
        <v>0</v>
      </c>
      <c r="AD35" s="134">
        <f t="shared" si="0"/>
        <v>1</v>
      </c>
    </row>
    <row r="36" spans="2:30" ht="16.2" thickBot="1" x14ac:dyDescent="0.35">
      <c r="B36" s="70" t="s">
        <v>22</v>
      </c>
      <c r="C36" s="10" t="s">
        <v>297</v>
      </c>
      <c r="D36" s="10" t="s">
        <v>204</v>
      </c>
      <c r="E36" s="10">
        <v>5</v>
      </c>
      <c r="F36" s="10">
        <v>1000</v>
      </c>
      <c r="G36" s="10">
        <v>0</v>
      </c>
      <c r="H36" s="10">
        <v>0</v>
      </c>
      <c r="I36" s="10">
        <f>IFERROR(IF(SUMIF('تحليل مبيعات'!C:C, 'حركة المخزن'!B36, 'تحليل مبيعات'!H:H)=0,"",SUMIF('تحليل مبيعات'!C:C, 'حركة المخزن'!B36, 'تحليل مبيعات'!H:H)),"")</f>
        <v>4</v>
      </c>
      <c r="J36" s="10">
        <f>IFERROR(IF(SUMIF('تحليل مبيعات'!C:C, 'حركة المخزن'!B36, 'تحليل مبيعات'!L:L)=0,"",SUMIF('تحليل مبيعات'!C:C, 'حركة المخزن'!B36, 'تحليل مبيعات'!L:L)),"")</f>
        <v>8200</v>
      </c>
      <c r="K36" s="10">
        <f t="shared" si="1"/>
        <v>1</v>
      </c>
      <c r="L36" s="10">
        <f t="shared" si="2"/>
        <v>-7200</v>
      </c>
      <c r="M36" s="10">
        <v>5</v>
      </c>
      <c r="N36" s="10" t="str">
        <f t="shared" si="3"/>
        <v>أعادة الطلب</v>
      </c>
      <c r="O36" s="44">
        <v>75</v>
      </c>
      <c r="Q36" s="130" t="str">
        <v xml:space="preserve">طمبورة شداد باور </v>
      </c>
      <c r="R36" s="135">
        <f>SUMIFS('تحليل مبيعات'!H:H,'تحليل مبيعات'!C:C,'حركة المخزن'!Q36,'تحليل مبيعات'!W:W,'حركة المخزن'!$R$6)</f>
        <v>0</v>
      </c>
      <c r="S36" s="136">
        <f>SUMIFS('تحليل مبيعات'!H:H,'تحليل مبيعات'!C:C,'حركة المخزن'!Q36,'تحليل مبيعات'!W:W,'حركة المخزن'!$S$6)</f>
        <v>0</v>
      </c>
      <c r="T36" s="136">
        <f>SUMIFS('تحليل مبيعات'!H:H,'تحليل مبيعات'!C:C,'حركة المخزن'!Q36,'تحليل مبيعات'!W:W,'حركة المخزن'!$T$6)</f>
        <v>0</v>
      </c>
      <c r="U36" s="136">
        <f>SUMIFS('تحليل مبيعات'!H:H,'تحليل مبيعات'!C:C,'حركة المخزن'!Q36,'تحليل مبيعات'!W:W,'حركة المخزن'!$U$6)</f>
        <v>0</v>
      </c>
      <c r="V36" s="136">
        <f>SUMIFS('تحليل مبيعات'!H:H,'تحليل مبيعات'!C:C,'حركة المخزن'!Q36,'تحليل مبيعات'!W:W,'حركة المخزن'!$V$6)</f>
        <v>0</v>
      </c>
      <c r="W36" s="136">
        <f>SUMIFS('تحليل مبيعات'!H:H,'تحليل مبيعات'!C:C,'حركة المخزن'!Q36,'تحليل مبيعات'!W:W,'حركة المخزن'!$W$6)</f>
        <v>0</v>
      </c>
      <c r="X36" s="136">
        <f>SUMIFS('تحليل مبيعات'!H:H,'تحليل مبيعات'!C:C,'حركة المخزن'!Q36,'تحليل مبيعات'!W:W,'حركة المخزن'!$X$6)</f>
        <v>12</v>
      </c>
      <c r="Y36" s="136">
        <f>SUMIFS('تحليل مبيعات'!H:H,'تحليل مبيعات'!C:C,'حركة المخزن'!Q36,'تحليل مبيعات'!W:W,'حركة المخزن'!$Y$6)</f>
        <v>0</v>
      </c>
      <c r="Z36" s="136">
        <f>SUMIFS('تحليل مبيعات'!H:H,'تحليل مبيعات'!C:C,'حركة المخزن'!Q36,'تحليل مبيعات'!W:W,'حركة المخزن'!$Z$6)</f>
        <v>0</v>
      </c>
      <c r="AA36" s="136">
        <f>SUMIFS('تحليل مبيعات'!H:H,'تحليل مبيعات'!C:C,'حركة المخزن'!Q36,'تحليل مبيعات'!W:W,'حركة المخزن'!$AA$6)</f>
        <v>0</v>
      </c>
      <c r="AB36" s="136">
        <f>SUMIFS('تحليل مبيعات'!H:H,'تحليل مبيعات'!C:C,'حركة المخزن'!Q36,'تحليل مبيعات'!W:W,'حركة المخزن'!$AB$6)</f>
        <v>0</v>
      </c>
      <c r="AC36" s="137">
        <f>SUMIFS('تحليل مبيعات'!H:H,'تحليل مبيعات'!C:C,'حركة المخزن'!Q36,'تحليل مبيعات'!W:W,'حركة المخزن'!$AC$6)</f>
        <v>0</v>
      </c>
      <c r="AD36" s="134">
        <f t="shared" si="0"/>
        <v>12</v>
      </c>
    </row>
    <row r="37" spans="2:30" ht="16.2" thickBot="1" x14ac:dyDescent="0.35">
      <c r="B37" s="70" t="s">
        <v>26</v>
      </c>
      <c r="C37" s="10" t="s">
        <v>298</v>
      </c>
      <c r="D37" s="10" t="s">
        <v>204</v>
      </c>
      <c r="E37" s="10">
        <v>5</v>
      </c>
      <c r="F37" s="10">
        <v>1000</v>
      </c>
      <c r="G37" s="10">
        <v>0</v>
      </c>
      <c r="H37" s="10">
        <v>0</v>
      </c>
      <c r="I37" s="10">
        <f>IFERROR(IF(SUMIF('تحليل مبيعات'!C:C, 'حركة المخزن'!B37, 'تحليل مبيعات'!H:H)=0,"",SUMIF('تحليل مبيعات'!C:C, 'حركة المخزن'!B37, 'تحليل مبيعات'!H:H)),"")</f>
        <v>2</v>
      </c>
      <c r="J37" s="10">
        <f>IFERROR(IF(SUMIF('تحليل مبيعات'!C:C, 'حركة المخزن'!B37, 'تحليل مبيعات'!L:L)=0,"",SUMIF('تحليل مبيعات'!C:C, 'حركة المخزن'!B37, 'تحليل مبيعات'!L:L)),"")</f>
        <v>1180</v>
      </c>
      <c r="K37" s="10">
        <f t="shared" si="1"/>
        <v>3</v>
      </c>
      <c r="L37" s="10">
        <f t="shared" si="2"/>
        <v>-180</v>
      </c>
      <c r="M37" s="10">
        <v>5</v>
      </c>
      <c r="N37" s="10" t="str">
        <f t="shared" si="3"/>
        <v>أعادة الطلب</v>
      </c>
      <c r="O37" s="44">
        <v>80</v>
      </c>
      <c r="Q37" s="130" t="str">
        <v>طلمبة مياه يبانى</v>
      </c>
      <c r="R37" s="135">
        <f>SUMIFS('تحليل مبيعات'!H:H,'تحليل مبيعات'!C:C,'حركة المخزن'!Q37,'تحليل مبيعات'!W:W,'حركة المخزن'!$R$6)</f>
        <v>0</v>
      </c>
      <c r="S37" s="136">
        <f>SUMIFS('تحليل مبيعات'!H:H,'تحليل مبيعات'!C:C,'حركة المخزن'!Q37,'تحليل مبيعات'!W:W,'حركة المخزن'!$S$6)</f>
        <v>0</v>
      </c>
      <c r="T37" s="136">
        <f>SUMIFS('تحليل مبيعات'!H:H,'تحليل مبيعات'!C:C,'حركة المخزن'!Q37,'تحليل مبيعات'!W:W,'حركة المخزن'!$T$6)</f>
        <v>0</v>
      </c>
      <c r="U37" s="136">
        <f>SUMIFS('تحليل مبيعات'!H:H,'تحليل مبيعات'!C:C,'حركة المخزن'!Q37,'تحليل مبيعات'!W:W,'حركة المخزن'!$U$6)</f>
        <v>0</v>
      </c>
      <c r="V37" s="136">
        <f>SUMIFS('تحليل مبيعات'!H:H,'تحليل مبيعات'!C:C,'حركة المخزن'!Q37,'تحليل مبيعات'!W:W,'حركة المخزن'!$V$6)</f>
        <v>0</v>
      </c>
      <c r="W37" s="136">
        <f>SUMIFS('تحليل مبيعات'!H:H,'تحليل مبيعات'!C:C,'حركة المخزن'!Q37,'تحليل مبيعات'!W:W,'حركة المخزن'!$W$6)</f>
        <v>0</v>
      </c>
      <c r="X37" s="136">
        <f>SUMIFS('تحليل مبيعات'!H:H,'تحليل مبيعات'!C:C,'حركة المخزن'!Q37,'تحليل مبيعات'!W:W,'حركة المخزن'!$X$6)</f>
        <v>4</v>
      </c>
      <c r="Y37" s="136">
        <f>SUMIFS('تحليل مبيعات'!H:H,'تحليل مبيعات'!C:C,'حركة المخزن'!Q37,'تحليل مبيعات'!W:W,'حركة المخزن'!$Y$6)</f>
        <v>0</v>
      </c>
      <c r="Z37" s="136">
        <f>SUMIFS('تحليل مبيعات'!H:H,'تحليل مبيعات'!C:C,'حركة المخزن'!Q37,'تحليل مبيعات'!W:W,'حركة المخزن'!$Z$6)</f>
        <v>0</v>
      </c>
      <c r="AA37" s="136">
        <f>SUMIFS('تحليل مبيعات'!H:H,'تحليل مبيعات'!C:C,'حركة المخزن'!Q37,'تحليل مبيعات'!W:W,'حركة المخزن'!$AA$6)</f>
        <v>0</v>
      </c>
      <c r="AB37" s="136">
        <f>SUMIFS('تحليل مبيعات'!H:H,'تحليل مبيعات'!C:C,'حركة المخزن'!Q37,'تحليل مبيعات'!W:W,'حركة المخزن'!$AB$6)</f>
        <v>0</v>
      </c>
      <c r="AC37" s="137">
        <f>SUMIFS('تحليل مبيعات'!H:H,'تحليل مبيعات'!C:C,'حركة المخزن'!Q37,'تحليل مبيعات'!W:W,'حركة المخزن'!$AC$6)</f>
        <v>0</v>
      </c>
      <c r="AD37" s="134">
        <f t="shared" si="0"/>
        <v>4</v>
      </c>
    </row>
    <row r="38" spans="2:30" ht="16.2" thickBot="1" x14ac:dyDescent="0.35">
      <c r="B38" s="70" t="s">
        <v>27</v>
      </c>
      <c r="C38" s="10" t="s">
        <v>299</v>
      </c>
      <c r="D38" s="10" t="s">
        <v>204</v>
      </c>
      <c r="E38" s="10">
        <v>5</v>
      </c>
      <c r="F38" s="10">
        <v>1000</v>
      </c>
      <c r="G38" s="10">
        <v>0</v>
      </c>
      <c r="H38" s="10">
        <v>0</v>
      </c>
      <c r="I38" s="10">
        <f>IFERROR(IF(SUMIF('تحليل مبيعات'!C:C, 'حركة المخزن'!B38, 'تحليل مبيعات'!H:H)=0,"",SUMIF('تحليل مبيعات'!C:C, 'حركة المخزن'!B38, 'تحليل مبيعات'!H:H)),"")</f>
        <v>1</v>
      </c>
      <c r="J38" s="10">
        <f>IFERROR(IF(SUMIF('تحليل مبيعات'!C:C, 'حركة المخزن'!B38, 'تحليل مبيعات'!L:L)=0,"",SUMIF('تحليل مبيعات'!C:C, 'حركة المخزن'!B38, 'تحليل مبيعات'!L:L)),"")</f>
        <v>60</v>
      </c>
      <c r="K38" s="10">
        <f t="shared" si="1"/>
        <v>4</v>
      </c>
      <c r="L38" s="10">
        <f t="shared" si="2"/>
        <v>940</v>
      </c>
      <c r="M38" s="10">
        <v>5</v>
      </c>
      <c r="N38" s="10" t="str">
        <f t="shared" si="3"/>
        <v>أعادة الطلب</v>
      </c>
      <c r="O38" s="44">
        <v>85</v>
      </c>
      <c r="Q38" s="130" t="str">
        <v>اربه مياه</v>
      </c>
      <c r="R38" s="135">
        <f>SUMIFS('تحليل مبيعات'!H:H,'تحليل مبيعات'!C:C,'حركة المخزن'!Q38,'تحليل مبيعات'!W:W,'حركة المخزن'!$R$6)</f>
        <v>0</v>
      </c>
      <c r="S38" s="136">
        <f>SUMIFS('تحليل مبيعات'!H:H,'تحليل مبيعات'!C:C,'حركة المخزن'!Q38,'تحليل مبيعات'!W:W,'حركة المخزن'!$S$6)</f>
        <v>0</v>
      </c>
      <c r="T38" s="136">
        <f>SUMIFS('تحليل مبيعات'!H:H,'تحليل مبيعات'!C:C,'حركة المخزن'!Q38,'تحليل مبيعات'!W:W,'حركة المخزن'!$T$6)</f>
        <v>0</v>
      </c>
      <c r="U38" s="136">
        <f>SUMIFS('تحليل مبيعات'!H:H,'تحليل مبيعات'!C:C,'حركة المخزن'!Q38,'تحليل مبيعات'!W:W,'حركة المخزن'!$U$6)</f>
        <v>0</v>
      </c>
      <c r="V38" s="136">
        <f>SUMIFS('تحليل مبيعات'!H:H,'تحليل مبيعات'!C:C,'حركة المخزن'!Q38,'تحليل مبيعات'!W:W,'حركة المخزن'!$V$6)</f>
        <v>0</v>
      </c>
      <c r="W38" s="136">
        <f>SUMIFS('تحليل مبيعات'!H:H,'تحليل مبيعات'!C:C,'حركة المخزن'!Q38,'تحليل مبيعات'!W:W,'حركة المخزن'!$W$6)</f>
        <v>0</v>
      </c>
      <c r="X38" s="136">
        <f>SUMIFS('تحليل مبيعات'!H:H,'تحليل مبيعات'!C:C,'حركة المخزن'!Q38,'تحليل مبيعات'!W:W,'حركة المخزن'!$X$6)</f>
        <v>1</v>
      </c>
      <c r="Y38" s="136">
        <f>SUMIFS('تحليل مبيعات'!H:H,'تحليل مبيعات'!C:C,'حركة المخزن'!Q38,'تحليل مبيعات'!W:W,'حركة المخزن'!$Y$6)</f>
        <v>0</v>
      </c>
      <c r="Z38" s="136">
        <f>SUMIFS('تحليل مبيعات'!H:H,'تحليل مبيعات'!C:C,'حركة المخزن'!Q38,'تحليل مبيعات'!W:W,'حركة المخزن'!$Z$6)</f>
        <v>0</v>
      </c>
      <c r="AA38" s="136">
        <f>SUMIFS('تحليل مبيعات'!H:H,'تحليل مبيعات'!C:C,'حركة المخزن'!Q38,'تحليل مبيعات'!W:W,'حركة المخزن'!$AA$6)</f>
        <v>0</v>
      </c>
      <c r="AB38" s="136">
        <f>SUMIFS('تحليل مبيعات'!H:H,'تحليل مبيعات'!C:C,'حركة المخزن'!Q38,'تحليل مبيعات'!W:W,'حركة المخزن'!$AB$6)</f>
        <v>0</v>
      </c>
      <c r="AC38" s="137">
        <f>SUMIFS('تحليل مبيعات'!H:H,'تحليل مبيعات'!C:C,'حركة المخزن'!Q38,'تحليل مبيعات'!W:W,'حركة المخزن'!$AC$6)</f>
        <v>0</v>
      </c>
      <c r="AD38" s="134">
        <f t="shared" si="0"/>
        <v>1</v>
      </c>
    </row>
    <row r="39" spans="2:30" ht="16.2" thickBot="1" x14ac:dyDescent="0.35">
      <c r="B39" s="70" t="s">
        <v>28</v>
      </c>
      <c r="C39" s="10" t="s">
        <v>300</v>
      </c>
      <c r="D39" s="10" t="s">
        <v>204</v>
      </c>
      <c r="E39" s="10">
        <v>5</v>
      </c>
      <c r="F39" s="10">
        <v>1000</v>
      </c>
      <c r="G39" s="10">
        <v>0</v>
      </c>
      <c r="H39" s="10">
        <v>0</v>
      </c>
      <c r="I39" s="10">
        <f>IFERROR(IF(SUMIF('تحليل مبيعات'!C:C, 'حركة المخزن'!B39, 'تحليل مبيعات'!H:H)=0,"",SUMIF('تحليل مبيعات'!C:C, 'حركة المخزن'!B39, 'تحليل مبيعات'!H:H)),"")</f>
        <v>3</v>
      </c>
      <c r="J39" s="10">
        <f>IFERROR(IF(SUMIF('تحليل مبيعات'!C:C, 'حركة المخزن'!B39, 'تحليل مبيعات'!L:L)=0,"",SUMIF('تحليل مبيعات'!C:C, 'حركة المخزن'!B39, 'تحليل مبيعات'!L:L)),"")</f>
        <v>2180</v>
      </c>
      <c r="K39" s="10">
        <f t="shared" si="1"/>
        <v>2</v>
      </c>
      <c r="L39" s="10">
        <f t="shared" si="2"/>
        <v>-1180</v>
      </c>
      <c r="M39" s="10">
        <v>5</v>
      </c>
      <c r="N39" s="10" t="str">
        <f t="shared" si="3"/>
        <v>أعادة الطلب</v>
      </c>
      <c r="O39" s="44">
        <v>90</v>
      </c>
      <c r="Q39" s="130" t="str">
        <v>كوبات بوجهات اصلى</v>
      </c>
      <c r="R39" s="135">
        <f>SUMIFS('تحليل مبيعات'!H:H,'تحليل مبيعات'!C:C,'حركة المخزن'!Q39,'تحليل مبيعات'!W:W,'حركة المخزن'!$R$6)</f>
        <v>0</v>
      </c>
      <c r="S39" s="136">
        <f>SUMIFS('تحليل مبيعات'!H:H,'تحليل مبيعات'!C:C,'حركة المخزن'!Q39,'تحليل مبيعات'!W:W,'حركة المخزن'!$S$6)</f>
        <v>0</v>
      </c>
      <c r="T39" s="136">
        <f>SUMIFS('تحليل مبيعات'!H:H,'تحليل مبيعات'!C:C,'حركة المخزن'!Q39,'تحليل مبيعات'!W:W,'حركة المخزن'!$T$6)</f>
        <v>0</v>
      </c>
      <c r="U39" s="136">
        <f>SUMIFS('تحليل مبيعات'!H:H,'تحليل مبيعات'!C:C,'حركة المخزن'!Q39,'تحليل مبيعات'!W:W,'حركة المخزن'!$U$6)</f>
        <v>0</v>
      </c>
      <c r="V39" s="136">
        <f>SUMIFS('تحليل مبيعات'!H:H,'تحليل مبيعات'!C:C,'حركة المخزن'!Q39,'تحليل مبيعات'!W:W,'حركة المخزن'!$V$6)</f>
        <v>0</v>
      </c>
      <c r="W39" s="136">
        <f>SUMIFS('تحليل مبيعات'!H:H,'تحليل مبيعات'!C:C,'حركة المخزن'!Q39,'تحليل مبيعات'!W:W,'حركة المخزن'!$W$6)</f>
        <v>0</v>
      </c>
      <c r="X39" s="136">
        <f>SUMIFS('تحليل مبيعات'!H:H,'تحليل مبيعات'!C:C,'حركة المخزن'!Q39,'تحليل مبيعات'!W:W,'حركة المخزن'!$X$6)</f>
        <v>20</v>
      </c>
      <c r="Y39" s="136">
        <f>SUMIFS('تحليل مبيعات'!H:H,'تحليل مبيعات'!C:C,'حركة المخزن'!Q39,'تحليل مبيعات'!W:W,'حركة المخزن'!$Y$6)</f>
        <v>0</v>
      </c>
      <c r="Z39" s="136">
        <f>SUMIFS('تحليل مبيعات'!H:H,'تحليل مبيعات'!C:C,'حركة المخزن'!Q39,'تحليل مبيعات'!W:W,'حركة المخزن'!$Z$6)</f>
        <v>0</v>
      </c>
      <c r="AA39" s="136">
        <f>SUMIFS('تحليل مبيعات'!H:H,'تحليل مبيعات'!C:C,'حركة المخزن'!Q39,'تحليل مبيعات'!W:W,'حركة المخزن'!$AA$6)</f>
        <v>0</v>
      </c>
      <c r="AB39" s="136">
        <f>SUMIFS('تحليل مبيعات'!H:H,'تحليل مبيعات'!C:C,'حركة المخزن'!Q39,'تحليل مبيعات'!W:W,'حركة المخزن'!$AB$6)</f>
        <v>0</v>
      </c>
      <c r="AC39" s="137">
        <f>SUMIFS('تحليل مبيعات'!H:H,'تحليل مبيعات'!C:C,'حركة المخزن'!Q39,'تحليل مبيعات'!W:W,'حركة المخزن'!$AC$6)</f>
        <v>0</v>
      </c>
      <c r="AD39" s="134">
        <f t="shared" ref="AD39:AD70" si="4">SUM(R39:AC39)</f>
        <v>20</v>
      </c>
    </row>
    <row r="40" spans="2:30" ht="16.2" thickBot="1" x14ac:dyDescent="0.35">
      <c r="B40" s="70" t="s">
        <v>37</v>
      </c>
      <c r="C40" s="10" t="s">
        <v>301</v>
      </c>
      <c r="D40" s="10" t="s">
        <v>204</v>
      </c>
      <c r="E40" s="10">
        <v>5</v>
      </c>
      <c r="F40" s="10">
        <v>1000</v>
      </c>
      <c r="G40" s="10">
        <v>0</v>
      </c>
      <c r="H40" s="10">
        <v>0</v>
      </c>
      <c r="I40" s="10">
        <f>IFERROR(IF(SUMIF('تحليل مبيعات'!C:C, 'حركة المخزن'!B40, 'تحليل مبيعات'!H:H)=0,"",SUMIF('تحليل مبيعات'!C:C, 'حركة المخزن'!B40, 'تحليل مبيعات'!H:H)),"")</f>
        <v>1</v>
      </c>
      <c r="J40" s="10">
        <f>IFERROR(IF(SUMIF('تحليل مبيعات'!C:C, 'حركة المخزن'!B40, 'تحليل مبيعات'!L:L)=0,"",SUMIF('تحليل مبيعات'!C:C, 'حركة المخزن'!B40, 'تحليل مبيعات'!L:L)),"")</f>
        <v>250</v>
      </c>
      <c r="K40" s="10">
        <f t="shared" si="1"/>
        <v>4</v>
      </c>
      <c r="L40" s="10">
        <f t="shared" si="2"/>
        <v>750</v>
      </c>
      <c r="M40" s="10">
        <v>5</v>
      </c>
      <c r="N40" s="10" t="str">
        <f t="shared" si="3"/>
        <v>أعادة الطلب</v>
      </c>
      <c r="O40" s="44">
        <v>95</v>
      </c>
      <c r="Q40" s="130" t="str">
        <v>بوجيه تخين سن طويل/ كارت</v>
      </c>
      <c r="R40" s="135">
        <f>SUMIFS('تحليل مبيعات'!H:H,'تحليل مبيعات'!C:C,'حركة المخزن'!Q40,'تحليل مبيعات'!W:W,'حركة المخزن'!$R$6)</f>
        <v>0</v>
      </c>
      <c r="S40" s="136">
        <f>SUMIFS('تحليل مبيعات'!H:H,'تحليل مبيعات'!C:C,'حركة المخزن'!Q40,'تحليل مبيعات'!W:W,'حركة المخزن'!$S$6)</f>
        <v>0</v>
      </c>
      <c r="T40" s="136">
        <f>SUMIFS('تحليل مبيعات'!H:H,'تحليل مبيعات'!C:C,'حركة المخزن'!Q40,'تحليل مبيعات'!W:W,'حركة المخزن'!$T$6)</f>
        <v>0</v>
      </c>
      <c r="U40" s="136">
        <f>SUMIFS('تحليل مبيعات'!H:H,'تحليل مبيعات'!C:C,'حركة المخزن'!Q40,'تحليل مبيعات'!W:W,'حركة المخزن'!$U$6)</f>
        <v>0</v>
      </c>
      <c r="V40" s="136">
        <f>SUMIFS('تحليل مبيعات'!H:H,'تحليل مبيعات'!C:C,'حركة المخزن'!Q40,'تحليل مبيعات'!W:W,'حركة المخزن'!$V$6)</f>
        <v>0</v>
      </c>
      <c r="W40" s="136">
        <f>SUMIFS('تحليل مبيعات'!H:H,'تحليل مبيعات'!C:C,'حركة المخزن'!Q40,'تحليل مبيعات'!W:W,'حركة المخزن'!$W$6)</f>
        <v>0</v>
      </c>
      <c r="X40" s="136">
        <f>SUMIFS('تحليل مبيعات'!H:H,'تحليل مبيعات'!C:C,'حركة المخزن'!Q40,'تحليل مبيعات'!W:W,'حركة المخزن'!$X$6)</f>
        <v>44</v>
      </c>
      <c r="Y40" s="136">
        <f>SUMIFS('تحليل مبيعات'!H:H,'تحليل مبيعات'!C:C,'حركة المخزن'!Q40,'تحليل مبيعات'!W:W,'حركة المخزن'!$Y$6)</f>
        <v>0</v>
      </c>
      <c r="Z40" s="136">
        <f>SUMIFS('تحليل مبيعات'!H:H,'تحليل مبيعات'!C:C,'حركة المخزن'!Q40,'تحليل مبيعات'!W:W,'حركة المخزن'!$Z$6)</f>
        <v>0</v>
      </c>
      <c r="AA40" s="136">
        <f>SUMIFS('تحليل مبيعات'!H:H,'تحليل مبيعات'!C:C,'حركة المخزن'!Q40,'تحليل مبيعات'!W:W,'حركة المخزن'!$AA$6)</f>
        <v>0</v>
      </c>
      <c r="AB40" s="136">
        <f>SUMIFS('تحليل مبيعات'!H:H,'تحليل مبيعات'!C:C,'حركة المخزن'!Q40,'تحليل مبيعات'!W:W,'حركة المخزن'!$AB$6)</f>
        <v>0</v>
      </c>
      <c r="AC40" s="137">
        <f>SUMIFS('تحليل مبيعات'!H:H,'تحليل مبيعات'!C:C,'حركة المخزن'!Q40,'تحليل مبيعات'!W:W,'حركة المخزن'!$AC$6)</f>
        <v>0</v>
      </c>
      <c r="AD40" s="134">
        <f t="shared" si="4"/>
        <v>44</v>
      </c>
    </row>
    <row r="41" spans="2:30" ht="16.2" thickBot="1" x14ac:dyDescent="0.35">
      <c r="B41" s="70" t="s">
        <v>39</v>
      </c>
      <c r="C41" s="10" t="s">
        <v>302</v>
      </c>
      <c r="D41" s="10" t="s">
        <v>204</v>
      </c>
      <c r="E41" s="10">
        <v>5</v>
      </c>
      <c r="F41" s="10">
        <v>1000</v>
      </c>
      <c r="G41" s="10">
        <v>0</v>
      </c>
      <c r="H41" s="10">
        <v>0</v>
      </c>
      <c r="I41" s="10">
        <f>IFERROR(IF(SUMIF('تحليل مبيعات'!C:C, 'حركة المخزن'!B41, 'تحليل مبيعات'!H:H)=0,"",SUMIF('تحليل مبيعات'!C:C, 'حركة المخزن'!B41, 'تحليل مبيعات'!H:H)),"")</f>
        <v>4</v>
      </c>
      <c r="J41" s="10">
        <f>IFERROR(IF(SUMIF('تحليل مبيعات'!C:C, 'حركة المخزن'!B41, 'تحليل مبيعات'!L:L)=0,"",SUMIF('تحليل مبيعات'!C:C, 'حركة المخزن'!B41, 'تحليل مبيعات'!L:L)),"")</f>
        <v>1100</v>
      </c>
      <c r="K41" s="10">
        <f t="shared" si="1"/>
        <v>1</v>
      </c>
      <c r="L41" s="10">
        <f t="shared" si="2"/>
        <v>-100</v>
      </c>
      <c r="M41" s="10">
        <v>5</v>
      </c>
      <c r="N41" s="10" t="str">
        <f t="shared" si="3"/>
        <v>أعادة الطلب</v>
      </c>
      <c r="O41" s="44">
        <v>100</v>
      </c>
      <c r="Q41" s="130" t="str">
        <v xml:space="preserve"> NOZA ECO 15/185/65 كاوتش سومو اكينا صينى</v>
      </c>
      <c r="R41" s="135">
        <f>SUMIFS('تحليل مبيعات'!H:H,'تحليل مبيعات'!C:C,'حركة المخزن'!Q41,'تحليل مبيعات'!W:W,'حركة المخزن'!$R$6)</f>
        <v>0</v>
      </c>
      <c r="S41" s="136">
        <f>SUMIFS('تحليل مبيعات'!H:H,'تحليل مبيعات'!C:C,'حركة المخزن'!Q41,'تحليل مبيعات'!W:W,'حركة المخزن'!$S$6)</f>
        <v>0</v>
      </c>
      <c r="T41" s="136">
        <f>SUMIFS('تحليل مبيعات'!H:H,'تحليل مبيعات'!C:C,'حركة المخزن'!Q41,'تحليل مبيعات'!W:W,'حركة المخزن'!$T$6)</f>
        <v>0</v>
      </c>
      <c r="U41" s="136">
        <f>SUMIFS('تحليل مبيعات'!H:H,'تحليل مبيعات'!C:C,'حركة المخزن'!Q41,'تحليل مبيعات'!W:W,'حركة المخزن'!$U$6)</f>
        <v>0</v>
      </c>
      <c r="V41" s="136">
        <f>SUMIFS('تحليل مبيعات'!H:H,'تحليل مبيعات'!C:C,'حركة المخزن'!Q41,'تحليل مبيعات'!W:W,'حركة المخزن'!$V$6)</f>
        <v>0</v>
      </c>
      <c r="W41" s="136">
        <f>SUMIFS('تحليل مبيعات'!H:H,'تحليل مبيعات'!C:C,'حركة المخزن'!Q41,'تحليل مبيعات'!W:W,'حركة المخزن'!$W$6)</f>
        <v>0</v>
      </c>
      <c r="X41" s="136">
        <f>SUMIFS('تحليل مبيعات'!H:H,'تحليل مبيعات'!C:C,'حركة المخزن'!Q41,'تحليل مبيعات'!W:W,'حركة المخزن'!$X$6)</f>
        <v>6</v>
      </c>
      <c r="Y41" s="136">
        <f>SUMIFS('تحليل مبيعات'!H:H,'تحليل مبيعات'!C:C,'حركة المخزن'!Q41,'تحليل مبيعات'!W:W,'حركة المخزن'!$Y$6)</f>
        <v>0</v>
      </c>
      <c r="Z41" s="136">
        <f>SUMIFS('تحليل مبيعات'!H:H,'تحليل مبيعات'!C:C,'حركة المخزن'!Q41,'تحليل مبيعات'!W:W,'حركة المخزن'!$Z$6)</f>
        <v>0</v>
      </c>
      <c r="AA41" s="136">
        <f>SUMIFS('تحليل مبيعات'!H:H,'تحليل مبيعات'!C:C,'حركة المخزن'!Q41,'تحليل مبيعات'!W:W,'حركة المخزن'!$AA$6)</f>
        <v>0</v>
      </c>
      <c r="AB41" s="136">
        <f>SUMIFS('تحليل مبيعات'!H:H,'تحليل مبيعات'!C:C,'حركة المخزن'!Q41,'تحليل مبيعات'!W:W,'حركة المخزن'!$AB$6)</f>
        <v>0</v>
      </c>
      <c r="AC41" s="137">
        <f>SUMIFS('تحليل مبيعات'!H:H,'تحليل مبيعات'!C:C,'حركة المخزن'!Q41,'تحليل مبيعات'!W:W,'حركة المخزن'!$AC$6)</f>
        <v>0</v>
      </c>
      <c r="AD41" s="134">
        <f t="shared" si="4"/>
        <v>6</v>
      </c>
    </row>
    <row r="42" spans="2:30" ht="16.2" thickBot="1" x14ac:dyDescent="0.35">
      <c r="B42" s="70" t="s">
        <v>44</v>
      </c>
      <c r="C42" s="10" t="s">
        <v>303</v>
      </c>
      <c r="D42" s="10" t="s">
        <v>204</v>
      </c>
      <c r="E42" s="10">
        <v>5</v>
      </c>
      <c r="F42" s="10">
        <v>1000</v>
      </c>
      <c r="G42" s="10">
        <v>0</v>
      </c>
      <c r="H42" s="10">
        <v>0</v>
      </c>
      <c r="I42" s="10">
        <f>IFERROR(IF(SUMIF('تحليل مبيعات'!C:C, 'حركة المخزن'!B42, 'تحليل مبيعات'!H:H)=0,"",SUMIF('تحليل مبيعات'!C:C, 'حركة المخزن'!B42, 'تحليل مبيعات'!H:H)),"")</f>
        <v>1</v>
      </c>
      <c r="J42" s="10">
        <f>IFERROR(IF(SUMIF('تحليل مبيعات'!C:C, 'حركة المخزن'!B42, 'تحليل مبيعات'!L:L)=0,"",SUMIF('تحليل مبيعات'!C:C, 'حركة المخزن'!B42, 'تحليل مبيعات'!L:L)),"")</f>
        <v>350</v>
      </c>
      <c r="K42" s="10">
        <f t="shared" si="1"/>
        <v>4</v>
      </c>
      <c r="L42" s="10">
        <f t="shared" si="2"/>
        <v>650</v>
      </c>
      <c r="M42" s="10">
        <v>5</v>
      </c>
      <c r="N42" s="10" t="str">
        <f t="shared" si="3"/>
        <v>أعادة الطلب</v>
      </c>
      <c r="O42" s="44">
        <v>105</v>
      </c>
      <c r="Q42" s="130" t="str">
        <v>فيتور خط ابيض 14/195 عريض</v>
      </c>
      <c r="R42" s="135">
        <f>SUMIFS('تحليل مبيعات'!H:H,'تحليل مبيعات'!C:C,'حركة المخزن'!Q42,'تحليل مبيعات'!W:W,'حركة المخزن'!$R$6)</f>
        <v>0</v>
      </c>
      <c r="S42" s="136">
        <f>SUMIFS('تحليل مبيعات'!H:H,'تحليل مبيعات'!C:C,'حركة المخزن'!Q42,'تحليل مبيعات'!W:W,'حركة المخزن'!$S$6)</f>
        <v>0</v>
      </c>
      <c r="T42" s="136">
        <f>SUMIFS('تحليل مبيعات'!H:H,'تحليل مبيعات'!C:C,'حركة المخزن'!Q42,'تحليل مبيعات'!W:W,'حركة المخزن'!$T$6)</f>
        <v>0</v>
      </c>
      <c r="U42" s="136">
        <f>SUMIFS('تحليل مبيعات'!H:H,'تحليل مبيعات'!C:C,'حركة المخزن'!Q42,'تحليل مبيعات'!W:W,'حركة المخزن'!$U$6)</f>
        <v>0</v>
      </c>
      <c r="V42" s="136">
        <f>SUMIFS('تحليل مبيعات'!H:H,'تحليل مبيعات'!C:C,'حركة المخزن'!Q42,'تحليل مبيعات'!W:W,'حركة المخزن'!$V$6)</f>
        <v>0</v>
      </c>
      <c r="W42" s="136">
        <f>SUMIFS('تحليل مبيعات'!H:H,'تحليل مبيعات'!C:C,'حركة المخزن'!Q42,'تحليل مبيعات'!W:W,'حركة المخزن'!$W$6)</f>
        <v>0</v>
      </c>
      <c r="X42" s="136">
        <f>SUMIFS('تحليل مبيعات'!H:H,'تحليل مبيعات'!C:C,'حركة المخزن'!Q42,'تحليل مبيعات'!W:W,'حركة المخزن'!$X$6)</f>
        <v>13</v>
      </c>
      <c r="Y42" s="136">
        <f>SUMIFS('تحليل مبيعات'!H:H,'تحليل مبيعات'!C:C,'حركة المخزن'!Q42,'تحليل مبيعات'!W:W,'حركة المخزن'!$Y$6)</f>
        <v>0</v>
      </c>
      <c r="Z42" s="136">
        <f>SUMIFS('تحليل مبيعات'!H:H,'تحليل مبيعات'!C:C,'حركة المخزن'!Q42,'تحليل مبيعات'!W:W,'حركة المخزن'!$Z$6)</f>
        <v>0</v>
      </c>
      <c r="AA42" s="136">
        <f>SUMIFS('تحليل مبيعات'!H:H,'تحليل مبيعات'!C:C,'حركة المخزن'!Q42,'تحليل مبيعات'!W:W,'حركة المخزن'!$AA$6)</f>
        <v>0</v>
      </c>
      <c r="AB42" s="136">
        <f>SUMIFS('تحليل مبيعات'!H:H,'تحليل مبيعات'!C:C,'حركة المخزن'!Q42,'تحليل مبيعات'!W:W,'حركة المخزن'!$AB$6)</f>
        <v>0</v>
      </c>
      <c r="AC42" s="137">
        <f>SUMIFS('تحليل مبيعات'!H:H,'تحليل مبيعات'!C:C,'حركة المخزن'!Q42,'تحليل مبيعات'!W:W,'حركة المخزن'!$AC$6)</f>
        <v>0</v>
      </c>
      <c r="AD42" s="134">
        <f t="shared" si="4"/>
        <v>13</v>
      </c>
    </row>
    <row r="43" spans="2:30" ht="16.2" thickBot="1" x14ac:dyDescent="0.35">
      <c r="B43" s="70" t="s">
        <v>43</v>
      </c>
      <c r="C43" s="10" t="s">
        <v>304</v>
      </c>
      <c r="D43" s="10" t="s">
        <v>204</v>
      </c>
      <c r="E43" s="10">
        <v>5</v>
      </c>
      <c r="F43" s="10">
        <v>1000</v>
      </c>
      <c r="G43" s="10">
        <v>0</v>
      </c>
      <c r="H43" s="10">
        <v>0</v>
      </c>
      <c r="I43" s="10">
        <f>IFERROR(IF(SUMIF('تحليل مبيعات'!C:C, 'حركة المخزن'!B43, 'تحليل مبيعات'!H:H)=0,"",SUMIF('تحليل مبيعات'!C:C, 'حركة المخزن'!B43, 'تحليل مبيعات'!H:H)),"")</f>
        <v>12</v>
      </c>
      <c r="J43" s="10">
        <f>IFERROR(IF(SUMIF('تحليل مبيعات'!C:C, 'حركة المخزن'!B43, 'تحليل مبيعات'!L:L)=0,"",SUMIF('تحليل مبيعات'!C:C, 'حركة المخزن'!B43, 'تحليل مبيعات'!L:L)),"")</f>
        <v>2040</v>
      </c>
      <c r="K43" s="10">
        <f t="shared" si="1"/>
        <v>-7</v>
      </c>
      <c r="L43" s="10">
        <f t="shared" si="2"/>
        <v>-1040</v>
      </c>
      <c r="M43" s="10">
        <v>5</v>
      </c>
      <c r="N43" s="10" t="str">
        <f t="shared" si="3"/>
        <v>أعادة الطلب</v>
      </c>
      <c r="O43" s="44">
        <v>110</v>
      </c>
      <c r="Q43" s="130" t="str">
        <v>طقم شنبر تويوتا علبة حمراء</v>
      </c>
      <c r="R43" s="135">
        <f>SUMIFS('تحليل مبيعات'!H:H,'تحليل مبيعات'!C:C,'حركة المخزن'!Q43,'تحليل مبيعات'!W:W,'حركة المخزن'!$R$6)</f>
        <v>0</v>
      </c>
      <c r="S43" s="136">
        <f>SUMIFS('تحليل مبيعات'!H:H,'تحليل مبيعات'!C:C,'حركة المخزن'!Q43,'تحليل مبيعات'!W:W,'حركة المخزن'!$S$6)</f>
        <v>0</v>
      </c>
      <c r="T43" s="136">
        <f>SUMIFS('تحليل مبيعات'!H:H,'تحليل مبيعات'!C:C,'حركة المخزن'!Q43,'تحليل مبيعات'!W:W,'حركة المخزن'!$T$6)</f>
        <v>0</v>
      </c>
      <c r="U43" s="136">
        <f>SUMIFS('تحليل مبيعات'!H:H,'تحليل مبيعات'!C:C,'حركة المخزن'!Q43,'تحليل مبيعات'!W:W,'حركة المخزن'!$U$6)</f>
        <v>0</v>
      </c>
      <c r="V43" s="136">
        <f>SUMIFS('تحليل مبيعات'!H:H,'تحليل مبيعات'!C:C,'حركة المخزن'!Q43,'تحليل مبيعات'!W:W,'حركة المخزن'!$V$6)</f>
        <v>0</v>
      </c>
      <c r="W43" s="136">
        <f>SUMIFS('تحليل مبيعات'!H:H,'تحليل مبيعات'!C:C,'حركة المخزن'!Q43,'تحليل مبيعات'!W:W,'حركة المخزن'!$W$6)</f>
        <v>0</v>
      </c>
      <c r="X43" s="136">
        <f>SUMIFS('تحليل مبيعات'!H:H,'تحليل مبيعات'!C:C,'حركة المخزن'!Q43,'تحليل مبيعات'!W:W,'حركة المخزن'!$X$6)</f>
        <v>3</v>
      </c>
      <c r="Y43" s="136">
        <f>SUMIFS('تحليل مبيعات'!H:H,'تحليل مبيعات'!C:C,'حركة المخزن'!Q43,'تحليل مبيعات'!W:W,'حركة المخزن'!$Y$6)</f>
        <v>0</v>
      </c>
      <c r="Z43" s="136">
        <f>SUMIFS('تحليل مبيعات'!H:H,'تحليل مبيعات'!C:C,'حركة المخزن'!Q43,'تحليل مبيعات'!W:W,'حركة المخزن'!$Z$6)</f>
        <v>0</v>
      </c>
      <c r="AA43" s="136">
        <f>SUMIFS('تحليل مبيعات'!H:H,'تحليل مبيعات'!C:C,'حركة المخزن'!Q43,'تحليل مبيعات'!W:W,'حركة المخزن'!$AA$6)</f>
        <v>0</v>
      </c>
      <c r="AB43" s="136">
        <f>SUMIFS('تحليل مبيعات'!H:H,'تحليل مبيعات'!C:C,'حركة المخزن'!Q43,'تحليل مبيعات'!W:W,'حركة المخزن'!$AB$6)</f>
        <v>0</v>
      </c>
      <c r="AC43" s="137">
        <f>SUMIFS('تحليل مبيعات'!H:H,'تحليل مبيعات'!C:C,'حركة المخزن'!Q43,'تحليل مبيعات'!W:W,'حركة المخزن'!$AC$6)</f>
        <v>0</v>
      </c>
      <c r="AD43" s="134">
        <f t="shared" si="4"/>
        <v>3</v>
      </c>
    </row>
    <row r="44" spans="2:30" ht="16.2" thickBot="1" x14ac:dyDescent="0.35">
      <c r="B44" s="70" t="s">
        <v>45</v>
      </c>
      <c r="C44" s="10" t="s">
        <v>305</v>
      </c>
      <c r="D44" s="10" t="s">
        <v>204</v>
      </c>
      <c r="E44" s="10">
        <v>5</v>
      </c>
      <c r="F44" s="10">
        <v>1000</v>
      </c>
      <c r="G44" s="10">
        <v>0</v>
      </c>
      <c r="H44" s="10">
        <v>0</v>
      </c>
      <c r="I44" s="10">
        <f>IFERROR(IF(SUMIF('تحليل مبيعات'!C:C, 'حركة المخزن'!B44, 'تحليل مبيعات'!H:H)=0,"",SUMIF('تحليل مبيعات'!C:C, 'حركة المخزن'!B44, 'تحليل مبيعات'!H:H)),"")</f>
        <v>4</v>
      </c>
      <c r="J44" s="10">
        <f>IFERROR(IF(SUMIF('تحليل مبيعات'!C:C, 'حركة المخزن'!B44, 'تحليل مبيعات'!L:L)=0,"",SUMIF('تحليل مبيعات'!C:C, 'حركة المخزن'!B44, 'تحليل مبيعات'!L:L)),"")</f>
        <v>2875</v>
      </c>
      <c r="K44" s="10">
        <f t="shared" si="1"/>
        <v>1</v>
      </c>
      <c r="L44" s="10">
        <f t="shared" si="2"/>
        <v>-1875</v>
      </c>
      <c r="M44" s="10">
        <v>5</v>
      </c>
      <c r="N44" s="10" t="str">
        <f t="shared" si="3"/>
        <v>أعادة الطلب</v>
      </c>
      <c r="O44" s="44">
        <v>115</v>
      </c>
      <c r="Q44" s="130" t="str">
        <v>جلد صباب لف</v>
      </c>
      <c r="R44" s="135">
        <f>SUMIFS('تحليل مبيعات'!H:H,'تحليل مبيعات'!C:C,'حركة المخزن'!Q44,'تحليل مبيعات'!W:W,'حركة المخزن'!$R$6)</f>
        <v>0</v>
      </c>
      <c r="S44" s="136">
        <f>SUMIFS('تحليل مبيعات'!H:H,'تحليل مبيعات'!C:C,'حركة المخزن'!Q44,'تحليل مبيعات'!W:W,'حركة المخزن'!$S$6)</f>
        <v>0</v>
      </c>
      <c r="T44" s="136">
        <f>SUMIFS('تحليل مبيعات'!H:H,'تحليل مبيعات'!C:C,'حركة المخزن'!Q44,'تحليل مبيعات'!W:W,'حركة المخزن'!$T$6)</f>
        <v>0</v>
      </c>
      <c r="U44" s="136">
        <f>SUMIFS('تحليل مبيعات'!H:H,'تحليل مبيعات'!C:C,'حركة المخزن'!Q44,'تحليل مبيعات'!W:W,'حركة المخزن'!$U$6)</f>
        <v>0</v>
      </c>
      <c r="V44" s="136">
        <f>SUMIFS('تحليل مبيعات'!H:H,'تحليل مبيعات'!C:C,'حركة المخزن'!Q44,'تحليل مبيعات'!W:W,'حركة المخزن'!$V$6)</f>
        <v>0</v>
      </c>
      <c r="W44" s="136">
        <f>SUMIFS('تحليل مبيعات'!H:H,'تحليل مبيعات'!C:C,'حركة المخزن'!Q44,'تحليل مبيعات'!W:W,'حركة المخزن'!$W$6)</f>
        <v>0</v>
      </c>
      <c r="X44" s="136">
        <f>SUMIFS('تحليل مبيعات'!H:H,'تحليل مبيعات'!C:C,'حركة المخزن'!Q44,'تحليل مبيعات'!W:W,'حركة المخزن'!$X$6)</f>
        <v>1</v>
      </c>
      <c r="Y44" s="136">
        <f>SUMIFS('تحليل مبيعات'!H:H,'تحليل مبيعات'!C:C,'حركة المخزن'!Q44,'تحليل مبيعات'!W:W,'حركة المخزن'!$Y$6)</f>
        <v>0</v>
      </c>
      <c r="Z44" s="136">
        <f>SUMIFS('تحليل مبيعات'!H:H,'تحليل مبيعات'!C:C,'حركة المخزن'!Q44,'تحليل مبيعات'!W:W,'حركة المخزن'!$Z$6)</f>
        <v>0</v>
      </c>
      <c r="AA44" s="136">
        <f>SUMIFS('تحليل مبيعات'!H:H,'تحليل مبيعات'!C:C,'حركة المخزن'!Q44,'تحليل مبيعات'!W:W,'حركة المخزن'!$AA$6)</f>
        <v>0</v>
      </c>
      <c r="AB44" s="136">
        <f>SUMIFS('تحليل مبيعات'!H:H,'تحليل مبيعات'!C:C,'حركة المخزن'!Q44,'تحليل مبيعات'!W:W,'حركة المخزن'!$AB$6)</f>
        <v>0</v>
      </c>
      <c r="AC44" s="137">
        <f>SUMIFS('تحليل مبيعات'!H:H,'تحليل مبيعات'!C:C,'حركة المخزن'!Q44,'تحليل مبيعات'!W:W,'حركة المخزن'!$AC$6)</f>
        <v>0</v>
      </c>
      <c r="AD44" s="134">
        <f t="shared" si="4"/>
        <v>1</v>
      </c>
    </row>
    <row r="45" spans="2:30" ht="16.2" thickBot="1" x14ac:dyDescent="0.35">
      <c r="B45" s="70" t="s">
        <v>46</v>
      </c>
      <c r="C45" s="10" t="s">
        <v>306</v>
      </c>
      <c r="D45" s="10" t="s">
        <v>204</v>
      </c>
      <c r="E45" s="10">
        <v>5</v>
      </c>
      <c r="F45" s="10">
        <v>1000</v>
      </c>
      <c r="G45" s="10">
        <v>0</v>
      </c>
      <c r="H45" s="10">
        <v>0</v>
      </c>
      <c r="I45" s="10">
        <f>IFERROR(IF(SUMIF('تحليل مبيعات'!C:C, 'حركة المخزن'!B45, 'تحليل مبيعات'!H:H)=0,"",SUMIF('تحليل مبيعات'!C:C, 'حركة المخزن'!B45, 'تحليل مبيعات'!H:H)),"")</f>
        <v>1</v>
      </c>
      <c r="J45" s="10">
        <f>IFERROR(IF(SUMIF('تحليل مبيعات'!C:C, 'حركة المخزن'!B45, 'تحليل مبيعات'!L:L)=0,"",SUMIF('تحليل مبيعات'!C:C, 'حركة المخزن'!B45, 'تحليل مبيعات'!L:L)),"")</f>
        <v>200</v>
      </c>
      <c r="K45" s="10">
        <f t="shared" si="1"/>
        <v>4</v>
      </c>
      <c r="L45" s="10">
        <f t="shared" si="2"/>
        <v>800</v>
      </c>
      <c r="M45" s="10">
        <v>5</v>
      </c>
      <c r="N45" s="10" t="str">
        <f t="shared" si="3"/>
        <v>أعادة الطلب</v>
      </c>
      <c r="O45" s="44">
        <v>120</v>
      </c>
      <c r="Q45" s="130" t="str">
        <v>سير ديانمو</v>
      </c>
      <c r="R45" s="135">
        <f>SUMIFS('تحليل مبيعات'!H:H,'تحليل مبيعات'!C:C,'حركة المخزن'!Q45,'تحليل مبيعات'!W:W,'حركة المخزن'!$R$6)</f>
        <v>0</v>
      </c>
      <c r="S45" s="136">
        <f>SUMIFS('تحليل مبيعات'!H:H,'تحليل مبيعات'!C:C,'حركة المخزن'!Q45,'تحليل مبيعات'!W:W,'حركة المخزن'!$S$6)</f>
        <v>0</v>
      </c>
      <c r="T45" s="136">
        <f>SUMIFS('تحليل مبيعات'!H:H,'تحليل مبيعات'!C:C,'حركة المخزن'!Q45,'تحليل مبيعات'!W:W,'حركة المخزن'!$T$6)</f>
        <v>0</v>
      </c>
      <c r="U45" s="136">
        <f>SUMIFS('تحليل مبيعات'!H:H,'تحليل مبيعات'!C:C,'حركة المخزن'!Q45,'تحليل مبيعات'!W:W,'حركة المخزن'!$U$6)</f>
        <v>0</v>
      </c>
      <c r="V45" s="136">
        <f>SUMIFS('تحليل مبيعات'!H:H,'تحليل مبيعات'!C:C,'حركة المخزن'!Q45,'تحليل مبيعات'!W:W,'حركة المخزن'!$V$6)</f>
        <v>0</v>
      </c>
      <c r="W45" s="136">
        <f>SUMIFS('تحليل مبيعات'!H:H,'تحليل مبيعات'!C:C,'حركة المخزن'!Q45,'تحليل مبيعات'!W:W,'حركة المخزن'!$W$6)</f>
        <v>0</v>
      </c>
      <c r="X45" s="136">
        <f>SUMIFS('تحليل مبيعات'!H:H,'تحليل مبيعات'!C:C,'حركة المخزن'!Q45,'تحليل مبيعات'!W:W,'حركة المخزن'!$X$6)</f>
        <v>9</v>
      </c>
      <c r="Y45" s="136">
        <f>SUMIFS('تحليل مبيعات'!H:H,'تحليل مبيعات'!C:C,'حركة المخزن'!Q45,'تحليل مبيعات'!W:W,'حركة المخزن'!$Y$6)</f>
        <v>0</v>
      </c>
      <c r="Z45" s="136">
        <f>SUMIFS('تحليل مبيعات'!H:H,'تحليل مبيعات'!C:C,'حركة المخزن'!Q45,'تحليل مبيعات'!W:W,'حركة المخزن'!$Z$6)</f>
        <v>0</v>
      </c>
      <c r="AA45" s="136">
        <f>SUMIFS('تحليل مبيعات'!H:H,'تحليل مبيعات'!C:C,'حركة المخزن'!Q45,'تحليل مبيعات'!W:W,'حركة المخزن'!$AA$6)</f>
        <v>0</v>
      </c>
      <c r="AB45" s="136">
        <f>SUMIFS('تحليل مبيعات'!H:H,'تحليل مبيعات'!C:C,'حركة المخزن'!Q45,'تحليل مبيعات'!W:W,'حركة المخزن'!$AB$6)</f>
        <v>0</v>
      </c>
      <c r="AC45" s="137">
        <f>SUMIFS('تحليل مبيعات'!H:H,'تحليل مبيعات'!C:C,'حركة المخزن'!Q45,'تحليل مبيعات'!W:W,'حركة المخزن'!$AC$6)</f>
        <v>0</v>
      </c>
      <c r="AD45" s="134">
        <f t="shared" si="4"/>
        <v>9</v>
      </c>
    </row>
    <row r="46" spans="2:30" ht="16.2" thickBot="1" x14ac:dyDescent="0.35">
      <c r="B46" s="70" t="s">
        <v>48</v>
      </c>
      <c r="C46" s="10" t="s">
        <v>307</v>
      </c>
      <c r="D46" s="10" t="s">
        <v>204</v>
      </c>
      <c r="E46" s="10">
        <v>5</v>
      </c>
      <c r="F46" s="10">
        <v>1000</v>
      </c>
      <c r="G46" s="10">
        <v>0</v>
      </c>
      <c r="H46" s="10">
        <v>0</v>
      </c>
      <c r="I46" s="10">
        <f>IFERROR(IF(SUMIF('تحليل مبيعات'!C:C, 'حركة المخزن'!B46, 'تحليل مبيعات'!H:H)=0,"",SUMIF('تحليل مبيعات'!C:C, 'حركة المخزن'!B46, 'تحليل مبيعات'!H:H)),"")</f>
        <v>20</v>
      </c>
      <c r="J46" s="10">
        <f>IFERROR(IF(SUMIF('تحليل مبيعات'!C:C, 'حركة المخزن'!B46, 'تحليل مبيعات'!L:L)=0,"",SUMIF('تحليل مبيعات'!C:C, 'حركة المخزن'!B46, 'تحليل مبيعات'!L:L)),"")</f>
        <v>710</v>
      </c>
      <c r="K46" s="10">
        <f t="shared" si="1"/>
        <v>-15</v>
      </c>
      <c r="L46" s="10">
        <f t="shared" si="2"/>
        <v>290</v>
      </c>
      <c r="M46" s="10">
        <v>5</v>
      </c>
      <c r="N46" s="10" t="str">
        <f t="shared" si="3"/>
        <v>أعادة الطلب</v>
      </c>
      <c r="O46" s="44">
        <v>125</v>
      </c>
      <c r="Q46" s="130" t="str">
        <v>بطارية كلورايد 70 نسر</v>
      </c>
      <c r="R46" s="135">
        <f>SUMIFS('تحليل مبيعات'!H:H,'تحليل مبيعات'!C:C,'حركة المخزن'!Q46,'تحليل مبيعات'!W:W,'حركة المخزن'!$R$6)</f>
        <v>0</v>
      </c>
      <c r="S46" s="136">
        <f>SUMIFS('تحليل مبيعات'!H:H,'تحليل مبيعات'!C:C,'حركة المخزن'!Q46,'تحليل مبيعات'!W:W,'حركة المخزن'!$S$6)</f>
        <v>0</v>
      </c>
      <c r="T46" s="136">
        <f>SUMIFS('تحليل مبيعات'!H:H,'تحليل مبيعات'!C:C,'حركة المخزن'!Q46,'تحليل مبيعات'!W:W,'حركة المخزن'!$T$6)</f>
        <v>0</v>
      </c>
      <c r="U46" s="136">
        <f>SUMIFS('تحليل مبيعات'!H:H,'تحليل مبيعات'!C:C,'حركة المخزن'!Q46,'تحليل مبيعات'!W:W,'حركة المخزن'!$U$6)</f>
        <v>0</v>
      </c>
      <c r="V46" s="136">
        <f>SUMIFS('تحليل مبيعات'!H:H,'تحليل مبيعات'!C:C,'حركة المخزن'!Q46,'تحليل مبيعات'!W:W,'حركة المخزن'!$V$6)</f>
        <v>0</v>
      </c>
      <c r="W46" s="136">
        <f>SUMIFS('تحليل مبيعات'!H:H,'تحليل مبيعات'!C:C,'حركة المخزن'!Q46,'تحليل مبيعات'!W:W,'حركة المخزن'!$W$6)</f>
        <v>0</v>
      </c>
      <c r="X46" s="136">
        <f>SUMIFS('تحليل مبيعات'!H:H,'تحليل مبيعات'!C:C,'حركة المخزن'!Q46,'تحليل مبيعات'!W:W,'حركة المخزن'!$X$6)</f>
        <v>1</v>
      </c>
      <c r="Y46" s="136">
        <f>SUMIFS('تحليل مبيعات'!H:H,'تحليل مبيعات'!C:C,'حركة المخزن'!Q46,'تحليل مبيعات'!W:W,'حركة المخزن'!$Y$6)</f>
        <v>0</v>
      </c>
      <c r="Z46" s="136">
        <f>SUMIFS('تحليل مبيعات'!H:H,'تحليل مبيعات'!C:C,'حركة المخزن'!Q46,'تحليل مبيعات'!W:W,'حركة المخزن'!$Z$6)</f>
        <v>0</v>
      </c>
      <c r="AA46" s="136">
        <f>SUMIFS('تحليل مبيعات'!H:H,'تحليل مبيعات'!C:C,'حركة المخزن'!Q46,'تحليل مبيعات'!W:W,'حركة المخزن'!$AA$6)</f>
        <v>0</v>
      </c>
      <c r="AB46" s="136">
        <f>SUMIFS('تحليل مبيعات'!H:H,'تحليل مبيعات'!C:C,'حركة المخزن'!Q46,'تحليل مبيعات'!W:W,'حركة المخزن'!$AB$6)</f>
        <v>0</v>
      </c>
      <c r="AC46" s="137">
        <f>SUMIFS('تحليل مبيعات'!H:H,'تحليل مبيعات'!C:C,'حركة المخزن'!Q46,'تحليل مبيعات'!W:W,'حركة المخزن'!$AC$6)</f>
        <v>0</v>
      </c>
      <c r="AD46" s="134">
        <f t="shared" si="4"/>
        <v>1</v>
      </c>
    </row>
    <row r="47" spans="2:30" ht="16.2" thickBot="1" x14ac:dyDescent="0.35">
      <c r="B47" s="70" t="s">
        <v>47</v>
      </c>
      <c r="C47" s="10" t="s">
        <v>308</v>
      </c>
      <c r="D47" s="10" t="s">
        <v>204</v>
      </c>
      <c r="E47" s="10">
        <v>5</v>
      </c>
      <c r="F47" s="10">
        <v>1000</v>
      </c>
      <c r="G47" s="10">
        <v>0</v>
      </c>
      <c r="H47" s="10">
        <v>0</v>
      </c>
      <c r="I47" s="10">
        <f>IFERROR(IF(SUMIF('تحليل مبيعات'!C:C, 'حركة المخزن'!B47, 'تحليل مبيعات'!H:H)=0,"",SUMIF('تحليل مبيعات'!C:C, 'حركة المخزن'!B47, 'تحليل مبيعات'!H:H)),"")</f>
        <v>44</v>
      </c>
      <c r="J47" s="10">
        <f>IFERROR(IF(SUMIF('تحليل مبيعات'!C:C, 'حركة المخزن'!B47, 'تحليل مبيعات'!L:L)=0,"",SUMIF('تحليل مبيعات'!C:C, 'حركة المخزن'!B47, 'تحليل مبيعات'!L:L)),"")</f>
        <v>2980</v>
      </c>
      <c r="K47" s="10">
        <f t="shared" si="1"/>
        <v>-39</v>
      </c>
      <c r="L47" s="10">
        <f t="shared" si="2"/>
        <v>-1980</v>
      </c>
      <c r="M47" s="10">
        <v>5</v>
      </c>
      <c r="N47" s="10" t="str">
        <f t="shared" si="3"/>
        <v>أعادة الطلب</v>
      </c>
      <c r="O47" s="44">
        <v>130</v>
      </c>
      <c r="Q47" s="130" t="str">
        <v>14/5/114 جنط سبور صينى تويوتا غاطس SLP LG20-VL</v>
      </c>
      <c r="R47" s="135">
        <f>SUMIFS('تحليل مبيعات'!H:H,'تحليل مبيعات'!C:C,'حركة المخزن'!Q47,'تحليل مبيعات'!W:W,'حركة المخزن'!$R$6)</f>
        <v>0</v>
      </c>
      <c r="S47" s="136">
        <f>SUMIFS('تحليل مبيعات'!H:H,'تحليل مبيعات'!C:C,'حركة المخزن'!Q47,'تحليل مبيعات'!W:W,'حركة المخزن'!$S$6)</f>
        <v>0</v>
      </c>
      <c r="T47" s="136">
        <f>SUMIFS('تحليل مبيعات'!H:H,'تحليل مبيعات'!C:C,'حركة المخزن'!Q47,'تحليل مبيعات'!W:W,'حركة المخزن'!$T$6)</f>
        <v>0</v>
      </c>
      <c r="U47" s="136">
        <f>SUMIFS('تحليل مبيعات'!H:H,'تحليل مبيعات'!C:C,'حركة المخزن'!Q47,'تحليل مبيعات'!W:W,'حركة المخزن'!$U$6)</f>
        <v>0</v>
      </c>
      <c r="V47" s="136">
        <f>SUMIFS('تحليل مبيعات'!H:H,'تحليل مبيعات'!C:C,'حركة المخزن'!Q47,'تحليل مبيعات'!W:W,'حركة المخزن'!$V$6)</f>
        <v>0</v>
      </c>
      <c r="W47" s="136">
        <f>SUMIFS('تحليل مبيعات'!H:H,'تحليل مبيعات'!C:C,'حركة المخزن'!Q47,'تحليل مبيعات'!W:W,'حركة المخزن'!$W$6)</f>
        <v>0</v>
      </c>
      <c r="X47" s="136">
        <f>SUMIFS('تحليل مبيعات'!H:H,'تحليل مبيعات'!C:C,'حركة المخزن'!Q47,'تحليل مبيعات'!W:W,'حركة المخزن'!$X$6)</f>
        <v>4</v>
      </c>
      <c r="Y47" s="136">
        <f>SUMIFS('تحليل مبيعات'!H:H,'تحليل مبيعات'!C:C,'حركة المخزن'!Q47,'تحليل مبيعات'!W:W,'حركة المخزن'!$Y$6)</f>
        <v>0</v>
      </c>
      <c r="Z47" s="136">
        <f>SUMIFS('تحليل مبيعات'!H:H,'تحليل مبيعات'!C:C,'حركة المخزن'!Q47,'تحليل مبيعات'!W:W,'حركة المخزن'!$Z$6)</f>
        <v>0</v>
      </c>
      <c r="AA47" s="136">
        <f>SUMIFS('تحليل مبيعات'!H:H,'تحليل مبيعات'!C:C,'حركة المخزن'!Q47,'تحليل مبيعات'!W:W,'حركة المخزن'!$AA$6)</f>
        <v>0</v>
      </c>
      <c r="AB47" s="136">
        <f>SUMIFS('تحليل مبيعات'!H:H,'تحليل مبيعات'!C:C,'حركة المخزن'!Q47,'تحليل مبيعات'!W:W,'حركة المخزن'!$AB$6)</f>
        <v>0</v>
      </c>
      <c r="AC47" s="137">
        <f>SUMIFS('تحليل مبيعات'!H:H,'تحليل مبيعات'!C:C,'حركة المخزن'!Q47,'تحليل مبيعات'!W:W,'حركة المخزن'!$AC$6)</f>
        <v>0</v>
      </c>
      <c r="AD47" s="134">
        <f t="shared" si="4"/>
        <v>4</v>
      </c>
    </row>
    <row r="48" spans="2:30" ht="16.2" thickBot="1" x14ac:dyDescent="0.35">
      <c r="B48" s="70" t="s">
        <v>99</v>
      </c>
      <c r="C48" s="10" t="s">
        <v>309</v>
      </c>
      <c r="D48" s="10" t="s">
        <v>204</v>
      </c>
      <c r="E48" s="10">
        <v>5</v>
      </c>
      <c r="F48" s="10">
        <v>1000</v>
      </c>
      <c r="G48" s="10">
        <v>0</v>
      </c>
      <c r="H48" s="10">
        <v>0</v>
      </c>
      <c r="I48" s="10">
        <f>IFERROR(IF(SUMIF('تحليل مبيعات'!C:C, 'حركة المخزن'!B48, 'تحليل مبيعات'!H:H)=0,"",SUMIF('تحليل مبيعات'!C:C, 'حركة المخزن'!B48, 'تحليل مبيعات'!H:H)),"")</f>
        <v>3</v>
      </c>
      <c r="J48" s="10">
        <f>IFERROR(IF(SUMIF('تحليل مبيعات'!C:C, 'حركة المخزن'!B48, 'تحليل مبيعات'!L:L)=0,"",SUMIF('تحليل مبيعات'!C:C, 'حركة المخزن'!B48, 'تحليل مبيعات'!L:L)),"")</f>
        <v>2420</v>
      </c>
      <c r="K48" s="10">
        <f t="shared" si="1"/>
        <v>2</v>
      </c>
      <c r="L48" s="10">
        <f t="shared" si="2"/>
        <v>-1420</v>
      </c>
      <c r="M48" s="10">
        <v>5</v>
      </c>
      <c r="N48" s="10" t="str">
        <f t="shared" si="3"/>
        <v>أعادة الطلب</v>
      </c>
      <c r="O48" s="44">
        <v>135</v>
      </c>
      <c r="Q48" s="130" t="str">
        <v>اصلاح دبرياج سفلى تايوانى تيوتا</v>
      </c>
      <c r="R48" s="135">
        <f>SUMIFS('تحليل مبيعات'!H:H,'تحليل مبيعات'!C:C,'حركة المخزن'!Q48,'تحليل مبيعات'!W:W,'حركة المخزن'!$R$6)</f>
        <v>0</v>
      </c>
      <c r="S48" s="136">
        <f>SUMIFS('تحليل مبيعات'!H:H,'تحليل مبيعات'!C:C,'حركة المخزن'!Q48,'تحليل مبيعات'!W:W,'حركة المخزن'!$S$6)</f>
        <v>0</v>
      </c>
      <c r="T48" s="136">
        <f>SUMIFS('تحليل مبيعات'!H:H,'تحليل مبيعات'!C:C,'حركة المخزن'!Q48,'تحليل مبيعات'!W:W,'حركة المخزن'!$T$6)</f>
        <v>0</v>
      </c>
      <c r="U48" s="136">
        <f>SUMIFS('تحليل مبيعات'!H:H,'تحليل مبيعات'!C:C,'حركة المخزن'!Q48,'تحليل مبيعات'!W:W,'حركة المخزن'!$U$6)</f>
        <v>0</v>
      </c>
      <c r="V48" s="136">
        <f>SUMIFS('تحليل مبيعات'!H:H,'تحليل مبيعات'!C:C,'حركة المخزن'!Q48,'تحليل مبيعات'!W:W,'حركة المخزن'!$V$6)</f>
        <v>0</v>
      </c>
      <c r="W48" s="136">
        <f>SUMIFS('تحليل مبيعات'!H:H,'تحليل مبيعات'!C:C,'حركة المخزن'!Q48,'تحليل مبيعات'!W:W,'حركة المخزن'!$W$6)</f>
        <v>0</v>
      </c>
      <c r="X48" s="136">
        <f>SUMIFS('تحليل مبيعات'!H:H,'تحليل مبيعات'!C:C,'حركة المخزن'!Q48,'تحليل مبيعات'!W:W,'حركة المخزن'!$X$6)</f>
        <v>7</v>
      </c>
      <c r="Y48" s="136">
        <f>SUMIFS('تحليل مبيعات'!H:H,'تحليل مبيعات'!C:C,'حركة المخزن'!Q48,'تحليل مبيعات'!W:W,'حركة المخزن'!$Y$6)</f>
        <v>2</v>
      </c>
      <c r="Z48" s="136">
        <f>SUMIFS('تحليل مبيعات'!H:H,'تحليل مبيعات'!C:C,'حركة المخزن'!Q48,'تحليل مبيعات'!W:W,'حركة المخزن'!$Z$6)</f>
        <v>0</v>
      </c>
      <c r="AA48" s="136">
        <f>SUMIFS('تحليل مبيعات'!H:H,'تحليل مبيعات'!C:C,'حركة المخزن'!Q48,'تحليل مبيعات'!W:W,'حركة المخزن'!$AA$6)</f>
        <v>0</v>
      </c>
      <c r="AB48" s="136">
        <f>SUMIFS('تحليل مبيعات'!H:H,'تحليل مبيعات'!C:C,'حركة المخزن'!Q48,'تحليل مبيعات'!W:W,'حركة المخزن'!$AB$6)</f>
        <v>0</v>
      </c>
      <c r="AC48" s="137">
        <f>SUMIFS('تحليل مبيعات'!H:H,'تحليل مبيعات'!C:C,'حركة المخزن'!Q48,'تحليل مبيعات'!W:W,'حركة المخزن'!$AC$6)</f>
        <v>0</v>
      </c>
      <c r="AD48" s="134">
        <f t="shared" si="4"/>
        <v>9</v>
      </c>
    </row>
    <row r="49" spans="2:30" ht="16.2" thickBot="1" x14ac:dyDescent="0.35">
      <c r="B49" s="70" t="s">
        <v>54</v>
      </c>
      <c r="C49" s="10" t="s">
        <v>310</v>
      </c>
      <c r="D49" s="10" t="s">
        <v>204</v>
      </c>
      <c r="E49" s="10">
        <v>5</v>
      </c>
      <c r="F49" s="10">
        <v>1000</v>
      </c>
      <c r="G49" s="10">
        <v>0</v>
      </c>
      <c r="H49" s="10">
        <v>0</v>
      </c>
      <c r="I49" s="10">
        <f>IFERROR(IF(SUMIF('تحليل مبيعات'!C:C, 'حركة المخزن'!B49, 'تحليل مبيعات'!H:H)=0,"",SUMIF('تحليل مبيعات'!C:C, 'حركة المخزن'!B49, 'تحليل مبيعات'!H:H)),"")</f>
        <v>1</v>
      </c>
      <c r="J49" s="10">
        <f>IFERROR(IF(SUMIF('تحليل مبيعات'!C:C, 'حركة المخزن'!B49, 'تحليل مبيعات'!L:L)=0,"",SUMIF('تحليل مبيعات'!C:C, 'حركة المخزن'!B49, 'تحليل مبيعات'!L:L)),"")</f>
        <v>150</v>
      </c>
      <c r="K49" s="10">
        <f t="shared" si="1"/>
        <v>4</v>
      </c>
      <c r="L49" s="10">
        <f t="shared" si="2"/>
        <v>850</v>
      </c>
      <c r="M49" s="10">
        <v>5</v>
      </c>
      <c r="N49" s="10" t="str">
        <f t="shared" si="3"/>
        <v>أعادة الطلب</v>
      </c>
      <c r="O49" s="44">
        <v>140</v>
      </c>
      <c r="Q49" s="130" t="str">
        <v xml:space="preserve">زرار انتظار </v>
      </c>
      <c r="R49" s="135">
        <f>SUMIFS('تحليل مبيعات'!H:H,'تحليل مبيعات'!C:C,'حركة المخزن'!Q49,'تحليل مبيعات'!W:W,'حركة المخزن'!$R$6)</f>
        <v>0</v>
      </c>
      <c r="S49" s="136">
        <f>SUMIFS('تحليل مبيعات'!H:H,'تحليل مبيعات'!C:C,'حركة المخزن'!Q49,'تحليل مبيعات'!W:W,'حركة المخزن'!$S$6)</f>
        <v>0</v>
      </c>
      <c r="T49" s="136">
        <f>SUMIFS('تحليل مبيعات'!H:H,'تحليل مبيعات'!C:C,'حركة المخزن'!Q49,'تحليل مبيعات'!W:W,'حركة المخزن'!$T$6)</f>
        <v>0</v>
      </c>
      <c r="U49" s="136">
        <f>SUMIFS('تحليل مبيعات'!H:H,'تحليل مبيعات'!C:C,'حركة المخزن'!Q49,'تحليل مبيعات'!W:W,'حركة المخزن'!$U$6)</f>
        <v>0</v>
      </c>
      <c r="V49" s="136">
        <f>SUMIFS('تحليل مبيعات'!H:H,'تحليل مبيعات'!C:C,'حركة المخزن'!Q49,'تحليل مبيعات'!W:W,'حركة المخزن'!$V$6)</f>
        <v>0</v>
      </c>
      <c r="W49" s="136">
        <f>SUMIFS('تحليل مبيعات'!H:H,'تحليل مبيعات'!C:C,'حركة المخزن'!Q49,'تحليل مبيعات'!W:W,'حركة المخزن'!$W$6)</f>
        <v>0</v>
      </c>
      <c r="X49" s="136">
        <f>SUMIFS('تحليل مبيعات'!H:H,'تحليل مبيعات'!C:C,'حركة المخزن'!Q49,'تحليل مبيعات'!W:W,'حركة المخزن'!$X$6)</f>
        <v>2</v>
      </c>
      <c r="Y49" s="136">
        <f>SUMIFS('تحليل مبيعات'!H:H,'تحليل مبيعات'!C:C,'حركة المخزن'!Q49,'تحليل مبيعات'!W:W,'حركة المخزن'!$Y$6)</f>
        <v>0</v>
      </c>
      <c r="Z49" s="136">
        <f>SUMIFS('تحليل مبيعات'!H:H,'تحليل مبيعات'!C:C,'حركة المخزن'!Q49,'تحليل مبيعات'!W:W,'حركة المخزن'!$Z$6)</f>
        <v>0</v>
      </c>
      <c r="AA49" s="136">
        <f>SUMIFS('تحليل مبيعات'!H:H,'تحليل مبيعات'!C:C,'حركة المخزن'!Q49,'تحليل مبيعات'!W:W,'حركة المخزن'!$AA$6)</f>
        <v>0</v>
      </c>
      <c r="AB49" s="136">
        <f>SUMIFS('تحليل مبيعات'!H:H,'تحليل مبيعات'!C:C,'حركة المخزن'!Q49,'تحليل مبيعات'!W:W,'حركة المخزن'!$AB$6)</f>
        <v>0</v>
      </c>
      <c r="AC49" s="137">
        <f>SUMIFS('تحليل مبيعات'!H:H,'تحليل مبيعات'!C:C,'حركة المخزن'!Q49,'تحليل مبيعات'!W:W,'حركة المخزن'!$AC$6)</f>
        <v>0</v>
      </c>
      <c r="AD49" s="134">
        <f t="shared" si="4"/>
        <v>2</v>
      </c>
    </row>
    <row r="50" spans="2:30" ht="16.2" thickBot="1" x14ac:dyDescent="0.35">
      <c r="B50" s="70" t="s">
        <v>59</v>
      </c>
      <c r="C50" s="10" t="s">
        <v>311</v>
      </c>
      <c r="D50" s="10" t="s">
        <v>204</v>
      </c>
      <c r="E50" s="10">
        <v>5</v>
      </c>
      <c r="F50" s="10">
        <v>1000</v>
      </c>
      <c r="G50" s="10">
        <v>0</v>
      </c>
      <c r="H50" s="10">
        <v>0</v>
      </c>
      <c r="I50" s="10">
        <f>IFERROR(IF(SUMIF('تحليل مبيعات'!C:C, 'حركة المخزن'!B50, 'تحليل مبيعات'!H:H)=0,"",SUMIF('تحليل مبيعات'!C:C, 'حركة المخزن'!B50, 'تحليل مبيعات'!H:H)),"")</f>
        <v>9</v>
      </c>
      <c r="J50" s="10">
        <f>IFERROR(IF(SUMIF('تحليل مبيعات'!C:C, 'حركة المخزن'!B50, 'تحليل مبيعات'!L:L)=0,"",SUMIF('تحليل مبيعات'!C:C, 'حركة المخزن'!B50, 'تحليل مبيعات'!L:L)),"")</f>
        <v>1350</v>
      </c>
      <c r="K50" s="10">
        <f t="shared" si="1"/>
        <v>-4</v>
      </c>
      <c r="L50" s="10">
        <f t="shared" si="2"/>
        <v>-350</v>
      </c>
      <c r="M50" s="10">
        <v>5</v>
      </c>
      <c r="N50" s="10" t="str">
        <f t="shared" si="3"/>
        <v>أعادة الطلب</v>
      </c>
      <c r="O50" s="44">
        <v>145</v>
      </c>
      <c r="Q50" s="130" t="str">
        <v>مسمار عجل بالصمولة ديماكس</v>
      </c>
      <c r="R50" s="135">
        <f>SUMIFS('تحليل مبيعات'!H:H,'تحليل مبيعات'!C:C,'حركة المخزن'!Q50,'تحليل مبيعات'!W:W,'حركة المخزن'!$R$6)</f>
        <v>0</v>
      </c>
      <c r="S50" s="136">
        <f>SUMIFS('تحليل مبيعات'!H:H,'تحليل مبيعات'!C:C,'حركة المخزن'!Q50,'تحليل مبيعات'!W:W,'حركة المخزن'!$S$6)</f>
        <v>0</v>
      </c>
      <c r="T50" s="136">
        <f>SUMIFS('تحليل مبيعات'!H:H,'تحليل مبيعات'!C:C,'حركة المخزن'!Q50,'تحليل مبيعات'!W:W,'حركة المخزن'!$T$6)</f>
        <v>0</v>
      </c>
      <c r="U50" s="136">
        <f>SUMIFS('تحليل مبيعات'!H:H,'تحليل مبيعات'!C:C,'حركة المخزن'!Q50,'تحليل مبيعات'!W:W,'حركة المخزن'!$U$6)</f>
        <v>0</v>
      </c>
      <c r="V50" s="136">
        <f>SUMIFS('تحليل مبيعات'!H:H,'تحليل مبيعات'!C:C,'حركة المخزن'!Q50,'تحليل مبيعات'!W:W,'حركة المخزن'!$V$6)</f>
        <v>0</v>
      </c>
      <c r="W50" s="136">
        <f>SUMIFS('تحليل مبيعات'!H:H,'تحليل مبيعات'!C:C,'حركة المخزن'!Q50,'تحليل مبيعات'!W:W,'حركة المخزن'!$W$6)</f>
        <v>0</v>
      </c>
      <c r="X50" s="136">
        <f>SUMIFS('تحليل مبيعات'!H:H,'تحليل مبيعات'!C:C,'حركة المخزن'!Q50,'تحليل مبيعات'!W:W,'حركة المخزن'!$X$6)</f>
        <v>45</v>
      </c>
      <c r="Y50" s="136">
        <f>SUMIFS('تحليل مبيعات'!H:H,'تحليل مبيعات'!C:C,'حركة المخزن'!Q50,'تحليل مبيعات'!W:W,'حركة المخزن'!$Y$6)</f>
        <v>0</v>
      </c>
      <c r="Z50" s="136">
        <f>SUMIFS('تحليل مبيعات'!H:H,'تحليل مبيعات'!C:C,'حركة المخزن'!Q50,'تحليل مبيعات'!W:W,'حركة المخزن'!$Z$6)</f>
        <v>0</v>
      </c>
      <c r="AA50" s="136">
        <f>SUMIFS('تحليل مبيعات'!H:H,'تحليل مبيعات'!C:C,'حركة المخزن'!Q50,'تحليل مبيعات'!W:W,'حركة المخزن'!$AA$6)</f>
        <v>0</v>
      </c>
      <c r="AB50" s="136">
        <f>SUMIFS('تحليل مبيعات'!H:H,'تحليل مبيعات'!C:C,'حركة المخزن'!Q50,'تحليل مبيعات'!W:W,'حركة المخزن'!$AB$6)</f>
        <v>0</v>
      </c>
      <c r="AC50" s="137">
        <f>SUMIFS('تحليل مبيعات'!H:H,'تحليل مبيعات'!C:C,'حركة المخزن'!Q50,'تحليل مبيعات'!W:W,'حركة المخزن'!$AC$6)</f>
        <v>0</v>
      </c>
      <c r="AD50" s="134">
        <f t="shared" si="4"/>
        <v>45</v>
      </c>
    </row>
    <row r="51" spans="2:30" ht="16.2" thickBot="1" x14ac:dyDescent="0.35">
      <c r="B51" s="70" t="s">
        <v>63</v>
      </c>
      <c r="C51" s="10" t="s">
        <v>312</v>
      </c>
      <c r="D51" s="10" t="s">
        <v>204</v>
      </c>
      <c r="E51" s="10">
        <v>5</v>
      </c>
      <c r="F51" s="10">
        <v>1000</v>
      </c>
      <c r="G51" s="10">
        <v>0</v>
      </c>
      <c r="H51" s="10">
        <v>0</v>
      </c>
      <c r="I51" s="10">
        <f>IFERROR(IF(SUMIF('تحليل مبيعات'!C:C, 'حركة المخزن'!B51, 'تحليل مبيعات'!H:H)=0,"",SUMIF('تحليل مبيعات'!C:C, 'حركة المخزن'!B51, 'تحليل مبيعات'!H:H)),"")</f>
        <v>9</v>
      </c>
      <c r="J51" s="10">
        <f>IFERROR(IF(SUMIF('تحليل مبيعات'!C:C, 'حركة المخزن'!B51, 'تحليل مبيعات'!L:L)=0,"",SUMIF('تحليل مبيعات'!C:C, 'حركة المخزن'!B51, 'تحليل مبيعات'!L:L)),"")</f>
        <v>550</v>
      </c>
      <c r="K51" s="10">
        <f t="shared" si="1"/>
        <v>-4</v>
      </c>
      <c r="L51" s="10">
        <f t="shared" si="2"/>
        <v>450</v>
      </c>
      <c r="M51" s="10">
        <v>5</v>
      </c>
      <c r="N51" s="10" t="str">
        <f t="shared" si="3"/>
        <v>أعادة الطلب</v>
      </c>
      <c r="O51" s="44">
        <v>150</v>
      </c>
      <c r="Q51" s="130" t="str">
        <v>اصلاح دبرياج علوى تايوانى تيوتا</v>
      </c>
      <c r="R51" s="135">
        <f>SUMIFS('تحليل مبيعات'!H:H,'تحليل مبيعات'!C:C,'حركة المخزن'!Q51,'تحليل مبيعات'!W:W,'حركة المخزن'!$R$6)</f>
        <v>0</v>
      </c>
      <c r="S51" s="136">
        <f>SUMIFS('تحليل مبيعات'!H:H,'تحليل مبيعات'!C:C,'حركة المخزن'!Q51,'تحليل مبيعات'!W:W,'حركة المخزن'!$S$6)</f>
        <v>0</v>
      </c>
      <c r="T51" s="136">
        <f>SUMIFS('تحليل مبيعات'!H:H,'تحليل مبيعات'!C:C,'حركة المخزن'!Q51,'تحليل مبيعات'!W:W,'حركة المخزن'!$T$6)</f>
        <v>0</v>
      </c>
      <c r="U51" s="136">
        <f>SUMIFS('تحليل مبيعات'!H:H,'تحليل مبيعات'!C:C,'حركة المخزن'!Q51,'تحليل مبيعات'!W:W,'حركة المخزن'!$U$6)</f>
        <v>0</v>
      </c>
      <c r="V51" s="136">
        <f>SUMIFS('تحليل مبيعات'!H:H,'تحليل مبيعات'!C:C,'حركة المخزن'!Q51,'تحليل مبيعات'!W:W,'حركة المخزن'!$V$6)</f>
        <v>0</v>
      </c>
      <c r="W51" s="136">
        <f>SUMIFS('تحليل مبيعات'!H:H,'تحليل مبيعات'!C:C,'حركة المخزن'!Q51,'تحليل مبيعات'!W:W,'حركة المخزن'!$W$6)</f>
        <v>0</v>
      </c>
      <c r="X51" s="136">
        <f>SUMIFS('تحليل مبيعات'!H:H,'تحليل مبيعات'!C:C,'حركة المخزن'!Q51,'تحليل مبيعات'!W:W,'حركة المخزن'!$X$6)</f>
        <v>1</v>
      </c>
      <c r="Y51" s="136">
        <f>SUMIFS('تحليل مبيعات'!H:H,'تحليل مبيعات'!C:C,'حركة المخزن'!Q51,'تحليل مبيعات'!W:W,'حركة المخزن'!$Y$6)</f>
        <v>0</v>
      </c>
      <c r="Z51" s="136">
        <f>SUMIFS('تحليل مبيعات'!H:H,'تحليل مبيعات'!C:C,'حركة المخزن'!Q51,'تحليل مبيعات'!W:W,'حركة المخزن'!$Z$6)</f>
        <v>0</v>
      </c>
      <c r="AA51" s="136">
        <f>SUMIFS('تحليل مبيعات'!H:H,'تحليل مبيعات'!C:C,'حركة المخزن'!Q51,'تحليل مبيعات'!W:W,'حركة المخزن'!$AA$6)</f>
        <v>0</v>
      </c>
      <c r="AB51" s="136">
        <f>SUMIFS('تحليل مبيعات'!H:H,'تحليل مبيعات'!C:C,'حركة المخزن'!Q51,'تحليل مبيعات'!W:W,'حركة المخزن'!$AB$6)</f>
        <v>0</v>
      </c>
      <c r="AC51" s="137">
        <f>SUMIFS('تحليل مبيعات'!H:H,'تحليل مبيعات'!C:C,'حركة المخزن'!Q51,'تحليل مبيعات'!W:W,'حركة المخزن'!$AC$6)</f>
        <v>0</v>
      </c>
      <c r="AD51" s="134">
        <f t="shared" si="4"/>
        <v>1</v>
      </c>
    </row>
    <row r="52" spans="2:30" ht="16.2" thickBot="1" x14ac:dyDescent="0.35">
      <c r="B52" s="70" t="s">
        <v>65</v>
      </c>
      <c r="C52" s="10" t="s">
        <v>313</v>
      </c>
      <c r="D52" s="10" t="s">
        <v>204</v>
      </c>
      <c r="E52" s="10">
        <v>5</v>
      </c>
      <c r="F52" s="10">
        <v>1000</v>
      </c>
      <c r="G52" s="10">
        <v>0</v>
      </c>
      <c r="H52" s="10">
        <v>0</v>
      </c>
      <c r="I52" s="10">
        <f>IFERROR(IF(SUMIF('تحليل مبيعات'!C:C, 'حركة المخزن'!B52, 'تحليل مبيعات'!H:H)=0,"",SUMIF('تحليل مبيعات'!C:C, 'حركة المخزن'!B52, 'تحليل مبيعات'!H:H)),"")</f>
        <v>2</v>
      </c>
      <c r="J52" s="10">
        <f>IFERROR(IF(SUMIF('تحليل مبيعات'!C:C, 'حركة المخزن'!B52, 'تحليل مبيعات'!L:L)=0,"",SUMIF('تحليل مبيعات'!C:C, 'حركة المخزن'!B52, 'تحليل مبيعات'!L:L)),"")</f>
        <v>180</v>
      </c>
      <c r="K52" s="10">
        <f t="shared" si="1"/>
        <v>3</v>
      </c>
      <c r="L52" s="10">
        <f t="shared" si="2"/>
        <v>820</v>
      </c>
      <c r="M52" s="10">
        <v>5</v>
      </c>
      <c r="N52" s="10" t="str">
        <f t="shared" si="3"/>
        <v>أعادة الطلب</v>
      </c>
      <c r="O52" s="44">
        <v>155</v>
      </c>
      <c r="Q52" s="130" t="str">
        <v>مجرة باب جرار وسط</v>
      </c>
      <c r="R52" s="135">
        <f>SUMIFS('تحليل مبيعات'!H:H,'تحليل مبيعات'!C:C,'حركة المخزن'!Q52,'تحليل مبيعات'!W:W,'حركة المخزن'!$R$6)</f>
        <v>0</v>
      </c>
      <c r="S52" s="136">
        <f>SUMIFS('تحليل مبيعات'!H:H,'تحليل مبيعات'!C:C,'حركة المخزن'!Q52,'تحليل مبيعات'!W:W,'حركة المخزن'!$S$6)</f>
        <v>0</v>
      </c>
      <c r="T52" s="136">
        <f>SUMIFS('تحليل مبيعات'!H:H,'تحليل مبيعات'!C:C,'حركة المخزن'!Q52,'تحليل مبيعات'!W:W,'حركة المخزن'!$T$6)</f>
        <v>0</v>
      </c>
      <c r="U52" s="136">
        <f>SUMIFS('تحليل مبيعات'!H:H,'تحليل مبيعات'!C:C,'حركة المخزن'!Q52,'تحليل مبيعات'!W:W,'حركة المخزن'!$U$6)</f>
        <v>0</v>
      </c>
      <c r="V52" s="136">
        <f>SUMIFS('تحليل مبيعات'!H:H,'تحليل مبيعات'!C:C,'حركة المخزن'!Q52,'تحليل مبيعات'!W:W,'حركة المخزن'!$V$6)</f>
        <v>0</v>
      </c>
      <c r="W52" s="136">
        <f>SUMIFS('تحليل مبيعات'!H:H,'تحليل مبيعات'!C:C,'حركة المخزن'!Q52,'تحليل مبيعات'!W:W,'حركة المخزن'!$W$6)</f>
        <v>0</v>
      </c>
      <c r="X52" s="136">
        <f>SUMIFS('تحليل مبيعات'!H:H,'تحليل مبيعات'!C:C,'حركة المخزن'!Q52,'تحليل مبيعات'!W:W,'حركة المخزن'!$X$6)</f>
        <v>1</v>
      </c>
      <c r="Y52" s="136">
        <f>SUMIFS('تحليل مبيعات'!H:H,'تحليل مبيعات'!C:C,'حركة المخزن'!Q52,'تحليل مبيعات'!W:W,'حركة المخزن'!$Y$6)</f>
        <v>0</v>
      </c>
      <c r="Z52" s="136">
        <f>SUMIFS('تحليل مبيعات'!H:H,'تحليل مبيعات'!C:C,'حركة المخزن'!Q52,'تحليل مبيعات'!W:W,'حركة المخزن'!$Z$6)</f>
        <v>0</v>
      </c>
      <c r="AA52" s="136">
        <f>SUMIFS('تحليل مبيعات'!H:H,'تحليل مبيعات'!C:C,'حركة المخزن'!Q52,'تحليل مبيعات'!W:W,'حركة المخزن'!$AA$6)</f>
        <v>0</v>
      </c>
      <c r="AB52" s="136">
        <f>SUMIFS('تحليل مبيعات'!H:H,'تحليل مبيعات'!C:C,'حركة المخزن'!Q52,'تحليل مبيعات'!W:W,'حركة المخزن'!$AB$6)</f>
        <v>0</v>
      </c>
      <c r="AC52" s="137">
        <f>SUMIFS('تحليل مبيعات'!H:H,'تحليل مبيعات'!C:C,'حركة المخزن'!Q52,'تحليل مبيعات'!W:W,'حركة المخزن'!$AC$6)</f>
        <v>0</v>
      </c>
      <c r="AD52" s="134">
        <f t="shared" si="4"/>
        <v>1</v>
      </c>
    </row>
    <row r="53" spans="2:30" ht="16.2" thickBot="1" x14ac:dyDescent="0.35">
      <c r="B53" s="70" t="s">
        <v>66</v>
      </c>
      <c r="C53" s="10" t="s">
        <v>314</v>
      </c>
      <c r="D53" s="10" t="s">
        <v>204</v>
      </c>
      <c r="E53" s="10">
        <v>5</v>
      </c>
      <c r="F53" s="10">
        <v>1000</v>
      </c>
      <c r="G53" s="10">
        <v>0</v>
      </c>
      <c r="H53" s="10">
        <v>0</v>
      </c>
      <c r="I53" s="10">
        <f>IFERROR(IF(SUMIF('تحليل مبيعات'!C:C, 'حركة المخزن'!B53, 'تحليل مبيعات'!H:H)=0,"",SUMIF('تحليل مبيعات'!C:C, 'حركة المخزن'!B53, 'تحليل مبيعات'!H:H)),"")</f>
        <v>45</v>
      </c>
      <c r="J53" s="10">
        <f>IFERROR(IF(SUMIF('تحليل مبيعات'!C:C, 'حركة المخزن'!B53, 'تحليل مبيعات'!L:L)=0,"",SUMIF('تحليل مبيعات'!C:C, 'حركة المخزن'!B53, 'تحليل مبيعات'!L:L)),"")</f>
        <v>1500</v>
      </c>
      <c r="K53" s="10">
        <f t="shared" si="1"/>
        <v>-40</v>
      </c>
      <c r="L53" s="10">
        <f t="shared" si="2"/>
        <v>-500</v>
      </c>
      <c r="M53" s="10">
        <v>5</v>
      </c>
      <c r="N53" s="10" t="str">
        <f t="shared" si="3"/>
        <v>أعادة الطلب</v>
      </c>
      <c r="O53" s="44">
        <v>160</v>
      </c>
      <c r="Q53" s="130" t="str">
        <v>زيت باكم نصف لتر</v>
      </c>
      <c r="R53" s="135">
        <f>SUMIFS('تحليل مبيعات'!H:H,'تحليل مبيعات'!C:C,'حركة المخزن'!Q53,'تحليل مبيعات'!W:W,'حركة المخزن'!$R$6)</f>
        <v>0</v>
      </c>
      <c r="S53" s="136">
        <f>SUMIFS('تحليل مبيعات'!H:H,'تحليل مبيعات'!C:C,'حركة المخزن'!Q53,'تحليل مبيعات'!W:W,'حركة المخزن'!$S$6)</f>
        <v>0</v>
      </c>
      <c r="T53" s="136">
        <f>SUMIFS('تحليل مبيعات'!H:H,'تحليل مبيعات'!C:C,'حركة المخزن'!Q53,'تحليل مبيعات'!W:W,'حركة المخزن'!$T$6)</f>
        <v>0</v>
      </c>
      <c r="U53" s="136">
        <f>SUMIFS('تحليل مبيعات'!H:H,'تحليل مبيعات'!C:C,'حركة المخزن'!Q53,'تحليل مبيعات'!W:W,'حركة المخزن'!$U$6)</f>
        <v>0</v>
      </c>
      <c r="V53" s="136">
        <f>SUMIFS('تحليل مبيعات'!H:H,'تحليل مبيعات'!C:C,'حركة المخزن'!Q53,'تحليل مبيعات'!W:W,'حركة المخزن'!$V$6)</f>
        <v>0</v>
      </c>
      <c r="W53" s="136">
        <f>SUMIFS('تحليل مبيعات'!H:H,'تحليل مبيعات'!C:C,'حركة المخزن'!Q53,'تحليل مبيعات'!W:W,'حركة المخزن'!$W$6)</f>
        <v>0</v>
      </c>
      <c r="X53" s="136">
        <f>SUMIFS('تحليل مبيعات'!H:H,'تحليل مبيعات'!C:C,'حركة المخزن'!Q53,'تحليل مبيعات'!W:W,'حركة المخزن'!$X$6)</f>
        <v>5</v>
      </c>
      <c r="Y53" s="136">
        <f>SUMIFS('تحليل مبيعات'!H:H,'تحليل مبيعات'!C:C,'حركة المخزن'!Q53,'تحليل مبيعات'!W:W,'حركة المخزن'!$Y$6)</f>
        <v>2</v>
      </c>
      <c r="Z53" s="136">
        <f>SUMIFS('تحليل مبيعات'!H:H,'تحليل مبيعات'!C:C,'حركة المخزن'!Q53,'تحليل مبيعات'!W:W,'حركة المخزن'!$Z$6)</f>
        <v>0</v>
      </c>
      <c r="AA53" s="136">
        <f>SUMIFS('تحليل مبيعات'!H:H,'تحليل مبيعات'!C:C,'حركة المخزن'!Q53,'تحليل مبيعات'!W:W,'حركة المخزن'!$AA$6)</f>
        <v>0</v>
      </c>
      <c r="AB53" s="136">
        <f>SUMIFS('تحليل مبيعات'!H:H,'تحليل مبيعات'!C:C,'حركة المخزن'!Q53,'تحليل مبيعات'!W:W,'حركة المخزن'!$AB$6)</f>
        <v>0</v>
      </c>
      <c r="AC53" s="137">
        <f>SUMIFS('تحليل مبيعات'!H:H,'تحليل مبيعات'!C:C,'حركة المخزن'!Q53,'تحليل مبيعات'!W:W,'حركة المخزن'!$AC$6)</f>
        <v>0</v>
      </c>
      <c r="AD53" s="134">
        <f t="shared" si="4"/>
        <v>7</v>
      </c>
    </row>
    <row r="54" spans="2:30" ht="16.2" thickBot="1" x14ac:dyDescent="0.35">
      <c r="B54" s="70" t="s">
        <v>64</v>
      </c>
      <c r="C54" s="10" t="s">
        <v>315</v>
      </c>
      <c r="D54" s="10" t="s">
        <v>204</v>
      </c>
      <c r="E54" s="10">
        <v>5</v>
      </c>
      <c r="F54" s="10">
        <v>1000</v>
      </c>
      <c r="G54" s="10">
        <v>0</v>
      </c>
      <c r="H54" s="10">
        <v>0</v>
      </c>
      <c r="I54" s="10">
        <f>IFERROR(IF(SUMIF('تحليل مبيعات'!C:C, 'حركة المخزن'!B54, 'تحليل مبيعات'!H:H)=0,"",SUMIF('تحليل مبيعات'!C:C, 'حركة المخزن'!B54, 'تحليل مبيعات'!H:H)),"")</f>
        <v>1</v>
      </c>
      <c r="J54" s="10">
        <f>IFERROR(IF(SUMIF('تحليل مبيعات'!C:C, 'حركة المخزن'!B54, 'تحليل مبيعات'!L:L)=0,"",SUMIF('تحليل مبيعات'!C:C, 'حركة المخزن'!B54, 'تحليل مبيعات'!L:L)),"")</f>
        <v>90</v>
      </c>
      <c r="K54" s="10">
        <f t="shared" si="1"/>
        <v>4</v>
      </c>
      <c r="L54" s="10">
        <f t="shared" si="2"/>
        <v>910</v>
      </c>
      <c r="M54" s="10">
        <v>5</v>
      </c>
      <c r="N54" s="10" t="str">
        <f t="shared" si="3"/>
        <v>أعادة الطلب</v>
      </c>
      <c r="O54" s="44">
        <v>165</v>
      </c>
      <c r="Q54" s="130" t="str">
        <v>بطارية كلورايد 70</v>
      </c>
      <c r="R54" s="135">
        <f>SUMIFS('تحليل مبيعات'!H:H,'تحليل مبيعات'!C:C,'حركة المخزن'!Q54,'تحليل مبيعات'!W:W,'حركة المخزن'!$R$6)</f>
        <v>0</v>
      </c>
      <c r="S54" s="136">
        <f>SUMIFS('تحليل مبيعات'!H:H,'تحليل مبيعات'!C:C,'حركة المخزن'!Q54,'تحليل مبيعات'!W:W,'حركة المخزن'!$S$6)</f>
        <v>0</v>
      </c>
      <c r="T54" s="136">
        <f>SUMIFS('تحليل مبيعات'!H:H,'تحليل مبيعات'!C:C,'حركة المخزن'!Q54,'تحليل مبيعات'!W:W,'حركة المخزن'!$T$6)</f>
        <v>0</v>
      </c>
      <c r="U54" s="136">
        <f>SUMIFS('تحليل مبيعات'!H:H,'تحليل مبيعات'!C:C,'حركة المخزن'!Q54,'تحليل مبيعات'!W:W,'حركة المخزن'!$U$6)</f>
        <v>0</v>
      </c>
      <c r="V54" s="136">
        <f>SUMIFS('تحليل مبيعات'!H:H,'تحليل مبيعات'!C:C,'حركة المخزن'!Q54,'تحليل مبيعات'!W:W,'حركة المخزن'!$V$6)</f>
        <v>0</v>
      </c>
      <c r="W54" s="136">
        <f>SUMIFS('تحليل مبيعات'!H:H,'تحليل مبيعات'!C:C,'حركة المخزن'!Q54,'تحليل مبيعات'!W:W,'حركة المخزن'!$W$6)</f>
        <v>0</v>
      </c>
      <c r="X54" s="136">
        <f>SUMIFS('تحليل مبيعات'!H:H,'تحليل مبيعات'!C:C,'حركة المخزن'!Q54,'تحليل مبيعات'!W:W,'حركة المخزن'!$X$6)</f>
        <v>12</v>
      </c>
      <c r="Y54" s="136">
        <f>SUMIFS('تحليل مبيعات'!H:H,'تحليل مبيعات'!C:C,'حركة المخزن'!Q54,'تحليل مبيعات'!W:W,'حركة المخزن'!$Y$6)</f>
        <v>1</v>
      </c>
      <c r="Z54" s="136">
        <f>SUMIFS('تحليل مبيعات'!H:H,'تحليل مبيعات'!C:C,'حركة المخزن'!Q54,'تحليل مبيعات'!W:W,'حركة المخزن'!$Z$6)</f>
        <v>0</v>
      </c>
      <c r="AA54" s="136">
        <f>SUMIFS('تحليل مبيعات'!H:H,'تحليل مبيعات'!C:C,'حركة المخزن'!Q54,'تحليل مبيعات'!W:W,'حركة المخزن'!$AA$6)</f>
        <v>0</v>
      </c>
      <c r="AB54" s="136">
        <f>SUMIFS('تحليل مبيعات'!H:H,'تحليل مبيعات'!C:C,'حركة المخزن'!Q54,'تحليل مبيعات'!W:W,'حركة المخزن'!$AB$6)</f>
        <v>0</v>
      </c>
      <c r="AC54" s="137">
        <f>SUMIFS('تحليل مبيعات'!H:H,'تحليل مبيعات'!C:C,'حركة المخزن'!Q54,'تحليل مبيعات'!W:W,'حركة المخزن'!$AC$6)</f>
        <v>0</v>
      </c>
      <c r="AD54" s="134">
        <f t="shared" si="4"/>
        <v>13</v>
      </c>
    </row>
    <row r="55" spans="2:30" ht="16.2" thickBot="1" x14ac:dyDescent="0.35">
      <c r="B55" s="70" t="s">
        <v>67</v>
      </c>
      <c r="C55" s="10" t="s">
        <v>316</v>
      </c>
      <c r="D55" s="10" t="s">
        <v>204</v>
      </c>
      <c r="E55" s="10">
        <v>5</v>
      </c>
      <c r="F55" s="10">
        <v>1000</v>
      </c>
      <c r="G55" s="10">
        <v>0</v>
      </c>
      <c r="H55" s="10">
        <v>0</v>
      </c>
      <c r="I55" s="10">
        <f>IFERROR(IF(SUMIF('تحليل مبيعات'!C:C, 'حركة المخزن'!B55, 'تحليل مبيعات'!H:H)=0,"",SUMIF('تحليل مبيعات'!C:C, 'حركة المخزن'!B55, 'تحليل مبيعات'!H:H)),"")</f>
        <v>1</v>
      </c>
      <c r="J55" s="10">
        <f>IFERROR(IF(SUMIF('تحليل مبيعات'!C:C, 'حركة المخزن'!B55, 'تحليل مبيعات'!L:L)=0,"",SUMIF('تحليل مبيعات'!C:C, 'حركة المخزن'!B55, 'تحليل مبيعات'!L:L)),"")</f>
        <v>700</v>
      </c>
      <c r="K55" s="10">
        <f t="shared" si="1"/>
        <v>4</v>
      </c>
      <c r="L55" s="10">
        <f t="shared" si="2"/>
        <v>300</v>
      </c>
      <c r="M55" s="10">
        <v>5</v>
      </c>
      <c r="N55" s="10" t="str">
        <f t="shared" si="3"/>
        <v>أعادة الطلب</v>
      </c>
      <c r="O55" s="44">
        <v>170</v>
      </c>
      <c r="Q55" s="130" t="str">
        <v>اويل سيل كرنك امامى</v>
      </c>
      <c r="R55" s="135">
        <f>SUMIFS('تحليل مبيعات'!H:H,'تحليل مبيعات'!C:C,'حركة المخزن'!Q55,'تحليل مبيعات'!W:W,'حركة المخزن'!$R$6)</f>
        <v>0</v>
      </c>
      <c r="S55" s="136">
        <f>SUMIFS('تحليل مبيعات'!H:H,'تحليل مبيعات'!C:C,'حركة المخزن'!Q55,'تحليل مبيعات'!W:W,'حركة المخزن'!$S$6)</f>
        <v>0</v>
      </c>
      <c r="T55" s="136">
        <f>SUMIFS('تحليل مبيعات'!H:H,'تحليل مبيعات'!C:C,'حركة المخزن'!Q55,'تحليل مبيعات'!W:W,'حركة المخزن'!$T$6)</f>
        <v>0</v>
      </c>
      <c r="U55" s="136">
        <f>SUMIFS('تحليل مبيعات'!H:H,'تحليل مبيعات'!C:C,'حركة المخزن'!Q55,'تحليل مبيعات'!W:W,'حركة المخزن'!$U$6)</f>
        <v>0</v>
      </c>
      <c r="V55" s="136">
        <f>SUMIFS('تحليل مبيعات'!H:H,'تحليل مبيعات'!C:C,'حركة المخزن'!Q55,'تحليل مبيعات'!W:W,'حركة المخزن'!$V$6)</f>
        <v>0</v>
      </c>
      <c r="W55" s="136">
        <f>SUMIFS('تحليل مبيعات'!H:H,'تحليل مبيعات'!C:C,'حركة المخزن'!Q55,'تحليل مبيعات'!W:W,'حركة المخزن'!$W$6)</f>
        <v>0</v>
      </c>
      <c r="X55" s="136">
        <f>SUMIFS('تحليل مبيعات'!H:H,'تحليل مبيعات'!C:C,'حركة المخزن'!Q55,'تحليل مبيعات'!W:W,'حركة المخزن'!$X$6)</f>
        <v>5</v>
      </c>
      <c r="Y55" s="136">
        <f>SUMIFS('تحليل مبيعات'!H:H,'تحليل مبيعات'!C:C,'حركة المخزن'!Q55,'تحليل مبيعات'!W:W,'حركة المخزن'!$Y$6)</f>
        <v>0</v>
      </c>
      <c r="Z55" s="136">
        <f>SUMIFS('تحليل مبيعات'!H:H,'تحليل مبيعات'!C:C,'حركة المخزن'!Q55,'تحليل مبيعات'!W:W,'حركة المخزن'!$Z$6)</f>
        <v>0</v>
      </c>
      <c r="AA55" s="136">
        <f>SUMIFS('تحليل مبيعات'!H:H,'تحليل مبيعات'!C:C,'حركة المخزن'!Q55,'تحليل مبيعات'!W:W,'حركة المخزن'!$AA$6)</f>
        <v>0</v>
      </c>
      <c r="AB55" s="136">
        <f>SUMIFS('تحليل مبيعات'!H:H,'تحليل مبيعات'!C:C,'حركة المخزن'!Q55,'تحليل مبيعات'!W:W,'حركة المخزن'!$AB$6)</f>
        <v>0</v>
      </c>
      <c r="AC55" s="137">
        <f>SUMIFS('تحليل مبيعات'!H:H,'تحليل مبيعات'!C:C,'حركة المخزن'!Q55,'تحليل مبيعات'!W:W,'حركة المخزن'!$AC$6)</f>
        <v>0</v>
      </c>
      <c r="AD55" s="134">
        <f t="shared" si="4"/>
        <v>5</v>
      </c>
    </row>
    <row r="56" spans="2:30" ht="16.2" thickBot="1" x14ac:dyDescent="0.35">
      <c r="B56" s="70" t="s">
        <v>68</v>
      </c>
      <c r="C56" s="10" t="s">
        <v>317</v>
      </c>
      <c r="D56" s="10" t="s">
        <v>204</v>
      </c>
      <c r="E56" s="10">
        <v>5</v>
      </c>
      <c r="F56" s="10">
        <v>1000</v>
      </c>
      <c r="G56" s="10">
        <v>0</v>
      </c>
      <c r="H56" s="10">
        <v>0</v>
      </c>
      <c r="I56" s="10">
        <f>IFERROR(IF(SUMIF('تحليل مبيعات'!C:C, 'حركة المخزن'!B56, 'تحليل مبيعات'!H:H)=0,"",SUMIF('تحليل مبيعات'!C:C, 'حركة المخزن'!B56, 'تحليل مبيعات'!H:H)),"")</f>
        <v>7</v>
      </c>
      <c r="J56" s="10">
        <f>IFERROR(IF(SUMIF('تحليل مبيعات'!C:C, 'حركة المخزن'!B56, 'تحليل مبيعات'!L:L)=0,"",SUMIF('تحليل مبيعات'!C:C, 'حركة المخزن'!B56, 'تحليل مبيعات'!L:L)),"")</f>
        <v>655</v>
      </c>
      <c r="K56" s="10">
        <f t="shared" si="1"/>
        <v>-2</v>
      </c>
      <c r="L56" s="10">
        <f t="shared" si="2"/>
        <v>345</v>
      </c>
      <c r="M56" s="10">
        <v>5</v>
      </c>
      <c r="N56" s="10" t="str">
        <f t="shared" si="3"/>
        <v>أعادة الطلب</v>
      </c>
      <c r="O56" s="44">
        <v>175</v>
      </c>
      <c r="Q56" s="130" t="str">
        <v>كفه اكسرتير بدال</v>
      </c>
      <c r="R56" s="135">
        <f>SUMIFS('تحليل مبيعات'!H:H,'تحليل مبيعات'!C:C,'حركة المخزن'!Q56,'تحليل مبيعات'!W:W,'حركة المخزن'!$R$6)</f>
        <v>0</v>
      </c>
      <c r="S56" s="136">
        <f>SUMIFS('تحليل مبيعات'!H:H,'تحليل مبيعات'!C:C,'حركة المخزن'!Q56,'تحليل مبيعات'!W:W,'حركة المخزن'!$S$6)</f>
        <v>0</v>
      </c>
      <c r="T56" s="136">
        <f>SUMIFS('تحليل مبيعات'!H:H,'تحليل مبيعات'!C:C,'حركة المخزن'!Q56,'تحليل مبيعات'!W:W,'حركة المخزن'!$T$6)</f>
        <v>0</v>
      </c>
      <c r="U56" s="136">
        <f>SUMIFS('تحليل مبيعات'!H:H,'تحليل مبيعات'!C:C,'حركة المخزن'!Q56,'تحليل مبيعات'!W:W,'حركة المخزن'!$U$6)</f>
        <v>0</v>
      </c>
      <c r="V56" s="136">
        <f>SUMIFS('تحليل مبيعات'!H:H,'تحليل مبيعات'!C:C,'حركة المخزن'!Q56,'تحليل مبيعات'!W:W,'حركة المخزن'!$V$6)</f>
        <v>0</v>
      </c>
      <c r="W56" s="136">
        <f>SUMIFS('تحليل مبيعات'!H:H,'تحليل مبيعات'!C:C,'حركة المخزن'!Q56,'تحليل مبيعات'!W:W,'حركة المخزن'!$W$6)</f>
        <v>0</v>
      </c>
      <c r="X56" s="136">
        <f>SUMIFS('تحليل مبيعات'!H:H,'تحليل مبيعات'!C:C,'حركة المخزن'!Q56,'تحليل مبيعات'!W:W,'حركة المخزن'!$X$6)</f>
        <v>3</v>
      </c>
      <c r="Y56" s="136">
        <f>SUMIFS('تحليل مبيعات'!H:H,'تحليل مبيعات'!C:C,'حركة المخزن'!Q56,'تحليل مبيعات'!W:W,'حركة المخزن'!$Y$6)</f>
        <v>0</v>
      </c>
      <c r="Z56" s="136">
        <f>SUMIFS('تحليل مبيعات'!H:H,'تحليل مبيعات'!C:C,'حركة المخزن'!Q56,'تحليل مبيعات'!W:W,'حركة المخزن'!$Z$6)</f>
        <v>0</v>
      </c>
      <c r="AA56" s="136">
        <f>SUMIFS('تحليل مبيعات'!H:H,'تحليل مبيعات'!C:C,'حركة المخزن'!Q56,'تحليل مبيعات'!W:W,'حركة المخزن'!$AA$6)</f>
        <v>0</v>
      </c>
      <c r="AB56" s="136">
        <f>SUMIFS('تحليل مبيعات'!H:H,'تحليل مبيعات'!C:C,'حركة المخزن'!Q56,'تحليل مبيعات'!W:W,'حركة المخزن'!$AB$6)</f>
        <v>0</v>
      </c>
      <c r="AC56" s="137">
        <f>SUMIFS('تحليل مبيعات'!H:H,'تحليل مبيعات'!C:C,'حركة المخزن'!Q56,'تحليل مبيعات'!W:W,'حركة المخزن'!$AC$6)</f>
        <v>0</v>
      </c>
      <c r="AD56" s="134">
        <f t="shared" si="4"/>
        <v>3</v>
      </c>
    </row>
    <row r="57" spans="2:30" ht="16.2" thickBot="1" x14ac:dyDescent="0.35">
      <c r="B57" s="70" t="s">
        <v>77</v>
      </c>
      <c r="C57" s="10" t="s">
        <v>318</v>
      </c>
      <c r="D57" s="10" t="s">
        <v>204</v>
      </c>
      <c r="E57" s="145">
        <v>10</v>
      </c>
      <c r="F57" s="145">
        <v>10000</v>
      </c>
      <c r="G57" s="10">
        <v>0</v>
      </c>
      <c r="H57" s="10">
        <v>0</v>
      </c>
      <c r="I57" s="10">
        <f>IFERROR(IF(SUMIF('تحليل مبيعات'!C:C, 'حركة المخزن'!B57, 'تحليل مبيعات'!H:H)=0,"",SUMIF('تحليل مبيعات'!C:C, 'حركة المخزن'!B57, 'تحليل مبيعات'!H:H)),"")</f>
        <v>5</v>
      </c>
      <c r="J57" s="10">
        <f>IFERROR(IF(SUMIF('تحليل مبيعات'!C:C, 'حركة المخزن'!B57, 'تحليل مبيعات'!L:L)=0,"",SUMIF('تحليل مبيعات'!C:C, 'حركة المخزن'!B57, 'تحليل مبيعات'!L:L)),"")</f>
        <v>280</v>
      </c>
      <c r="K57" s="10">
        <f t="shared" si="1"/>
        <v>5</v>
      </c>
      <c r="L57" s="10">
        <f t="shared" si="2"/>
        <v>9720</v>
      </c>
      <c r="M57" s="10">
        <v>5</v>
      </c>
      <c r="N57" s="10" t="str">
        <f t="shared" si="3"/>
        <v>يوجد رصيد كافى</v>
      </c>
      <c r="O57" s="44">
        <v>180</v>
      </c>
      <c r="Q57" s="130" t="str">
        <v>لى شكمان</v>
      </c>
      <c r="R57" s="135">
        <f>SUMIFS('تحليل مبيعات'!H:H,'تحليل مبيعات'!C:C,'حركة المخزن'!Q57,'تحليل مبيعات'!W:W,'حركة المخزن'!$R$6)</f>
        <v>0</v>
      </c>
      <c r="S57" s="136">
        <f>SUMIFS('تحليل مبيعات'!H:H,'تحليل مبيعات'!C:C,'حركة المخزن'!Q57,'تحليل مبيعات'!W:W,'حركة المخزن'!$S$6)</f>
        <v>0</v>
      </c>
      <c r="T57" s="136">
        <f>SUMIFS('تحليل مبيعات'!H:H,'تحليل مبيعات'!C:C,'حركة المخزن'!Q57,'تحليل مبيعات'!W:W,'حركة المخزن'!$T$6)</f>
        <v>0</v>
      </c>
      <c r="U57" s="136">
        <f>SUMIFS('تحليل مبيعات'!H:H,'تحليل مبيعات'!C:C,'حركة المخزن'!Q57,'تحليل مبيعات'!W:W,'حركة المخزن'!$U$6)</f>
        <v>0</v>
      </c>
      <c r="V57" s="136">
        <f>SUMIFS('تحليل مبيعات'!H:H,'تحليل مبيعات'!C:C,'حركة المخزن'!Q57,'تحليل مبيعات'!W:W,'حركة المخزن'!$V$6)</f>
        <v>0</v>
      </c>
      <c r="W57" s="136">
        <f>SUMIFS('تحليل مبيعات'!H:H,'تحليل مبيعات'!C:C,'حركة المخزن'!Q57,'تحليل مبيعات'!W:W,'حركة المخزن'!$W$6)</f>
        <v>0</v>
      </c>
      <c r="X57" s="136">
        <f>SUMIFS('تحليل مبيعات'!H:H,'تحليل مبيعات'!C:C,'حركة المخزن'!Q57,'تحليل مبيعات'!W:W,'حركة المخزن'!$X$6)</f>
        <v>1</v>
      </c>
      <c r="Y57" s="136">
        <f>SUMIFS('تحليل مبيعات'!H:H,'تحليل مبيعات'!C:C,'حركة المخزن'!Q57,'تحليل مبيعات'!W:W,'حركة المخزن'!$Y$6)</f>
        <v>0</v>
      </c>
      <c r="Z57" s="136">
        <f>SUMIFS('تحليل مبيعات'!H:H,'تحليل مبيعات'!C:C,'حركة المخزن'!Q57,'تحليل مبيعات'!W:W,'حركة المخزن'!$Z$6)</f>
        <v>0</v>
      </c>
      <c r="AA57" s="136">
        <f>SUMIFS('تحليل مبيعات'!H:H,'تحليل مبيعات'!C:C,'حركة المخزن'!Q57,'تحليل مبيعات'!W:W,'حركة المخزن'!$AA$6)</f>
        <v>0</v>
      </c>
      <c r="AB57" s="136">
        <f>SUMIFS('تحليل مبيعات'!H:H,'تحليل مبيعات'!C:C,'حركة المخزن'!Q57,'تحليل مبيعات'!W:W,'حركة المخزن'!$AB$6)</f>
        <v>0</v>
      </c>
      <c r="AC57" s="137">
        <f>SUMIFS('تحليل مبيعات'!H:H,'تحليل مبيعات'!C:C,'حركة المخزن'!Q57,'تحليل مبيعات'!W:W,'حركة المخزن'!$AC$6)</f>
        <v>0</v>
      </c>
      <c r="AD57" s="134">
        <f t="shared" si="4"/>
        <v>1</v>
      </c>
    </row>
    <row r="58" spans="2:30" ht="16.2" thickBot="1" x14ac:dyDescent="0.35">
      <c r="B58" s="70" t="s">
        <v>69</v>
      </c>
      <c r="C58" s="10" t="s">
        <v>319</v>
      </c>
      <c r="D58" s="10" t="s">
        <v>204</v>
      </c>
      <c r="E58" s="145">
        <v>10</v>
      </c>
      <c r="F58" s="145">
        <v>10000</v>
      </c>
      <c r="G58" s="10">
        <v>0</v>
      </c>
      <c r="H58" s="10">
        <v>0</v>
      </c>
      <c r="I58" s="10">
        <f>IFERROR(IF(SUMIF('تحليل مبيعات'!C:C, 'حركة المخزن'!B58, 'تحليل مبيعات'!H:H)=0,"",SUMIF('تحليل مبيعات'!C:C, 'حركة المخزن'!B58, 'تحليل مبيعات'!H:H)),"")</f>
        <v>3</v>
      </c>
      <c r="J58" s="10">
        <f>IFERROR(IF(SUMIF('تحليل مبيعات'!C:C, 'حركة المخزن'!B58, 'تحليل مبيعات'!L:L)=0,"",SUMIF('تحليل مبيعات'!C:C, 'حركة المخزن'!B58, 'تحليل مبيعات'!L:L)),"")</f>
        <v>1050</v>
      </c>
      <c r="K58" s="10">
        <f t="shared" si="1"/>
        <v>7</v>
      </c>
      <c r="L58" s="10">
        <f t="shared" si="2"/>
        <v>8950</v>
      </c>
      <c r="M58" s="10">
        <v>5</v>
      </c>
      <c r="N58" s="10" t="str">
        <f t="shared" si="3"/>
        <v>يوجد رصيد كافى</v>
      </c>
      <c r="O58" s="44">
        <v>185</v>
      </c>
      <c r="Q58" s="130" t="str">
        <v>منفل شكمان</v>
      </c>
      <c r="R58" s="135">
        <f>SUMIFS('تحليل مبيعات'!H:H,'تحليل مبيعات'!C:C,'حركة المخزن'!Q58,'تحليل مبيعات'!W:W,'حركة المخزن'!$R$6)</f>
        <v>0</v>
      </c>
      <c r="S58" s="136">
        <f>SUMIFS('تحليل مبيعات'!H:H,'تحليل مبيعات'!C:C,'حركة المخزن'!Q58,'تحليل مبيعات'!W:W,'حركة المخزن'!$S$6)</f>
        <v>0</v>
      </c>
      <c r="T58" s="136">
        <f>SUMIFS('تحليل مبيعات'!H:H,'تحليل مبيعات'!C:C,'حركة المخزن'!Q58,'تحليل مبيعات'!W:W,'حركة المخزن'!$T$6)</f>
        <v>0</v>
      </c>
      <c r="U58" s="136">
        <f>SUMIFS('تحليل مبيعات'!H:H,'تحليل مبيعات'!C:C,'حركة المخزن'!Q58,'تحليل مبيعات'!W:W,'حركة المخزن'!$U$6)</f>
        <v>0</v>
      </c>
      <c r="V58" s="136">
        <f>SUMIFS('تحليل مبيعات'!H:H,'تحليل مبيعات'!C:C,'حركة المخزن'!Q58,'تحليل مبيعات'!W:W,'حركة المخزن'!$V$6)</f>
        <v>0</v>
      </c>
      <c r="W58" s="136">
        <f>SUMIFS('تحليل مبيعات'!H:H,'تحليل مبيعات'!C:C,'حركة المخزن'!Q58,'تحليل مبيعات'!W:W,'حركة المخزن'!$W$6)</f>
        <v>0</v>
      </c>
      <c r="X58" s="136">
        <f>SUMIFS('تحليل مبيعات'!H:H,'تحليل مبيعات'!C:C,'حركة المخزن'!Q58,'تحليل مبيعات'!W:W,'حركة المخزن'!$X$6)</f>
        <v>2</v>
      </c>
      <c r="Y58" s="136">
        <f>SUMIFS('تحليل مبيعات'!H:H,'تحليل مبيعات'!C:C,'حركة المخزن'!Q58,'تحليل مبيعات'!W:W,'حركة المخزن'!$Y$6)</f>
        <v>1</v>
      </c>
      <c r="Z58" s="136">
        <f>SUMIFS('تحليل مبيعات'!H:H,'تحليل مبيعات'!C:C,'حركة المخزن'!Q58,'تحليل مبيعات'!W:W,'حركة المخزن'!$Z$6)</f>
        <v>0</v>
      </c>
      <c r="AA58" s="136">
        <f>SUMIFS('تحليل مبيعات'!H:H,'تحليل مبيعات'!C:C,'حركة المخزن'!Q58,'تحليل مبيعات'!W:W,'حركة المخزن'!$AA$6)</f>
        <v>0</v>
      </c>
      <c r="AB58" s="136">
        <f>SUMIFS('تحليل مبيعات'!H:H,'تحليل مبيعات'!C:C,'حركة المخزن'!Q58,'تحليل مبيعات'!W:W,'حركة المخزن'!$AB$6)</f>
        <v>0</v>
      </c>
      <c r="AC58" s="137">
        <f>SUMIFS('تحليل مبيعات'!H:H,'تحليل مبيعات'!C:C,'حركة المخزن'!Q58,'تحليل مبيعات'!W:W,'حركة المخزن'!$AC$6)</f>
        <v>0</v>
      </c>
      <c r="AD58" s="134">
        <f t="shared" si="4"/>
        <v>3</v>
      </c>
    </row>
    <row r="59" spans="2:30" ht="16.2" thickBot="1" x14ac:dyDescent="0.35">
      <c r="B59" s="70" t="s">
        <v>70</v>
      </c>
      <c r="C59" s="10" t="s">
        <v>320</v>
      </c>
      <c r="D59" s="10" t="s">
        <v>204</v>
      </c>
      <c r="E59" s="145">
        <v>10</v>
      </c>
      <c r="F59" s="145">
        <v>10000</v>
      </c>
      <c r="G59" s="10">
        <v>0</v>
      </c>
      <c r="H59" s="10">
        <v>0</v>
      </c>
      <c r="I59" s="10">
        <f>IFERROR(IF(SUMIF('تحليل مبيعات'!C:C, 'حركة المخزن'!B59, 'تحليل مبيعات'!H:H)=0,"",SUMIF('تحليل مبيعات'!C:C, 'حركة المخزن'!B59, 'تحليل مبيعات'!H:H)),"")</f>
        <v>1</v>
      </c>
      <c r="J59" s="10">
        <f>IFERROR(IF(SUMIF('تحليل مبيعات'!C:C, 'حركة المخزن'!B59, 'تحليل مبيعات'!L:L)=0,"",SUMIF('تحليل مبيعات'!C:C, 'حركة المخزن'!B59, 'تحليل مبيعات'!L:L)),"")</f>
        <v>250</v>
      </c>
      <c r="K59" s="10">
        <f t="shared" si="1"/>
        <v>9</v>
      </c>
      <c r="L59" s="10">
        <f t="shared" si="2"/>
        <v>9750</v>
      </c>
      <c r="M59" s="10">
        <v>5</v>
      </c>
      <c r="N59" s="10" t="str">
        <f t="shared" si="3"/>
        <v>يوجد رصيد كافى</v>
      </c>
      <c r="O59" s="44">
        <v>190</v>
      </c>
      <c r="Q59" s="130" t="str">
        <v>زيت باكم  - فرامل- حجم صغير</v>
      </c>
      <c r="R59" s="135">
        <f>SUMIFS('تحليل مبيعات'!H:H,'تحليل مبيعات'!C:C,'حركة المخزن'!Q59,'تحليل مبيعات'!W:W,'حركة المخزن'!$R$6)</f>
        <v>0</v>
      </c>
      <c r="S59" s="136">
        <f>SUMIFS('تحليل مبيعات'!H:H,'تحليل مبيعات'!C:C,'حركة المخزن'!Q59,'تحليل مبيعات'!W:W,'حركة المخزن'!$S$6)</f>
        <v>0</v>
      </c>
      <c r="T59" s="136">
        <f>SUMIFS('تحليل مبيعات'!H:H,'تحليل مبيعات'!C:C,'حركة المخزن'!Q59,'تحليل مبيعات'!W:W,'حركة المخزن'!$T$6)</f>
        <v>0</v>
      </c>
      <c r="U59" s="136">
        <f>SUMIFS('تحليل مبيعات'!H:H,'تحليل مبيعات'!C:C,'حركة المخزن'!Q59,'تحليل مبيعات'!W:W,'حركة المخزن'!$U$6)</f>
        <v>0</v>
      </c>
      <c r="V59" s="136">
        <f>SUMIFS('تحليل مبيعات'!H:H,'تحليل مبيعات'!C:C,'حركة المخزن'!Q59,'تحليل مبيعات'!W:W,'حركة المخزن'!$V$6)</f>
        <v>0</v>
      </c>
      <c r="W59" s="136">
        <f>SUMIFS('تحليل مبيعات'!H:H,'تحليل مبيعات'!C:C,'حركة المخزن'!Q59,'تحليل مبيعات'!W:W,'حركة المخزن'!$W$6)</f>
        <v>0</v>
      </c>
      <c r="X59" s="136">
        <f>SUMIFS('تحليل مبيعات'!H:H,'تحليل مبيعات'!C:C,'حركة المخزن'!Q59,'تحليل مبيعات'!W:W,'حركة المخزن'!$X$6)</f>
        <v>9</v>
      </c>
      <c r="Y59" s="136">
        <f>SUMIFS('تحليل مبيعات'!H:H,'تحليل مبيعات'!C:C,'حركة المخزن'!Q59,'تحليل مبيعات'!W:W,'حركة المخزن'!$Y$6)</f>
        <v>0</v>
      </c>
      <c r="Z59" s="136">
        <f>SUMIFS('تحليل مبيعات'!H:H,'تحليل مبيعات'!C:C,'حركة المخزن'!Q59,'تحليل مبيعات'!W:W,'حركة المخزن'!$Z$6)</f>
        <v>0</v>
      </c>
      <c r="AA59" s="136">
        <f>SUMIFS('تحليل مبيعات'!H:H,'تحليل مبيعات'!C:C,'حركة المخزن'!Q59,'تحليل مبيعات'!W:W,'حركة المخزن'!$AA$6)</f>
        <v>0</v>
      </c>
      <c r="AB59" s="136">
        <f>SUMIFS('تحليل مبيعات'!H:H,'تحليل مبيعات'!C:C,'حركة المخزن'!Q59,'تحليل مبيعات'!W:W,'حركة المخزن'!$AB$6)</f>
        <v>0</v>
      </c>
      <c r="AC59" s="137">
        <f>SUMIFS('تحليل مبيعات'!H:H,'تحليل مبيعات'!C:C,'حركة المخزن'!Q59,'تحليل مبيعات'!W:W,'حركة المخزن'!$AC$6)</f>
        <v>0</v>
      </c>
      <c r="AD59" s="134">
        <f t="shared" si="4"/>
        <v>9</v>
      </c>
    </row>
    <row r="60" spans="2:30" ht="16.2" thickBot="1" x14ac:dyDescent="0.35">
      <c r="B60" s="70" t="s">
        <v>71</v>
      </c>
      <c r="C60" s="10" t="s">
        <v>321</v>
      </c>
      <c r="D60" s="10" t="s">
        <v>204</v>
      </c>
      <c r="E60" s="145">
        <v>10</v>
      </c>
      <c r="F60" s="145">
        <v>10000</v>
      </c>
      <c r="G60" s="10">
        <v>0</v>
      </c>
      <c r="H60" s="10">
        <v>0</v>
      </c>
      <c r="I60" s="10">
        <f>IFERROR(IF(SUMIF('تحليل مبيعات'!C:C, 'حركة المخزن'!B60, 'تحليل مبيعات'!H:H)=0,"",SUMIF('تحليل مبيعات'!C:C, 'حركة المخزن'!B60, 'تحليل مبيعات'!H:H)),"")</f>
        <v>3</v>
      </c>
      <c r="J60" s="10">
        <f>IFERROR(IF(SUMIF('تحليل مبيعات'!C:C, 'حركة المخزن'!B60, 'تحليل مبيعات'!L:L)=0,"",SUMIF('تحليل مبيعات'!C:C, 'حركة المخزن'!B60, 'تحليل مبيعات'!L:L)),"")</f>
        <v>450</v>
      </c>
      <c r="K60" s="10">
        <f t="shared" si="1"/>
        <v>7</v>
      </c>
      <c r="L60" s="10">
        <f t="shared" si="2"/>
        <v>9550</v>
      </c>
      <c r="M60" s="10">
        <v>5</v>
      </c>
      <c r="N60" s="10" t="str">
        <f t="shared" si="3"/>
        <v>يوجد رصيد كافى</v>
      </c>
      <c r="O60" s="44">
        <v>195</v>
      </c>
      <c r="Q60" s="130" t="str">
        <v>فانوس اشارة jimbe شمال</v>
      </c>
      <c r="R60" s="135">
        <f>SUMIFS('تحليل مبيعات'!H:H,'تحليل مبيعات'!C:C,'حركة المخزن'!Q60,'تحليل مبيعات'!W:W,'حركة المخزن'!$R$6)</f>
        <v>0</v>
      </c>
      <c r="S60" s="136">
        <f>SUMIFS('تحليل مبيعات'!H:H,'تحليل مبيعات'!C:C,'حركة المخزن'!Q60,'تحليل مبيعات'!W:W,'حركة المخزن'!$S$6)</f>
        <v>0</v>
      </c>
      <c r="T60" s="136">
        <f>SUMIFS('تحليل مبيعات'!H:H,'تحليل مبيعات'!C:C,'حركة المخزن'!Q60,'تحليل مبيعات'!W:W,'حركة المخزن'!$T$6)</f>
        <v>0</v>
      </c>
      <c r="U60" s="136">
        <f>SUMIFS('تحليل مبيعات'!H:H,'تحليل مبيعات'!C:C,'حركة المخزن'!Q60,'تحليل مبيعات'!W:W,'حركة المخزن'!$U$6)</f>
        <v>0</v>
      </c>
      <c r="V60" s="136">
        <f>SUMIFS('تحليل مبيعات'!H:H,'تحليل مبيعات'!C:C,'حركة المخزن'!Q60,'تحليل مبيعات'!W:W,'حركة المخزن'!$V$6)</f>
        <v>0</v>
      </c>
      <c r="W60" s="136">
        <f>SUMIFS('تحليل مبيعات'!H:H,'تحليل مبيعات'!C:C,'حركة المخزن'!Q60,'تحليل مبيعات'!W:W,'حركة المخزن'!$W$6)</f>
        <v>0</v>
      </c>
      <c r="X60" s="136">
        <f>SUMIFS('تحليل مبيعات'!H:H,'تحليل مبيعات'!C:C,'حركة المخزن'!Q60,'تحليل مبيعات'!W:W,'حركة المخزن'!$X$6)</f>
        <v>1</v>
      </c>
      <c r="Y60" s="136">
        <f>SUMIFS('تحليل مبيعات'!H:H,'تحليل مبيعات'!C:C,'حركة المخزن'!Q60,'تحليل مبيعات'!W:W,'حركة المخزن'!$Y$6)</f>
        <v>0</v>
      </c>
      <c r="Z60" s="136">
        <f>SUMIFS('تحليل مبيعات'!H:H,'تحليل مبيعات'!C:C,'حركة المخزن'!Q60,'تحليل مبيعات'!W:W,'حركة المخزن'!$Z$6)</f>
        <v>0</v>
      </c>
      <c r="AA60" s="136">
        <f>SUMIFS('تحليل مبيعات'!H:H,'تحليل مبيعات'!C:C,'حركة المخزن'!Q60,'تحليل مبيعات'!W:W,'حركة المخزن'!$AA$6)</f>
        <v>0</v>
      </c>
      <c r="AB60" s="136">
        <f>SUMIFS('تحليل مبيعات'!H:H,'تحليل مبيعات'!C:C,'حركة المخزن'!Q60,'تحليل مبيعات'!W:W,'حركة المخزن'!$AB$6)</f>
        <v>0</v>
      </c>
      <c r="AC60" s="137">
        <f>SUMIFS('تحليل مبيعات'!H:H,'تحليل مبيعات'!C:C,'حركة المخزن'!Q60,'تحليل مبيعات'!W:W,'حركة المخزن'!$AC$6)</f>
        <v>0</v>
      </c>
      <c r="AD60" s="134">
        <f t="shared" si="4"/>
        <v>1</v>
      </c>
    </row>
    <row r="61" spans="2:30" ht="16.2" thickBot="1" x14ac:dyDescent="0.35">
      <c r="B61" s="70" t="s">
        <v>75</v>
      </c>
      <c r="C61" s="10" t="s">
        <v>322</v>
      </c>
      <c r="D61" s="10" t="s">
        <v>204</v>
      </c>
      <c r="E61" s="145">
        <v>10</v>
      </c>
      <c r="F61" s="145">
        <v>10000</v>
      </c>
      <c r="G61" s="10">
        <v>0</v>
      </c>
      <c r="H61" s="10">
        <v>0</v>
      </c>
      <c r="I61" s="10">
        <f>IFERROR(IF(SUMIF('تحليل مبيعات'!C:C, 'حركة المخزن'!B61, 'تحليل مبيعات'!H:H)=0,"",SUMIF('تحليل مبيعات'!C:C, 'حركة المخزن'!B61, 'تحليل مبيعات'!H:H)),"")</f>
        <v>9</v>
      </c>
      <c r="J61" s="10">
        <f>IFERROR(IF(SUMIF('تحليل مبيعات'!C:C, 'حركة المخزن'!B61, 'تحليل مبيعات'!L:L)=0,"",SUMIF('تحليل مبيعات'!C:C, 'حركة المخزن'!B61, 'تحليل مبيعات'!L:L)),"")</f>
        <v>270</v>
      </c>
      <c r="K61" s="10">
        <f t="shared" si="1"/>
        <v>1</v>
      </c>
      <c r="L61" s="10">
        <f t="shared" si="2"/>
        <v>9730</v>
      </c>
      <c r="M61" s="10">
        <v>5</v>
      </c>
      <c r="N61" s="10" t="str">
        <f t="shared" si="3"/>
        <v>أعادة الطلب</v>
      </c>
      <c r="O61" s="44">
        <v>200</v>
      </c>
      <c r="Q61" s="130" t="str">
        <v>سلك اكسرتير</v>
      </c>
      <c r="R61" s="135">
        <f>SUMIFS('تحليل مبيعات'!H:H,'تحليل مبيعات'!C:C,'حركة المخزن'!Q61,'تحليل مبيعات'!W:W,'حركة المخزن'!$R$6)</f>
        <v>0</v>
      </c>
      <c r="S61" s="136">
        <f>SUMIFS('تحليل مبيعات'!H:H,'تحليل مبيعات'!C:C,'حركة المخزن'!Q61,'تحليل مبيعات'!W:W,'حركة المخزن'!$S$6)</f>
        <v>0</v>
      </c>
      <c r="T61" s="136">
        <f>SUMIFS('تحليل مبيعات'!H:H,'تحليل مبيعات'!C:C,'حركة المخزن'!Q61,'تحليل مبيعات'!W:W,'حركة المخزن'!$T$6)</f>
        <v>0</v>
      </c>
      <c r="U61" s="136">
        <f>SUMIFS('تحليل مبيعات'!H:H,'تحليل مبيعات'!C:C,'حركة المخزن'!Q61,'تحليل مبيعات'!W:W,'حركة المخزن'!$U$6)</f>
        <v>0</v>
      </c>
      <c r="V61" s="136">
        <f>SUMIFS('تحليل مبيعات'!H:H,'تحليل مبيعات'!C:C,'حركة المخزن'!Q61,'تحليل مبيعات'!W:W,'حركة المخزن'!$V$6)</f>
        <v>0</v>
      </c>
      <c r="W61" s="136">
        <f>SUMIFS('تحليل مبيعات'!H:H,'تحليل مبيعات'!C:C,'حركة المخزن'!Q61,'تحليل مبيعات'!W:W,'حركة المخزن'!$W$6)</f>
        <v>0</v>
      </c>
      <c r="X61" s="136">
        <f>SUMIFS('تحليل مبيعات'!H:H,'تحليل مبيعات'!C:C,'حركة المخزن'!Q61,'تحليل مبيعات'!W:W,'حركة المخزن'!$X$6)</f>
        <v>1</v>
      </c>
      <c r="Y61" s="136">
        <f>SUMIFS('تحليل مبيعات'!H:H,'تحليل مبيعات'!C:C,'حركة المخزن'!Q61,'تحليل مبيعات'!W:W,'حركة المخزن'!$Y$6)</f>
        <v>0</v>
      </c>
      <c r="Z61" s="136">
        <f>SUMIFS('تحليل مبيعات'!H:H,'تحليل مبيعات'!C:C,'حركة المخزن'!Q61,'تحليل مبيعات'!W:W,'حركة المخزن'!$Z$6)</f>
        <v>0</v>
      </c>
      <c r="AA61" s="136">
        <f>SUMIFS('تحليل مبيعات'!H:H,'تحليل مبيعات'!C:C,'حركة المخزن'!Q61,'تحليل مبيعات'!W:W,'حركة المخزن'!$AA$6)</f>
        <v>0</v>
      </c>
      <c r="AB61" s="136">
        <f>SUMIFS('تحليل مبيعات'!H:H,'تحليل مبيعات'!C:C,'حركة المخزن'!Q61,'تحليل مبيعات'!W:W,'حركة المخزن'!$AB$6)</f>
        <v>0</v>
      </c>
      <c r="AC61" s="137">
        <f>SUMIFS('تحليل مبيعات'!H:H,'تحليل مبيعات'!C:C,'حركة المخزن'!Q61,'تحليل مبيعات'!W:W,'حركة المخزن'!$AC$6)</f>
        <v>0</v>
      </c>
      <c r="AD61" s="134">
        <f t="shared" si="4"/>
        <v>1</v>
      </c>
    </row>
    <row r="62" spans="2:30" ht="16.2" thickBot="1" x14ac:dyDescent="0.35">
      <c r="B62" s="70" t="s">
        <v>119</v>
      </c>
      <c r="C62" s="10" t="s">
        <v>323</v>
      </c>
      <c r="D62" s="10" t="s">
        <v>204</v>
      </c>
      <c r="E62" s="145">
        <v>10</v>
      </c>
      <c r="F62" s="145">
        <v>10000</v>
      </c>
      <c r="G62" s="10">
        <v>0</v>
      </c>
      <c r="H62" s="10">
        <v>0</v>
      </c>
      <c r="I62" s="10">
        <f>IFERROR(IF(SUMIF('تحليل مبيعات'!C:C, 'حركة المخزن'!B62, 'تحليل مبيعات'!H:H)=0,"",SUMIF('تحليل مبيعات'!C:C, 'حركة المخزن'!B62, 'تحليل مبيعات'!H:H)),"")</f>
        <v>1</v>
      </c>
      <c r="J62" s="10">
        <f>IFERROR(IF(SUMIF('تحليل مبيعات'!C:C, 'حركة المخزن'!B62, 'تحليل مبيعات'!L:L)=0,"",SUMIF('تحليل مبيعات'!C:C, 'حركة المخزن'!B62, 'تحليل مبيعات'!L:L)),"")</f>
        <v>260</v>
      </c>
      <c r="K62" s="10">
        <f t="shared" si="1"/>
        <v>9</v>
      </c>
      <c r="L62" s="10">
        <f t="shared" si="2"/>
        <v>9740</v>
      </c>
      <c r="M62" s="10">
        <v>5</v>
      </c>
      <c r="N62" s="10" t="str">
        <f t="shared" si="3"/>
        <v>يوجد رصيد كافى</v>
      </c>
      <c r="O62" s="44">
        <v>251</v>
      </c>
      <c r="Q62" s="130" t="str">
        <v>14/5/114 جنط سبور صينى تويوتا غاطس</v>
      </c>
      <c r="R62" s="135">
        <f>SUMIFS('تحليل مبيعات'!H:H,'تحليل مبيعات'!C:C,'حركة المخزن'!Q62,'تحليل مبيعات'!W:W,'حركة المخزن'!$R$6)</f>
        <v>0</v>
      </c>
      <c r="S62" s="136">
        <f>SUMIFS('تحليل مبيعات'!H:H,'تحليل مبيعات'!C:C,'حركة المخزن'!Q62,'تحليل مبيعات'!W:W,'حركة المخزن'!$S$6)</f>
        <v>0</v>
      </c>
      <c r="T62" s="136">
        <f>SUMIFS('تحليل مبيعات'!H:H,'تحليل مبيعات'!C:C,'حركة المخزن'!Q62,'تحليل مبيعات'!W:W,'حركة المخزن'!$T$6)</f>
        <v>0</v>
      </c>
      <c r="U62" s="136">
        <f>SUMIFS('تحليل مبيعات'!H:H,'تحليل مبيعات'!C:C,'حركة المخزن'!Q62,'تحليل مبيعات'!W:W,'حركة المخزن'!$U$6)</f>
        <v>0</v>
      </c>
      <c r="V62" s="136">
        <f>SUMIFS('تحليل مبيعات'!H:H,'تحليل مبيعات'!C:C,'حركة المخزن'!Q62,'تحليل مبيعات'!W:W,'حركة المخزن'!$V$6)</f>
        <v>0</v>
      </c>
      <c r="W62" s="136">
        <f>SUMIFS('تحليل مبيعات'!H:H,'تحليل مبيعات'!C:C,'حركة المخزن'!Q62,'تحليل مبيعات'!W:W,'حركة المخزن'!$W$6)</f>
        <v>0</v>
      </c>
      <c r="X62" s="136">
        <f>SUMIFS('تحليل مبيعات'!H:H,'تحليل مبيعات'!C:C,'حركة المخزن'!Q62,'تحليل مبيعات'!W:W,'حركة المخزن'!$X$6)</f>
        <v>4</v>
      </c>
      <c r="Y62" s="136">
        <f>SUMIFS('تحليل مبيعات'!H:H,'تحليل مبيعات'!C:C,'حركة المخزن'!Q62,'تحليل مبيعات'!W:W,'حركة المخزن'!$Y$6)</f>
        <v>0</v>
      </c>
      <c r="Z62" s="136">
        <f>SUMIFS('تحليل مبيعات'!H:H,'تحليل مبيعات'!C:C,'حركة المخزن'!Q62,'تحليل مبيعات'!W:W,'حركة المخزن'!$Z$6)</f>
        <v>0</v>
      </c>
      <c r="AA62" s="136">
        <f>SUMIFS('تحليل مبيعات'!H:H,'تحليل مبيعات'!C:C,'حركة المخزن'!Q62,'تحليل مبيعات'!W:W,'حركة المخزن'!$AA$6)</f>
        <v>0</v>
      </c>
      <c r="AB62" s="136">
        <f>SUMIFS('تحليل مبيعات'!H:H,'تحليل مبيعات'!C:C,'حركة المخزن'!Q62,'تحليل مبيعات'!W:W,'حركة المخزن'!$AB$6)</f>
        <v>0</v>
      </c>
      <c r="AC62" s="137">
        <f>SUMIFS('تحليل مبيعات'!H:H,'تحليل مبيعات'!C:C,'حركة المخزن'!Q62,'تحليل مبيعات'!W:W,'حركة المخزن'!$AC$6)</f>
        <v>0</v>
      </c>
      <c r="AD62" s="134">
        <f t="shared" si="4"/>
        <v>4</v>
      </c>
    </row>
    <row r="63" spans="2:30" ht="16.2" thickBot="1" x14ac:dyDescent="0.35">
      <c r="B63" s="70" t="s">
        <v>78</v>
      </c>
      <c r="C63" s="10" t="s">
        <v>324</v>
      </c>
      <c r="D63" s="10" t="s">
        <v>204</v>
      </c>
      <c r="E63" s="145">
        <v>10</v>
      </c>
      <c r="F63" s="145">
        <v>10000</v>
      </c>
      <c r="G63" s="10">
        <v>0</v>
      </c>
      <c r="H63" s="10">
        <v>0</v>
      </c>
      <c r="I63" s="10">
        <f>IFERROR(IF(SUMIF('تحليل مبيعات'!C:C, 'حركة المخزن'!B63, 'تحليل مبيعات'!H:H)=0,"",SUMIF('تحليل مبيعات'!C:C, 'حركة المخزن'!B63, 'تحليل مبيعات'!H:H)),"")</f>
        <v>1</v>
      </c>
      <c r="J63" s="10">
        <f>IFERROR(IF(SUMIF('تحليل مبيعات'!C:C, 'حركة المخزن'!B63, 'تحليل مبيعات'!L:L)=0,"",SUMIF('تحليل مبيعات'!C:C, 'حركة المخزن'!B63, 'تحليل مبيعات'!L:L)),"")</f>
        <v>200</v>
      </c>
      <c r="K63" s="10">
        <f t="shared" si="1"/>
        <v>9</v>
      </c>
      <c r="L63" s="10">
        <f t="shared" si="2"/>
        <v>9800</v>
      </c>
      <c r="M63" s="10">
        <v>5</v>
      </c>
      <c r="N63" s="10" t="str">
        <f t="shared" si="3"/>
        <v>يوجد رصيد كافى</v>
      </c>
      <c r="O63" s="44">
        <v>55</v>
      </c>
      <c r="Q63" s="130" t="str">
        <v>رداتير جان بى</v>
      </c>
      <c r="R63" s="135">
        <f>SUMIFS('تحليل مبيعات'!H:H,'تحليل مبيعات'!C:C,'حركة المخزن'!Q63,'تحليل مبيعات'!W:W,'حركة المخزن'!$R$6)</f>
        <v>0</v>
      </c>
      <c r="S63" s="136">
        <f>SUMIFS('تحليل مبيعات'!H:H,'تحليل مبيعات'!C:C,'حركة المخزن'!Q63,'تحليل مبيعات'!W:W,'حركة المخزن'!$S$6)</f>
        <v>0</v>
      </c>
      <c r="T63" s="136">
        <f>SUMIFS('تحليل مبيعات'!H:H,'تحليل مبيعات'!C:C,'حركة المخزن'!Q63,'تحليل مبيعات'!W:W,'حركة المخزن'!$T$6)</f>
        <v>0</v>
      </c>
      <c r="U63" s="136">
        <f>SUMIFS('تحليل مبيعات'!H:H,'تحليل مبيعات'!C:C,'حركة المخزن'!Q63,'تحليل مبيعات'!W:W,'حركة المخزن'!$U$6)</f>
        <v>0</v>
      </c>
      <c r="V63" s="136">
        <f>SUMIFS('تحليل مبيعات'!H:H,'تحليل مبيعات'!C:C,'حركة المخزن'!Q63,'تحليل مبيعات'!W:W,'حركة المخزن'!$V$6)</f>
        <v>0</v>
      </c>
      <c r="W63" s="136">
        <f>SUMIFS('تحليل مبيعات'!H:H,'تحليل مبيعات'!C:C,'حركة المخزن'!Q63,'تحليل مبيعات'!W:W,'حركة المخزن'!$W$6)</f>
        <v>0</v>
      </c>
      <c r="X63" s="136">
        <f>SUMIFS('تحليل مبيعات'!H:H,'تحليل مبيعات'!C:C,'حركة المخزن'!Q63,'تحليل مبيعات'!W:W,'حركة المخزن'!$X$6)</f>
        <v>1</v>
      </c>
      <c r="Y63" s="136">
        <f>SUMIFS('تحليل مبيعات'!H:H,'تحليل مبيعات'!C:C,'حركة المخزن'!Q63,'تحليل مبيعات'!W:W,'حركة المخزن'!$Y$6)</f>
        <v>0</v>
      </c>
      <c r="Z63" s="136">
        <f>SUMIFS('تحليل مبيعات'!H:H,'تحليل مبيعات'!C:C,'حركة المخزن'!Q63,'تحليل مبيعات'!W:W,'حركة المخزن'!$Z$6)</f>
        <v>0</v>
      </c>
      <c r="AA63" s="136">
        <f>SUMIFS('تحليل مبيعات'!H:H,'تحليل مبيعات'!C:C,'حركة المخزن'!Q63,'تحليل مبيعات'!W:W,'حركة المخزن'!$AA$6)</f>
        <v>0</v>
      </c>
      <c r="AB63" s="136">
        <f>SUMIFS('تحليل مبيعات'!H:H,'تحليل مبيعات'!C:C,'حركة المخزن'!Q63,'تحليل مبيعات'!W:W,'حركة المخزن'!$AB$6)</f>
        <v>0</v>
      </c>
      <c r="AC63" s="137">
        <f>SUMIFS('تحليل مبيعات'!H:H,'تحليل مبيعات'!C:C,'حركة المخزن'!Q63,'تحليل مبيعات'!W:W,'حركة المخزن'!$AC$6)</f>
        <v>0</v>
      </c>
      <c r="AD63" s="134">
        <f t="shared" si="4"/>
        <v>1</v>
      </c>
    </row>
    <row r="64" spans="2:30" ht="16.2" thickBot="1" x14ac:dyDescent="0.35">
      <c r="B64" s="70" t="s">
        <v>85</v>
      </c>
      <c r="C64" s="10" t="s">
        <v>325</v>
      </c>
      <c r="D64" s="10" t="s">
        <v>204</v>
      </c>
      <c r="E64" s="145">
        <v>10</v>
      </c>
      <c r="F64" s="145">
        <v>10000</v>
      </c>
      <c r="G64" s="10">
        <v>0</v>
      </c>
      <c r="H64" s="10">
        <v>0</v>
      </c>
      <c r="I64" s="10">
        <f>IFERROR(IF(SUMIF('تحليل مبيعات'!C:C, 'حركة المخزن'!B64, 'تحليل مبيعات'!H:H)=0,"",SUMIF('تحليل مبيعات'!C:C, 'حركة المخزن'!B64, 'تحليل مبيعات'!H:H)),"")</f>
        <v>1</v>
      </c>
      <c r="J64" s="10">
        <f>IFERROR(IF(SUMIF('تحليل مبيعات'!C:C, 'حركة المخزن'!B64, 'تحليل مبيعات'!L:L)=0,"",SUMIF('تحليل مبيعات'!C:C, 'حركة المخزن'!B64, 'تحليل مبيعات'!L:L)),"")</f>
        <v>2450</v>
      </c>
      <c r="K64" s="10">
        <f t="shared" si="1"/>
        <v>9</v>
      </c>
      <c r="L64" s="10">
        <f t="shared" si="2"/>
        <v>7550</v>
      </c>
      <c r="M64" s="10">
        <v>5</v>
      </c>
      <c r="N64" s="10" t="str">
        <f t="shared" si="3"/>
        <v>يوجد رصيد كافى</v>
      </c>
      <c r="O64" s="44">
        <v>5</v>
      </c>
      <c r="Q64" s="130" t="str">
        <v>كوستبان</v>
      </c>
      <c r="R64" s="135">
        <f>SUMIFS('تحليل مبيعات'!H:H,'تحليل مبيعات'!C:C,'حركة المخزن'!Q64,'تحليل مبيعات'!W:W,'حركة المخزن'!$R$6)</f>
        <v>0</v>
      </c>
      <c r="S64" s="136">
        <f>SUMIFS('تحليل مبيعات'!H:H,'تحليل مبيعات'!C:C,'حركة المخزن'!Q64,'تحليل مبيعات'!W:W,'حركة المخزن'!$S$6)</f>
        <v>0</v>
      </c>
      <c r="T64" s="136">
        <f>SUMIFS('تحليل مبيعات'!H:H,'تحليل مبيعات'!C:C,'حركة المخزن'!Q64,'تحليل مبيعات'!W:W,'حركة المخزن'!$T$6)</f>
        <v>0</v>
      </c>
      <c r="U64" s="136">
        <f>SUMIFS('تحليل مبيعات'!H:H,'تحليل مبيعات'!C:C,'حركة المخزن'!Q64,'تحليل مبيعات'!W:W,'حركة المخزن'!$U$6)</f>
        <v>0</v>
      </c>
      <c r="V64" s="136">
        <f>SUMIFS('تحليل مبيعات'!H:H,'تحليل مبيعات'!C:C,'حركة المخزن'!Q64,'تحليل مبيعات'!W:W,'حركة المخزن'!$V$6)</f>
        <v>0</v>
      </c>
      <c r="W64" s="136">
        <f>SUMIFS('تحليل مبيعات'!H:H,'تحليل مبيعات'!C:C,'حركة المخزن'!Q64,'تحليل مبيعات'!W:W,'حركة المخزن'!$W$6)</f>
        <v>0</v>
      </c>
      <c r="X64" s="136">
        <f>SUMIFS('تحليل مبيعات'!H:H,'تحليل مبيعات'!C:C,'حركة المخزن'!Q64,'تحليل مبيعات'!W:W,'حركة المخزن'!$X$6)</f>
        <v>1</v>
      </c>
      <c r="Y64" s="136">
        <f>SUMIFS('تحليل مبيعات'!H:H,'تحليل مبيعات'!C:C,'حركة المخزن'!Q64,'تحليل مبيعات'!W:W,'حركة المخزن'!$Y$6)</f>
        <v>0</v>
      </c>
      <c r="Z64" s="136">
        <f>SUMIFS('تحليل مبيعات'!H:H,'تحليل مبيعات'!C:C,'حركة المخزن'!Q64,'تحليل مبيعات'!W:W,'حركة المخزن'!$Z$6)</f>
        <v>0</v>
      </c>
      <c r="AA64" s="136">
        <f>SUMIFS('تحليل مبيعات'!H:H,'تحليل مبيعات'!C:C,'حركة المخزن'!Q64,'تحليل مبيعات'!W:W,'حركة المخزن'!$AA$6)</f>
        <v>0</v>
      </c>
      <c r="AB64" s="136">
        <f>SUMIFS('تحليل مبيعات'!H:H,'تحليل مبيعات'!C:C,'حركة المخزن'!Q64,'تحليل مبيعات'!W:W,'حركة المخزن'!$AB$6)</f>
        <v>0</v>
      </c>
      <c r="AC64" s="137">
        <f>SUMIFS('تحليل مبيعات'!H:H,'تحليل مبيعات'!C:C,'حركة المخزن'!Q64,'تحليل مبيعات'!W:W,'حركة المخزن'!$AC$6)</f>
        <v>0</v>
      </c>
      <c r="AD64" s="134">
        <f t="shared" si="4"/>
        <v>1</v>
      </c>
    </row>
    <row r="65" spans="2:30" ht="16.2" thickBot="1" x14ac:dyDescent="0.35">
      <c r="B65" s="70" t="s">
        <v>86</v>
      </c>
      <c r="C65" s="10" t="s">
        <v>326</v>
      </c>
      <c r="D65" s="10" t="s">
        <v>204</v>
      </c>
      <c r="E65" s="145">
        <v>10</v>
      </c>
      <c r="F65" s="145">
        <v>10000</v>
      </c>
      <c r="G65" s="10">
        <v>0</v>
      </c>
      <c r="H65" s="10">
        <v>0</v>
      </c>
      <c r="I65" s="10">
        <f>IFERROR(IF(SUMIF('تحليل مبيعات'!C:C, 'حركة المخزن'!B65, 'تحليل مبيعات'!H:H)=0,"",SUMIF('تحليل مبيعات'!C:C, 'حركة المخزن'!B65, 'تحليل مبيعات'!H:H)),"")</f>
        <v>1</v>
      </c>
      <c r="J65" s="10">
        <f>IFERROR(IF(SUMIF('تحليل مبيعات'!C:C, 'حركة المخزن'!B65, 'تحليل مبيعات'!L:L)=0,"",SUMIF('تحليل مبيعات'!C:C, 'حركة المخزن'!B65, 'تحليل مبيعات'!L:L)),"")</f>
        <v>150</v>
      </c>
      <c r="K65" s="10">
        <f t="shared" si="1"/>
        <v>9</v>
      </c>
      <c r="L65" s="10">
        <f t="shared" si="2"/>
        <v>9850</v>
      </c>
      <c r="M65" s="10">
        <v>5</v>
      </c>
      <c r="N65" s="10" t="str">
        <f t="shared" si="3"/>
        <v>يوجد رصيد كافى</v>
      </c>
      <c r="O65" s="44">
        <v>455</v>
      </c>
      <c r="Q65" s="130" t="str">
        <v xml:space="preserve">سير مشرشر 13*1050 </v>
      </c>
      <c r="R65" s="135">
        <f>SUMIFS('تحليل مبيعات'!H:H,'تحليل مبيعات'!C:C,'حركة المخزن'!Q65,'تحليل مبيعات'!W:W,'حركة المخزن'!$R$6)</f>
        <v>0</v>
      </c>
      <c r="S65" s="136">
        <f>SUMIFS('تحليل مبيعات'!H:H,'تحليل مبيعات'!C:C,'حركة المخزن'!Q65,'تحليل مبيعات'!W:W,'حركة المخزن'!$S$6)</f>
        <v>0</v>
      </c>
      <c r="T65" s="136">
        <f>SUMIFS('تحليل مبيعات'!H:H,'تحليل مبيعات'!C:C,'حركة المخزن'!Q65,'تحليل مبيعات'!W:W,'حركة المخزن'!$T$6)</f>
        <v>0</v>
      </c>
      <c r="U65" s="136">
        <f>SUMIFS('تحليل مبيعات'!H:H,'تحليل مبيعات'!C:C,'حركة المخزن'!Q65,'تحليل مبيعات'!W:W,'حركة المخزن'!$U$6)</f>
        <v>0</v>
      </c>
      <c r="V65" s="136">
        <f>SUMIFS('تحليل مبيعات'!H:H,'تحليل مبيعات'!C:C,'حركة المخزن'!Q65,'تحليل مبيعات'!W:W,'حركة المخزن'!$V$6)</f>
        <v>0</v>
      </c>
      <c r="W65" s="136">
        <f>SUMIFS('تحليل مبيعات'!H:H,'تحليل مبيعات'!C:C,'حركة المخزن'!Q65,'تحليل مبيعات'!W:W,'حركة المخزن'!$W$6)</f>
        <v>0</v>
      </c>
      <c r="X65" s="136">
        <f>SUMIFS('تحليل مبيعات'!H:H,'تحليل مبيعات'!C:C,'حركة المخزن'!Q65,'تحليل مبيعات'!W:W,'حركة المخزن'!$X$6)</f>
        <v>1</v>
      </c>
      <c r="Y65" s="136">
        <f>SUMIFS('تحليل مبيعات'!H:H,'تحليل مبيعات'!C:C,'حركة المخزن'!Q65,'تحليل مبيعات'!W:W,'حركة المخزن'!$Y$6)</f>
        <v>0</v>
      </c>
      <c r="Z65" s="136">
        <f>SUMIFS('تحليل مبيعات'!H:H,'تحليل مبيعات'!C:C,'حركة المخزن'!Q65,'تحليل مبيعات'!W:W,'حركة المخزن'!$Z$6)</f>
        <v>0</v>
      </c>
      <c r="AA65" s="136">
        <f>SUMIFS('تحليل مبيعات'!H:H,'تحليل مبيعات'!C:C,'حركة المخزن'!Q65,'تحليل مبيعات'!W:W,'حركة المخزن'!$AA$6)</f>
        <v>0</v>
      </c>
      <c r="AB65" s="136">
        <f>SUMIFS('تحليل مبيعات'!H:H,'تحليل مبيعات'!C:C,'حركة المخزن'!Q65,'تحليل مبيعات'!W:W,'حركة المخزن'!$AB$6)</f>
        <v>0</v>
      </c>
      <c r="AC65" s="137">
        <f>SUMIFS('تحليل مبيعات'!H:H,'تحليل مبيعات'!C:C,'حركة المخزن'!Q65,'تحليل مبيعات'!W:W,'حركة المخزن'!$AC$6)</f>
        <v>0</v>
      </c>
      <c r="AD65" s="134">
        <f t="shared" si="4"/>
        <v>1</v>
      </c>
    </row>
    <row r="66" spans="2:30" ht="16.2" thickBot="1" x14ac:dyDescent="0.35">
      <c r="B66" s="70" t="s">
        <v>87</v>
      </c>
      <c r="C66" s="10" t="s">
        <v>327</v>
      </c>
      <c r="D66" s="10" t="s">
        <v>204</v>
      </c>
      <c r="E66" s="145">
        <v>10</v>
      </c>
      <c r="F66" s="145">
        <v>10000</v>
      </c>
      <c r="G66" s="10">
        <v>0</v>
      </c>
      <c r="H66" s="10">
        <v>0</v>
      </c>
      <c r="I66" s="10">
        <f>IFERROR(IF(SUMIF('تحليل مبيعات'!C:C, 'حركة المخزن'!B66, 'تحليل مبيعات'!H:H)=0,"",SUMIF('تحليل مبيعات'!C:C, 'حركة المخزن'!B66, 'تحليل مبيعات'!H:H)),"")</f>
        <v>5</v>
      </c>
      <c r="J66" s="10">
        <f>IFERROR(IF(SUMIF('تحليل مبيعات'!C:C, 'حركة المخزن'!B66, 'تحليل مبيعات'!L:L)=0,"",SUMIF('تحليل مبيعات'!C:C, 'حركة المخزن'!B66, 'تحليل مبيعات'!L:L)),"")</f>
        <v>1290</v>
      </c>
      <c r="K66" s="10">
        <f t="shared" si="1"/>
        <v>5</v>
      </c>
      <c r="L66" s="10">
        <f t="shared" si="2"/>
        <v>8710</v>
      </c>
      <c r="M66" s="10">
        <v>5</v>
      </c>
      <c r="N66" s="10" t="str">
        <f t="shared" si="3"/>
        <v>يوجد رصيد كافى</v>
      </c>
      <c r="O66" s="44">
        <v>54</v>
      </c>
      <c r="Q66" s="130" t="str">
        <v>سلك بوجيهات جان بى</v>
      </c>
      <c r="R66" s="135">
        <f>SUMIFS('تحليل مبيعات'!H:H,'تحليل مبيعات'!C:C,'حركة المخزن'!Q66,'تحليل مبيعات'!W:W,'حركة المخزن'!$R$6)</f>
        <v>0</v>
      </c>
      <c r="S66" s="136">
        <f>SUMIFS('تحليل مبيعات'!H:H,'تحليل مبيعات'!C:C,'حركة المخزن'!Q66,'تحليل مبيعات'!W:W,'حركة المخزن'!$S$6)</f>
        <v>0</v>
      </c>
      <c r="T66" s="136">
        <f>SUMIFS('تحليل مبيعات'!H:H,'تحليل مبيعات'!C:C,'حركة المخزن'!Q66,'تحليل مبيعات'!W:W,'حركة المخزن'!$T$6)</f>
        <v>0</v>
      </c>
      <c r="U66" s="136">
        <f>SUMIFS('تحليل مبيعات'!H:H,'تحليل مبيعات'!C:C,'حركة المخزن'!Q66,'تحليل مبيعات'!W:W,'حركة المخزن'!$U$6)</f>
        <v>0</v>
      </c>
      <c r="V66" s="136">
        <f>SUMIFS('تحليل مبيعات'!H:H,'تحليل مبيعات'!C:C,'حركة المخزن'!Q66,'تحليل مبيعات'!W:W,'حركة المخزن'!$V$6)</f>
        <v>0</v>
      </c>
      <c r="W66" s="136">
        <f>SUMIFS('تحليل مبيعات'!H:H,'تحليل مبيعات'!C:C,'حركة المخزن'!Q66,'تحليل مبيعات'!W:W,'حركة المخزن'!$W$6)</f>
        <v>0</v>
      </c>
      <c r="X66" s="136">
        <f>SUMIFS('تحليل مبيعات'!H:H,'تحليل مبيعات'!C:C,'حركة المخزن'!Q66,'تحليل مبيعات'!W:W,'حركة المخزن'!$X$6)</f>
        <v>5</v>
      </c>
      <c r="Y66" s="136">
        <f>SUMIFS('تحليل مبيعات'!H:H,'تحليل مبيعات'!C:C,'حركة المخزن'!Q66,'تحليل مبيعات'!W:W,'حركة المخزن'!$Y$6)</f>
        <v>0</v>
      </c>
      <c r="Z66" s="136">
        <f>SUMIFS('تحليل مبيعات'!H:H,'تحليل مبيعات'!C:C,'حركة المخزن'!Q66,'تحليل مبيعات'!W:W,'حركة المخزن'!$Z$6)</f>
        <v>0</v>
      </c>
      <c r="AA66" s="136">
        <f>SUMIFS('تحليل مبيعات'!H:H,'تحليل مبيعات'!C:C,'حركة المخزن'!Q66,'تحليل مبيعات'!W:W,'حركة المخزن'!$AA$6)</f>
        <v>0</v>
      </c>
      <c r="AB66" s="136">
        <f>SUMIFS('تحليل مبيعات'!H:H,'تحليل مبيعات'!C:C,'حركة المخزن'!Q66,'تحليل مبيعات'!W:W,'حركة المخزن'!$AB$6)</f>
        <v>0</v>
      </c>
      <c r="AC66" s="137">
        <f>SUMIFS('تحليل مبيعات'!H:H,'تحليل مبيعات'!C:C,'حركة المخزن'!Q66,'تحليل مبيعات'!W:W,'حركة المخزن'!$AC$6)</f>
        <v>0</v>
      </c>
      <c r="AD66" s="134">
        <f t="shared" si="4"/>
        <v>5</v>
      </c>
    </row>
    <row r="67" spans="2:30" ht="16.2" thickBot="1" x14ac:dyDescent="0.35">
      <c r="B67" s="70" t="s">
        <v>148</v>
      </c>
      <c r="C67" s="10" t="s">
        <v>328</v>
      </c>
      <c r="D67" s="10" t="s">
        <v>204</v>
      </c>
      <c r="E67" s="145">
        <v>10</v>
      </c>
      <c r="F67" s="145">
        <v>10000</v>
      </c>
      <c r="G67" s="10">
        <v>0</v>
      </c>
      <c r="H67" s="10">
        <v>0</v>
      </c>
      <c r="I67" s="10">
        <f>IFERROR(IF(SUMIF('تحليل مبيعات'!C:C, 'حركة المخزن'!B67, 'تحليل مبيعات'!H:H)=0,"",SUMIF('تحليل مبيعات'!C:C, 'حركة المخزن'!B67, 'تحليل مبيعات'!H:H)),"")</f>
        <v>9</v>
      </c>
      <c r="J67" s="10">
        <f>IFERROR(IF(SUMIF('تحليل مبيعات'!C:C, 'حركة المخزن'!B67, 'تحليل مبيعات'!L:L)=0,"",SUMIF('تحليل مبيعات'!C:C, 'حركة المخزن'!B67, 'تحليل مبيعات'!L:L)),"")</f>
        <v>860</v>
      </c>
      <c r="K67" s="10">
        <f t="shared" si="1"/>
        <v>1</v>
      </c>
      <c r="L67" s="10">
        <f t="shared" si="2"/>
        <v>9140</v>
      </c>
      <c r="M67" s="10">
        <v>5</v>
      </c>
      <c r="N67" s="10" t="str">
        <f t="shared" si="3"/>
        <v>أعادة الطلب</v>
      </c>
      <c r="O67" s="44">
        <v>5</v>
      </c>
      <c r="Q67" s="130" t="str">
        <v>فانوس اشارة شوقى</v>
      </c>
      <c r="R67" s="135">
        <f>SUMIFS('تحليل مبيعات'!H:H,'تحليل مبيعات'!C:C,'حركة المخزن'!Q67,'تحليل مبيعات'!W:W,'حركة المخزن'!$R$6)</f>
        <v>0</v>
      </c>
      <c r="S67" s="136">
        <f>SUMIFS('تحليل مبيعات'!H:H,'تحليل مبيعات'!C:C,'حركة المخزن'!Q67,'تحليل مبيعات'!W:W,'حركة المخزن'!$S$6)</f>
        <v>0</v>
      </c>
      <c r="T67" s="136">
        <f>SUMIFS('تحليل مبيعات'!H:H,'تحليل مبيعات'!C:C,'حركة المخزن'!Q67,'تحليل مبيعات'!W:W,'حركة المخزن'!$T$6)</f>
        <v>0</v>
      </c>
      <c r="U67" s="136">
        <f>SUMIFS('تحليل مبيعات'!H:H,'تحليل مبيعات'!C:C,'حركة المخزن'!Q67,'تحليل مبيعات'!W:W,'حركة المخزن'!$U$6)</f>
        <v>0</v>
      </c>
      <c r="V67" s="136">
        <f>SUMIFS('تحليل مبيعات'!H:H,'تحليل مبيعات'!C:C,'حركة المخزن'!Q67,'تحليل مبيعات'!W:W,'حركة المخزن'!$V$6)</f>
        <v>0</v>
      </c>
      <c r="W67" s="136">
        <f>SUMIFS('تحليل مبيعات'!H:H,'تحليل مبيعات'!C:C,'حركة المخزن'!Q67,'تحليل مبيعات'!W:W,'حركة المخزن'!$W$6)</f>
        <v>0</v>
      </c>
      <c r="X67" s="136">
        <f>SUMIFS('تحليل مبيعات'!H:H,'تحليل مبيعات'!C:C,'حركة المخزن'!Q67,'تحليل مبيعات'!W:W,'حركة المخزن'!$X$6)</f>
        <v>9</v>
      </c>
      <c r="Y67" s="136">
        <f>SUMIFS('تحليل مبيعات'!H:H,'تحليل مبيعات'!C:C,'حركة المخزن'!Q67,'تحليل مبيعات'!W:W,'حركة المخزن'!$Y$6)</f>
        <v>0</v>
      </c>
      <c r="Z67" s="136">
        <f>SUMIFS('تحليل مبيعات'!H:H,'تحليل مبيعات'!C:C,'حركة المخزن'!Q67,'تحليل مبيعات'!W:W,'حركة المخزن'!$Z$6)</f>
        <v>0</v>
      </c>
      <c r="AA67" s="136">
        <f>SUMIFS('تحليل مبيعات'!H:H,'تحليل مبيعات'!C:C,'حركة المخزن'!Q67,'تحليل مبيعات'!W:W,'حركة المخزن'!$AA$6)</f>
        <v>0</v>
      </c>
      <c r="AB67" s="136">
        <f>SUMIFS('تحليل مبيعات'!H:H,'تحليل مبيعات'!C:C,'حركة المخزن'!Q67,'تحليل مبيعات'!W:W,'حركة المخزن'!$AB$6)</f>
        <v>0</v>
      </c>
      <c r="AC67" s="137">
        <f>SUMIFS('تحليل مبيعات'!H:H,'تحليل مبيعات'!C:C,'حركة المخزن'!Q67,'تحليل مبيعات'!W:W,'حركة المخزن'!$AC$6)</f>
        <v>0</v>
      </c>
      <c r="AD67" s="134">
        <f t="shared" si="4"/>
        <v>9</v>
      </c>
    </row>
    <row r="68" spans="2:30" ht="16.2" thickBot="1" x14ac:dyDescent="0.35">
      <c r="B68" s="70" t="s">
        <v>93</v>
      </c>
      <c r="C68" s="10" t="s">
        <v>329</v>
      </c>
      <c r="D68" s="10" t="s">
        <v>204</v>
      </c>
      <c r="E68" s="145">
        <v>10</v>
      </c>
      <c r="F68" s="145">
        <v>10000</v>
      </c>
      <c r="G68" s="10">
        <v>0</v>
      </c>
      <c r="H68" s="10">
        <v>0</v>
      </c>
      <c r="I68" s="10">
        <f>IFERROR(IF(SUMIF('تحليل مبيعات'!C:C, 'حركة المخزن'!B68, 'تحليل مبيعات'!H:H)=0,"",SUMIF('تحليل مبيعات'!C:C, 'حركة المخزن'!B68, 'تحليل مبيعات'!H:H)),"")</f>
        <v>10</v>
      </c>
      <c r="J68" s="10">
        <f>IFERROR(IF(SUMIF('تحليل مبيعات'!C:C, 'حركة المخزن'!B68, 'تحليل مبيعات'!L:L)=0,"",SUMIF('تحليل مبيعات'!C:C, 'حركة المخزن'!B68, 'تحليل مبيعات'!L:L)),"")</f>
        <v>9000</v>
      </c>
      <c r="K68" s="10">
        <f t="shared" si="1"/>
        <v>0</v>
      </c>
      <c r="L68" s="10">
        <f t="shared" si="2"/>
        <v>1000</v>
      </c>
      <c r="M68" s="10">
        <v>5</v>
      </c>
      <c r="N68" s="10" t="str">
        <f t="shared" si="3"/>
        <v>أعادة الطلب</v>
      </c>
      <c r="O68" s="44">
        <v>5</v>
      </c>
      <c r="Q68" s="130" t="str">
        <v>فانوس كشاف شوقى</v>
      </c>
      <c r="R68" s="135">
        <f>SUMIFS('تحليل مبيعات'!H:H,'تحليل مبيعات'!C:C,'حركة المخزن'!Q68,'تحليل مبيعات'!W:W,'حركة المخزن'!$R$6)</f>
        <v>0</v>
      </c>
      <c r="S68" s="136">
        <f>SUMIFS('تحليل مبيعات'!H:H,'تحليل مبيعات'!C:C,'حركة المخزن'!Q68,'تحليل مبيعات'!W:W,'حركة المخزن'!$S$6)</f>
        <v>0</v>
      </c>
      <c r="T68" s="136">
        <f>SUMIFS('تحليل مبيعات'!H:H,'تحليل مبيعات'!C:C,'حركة المخزن'!Q68,'تحليل مبيعات'!W:W,'حركة المخزن'!$T$6)</f>
        <v>0</v>
      </c>
      <c r="U68" s="136">
        <f>SUMIFS('تحليل مبيعات'!H:H,'تحليل مبيعات'!C:C,'حركة المخزن'!Q68,'تحليل مبيعات'!W:W,'حركة المخزن'!$U$6)</f>
        <v>0</v>
      </c>
      <c r="V68" s="136">
        <f>SUMIFS('تحليل مبيعات'!H:H,'تحليل مبيعات'!C:C,'حركة المخزن'!Q68,'تحليل مبيعات'!W:W,'حركة المخزن'!$V$6)</f>
        <v>0</v>
      </c>
      <c r="W68" s="136">
        <f>SUMIFS('تحليل مبيعات'!H:H,'تحليل مبيعات'!C:C,'حركة المخزن'!Q68,'تحليل مبيعات'!W:W,'حركة المخزن'!$W$6)</f>
        <v>0</v>
      </c>
      <c r="X68" s="136">
        <f>SUMIFS('تحليل مبيعات'!H:H,'تحليل مبيعات'!C:C,'حركة المخزن'!Q68,'تحليل مبيعات'!W:W,'حركة المخزن'!$X$6)</f>
        <v>10</v>
      </c>
      <c r="Y68" s="136">
        <f>SUMIFS('تحليل مبيعات'!H:H,'تحليل مبيعات'!C:C,'حركة المخزن'!Q68,'تحليل مبيعات'!W:W,'حركة المخزن'!$Y$6)</f>
        <v>0</v>
      </c>
      <c r="Z68" s="136">
        <f>SUMIFS('تحليل مبيعات'!H:H,'تحليل مبيعات'!C:C,'حركة المخزن'!Q68,'تحليل مبيعات'!W:W,'حركة المخزن'!$Z$6)</f>
        <v>0</v>
      </c>
      <c r="AA68" s="136">
        <f>SUMIFS('تحليل مبيعات'!H:H,'تحليل مبيعات'!C:C,'حركة المخزن'!Q68,'تحليل مبيعات'!W:W,'حركة المخزن'!$AA$6)</f>
        <v>0</v>
      </c>
      <c r="AB68" s="136">
        <f>SUMIFS('تحليل مبيعات'!H:H,'تحليل مبيعات'!C:C,'حركة المخزن'!Q68,'تحليل مبيعات'!W:W,'حركة المخزن'!$AB$6)</f>
        <v>0</v>
      </c>
      <c r="AC68" s="137">
        <f>SUMIFS('تحليل مبيعات'!H:H,'تحليل مبيعات'!C:C,'حركة المخزن'!Q68,'تحليل مبيعات'!W:W,'حركة المخزن'!$AC$6)</f>
        <v>0</v>
      </c>
      <c r="AD68" s="134">
        <f t="shared" si="4"/>
        <v>10</v>
      </c>
    </row>
    <row r="69" spans="2:30" ht="16.2" thickBot="1" x14ac:dyDescent="0.35">
      <c r="B69" s="70" t="s">
        <v>88</v>
      </c>
      <c r="C69" s="10" t="s">
        <v>330</v>
      </c>
      <c r="D69" s="10" t="s">
        <v>204</v>
      </c>
      <c r="E69" s="145">
        <v>10</v>
      </c>
      <c r="F69" s="145">
        <v>10000</v>
      </c>
      <c r="G69" s="10">
        <v>0</v>
      </c>
      <c r="H69" s="10">
        <v>0</v>
      </c>
      <c r="I69" s="10">
        <f>IFERROR(IF(SUMIF('تحليل مبيعات'!C:C, 'حركة المخزن'!B69, 'تحليل مبيعات'!H:H)=0,"",SUMIF('تحليل مبيعات'!C:C, 'حركة المخزن'!B69, 'تحليل مبيعات'!H:H)),"")</f>
        <v>4</v>
      </c>
      <c r="J69" s="10">
        <f>IFERROR(IF(SUMIF('تحليل مبيعات'!C:C, 'حركة المخزن'!B69, 'تحليل مبيعات'!L:L)=0,"",SUMIF('تحليل مبيعات'!C:C, 'حركة المخزن'!B69, 'تحليل مبيعات'!L:L)),"")</f>
        <v>3265</v>
      </c>
      <c r="K69" s="10">
        <f t="shared" si="1"/>
        <v>6</v>
      </c>
      <c r="L69" s="10">
        <f t="shared" si="2"/>
        <v>6735</v>
      </c>
      <c r="M69" s="10">
        <v>5</v>
      </c>
      <c r="N69" s="10" t="str">
        <f t="shared" si="3"/>
        <v>يوجد رصيد كافى</v>
      </c>
      <c r="O69" s="44">
        <v>8</v>
      </c>
      <c r="Q69" s="130" t="str">
        <v>اكصدام خلفى</v>
      </c>
      <c r="R69" s="135">
        <f>SUMIFS('تحليل مبيعات'!H:H,'تحليل مبيعات'!C:C,'حركة المخزن'!Q69,'تحليل مبيعات'!W:W,'حركة المخزن'!$R$6)</f>
        <v>0</v>
      </c>
      <c r="S69" s="136">
        <f>SUMIFS('تحليل مبيعات'!H:H,'تحليل مبيعات'!C:C,'حركة المخزن'!Q69,'تحليل مبيعات'!W:W,'حركة المخزن'!$S$6)</f>
        <v>0</v>
      </c>
      <c r="T69" s="136">
        <f>SUMIFS('تحليل مبيعات'!H:H,'تحليل مبيعات'!C:C,'حركة المخزن'!Q69,'تحليل مبيعات'!W:W,'حركة المخزن'!$T$6)</f>
        <v>0</v>
      </c>
      <c r="U69" s="136">
        <f>SUMIFS('تحليل مبيعات'!H:H,'تحليل مبيعات'!C:C,'حركة المخزن'!Q69,'تحليل مبيعات'!W:W,'حركة المخزن'!$U$6)</f>
        <v>0</v>
      </c>
      <c r="V69" s="136">
        <f>SUMIFS('تحليل مبيعات'!H:H,'تحليل مبيعات'!C:C,'حركة المخزن'!Q69,'تحليل مبيعات'!W:W,'حركة المخزن'!$V$6)</f>
        <v>0</v>
      </c>
      <c r="W69" s="136">
        <f>SUMIFS('تحليل مبيعات'!H:H,'تحليل مبيعات'!C:C,'حركة المخزن'!Q69,'تحليل مبيعات'!W:W,'حركة المخزن'!$W$6)</f>
        <v>0</v>
      </c>
      <c r="X69" s="136">
        <f>SUMIFS('تحليل مبيعات'!H:H,'تحليل مبيعات'!C:C,'حركة المخزن'!Q69,'تحليل مبيعات'!W:W,'حركة المخزن'!$X$6)</f>
        <v>4</v>
      </c>
      <c r="Y69" s="136">
        <f>SUMIFS('تحليل مبيعات'!H:H,'تحليل مبيعات'!C:C,'حركة المخزن'!Q69,'تحليل مبيعات'!W:W,'حركة المخزن'!$Y$6)</f>
        <v>0</v>
      </c>
      <c r="Z69" s="136">
        <f>SUMIFS('تحليل مبيعات'!H:H,'تحليل مبيعات'!C:C,'حركة المخزن'!Q69,'تحليل مبيعات'!W:W,'حركة المخزن'!$Z$6)</f>
        <v>0</v>
      </c>
      <c r="AA69" s="136">
        <f>SUMIFS('تحليل مبيعات'!H:H,'تحليل مبيعات'!C:C,'حركة المخزن'!Q69,'تحليل مبيعات'!W:W,'حركة المخزن'!$AA$6)</f>
        <v>0</v>
      </c>
      <c r="AB69" s="136">
        <f>SUMIFS('تحليل مبيعات'!H:H,'تحليل مبيعات'!C:C,'حركة المخزن'!Q69,'تحليل مبيعات'!W:W,'حركة المخزن'!$AB$6)</f>
        <v>0</v>
      </c>
      <c r="AC69" s="137">
        <f>SUMIFS('تحليل مبيعات'!H:H,'تحليل مبيعات'!C:C,'حركة المخزن'!Q69,'تحليل مبيعات'!W:W,'حركة المخزن'!$AC$6)</f>
        <v>0</v>
      </c>
      <c r="AD69" s="134">
        <f t="shared" si="4"/>
        <v>4</v>
      </c>
    </row>
    <row r="70" spans="2:30" ht="16.2" thickBot="1" x14ac:dyDescent="0.35">
      <c r="B70" s="70" t="s">
        <v>132</v>
      </c>
      <c r="C70" s="10" t="s">
        <v>331</v>
      </c>
      <c r="D70" s="10" t="s">
        <v>204</v>
      </c>
      <c r="E70" s="145">
        <v>10</v>
      </c>
      <c r="F70" s="145">
        <v>10000</v>
      </c>
      <c r="G70" s="10">
        <v>0</v>
      </c>
      <c r="H70" s="10">
        <v>0</v>
      </c>
      <c r="I70" s="10">
        <f>IFERROR(IF(SUMIF('تحليل مبيعات'!C:C, 'حركة المخزن'!B70, 'تحليل مبيعات'!H:H)=0,"",SUMIF('تحليل مبيعات'!C:C, 'حركة المخزن'!B70, 'تحليل مبيعات'!H:H)),"")</f>
        <v>3</v>
      </c>
      <c r="J70" s="10">
        <f>IFERROR(IF(SUMIF('تحليل مبيعات'!C:C, 'حركة المخزن'!B70, 'تحليل مبيعات'!L:L)=0,"",SUMIF('تحليل مبيعات'!C:C, 'حركة المخزن'!B70, 'تحليل مبيعات'!L:L)),"")</f>
        <v>5190</v>
      </c>
      <c r="K70" s="10">
        <f t="shared" si="1"/>
        <v>7</v>
      </c>
      <c r="L70" s="10">
        <f t="shared" si="2"/>
        <v>4810</v>
      </c>
      <c r="M70" s="10">
        <v>5</v>
      </c>
      <c r="N70" s="10" t="str">
        <f t="shared" si="3"/>
        <v>يوجد رصيد كافى</v>
      </c>
      <c r="O70" s="44">
        <v>50</v>
      </c>
      <c r="Q70" s="130" t="str">
        <v>اكصدام  امامى</v>
      </c>
      <c r="R70" s="135">
        <f>SUMIFS('تحليل مبيعات'!H:H,'تحليل مبيعات'!C:C,'حركة المخزن'!Q70,'تحليل مبيعات'!W:W,'حركة المخزن'!$R$6)</f>
        <v>0</v>
      </c>
      <c r="S70" s="136">
        <f>SUMIFS('تحليل مبيعات'!H:H,'تحليل مبيعات'!C:C,'حركة المخزن'!Q70,'تحليل مبيعات'!W:W,'حركة المخزن'!$S$6)</f>
        <v>0</v>
      </c>
      <c r="T70" s="136">
        <f>SUMIFS('تحليل مبيعات'!H:H,'تحليل مبيعات'!C:C,'حركة المخزن'!Q70,'تحليل مبيعات'!W:W,'حركة المخزن'!$T$6)</f>
        <v>0</v>
      </c>
      <c r="U70" s="136">
        <f>SUMIFS('تحليل مبيعات'!H:H,'تحليل مبيعات'!C:C,'حركة المخزن'!Q70,'تحليل مبيعات'!W:W,'حركة المخزن'!$U$6)</f>
        <v>0</v>
      </c>
      <c r="V70" s="136">
        <f>SUMIFS('تحليل مبيعات'!H:H,'تحليل مبيعات'!C:C,'حركة المخزن'!Q70,'تحليل مبيعات'!W:W,'حركة المخزن'!$V$6)</f>
        <v>0</v>
      </c>
      <c r="W70" s="136">
        <f>SUMIFS('تحليل مبيعات'!H:H,'تحليل مبيعات'!C:C,'حركة المخزن'!Q70,'تحليل مبيعات'!W:W,'حركة المخزن'!$W$6)</f>
        <v>0</v>
      </c>
      <c r="X70" s="136">
        <f>SUMIFS('تحليل مبيعات'!H:H,'تحليل مبيعات'!C:C,'حركة المخزن'!Q70,'تحليل مبيعات'!W:W,'حركة المخزن'!$X$6)</f>
        <v>3</v>
      </c>
      <c r="Y70" s="136">
        <f>SUMIFS('تحليل مبيعات'!H:H,'تحليل مبيعات'!C:C,'حركة المخزن'!Q70,'تحليل مبيعات'!W:W,'حركة المخزن'!$Y$6)</f>
        <v>0</v>
      </c>
      <c r="Z70" s="136">
        <f>SUMIFS('تحليل مبيعات'!H:H,'تحليل مبيعات'!C:C,'حركة المخزن'!Q70,'تحليل مبيعات'!W:W,'حركة المخزن'!$Z$6)</f>
        <v>0</v>
      </c>
      <c r="AA70" s="136">
        <f>SUMIFS('تحليل مبيعات'!H:H,'تحليل مبيعات'!C:C,'حركة المخزن'!Q70,'تحليل مبيعات'!W:W,'حركة المخزن'!$AA$6)</f>
        <v>0</v>
      </c>
      <c r="AB70" s="136">
        <f>SUMIFS('تحليل مبيعات'!H:H,'تحليل مبيعات'!C:C,'حركة المخزن'!Q70,'تحليل مبيعات'!W:W,'حركة المخزن'!$AB$6)</f>
        <v>0</v>
      </c>
      <c r="AC70" s="137">
        <f>SUMIFS('تحليل مبيعات'!H:H,'تحليل مبيعات'!C:C,'حركة المخزن'!Q70,'تحليل مبيعات'!W:W,'حركة المخزن'!$AC$6)</f>
        <v>0</v>
      </c>
      <c r="AD70" s="134">
        <f t="shared" si="4"/>
        <v>3</v>
      </c>
    </row>
    <row r="71" spans="2:30" ht="16.2" thickBot="1" x14ac:dyDescent="0.35">
      <c r="B71" s="70" t="s">
        <v>89</v>
      </c>
      <c r="C71" s="10" t="s">
        <v>332</v>
      </c>
      <c r="D71" s="10" t="s">
        <v>204</v>
      </c>
      <c r="E71" s="145">
        <v>10</v>
      </c>
      <c r="F71" s="145">
        <v>10000</v>
      </c>
      <c r="G71" s="10">
        <v>0</v>
      </c>
      <c r="H71" s="10">
        <v>0</v>
      </c>
      <c r="I71" s="10">
        <f>IFERROR(IF(SUMIF('تحليل مبيعات'!C:C, 'حركة المخزن'!B71, 'تحليل مبيعات'!H:H)=0,"",SUMIF('تحليل مبيعات'!C:C, 'حركة المخزن'!B71, 'تحليل مبيعات'!H:H)),"")</f>
        <v>4</v>
      </c>
      <c r="J71" s="10">
        <f>IFERROR(IF(SUMIF('تحليل مبيعات'!C:C, 'حركة المخزن'!B71, 'تحليل مبيعات'!L:L)=0,"",SUMIF('تحليل مبيعات'!C:C, 'حركة المخزن'!B71, 'تحليل مبيعات'!L:L)),"")</f>
        <v>540</v>
      </c>
      <c r="K71" s="10">
        <f t="shared" si="1"/>
        <v>6</v>
      </c>
      <c r="L71" s="10">
        <f t="shared" si="2"/>
        <v>9460</v>
      </c>
      <c r="M71" s="10">
        <v>5</v>
      </c>
      <c r="N71" s="10" t="str">
        <f t="shared" si="3"/>
        <v>يوجد رصيد كافى</v>
      </c>
      <c r="O71" s="44">
        <v>50</v>
      </c>
      <c r="Q71" s="130" t="str">
        <v>فانوس خلفى كريستال هاى اس يمين</v>
      </c>
      <c r="R71" s="135">
        <f>SUMIFS('تحليل مبيعات'!H:H,'تحليل مبيعات'!C:C,'حركة المخزن'!Q71,'تحليل مبيعات'!W:W,'حركة المخزن'!$R$6)</f>
        <v>0</v>
      </c>
      <c r="S71" s="136">
        <f>SUMIFS('تحليل مبيعات'!H:H,'تحليل مبيعات'!C:C,'حركة المخزن'!Q71,'تحليل مبيعات'!W:W,'حركة المخزن'!$S$6)</f>
        <v>0</v>
      </c>
      <c r="T71" s="136">
        <f>SUMIFS('تحليل مبيعات'!H:H,'تحليل مبيعات'!C:C,'حركة المخزن'!Q71,'تحليل مبيعات'!W:W,'حركة المخزن'!$T$6)</f>
        <v>0</v>
      </c>
      <c r="U71" s="136">
        <f>SUMIFS('تحليل مبيعات'!H:H,'تحليل مبيعات'!C:C,'حركة المخزن'!Q71,'تحليل مبيعات'!W:W,'حركة المخزن'!$U$6)</f>
        <v>0</v>
      </c>
      <c r="V71" s="136">
        <f>SUMIFS('تحليل مبيعات'!H:H,'تحليل مبيعات'!C:C,'حركة المخزن'!Q71,'تحليل مبيعات'!W:W,'حركة المخزن'!$V$6)</f>
        <v>0</v>
      </c>
      <c r="W71" s="136">
        <f>SUMIFS('تحليل مبيعات'!H:H,'تحليل مبيعات'!C:C,'حركة المخزن'!Q71,'تحليل مبيعات'!W:W,'حركة المخزن'!$W$6)</f>
        <v>0</v>
      </c>
      <c r="X71" s="136">
        <f>SUMIFS('تحليل مبيعات'!H:H,'تحليل مبيعات'!C:C,'حركة المخزن'!Q71,'تحليل مبيعات'!W:W,'حركة المخزن'!$X$6)</f>
        <v>4</v>
      </c>
      <c r="Y71" s="136">
        <f>SUMIFS('تحليل مبيعات'!H:H,'تحليل مبيعات'!C:C,'حركة المخزن'!Q71,'تحليل مبيعات'!W:W,'حركة المخزن'!$Y$6)</f>
        <v>0</v>
      </c>
      <c r="Z71" s="136">
        <f>SUMIFS('تحليل مبيعات'!H:H,'تحليل مبيعات'!C:C,'حركة المخزن'!Q71,'تحليل مبيعات'!W:W,'حركة المخزن'!$Z$6)</f>
        <v>0</v>
      </c>
      <c r="AA71" s="136">
        <f>SUMIFS('تحليل مبيعات'!H:H,'تحليل مبيعات'!C:C,'حركة المخزن'!Q71,'تحليل مبيعات'!W:W,'حركة المخزن'!$AA$6)</f>
        <v>0</v>
      </c>
      <c r="AB71" s="136">
        <f>SUMIFS('تحليل مبيعات'!H:H,'تحليل مبيعات'!C:C,'حركة المخزن'!Q71,'تحليل مبيعات'!W:W,'حركة المخزن'!$AB$6)</f>
        <v>0</v>
      </c>
      <c r="AC71" s="137">
        <f>SUMIFS('تحليل مبيعات'!H:H,'تحليل مبيعات'!C:C,'حركة المخزن'!Q71,'تحليل مبيعات'!W:W,'حركة المخزن'!$AC$6)</f>
        <v>0</v>
      </c>
      <c r="AD71" s="134">
        <f t="shared" ref="AD71:AD102" si="5">SUM(R71:AC71)</f>
        <v>4</v>
      </c>
    </row>
    <row r="72" spans="2:30" ht="16.2" thickBot="1" x14ac:dyDescent="0.35">
      <c r="B72" s="70" t="s">
        <v>90</v>
      </c>
      <c r="C72" s="10" t="s">
        <v>333</v>
      </c>
      <c r="D72" s="10" t="s">
        <v>204</v>
      </c>
      <c r="E72" s="145">
        <v>10</v>
      </c>
      <c r="F72" s="145">
        <v>10000</v>
      </c>
      <c r="G72" s="10">
        <v>0</v>
      </c>
      <c r="H72" s="10">
        <v>0</v>
      </c>
      <c r="I72" s="10">
        <f>IFERROR(IF(SUMIF('تحليل مبيعات'!C:C, 'حركة المخزن'!B72, 'تحليل مبيعات'!H:H)=0,"",SUMIF('تحليل مبيعات'!C:C, 'حركة المخزن'!B72, 'تحليل مبيعات'!H:H)),"")</f>
        <v>1</v>
      </c>
      <c r="J72" s="10">
        <f>IFERROR(IF(SUMIF('تحليل مبيعات'!C:C, 'حركة المخزن'!B72, 'تحليل مبيعات'!L:L)=0,"",SUMIF('تحليل مبيعات'!C:C, 'حركة المخزن'!B72, 'تحليل مبيعات'!L:L)),"")</f>
        <v>350</v>
      </c>
      <c r="K72" s="10">
        <f t="shared" si="1"/>
        <v>9</v>
      </c>
      <c r="L72" s="10">
        <f t="shared" si="2"/>
        <v>9650</v>
      </c>
      <c r="M72" s="10">
        <v>5</v>
      </c>
      <c r="N72" s="10" t="str">
        <f t="shared" si="3"/>
        <v>يوجد رصيد كافى</v>
      </c>
      <c r="O72" s="44">
        <v>40</v>
      </c>
      <c r="Q72" s="130" t="str">
        <v>كوعة منفول هواء شوقى</v>
      </c>
      <c r="R72" s="135">
        <f>SUMIFS('تحليل مبيعات'!H:H,'تحليل مبيعات'!C:C,'حركة المخزن'!Q72,'تحليل مبيعات'!W:W,'حركة المخزن'!$R$6)</f>
        <v>0</v>
      </c>
      <c r="S72" s="136">
        <f>SUMIFS('تحليل مبيعات'!H:H,'تحليل مبيعات'!C:C,'حركة المخزن'!Q72,'تحليل مبيعات'!W:W,'حركة المخزن'!$S$6)</f>
        <v>0</v>
      </c>
      <c r="T72" s="136">
        <f>SUMIFS('تحليل مبيعات'!H:H,'تحليل مبيعات'!C:C,'حركة المخزن'!Q72,'تحليل مبيعات'!W:W,'حركة المخزن'!$T$6)</f>
        <v>0</v>
      </c>
      <c r="U72" s="136">
        <f>SUMIFS('تحليل مبيعات'!H:H,'تحليل مبيعات'!C:C,'حركة المخزن'!Q72,'تحليل مبيعات'!W:W,'حركة المخزن'!$U$6)</f>
        <v>0</v>
      </c>
      <c r="V72" s="136">
        <f>SUMIFS('تحليل مبيعات'!H:H,'تحليل مبيعات'!C:C,'حركة المخزن'!Q72,'تحليل مبيعات'!W:W,'حركة المخزن'!$V$6)</f>
        <v>0</v>
      </c>
      <c r="W72" s="136">
        <f>SUMIFS('تحليل مبيعات'!H:H,'تحليل مبيعات'!C:C,'حركة المخزن'!Q72,'تحليل مبيعات'!W:W,'حركة المخزن'!$W$6)</f>
        <v>0</v>
      </c>
      <c r="X72" s="136">
        <f>SUMIFS('تحليل مبيعات'!H:H,'تحليل مبيعات'!C:C,'حركة المخزن'!Q72,'تحليل مبيعات'!W:W,'حركة المخزن'!$X$6)</f>
        <v>1</v>
      </c>
      <c r="Y72" s="136">
        <f>SUMIFS('تحليل مبيعات'!H:H,'تحليل مبيعات'!C:C,'حركة المخزن'!Q72,'تحليل مبيعات'!W:W,'حركة المخزن'!$Y$6)</f>
        <v>0</v>
      </c>
      <c r="Z72" s="136">
        <f>SUMIFS('تحليل مبيعات'!H:H,'تحليل مبيعات'!C:C,'حركة المخزن'!Q72,'تحليل مبيعات'!W:W,'حركة المخزن'!$Z$6)</f>
        <v>0</v>
      </c>
      <c r="AA72" s="136">
        <f>SUMIFS('تحليل مبيعات'!H:H,'تحليل مبيعات'!C:C,'حركة المخزن'!Q72,'تحليل مبيعات'!W:W,'حركة المخزن'!$AA$6)</f>
        <v>0</v>
      </c>
      <c r="AB72" s="136">
        <f>SUMIFS('تحليل مبيعات'!H:H,'تحليل مبيعات'!C:C,'حركة المخزن'!Q72,'تحليل مبيعات'!W:W,'حركة المخزن'!$AB$6)</f>
        <v>0</v>
      </c>
      <c r="AC72" s="137">
        <f>SUMIFS('تحليل مبيعات'!H:H,'تحليل مبيعات'!C:C,'حركة المخزن'!Q72,'تحليل مبيعات'!W:W,'حركة المخزن'!$AC$6)</f>
        <v>0</v>
      </c>
      <c r="AD72" s="134">
        <f t="shared" si="5"/>
        <v>1</v>
      </c>
    </row>
    <row r="73" spans="2:30" ht="16.2" thickBot="1" x14ac:dyDescent="0.35">
      <c r="B73" s="70" t="s">
        <v>92</v>
      </c>
      <c r="C73" s="10" t="s">
        <v>334</v>
      </c>
      <c r="D73" s="10" t="s">
        <v>204</v>
      </c>
      <c r="E73" s="145">
        <v>10</v>
      </c>
      <c r="F73" s="145">
        <v>10000</v>
      </c>
      <c r="G73" s="10">
        <v>0</v>
      </c>
      <c r="H73" s="10">
        <v>0</v>
      </c>
      <c r="I73" s="10">
        <f>IFERROR(IF(SUMIF('تحليل مبيعات'!C:C, 'حركة المخزن'!B73, 'تحليل مبيعات'!H:H)=0,"",SUMIF('تحليل مبيعات'!C:C, 'حركة المخزن'!B73, 'تحليل مبيعات'!H:H)),"")</f>
        <v>4</v>
      </c>
      <c r="J73" s="10">
        <f>IFERROR(IF(SUMIF('تحليل مبيعات'!C:C, 'حركة المخزن'!B73, 'تحليل مبيعات'!L:L)=0,"",SUMIF('تحليل مبيعات'!C:C, 'حركة المخزن'!B73, 'تحليل مبيعات'!L:L)),"")</f>
        <v>280</v>
      </c>
      <c r="K73" s="10">
        <f t="shared" ref="K73:K136" si="6">IFERROR(E73+G73-I73,"")</f>
        <v>6</v>
      </c>
      <c r="L73" s="10">
        <f t="shared" ref="L73:L136" si="7">IFERROR(F73+H73-J73,"")</f>
        <v>9720</v>
      </c>
      <c r="M73" s="10">
        <v>5</v>
      </c>
      <c r="N73" s="10" t="str">
        <f t="shared" ref="N73:N136" si="8">IF(K73&lt;M73,"أعادة الطلب","يوجد رصيد كافى")</f>
        <v>يوجد رصيد كافى</v>
      </c>
      <c r="O73" s="44">
        <v>100</v>
      </c>
      <c r="Q73" s="130" t="str">
        <v>بوجيه تخين سن قصير/علبه صفراء بدون مقاومة</v>
      </c>
      <c r="R73" s="135">
        <f>SUMIFS('تحليل مبيعات'!H:H,'تحليل مبيعات'!C:C,'حركة المخزن'!Q73,'تحليل مبيعات'!W:W,'حركة المخزن'!$R$6)</f>
        <v>0</v>
      </c>
      <c r="S73" s="136">
        <f>SUMIFS('تحليل مبيعات'!H:H,'تحليل مبيعات'!C:C,'حركة المخزن'!Q73,'تحليل مبيعات'!W:W,'حركة المخزن'!$S$6)</f>
        <v>0</v>
      </c>
      <c r="T73" s="136">
        <f>SUMIFS('تحليل مبيعات'!H:H,'تحليل مبيعات'!C:C,'حركة المخزن'!Q73,'تحليل مبيعات'!W:W,'حركة المخزن'!$T$6)</f>
        <v>0</v>
      </c>
      <c r="U73" s="136">
        <f>SUMIFS('تحليل مبيعات'!H:H,'تحليل مبيعات'!C:C,'حركة المخزن'!Q73,'تحليل مبيعات'!W:W,'حركة المخزن'!$U$6)</f>
        <v>0</v>
      </c>
      <c r="V73" s="136">
        <f>SUMIFS('تحليل مبيعات'!H:H,'تحليل مبيعات'!C:C,'حركة المخزن'!Q73,'تحليل مبيعات'!W:W,'حركة المخزن'!$V$6)</f>
        <v>0</v>
      </c>
      <c r="W73" s="136">
        <f>SUMIFS('تحليل مبيعات'!H:H,'تحليل مبيعات'!C:C,'حركة المخزن'!Q73,'تحليل مبيعات'!W:W,'حركة المخزن'!$W$6)</f>
        <v>0</v>
      </c>
      <c r="X73" s="136">
        <f>SUMIFS('تحليل مبيعات'!H:H,'تحليل مبيعات'!C:C,'حركة المخزن'!Q73,'تحليل مبيعات'!W:W,'حركة المخزن'!$X$6)</f>
        <v>4</v>
      </c>
      <c r="Y73" s="136">
        <f>SUMIFS('تحليل مبيعات'!H:H,'تحليل مبيعات'!C:C,'حركة المخزن'!Q73,'تحليل مبيعات'!W:W,'حركة المخزن'!$Y$6)</f>
        <v>0</v>
      </c>
      <c r="Z73" s="136">
        <f>SUMIFS('تحليل مبيعات'!H:H,'تحليل مبيعات'!C:C,'حركة المخزن'!Q73,'تحليل مبيعات'!W:W,'حركة المخزن'!$Z$6)</f>
        <v>0</v>
      </c>
      <c r="AA73" s="136">
        <f>SUMIFS('تحليل مبيعات'!H:H,'تحليل مبيعات'!C:C,'حركة المخزن'!Q73,'تحليل مبيعات'!W:W,'حركة المخزن'!$AA$6)</f>
        <v>0</v>
      </c>
      <c r="AB73" s="136">
        <f>SUMIFS('تحليل مبيعات'!H:H,'تحليل مبيعات'!C:C,'حركة المخزن'!Q73,'تحليل مبيعات'!W:W,'حركة المخزن'!$AB$6)</f>
        <v>0</v>
      </c>
      <c r="AC73" s="137">
        <f>SUMIFS('تحليل مبيعات'!H:H,'تحليل مبيعات'!C:C,'حركة المخزن'!Q73,'تحليل مبيعات'!W:W,'حركة المخزن'!$AC$6)</f>
        <v>0</v>
      </c>
      <c r="AD73" s="134">
        <f t="shared" si="5"/>
        <v>4</v>
      </c>
    </row>
    <row r="74" spans="2:30" ht="16.2" thickBot="1" x14ac:dyDescent="0.35">
      <c r="B74" s="70" t="s">
        <v>100</v>
      </c>
      <c r="C74" s="10" t="s">
        <v>335</v>
      </c>
      <c r="D74" s="10" t="s">
        <v>204</v>
      </c>
      <c r="E74" s="145">
        <v>10</v>
      </c>
      <c r="F74" s="145">
        <v>10000</v>
      </c>
      <c r="G74" s="10">
        <v>0</v>
      </c>
      <c r="H74" s="10">
        <v>0</v>
      </c>
      <c r="I74" s="10">
        <f>IFERROR(IF(SUMIF('تحليل مبيعات'!C:C, 'حركة المخزن'!B74, 'تحليل مبيعات'!H:H)=0,"",SUMIF('تحليل مبيعات'!C:C, 'حركة المخزن'!B74, 'تحليل مبيعات'!H:H)),"")</f>
        <v>3</v>
      </c>
      <c r="J74" s="10">
        <f>IFERROR(IF(SUMIF('تحليل مبيعات'!C:C, 'حركة المخزن'!B74, 'تحليل مبيعات'!L:L)=0,"",SUMIF('تحليل مبيعات'!C:C, 'حركة المخزن'!B74, 'تحليل مبيعات'!L:L)),"")</f>
        <v>1500</v>
      </c>
      <c r="K74" s="10">
        <f t="shared" si="6"/>
        <v>7</v>
      </c>
      <c r="L74" s="10">
        <f t="shared" si="7"/>
        <v>8500</v>
      </c>
      <c r="M74" s="10">
        <v>5</v>
      </c>
      <c r="N74" s="10" t="str">
        <f t="shared" si="8"/>
        <v>يوجد رصيد كافى</v>
      </c>
      <c r="O74" s="44">
        <v>25</v>
      </c>
      <c r="Q74" s="130" t="str">
        <v>طقم شنبر تويوتا NPR صفراء</v>
      </c>
      <c r="R74" s="135">
        <f>SUMIFS('تحليل مبيعات'!H:H,'تحليل مبيعات'!C:C,'حركة المخزن'!Q74,'تحليل مبيعات'!W:W,'حركة المخزن'!$R$6)</f>
        <v>0</v>
      </c>
      <c r="S74" s="136">
        <f>SUMIFS('تحليل مبيعات'!H:H,'تحليل مبيعات'!C:C,'حركة المخزن'!Q74,'تحليل مبيعات'!W:W,'حركة المخزن'!$S$6)</f>
        <v>0</v>
      </c>
      <c r="T74" s="136">
        <f>SUMIFS('تحليل مبيعات'!H:H,'تحليل مبيعات'!C:C,'حركة المخزن'!Q74,'تحليل مبيعات'!W:W,'حركة المخزن'!$T$6)</f>
        <v>0</v>
      </c>
      <c r="U74" s="136">
        <f>SUMIFS('تحليل مبيعات'!H:H,'تحليل مبيعات'!C:C,'حركة المخزن'!Q74,'تحليل مبيعات'!W:W,'حركة المخزن'!$U$6)</f>
        <v>0</v>
      </c>
      <c r="V74" s="136">
        <f>SUMIFS('تحليل مبيعات'!H:H,'تحليل مبيعات'!C:C,'حركة المخزن'!Q74,'تحليل مبيعات'!W:W,'حركة المخزن'!$V$6)</f>
        <v>0</v>
      </c>
      <c r="W74" s="136">
        <f>SUMIFS('تحليل مبيعات'!H:H,'تحليل مبيعات'!C:C,'حركة المخزن'!Q74,'تحليل مبيعات'!W:W,'حركة المخزن'!$W$6)</f>
        <v>0</v>
      </c>
      <c r="X74" s="136">
        <f>SUMIFS('تحليل مبيعات'!H:H,'تحليل مبيعات'!C:C,'حركة المخزن'!Q74,'تحليل مبيعات'!W:W,'حركة المخزن'!$X$6)</f>
        <v>3</v>
      </c>
      <c r="Y74" s="136">
        <f>SUMIFS('تحليل مبيعات'!H:H,'تحليل مبيعات'!C:C,'حركة المخزن'!Q74,'تحليل مبيعات'!W:W,'حركة المخزن'!$Y$6)</f>
        <v>0</v>
      </c>
      <c r="Z74" s="136">
        <f>SUMIFS('تحليل مبيعات'!H:H,'تحليل مبيعات'!C:C,'حركة المخزن'!Q74,'تحليل مبيعات'!W:W,'حركة المخزن'!$Z$6)</f>
        <v>0</v>
      </c>
      <c r="AA74" s="136">
        <f>SUMIFS('تحليل مبيعات'!H:H,'تحليل مبيعات'!C:C,'حركة المخزن'!Q74,'تحليل مبيعات'!W:W,'حركة المخزن'!$AA$6)</f>
        <v>0</v>
      </c>
      <c r="AB74" s="136">
        <f>SUMIFS('تحليل مبيعات'!H:H,'تحليل مبيعات'!C:C,'حركة المخزن'!Q74,'تحليل مبيعات'!W:W,'حركة المخزن'!$AB$6)</f>
        <v>0</v>
      </c>
      <c r="AC74" s="137">
        <f>SUMIFS('تحليل مبيعات'!H:H,'تحليل مبيعات'!C:C,'حركة المخزن'!Q74,'تحليل مبيعات'!W:W,'حركة المخزن'!$AC$6)</f>
        <v>0</v>
      </c>
      <c r="AD74" s="134">
        <f t="shared" si="5"/>
        <v>3</v>
      </c>
    </row>
    <row r="75" spans="2:30" ht="16.2" thickBot="1" x14ac:dyDescent="0.35">
      <c r="B75" s="70" t="s">
        <v>183</v>
      </c>
      <c r="C75" s="10" t="s">
        <v>336</v>
      </c>
      <c r="D75" s="10" t="s">
        <v>204</v>
      </c>
      <c r="E75" s="145">
        <v>10</v>
      </c>
      <c r="F75" s="145">
        <v>10000</v>
      </c>
      <c r="G75" s="10">
        <v>0</v>
      </c>
      <c r="H75" s="10">
        <v>0</v>
      </c>
      <c r="I75" s="10">
        <f>IFERROR(IF(SUMIF('تحليل مبيعات'!C:C, 'حركة المخزن'!B75, 'تحليل مبيعات'!H:H)=0,"",SUMIF('تحليل مبيعات'!C:C, 'حركة المخزن'!B75, 'تحليل مبيعات'!H:H)),"")</f>
        <v>10</v>
      </c>
      <c r="J75" s="10">
        <f>IFERROR(IF(SUMIF('تحليل مبيعات'!C:C, 'حركة المخزن'!B75, 'تحليل مبيعات'!L:L)=0,"",SUMIF('تحليل مبيعات'!C:C, 'حركة المخزن'!B75, 'تحليل مبيعات'!L:L)),"")</f>
        <v>4400</v>
      </c>
      <c r="K75" s="10">
        <f t="shared" si="6"/>
        <v>0</v>
      </c>
      <c r="L75" s="10">
        <f t="shared" si="7"/>
        <v>5600</v>
      </c>
      <c r="M75" s="10">
        <v>5</v>
      </c>
      <c r="N75" s="10" t="str">
        <f t="shared" si="8"/>
        <v>أعادة الطلب</v>
      </c>
      <c r="O75" s="44">
        <v>550</v>
      </c>
      <c r="Q75" s="130" t="str">
        <v>سير كتينه حديد</v>
      </c>
      <c r="R75" s="135">
        <f>SUMIFS('تحليل مبيعات'!H:H,'تحليل مبيعات'!C:C,'حركة المخزن'!Q75,'تحليل مبيعات'!W:W,'حركة المخزن'!$R$6)</f>
        <v>0</v>
      </c>
      <c r="S75" s="136">
        <f>SUMIFS('تحليل مبيعات'!H:H,'تحليل مبيعات'!C:C,'حركة المخزن'!Q75,'تحليل مبيعات'!W:W,'حركة المخزن'!$S$6)</f>
        <v>0</v>
      </c>
      <c r="T75" s="136">
        <f>SUMIFS('تحليل مبيعات'!H:H,'تحليل مبيعات'!C:C,'حركة المخزن'!Q75,'تحليل مبيعات'!W:W,'حركة المخزن'!$T$6)</f>
        <v>0</v>
      </c>
      <c r="U75" s="136">
        <f>SUMIFS('تحليل مبيعات'!H:H,'تحليل مبيعات'!C:C,'حركة المخزن'!Q75,'تحليل مبيعات'!W:W,'حركة المخزن'!$U$6)</f>
        <v>0</v>
      </c>
      <c r="V75" s="136">
        <f>SUMIFS('تحليل مبيعات'!H:H,'تحليل مبيعات'!C:C,'حركة المخزن'!Q75,'تحليل مبيعات'!W:W,'حركة المخزن'!$V$6)</f>
        <v>0</v>
      </c>
      <c r="W75" s="136">
        <f>SUMIFS('تحليل مبيعات'!H:H,'تحليل مبيعات'!C:C,'حركة المخزن'!Q75,'تحليل مبيعات'!W:W,'حركة المخزن'!$W$6)</f>
        <v>0</v>
      </c>
      <c r="X75" s="136">
        <f>SUMIFS('تحليل مبيعات'!H:H,'تحليل مبيعات'!C:C,'حركة المخزن'!Q75,'تحليل مبيعات'!W:W,'حركة المخزن'!$X$6)</f>
        <v>10</v>
      </c>
      <c r="Y75" s="136">
        <f>SUMIFS('تحليل مبيعات'!H:H,'تحليل مبيعات'!C:C,'حركة المخزن'!Q75,'تحليل مبيعات'!W:W,'حركة المخزن'!$Y$6)</f>
        <v>0</v>
      </c>
      <c r="Z75" s="136">
        <f>SUMIFS('تحليل مبيعات'!H:H,'تحليل مبيعات'!C:C,'حركة المخزن'!Q75,'تحليل مبيعات'!W:W,'حركة المخزن'!$Z$6)</f>
        <v>0</v>
      </c>
      <c r="AA75" s="136">
        <f>SUMIFS('تحليل مبيعات'!H:H,'تحليل مبيعات'!C:C,'حركة المخزن'!Q75,'تحليل مبيعات'!W:W,'حركة المخزن'!$AA$6)</f>
        <v>0</v>
      </c>
      <c r="AB75" s="136">
        <f>SUMIFS('تحليل مبيعات'!H:H,'تحليل مبيعات'!C:C,'حركة المخزن'!Q75,'تحليل مبيعات'!W:W,'حركة المخزن'!$AB$6)</f>
        <v>0</v>
      </c>
      <c r="AC75" s="137">
        <f>SUMIFS('تحليل مبيعات'!H:H,'تحليل مبيعات'!C:C,'حركة المخزن'!Q75,'تحليل مبيعات'!W:W,'حركة المخزن'!$AC$6)</f>
        <v>0</v>
      </c>
      <c r="AD75" s="134">
        <f t="shared" si="5"/>
        <v>10</v>
      </c>
    </row>
    <row r="76" spans="2:30" ht="16.2" thickBot="1" x14ac:dyDescent="0.35">
      <c r="B76" s="70" t="s">
        <v>96</v>
      </c>
      <c r="C76" s="10" t="s">
        <v>337</v>
      </c>
      <c r="D76" s="10" t="s">
        <v>204</v>
      </c>
      <c r="E76" s="145">
        <v>10</v>
      </c>
      <c r="F76" s="145">
        <v>10000</v>
      </c>
      <c r="G76" s="10">
        <v>0</v>
      </c>
      <c r="H76" s="10">
        <v>0</v>
      </c>
      <c r="I76" s="10">
        <f>IFERROR(IF(SUMIF('تحليل مبيعات'!C:C, 'حركة المخزن'!B76, 'تحليل مبيعات'!H:H)=0,"",SUMIF('تحليل مبيعات'!C:C, 'حركة المخزن'!B76, 'تحليل مبيعات'!H:H)),"")</f>
        <v>1</v>
      </c>
      <c r="J76" s="10">
        <f>IFERROR(IF(SUMIF('تحليل مبيعات'!C:C, 'حركة المخزن'!B76, 'تحليل مبيعات'!L:L)=0,"",SUMIF('تحليل مبيعات'!C:C, 'حركة المخزن'!B76, 'تحليل مبيعات'!L:L)),"")</f>
        <v>620</v>
      </c>
      <c r="K76" s="10">
        <f t="shared" si="6"/>
        <v>9</v>
      </c>
      <c r="L76" s="10">
        <f t="shared" si="7"/>
        <v>9380</v>
      </c>
      <c r="M76" s="10">
        <v>5</v>
      </c>
      <c r="N76" s="10" t="str">
        <f t="shared" si="8"/>
        <v>يوجد رصيد كافى</v>
      </c>
      <c r="O76" s="44">
        <v>50</v>
      </c>
      <c r="Q76" s="130" t="str">
        <v>طقم كوستبان جان بى</v>
      </c>
      <c r="R76" s="135">
        <f>SUMIFS('تحليل مبيعات'!H:H,'تحليل مبيعات'!C:C,'حركة المخزن'!Q76,'تحليل مبيعات'!W:W,'حركة المخزن'!$R$6)</f>
        <v>0</v>
      </c>
      <c r="S76" s="136">
        <f>SUMIFS('تحليل مبيعات'!H:H,'تحليل مبيعات'!C:C,'حركة المخزن'!Q76,'تحليل مبيعات'!W:W,'حركة المخزن'!$S$6)</f>
        <v>0</v>
      </c>
      <c r="T76" s="136">
        <f>SUMIFS('تحليل مبيعات'!H:H,'تحليل مبيعات'!C:C,'حركة المخزن'!Q76,'تحليل مبيعات'!W:W,'حركة المخزن'!$T$6)</f>
        <v>0</v>
      </c>
      <c r="U76" s="136">
        <f>SUMIFS('تحليل مبيعات'!H:H,'تحليل مبيعات'!C:C,'حركة المخزن'!Q76,'تحليل مبيعات'!W:W,'حركة المخزن'!$U$6)</f>
        <v>0</v>
      </c>
      <c r="V76" s="136">
        <f>SUMIFS('تحليل مبيعات'!H:H,'تحليل مبيعات'!C:C,'حركة المخزن'!Q76,'تحليل مبيعات'!W:W,'حركة المخزن'!$V$6)</f>
        <v>0</v>
      </c>
      <c r="W76" s="136">
        <f>SUMIFS('تحليل مبيعات'!H:H,'تحليل مبيعات'!C:C,'حركة المخزن'!Q76,'تحليل مبيعات'!W:W,'حركة المخزن'!$W$6)</f>
        <v>0</v>
      </c>
      <c r="X76" s="136">
        <f>SUMIFS('تحليل مبيعات'!H:H,'تحليل مبيعات'!C:C,'حركة المخزن'!Q76,'تحليل مبيعات'!W:W,'حركة المخزن'!$X$6)</f>
        <v>1</v>
      </c>
      <c r="Y76" s="136">
        <f>SUMIFS('تحليل مبيعات'!H:H,'تحليل مبيعات'!C:C,'حركة المخزن'!Q76,'تحليل مبيعات'!W:W,'حركة المخزن'!$Y$6)</f>
        <v>0</v>
      </c>
      <c r="Z76" s="136">
        <f>SUMIFS('تحليل مبيعات'!H:H,'تحليل مبيعات'!C:C,'حركة المخزن'!Q76,'تحليل مبيعات'!W:W,'حركة المخزن'!$Z$6)</f>
        <v>0</v>
      </c>
      <c r="AA76" s="136">
        <f>SUMIFS('تحليل مبيعات'!H:H,'تحليل مبيعات'!C:C,'حركة المخزن'!Q76,'تحليل مبيعات'!W:W,'حركة المخزن'!$AA$6)</f>
        <v>0</v>
      </c>
      <c r="AB76" s="136">
        <f>SUMIFS('تحليل مبيعات'!H:H,'تحليل مبيعات'!C:C,'حركة المخزن'!Q76,'تحليل مبيعات'!W:W,'حركة المخزن'!$AB$6)</f>
        <v>0</v>
      </c>
      <c r="AC76" s="137">
        <f>SUMIFS('تحليل مبيعات'!H:H,'تحليل مبيعات'!C:C,'حركة المخزن'!Q76,'تحليل مبيعات'!W:W,'حركة المخزن'!$AC$6)</f>
        <v>0</v>
      </c>
      <c r="AD76" s="134">
        <f t="shared" si="5"/>
        <v>1</v>
      </c>
    </row>
    <row r="77" spans="2:30" ht="16.2" thickBot="1" x14ac:dyDescent="0.35">
      <c r="B77" s="70" t="s">
        <v>97</v>
      </c>
      <c r="C77" s="10" t="s">
        <v>338</v>
      </c>
      <c r="D77" s="10" t="s">
        <v>204</v>
      </c>
      <c r="E77" s="145">
        <v>10</v>
      </c>
      <c r="F77" s="145">
        <v>10000</v>
      </c>
      <c r="G77" s="10">
        <v>0</v>
      </c>
      <c r="H77" s="10">
        <v>0</v>
      </c>
      <c r="I77" s="10">
        <f>IFERROR(IF(SUMIF('تحليل مبيعات'!C:C, 'حركة المخزن'!B77, 'تحليل مبيعات'!H:H)=0,"",SUMIF('تحليل مبيعات'!C:C, 'حركة المخزن'!B77, 'تحليل مبيعات'!H:H)),"")</f>
        <v>5</v>
      </c>
      <c r="J77" s="10">
        <f>IFERROR(IF(SUMIF('تحليل مبيعات'!C:C, 'حركة المخزن'!B77, 'تحليل مبيعات'!L:L)=0,"",SUMIF('تحليل مبيعات'!C:C, 'حركة المخزن'!B77, 'تحليل مبيعات'!L:L)),"")</f>
        <v>5670</v>
      </c>
      <c r="K77" s="10">
        <f t="shared" si="6"/>
        <v>5</v>
      </c>
      <c r="L77" s="10">
        <f t="shared" si="7"/>
        <v>4330</v>
      </c>
      <c r="M77" s="10">
        <v>5</v>
      </c>
      <c r="N77" s="10" t="str">
        <f t="shared" si="8"/>
        <v>يوجد رصيد كافى</v>
      </c>
      <c r="O77" s="44">
        <v>50</v>
      </c>
      <c r="Q77" s="130" t="str">
        <v>جوان كرتيرة شكمان جوان</v>
      </c>
      <c r="R77" s="135">
        <f>SUMIFS('تحليل مبيعات'!H:H,'تحليل مبيعات'!C:C,'حركة المخزن'!Q77,'تحليل مبيعات'!W:W,'حركة المخزن'!$R$6)</f>
        <v>0</v>
      </c>
      <c r="S77" s="136">
        <f>SUMIFS('تحليل مبيعات'!H:H,'تحليل مبيعات'!C:C,'حركة المخزن'!Q77,'تحليل مبيعات'!W:W,'حركة المخزن'!$S$6)</f>
        <v>0</v>
      </c>
      <c r="T77" s="136">
        <f>SUMIFS('تحليل مبيعات'!H:H,'تحليل مبيعات'!C:C,'حركة المخزن'!Q77,'تحليل مبيعات'!W:W,'حركة المخزن'!$T$6)</f>
        <v>0</v>
      </c>
      <c r="U77" s="136">
        <f>SUMIFS('تحليل مبيعات'!H:H,'تحليل مبيعات'!C:C,'حركة المخزن'!Q77,'تحليل مبيعات'!W:W,'حركة المخزن'!$U$6)</f>
        <v>0</v>
      </c>
      <c r="V77" s="136">
        <f>SUMIFS('تحليل مبيعات'!H:H,'تحليل مبيعات'!C:C,'حركة المخزن'!Q77,'تحليل مبيعات'!W:W,'حركة المخزن'!$V$6)</f>
        <v>0</v>
      </c>
      <c r="W77" s="136">
        <f>SUMIFS('تحليل مبيعات'!H:H,'تحليل مبيعات'!C:C,'حركة المخزن'!Q77,'تحليل مبيعات'!W:W,'حركة المخزن'!$W$6)</f>
        <v>0</v>
      </c>
      <c r="X77" s="136">
        <f>SUMIFS('تحليل مبيعات'!H:H,'تحليل مبيعات'!C:C,'حركة المخزن'!Q77,'تحليل مبيعات'!W:W,'حركة المخزن'!$X$6)</f>
        <v>5</v>
      </c>
      <c r="Y77" s="136">
        <f>SUMIFS('تحليل مبيعات'!H:H,'تحليل مبيعات'!C:C,'حركة المخزن'!Q77,'تحليل مبيعات'!W:W,'حركة المخزن'!$Y$6)</f>
        <v>0</v>
      </c>
      <c r="Z77" s="136">
        <f>SUMIFS('تحليل مبيعات'!H:H,'تحليل مبيعات'!C:C,'حركة المخزن'!Q77,'تحليل مبيعات'!W:W,'حركة المخزن'!$Z$6)</f>
        <v>0</v>
      </c>
      <c r="AA77" s="136">
        <f>SUMIFS('تحليل مبيعات'!H:H,'تحليل مبيعات'!C:C,'حركة المخزن'!Q77,'تحليل مبيعات'!W:W,'حركة المخزن'!$AA$6)</f>
        <v>0</v>
      </c>
      <c r="AB77" s="136">
        <f>SUMIFS('تحليل مبيعات'!H:H,'تحليل مبيعات'!C:C,'حركة المخزن'!Q77,'تحليل مبيعات'!W:W,'حركة المخزن'!$AB$6)</f>
        <v>0</v>
      </c>
      <c r="AC77" s="137">
        <f>SUMIFS('تحليل مبيعات'!H:H,'تحليل مبيعات'!C:C,'حركة المخزن'!Q77,'تحليل مبيعات'!W:W,'حركة المخزن'!$AC$6)</f>
        <v>0</v>
      </c>
      <c r="AD77" s="134">
        <f t="shared" si="5"/>
        <v>5</v>
      </c>
    </row>
    <row r="78" spans="2:30" ht="16.2" thickBot="1" x14ac:dyDescent="0.35">
      <c r="B78" s="70" t="s">
        <v>98</v>
      </c>
      <c r="C78" s="10" t="s">
        <v>339</v>
      </c>
      <c r="D78" s="10" t="s">
        <v>204</v>
      </c>
      <c r="E78" s="145">
        <v>10</v>
      </c>
      <c r="F78" s="145">
        <v>10000</v>
      </c>
      <c r="G78" s="10">
        <v>0</v>
      </c>
      <c r="H78" s="10">
        <v>0</v>
      </c>
      <c r="I78" s="10">
        <f>IFERROR(IF(SUMIF('تحليل مبيعات'!C:C, 'حركة المخزن'!B78, 'تحليل مبيعات'!H:H)=0,"",SUMIF('تحليل مبيعات'!C:C, 'حركة المخزن'!B78, 'تحليل مبيعات'!H:H)),"")</f>
        <v>3</v>
      </c>
      <c r="J78" s="10">
        <f>IFERROR(IF(SUMIF('تحليل مبيعات'!C:C, 'حركة المخزن'!B78, 'تحليل مبيعات'!L:L)=0,"",SUMIF('تحليل مبيعات'!C:C, 'حركة المخزن'!B78, 'تحليل مبيعات'!L:L)),"")</f>
        <v>90</v>
      </c>
      <c r="K78" s="10">
        <f t="shared" si="6"/>
        <v>7</v>
      </c>
      <c r="L78" s="10">
        <f t="shared" si="7"/>
        <v>9910</v>
      </c>
      <c r="M78" s="10">
        <v>5</v>
      </c>
      <c r="N78" s="10" t="str">
        <f t="shared" si="8"/>
        <v>يوجد رصيد كافى</v>
      </c>
      <c r="O78" s="44">
        <v>50</v>
      </c>
      <c r="Q78" s="130" t="str">
        <v>وش تقسيمة جوان</v>
      </c>
      <c r="R78" s="135">
        <f>SUMIFS('تحليل مبيعات'!H:H,'تحليل مبيعات'!C:C,'حركة المخزن'!Q78,'تحليل مبيعات'!W:W,'حركة المخزن'!$R$6)</f>
        <v>0</v>
      </c>
      <c r="S78" s="136">
        <f>SUMIFS('تحليل مبيعات'!H:H,'تحليل مبيعات'!C:C,'حركة المخزن'!Q78,'تحليل مبيعات'!W:W,'حركة المخزن'!$S$6)</f>
        <v>0</v>
      </c>
      <c r="T78" s="136">
        <f>SUMIFS('تحليل مبيعات'!H:H,'تحليل مبيعات'!C:C,'حركة المخزن'!Q78,'تحليل مبيعات'!W:W,'حركة المخزن'!$T$6)</f>
        <v>0</v>
      </c>
      <c r="U78" s="136">
        <f>SUMIFS('تحليل مبيعات'!H:H,'تحليل مبيعات'!C:C,'حركة المخزن'!Q78,'تحليل مبيعات'!W:W,'حركة المخزن'!$U$6)</f>
        <v>0</v>
      </c>
      <c r="V78" s="136">
        <f>SUMIFS('تحليل مبيعات'!H:H,'تحليل مبيعات'!C:C,'حركة المخزن'!Q78,'تحليل مبيعات'!W:W,'حركة المخزن'!$V$6)</f>
        <v>0</v>
      </c>
      <c r="W78" s="136">
        <f>SUMIFS('تحليل مبيعات'!H:H,'تحليل مبيعات'!C:C,'حركة المخزن'!Q78,'تحليل مبيعات'!W:W,'حركة المخزن'!$W$6)</f>
        <v>0</v>
      </c>
      <c r="X78" s="136">
        <f>SUMIFS('تحليل مبيعات'!H:H,'تحليل مبيعات'!C:C,'حركة المخزن'!Q78,'تحليل مبيعات'!W:W,'حركة المخزن'!$X$6)</f>
        <v>3</v>
      </c>
      <c r="Y78" s="136">
        <f>SUMIFS('تحليل مبيعات'!H:H,'تحليل مبيعات'!C:C,'حركة المخزن'!Q78,'تحليل مبيعات'!W:W,'حركة المخزن'!$Y$6)</f>
        <v>0</v>
      </c>
      <c r="Z78" s="136">
        <f>SUMIFS('تحليل مبيعات'!H:H,'تحليل مبيعات'!C:C,'حركة المخزن'!Q78,'تحليل مبيعات'!W:W,'حركة المخزن'!$Z$6)</f>
        <v>0</v>
      </c>
      <c r="AA78" s="136">
        <f>SUMIFS('تحليل مبيعات'!H:H,'تحليل مبيعات'!C:C,'حركة المخزن'!Q78,'تحليل مبيعات'!W:W,'حركة المخزن'!$AA$6)</f>
        <v>0</v>
      </c>
      <c r="AB78" s="136">
        <f>SUMIFS('تحليل مبيعات'!H:H,'تحليل مبيعات'!C:C,'حركة المخزن'!Q78,'تحليل مبيعات'!W:W,'حركة المخزن'!$AB$6)</f>
        <v>0</v>
      </c>
      <c r="AC78" s="137">
        <f>SUMIFS('تحليل مبيعات'!H:H,'تحليل مبيعات'!C:C,'حركة المخزن'!Q78,'تحليل مبيعات'!W:W,'حركة المخزن'!$AC$6)</f>
        <v>0</v>
      </c>
      <c r="AD78" s="134">
        <f t="shared" si="5"/>
        <v>3</v>
      </c>
    </row>
    <row r="79" spans="2:30" ht="16.2" thickBot="1" x14ac:dyDescent="0.35">
      <c r="B79" s="70" t="s">
        <v>101</v>
      </c>
      <c r="C79" s="10" t="s">
        <v>340</v>
      </c>
      <c r="D79" s="10" t="s">
        <v>204</v>
      </c>
      <c r="E79" s="145">
        <v>10</v>
      </c>
      <c r="F79" s="145">
        <v>10000</v>
      </c>
      <c r="G79" s="10">
        <v>0</v>
      </c>
      <c r="H79" s="10">
        <v>0</v>
      </c>
      <c r="I79" s="10">
        <f>IFERROR(IF(SUMIF('تحليل مبيعات'!C:C, 'حركة المخزن'!B79, 'تحليل مبيعات'!H:H)=0,"",SUMIF('تحليل مبيعات'!C:C, 'حركة المخزن'!B79, 'تحليل مبيعات'!H:H)),"")</f>
        <v>1</v>
      </c>
      <c r="J79" s="10">
        <f>IFERROR(IF(SUMIF('تحليل مبيعات'!C:C, 'حركة المخزن'!B79, 'تحليل مبيعات'!L:L)=0,"",SUMIF('تحليل مبيعات'!C:C, 'حركة المخزن'!B79, 'تحليل مبيعات'!L:L)),"")</f>
        <v>2300</v>
      </c>
      <c r="K79" s="10">
        <f t="shared" si="6"/>
        <v>9</v>
      </c>
      <c r="L79" s="10">
        <f t="shared" si="7"/>
        <v>7700</v>
      </c>
      <c r="M79" s="10">
        <v>5</v>
      </c>
      <c r="N79" s="10" t="str">
        <f t="shared" si="8"/>
        <v>يوجد رصيد كافى</v>
      </c>
      <c r="O79" s="44">
        <v>55</v>
      </c>
      <c r="Q79" s="130" t="str">
        <v>باور كينج لونج</v>
      </c>
      <c r="R79" s="135">
        <f>SUMIFS('تحليل مبيعات'!H:H,'تحليل مبيعات'!C:C,'حركة المخزن'!Q79,'تحليل مبيعات'!W:W,'حركة المخزن'!$R$6)</f>
        <v>0</v>
      </c>
      <c r="S79" s="136">
        <f>SUMIFS('تحليل مبيعات'!H:H,'تحليل مبيعات'!C:C,'حركة المخزن'!Q79,'تحليل مبيعات'!W:W,'حركة المخزن'!$S$6)</f>
        <v>0</v>
      </c>
      <c r="T79" s="136">
        <f>SUMIFS('تحليل مبيعات'!H:H,'تحليل مبيعات'!C:C,'حركة المخزن'!Q79,'تحليل مبيعات'!W:W,'حركة المخزن'!$T$6)</f>
        <v>0</v>
      </c>
      <c r="U79" s="136">
        <f>SUMIFS('تحليل مبيعات'!H:H,'تحليل مبيعات'!C:C,'حركة المخزن'!Q79,'تحليل مبيعات'!W:W,'حركة المخزن'!$U$6)</f>
        <v>0</v>
      </c>
      <c r="V79" s="136">
        <f>SUMIFS('تحليل مبيعات'!H:H,'تحليل مبيعات'!C:C,'حركة المخزن'!Q79,'تحليل مبيعات'!W:W,'حركة المخزن'!$V$6)</f>
        <v>0</v>
      </c>
      <c r="W79" s="136">
        <f>SUMIFS('تحليل مبيعات'!H:H,'تحليل مبيعات'!C:C,'حركة المخزن'!Q79,'تحليل مبيعات'!W:W,'حركة المخزن'!$W$6)</f>
        <v>0</v>
      </c>
      <c r="X79" s="136">
        <f>SUMIFS('تحليل مبيعات'!H:H,'تحليل مبيعات'!C:C,'حركة المخزن'!Q79,'تحليل مبيعات'!W:W,'حركة المخزن'!$X$6)</f>
        <v>1</v>
      </c>
      <c r="Y79" s="136">
        <f>SUMIFS('تحليل مبيعات'!H:H,'تحليل مبيعات'!C:C,'حركة المخزن'!Q79,'تحليل مبيعات'!W:W,'حركة المخزن'!$Y$6)</f>
        <v>0</v>
      </c>
      <c r="Z79" s="136">
        <f>SUMIFS('تحليل مبيعات'!H:H,'تحليل مبيعات'!C:C,'حركة المخزن'!Q79,'تحليل مبيعات'!W:W,'حركة المخزن'!$Z$6)</f>
        <v>0</v>
      </c>
      <c r="AA79" s="136">
        <f>SUMIFS('تحليل مبيعات'!H:H,'تحليل مبيعات'!C:C,'حركة المخزن'!Q79,'تحليل مبيعات'!W:W,'حركة المخزن'!$AA$6)</f>
        <v>0</v>
      </c>
      <c r="AB79" s="136">
        <f>SUMIFS('تحليل مبيعات'!H:H,'تحليل مبيعات'!C:C,'حركة المخزن'!Q79,'تحليل مبيعات'!W:W,'حركة المخزن'!$AB$6)</f>
        <v>0</v>
      </c>
      <c r="AC79" s="137">
        <f>SUMIFS('تحليل مبيعات'!H:H,'تحليل مبيعات'!C:C,'حركة المخزن'!Q79,'تحليل مبيعات'!W:W,'حركة المخزن'!$AC$6)</f>
        <v>0</v>
      </c>
      <c r="AD79" s="134">
        <f t="shared" si="5"/>
        <v>1</v>
      </c>
    </row>
    <row r="80" spans="2:30" ht="16.2" thickBot="1" x14ac:dyDescent="0.35">
      <c r="B80" s="70" t="s">
        <v>103</v>
      </c>
      <c r="C80" s="10" t="s">
        <v>341</v>
      </c>
      <c r="D80" s="10" t="s">
        <v>204</v>
      </c>
      <c r="E80" s="145">
        <v>10</v>
      </c>
      <c r="F80" s="145">
        <v>10000</v>
      </c>
      <c r="G80" s="10">
        <v>0</v>
      </c>
      <c r="H80" s="10">
        <v>0</v>
      </c>
      <c r="I80" s="10">
        <f>IFERROR(IF(SUMIF('تحليل مبيعات'!C:C, 'حركة المخزن'!B80, 'تحليل مبيعات'!H:H)=0,"",SUMIF('تحليل مبيعات'!C:C, 'حركة المخزن'!B80, 'تحليل مبيعات'!H:H)),"")</f>
        <v>4</v>
      </c>
      <c r="J80" s="10">
        <f>IFERROR(IF(SUMIF('تحليل مبيعات'!C:C, 'حركة المخزن'!B80, 'تحليل مبيعات'!L:L)=0,"",SUMIF('تحليل مبيعات'!C:C, 'حركة المخزن'!B80, 'تحليل مبيعات'!L:L)),"")</f>
        <v>600</v>
      </c>
      <c r="K80" s="10">
        <f t="shared" si="6"/>
        <v>6</v>
      </c>
      <c r="L80" s="10">
        <f t="shared" si="7"/>
        <v>9400</v>
      </c>
      <c r="M80" s="10">
        <v>5</v>
      </c>
      <c r="N80" s="10" t="str">
        <f t="shared" si="8"/>
        <v>يوجد رصيد كافى</v>
      </c>
      <c r="O80" s="44">
        <v>60</v>
      </c>
      <c r="Q80" s="130" t="str">
        <v>سير باور</v>
      </c>
      <c r="R80" s="135">
        <f>SUMIFS('تحليل مبيعات'!H:H,'تحليل مبيعات'!C:C,'حركة المخزن'!Q80,'تحليل مبيعات'!W:W,'حركة المخزن'!$R$6)</f>
        <v>0</v>
      </c>
      <c r="S80" s="136">
        <f>SUMIFS('تحليل مبيعات'!H:H,'تحليل مبيعات'!C:C,'حركة المخزن'!Q80,'تحليل مبيعات'!W:W,'حركة المخزن'!$S$6)</f>
        <v>0</v>
      </c>
      <c r="T80" s="136">
        <f>SUMIFS('تحليل مبيعات'!H:H,'تحليل مبيعات'!C:C,'حركة المخزن'!Q80,'تحليل مبيعات'!W:W,'حركة المخزن'!$T$6)</f>
        <v>0</v>
      </c>
      <c r="U80" s="136">
        <f>SUMIFS('تحليل مبيعات'!H:H,'تحليل مبيعات'!C:C,'حركة المخزن'!Q80,'تحليل مبيعات'!W:W,'حركة المخزن'!$U$6)</f>
        <v>0</v>
      </c>
      <c r="V80" s="136">
        <f>SUMIFS('تحليل مبيعات'!H:H,'تحليل مبيعات'!C:C,'حركة المخزن'!Q80,'تحليل مبيعات'!W:W,'حركة المخزن'!$V$6)</f>
        <v>0</v>
      </c>
      <c r="W80" s="136">
        <f>SUMIFS('تحليل مبيعات'!H:H,'تحليل مبيعات'!C:C,'حركة المخزن'!Q80,'تحليل مبيعات'!W:W,'حركة المخزن'!$W$6)</f>
        <v>0</v>
      </c>
      <c r="X80" s="136">
        <f>SUMIFS('تحليل مبيعات'!H:H,'تحليل مبيعات'!C:C,'حركة المخزن'!Q80,'تحليل مبيعات'!W:W,'حركة المخزن'!$X$6)</f>
        <v>4</v>
      </c>
      <c r="Y80" s="136">
        <f>SUMIFS('تحليل مبيعات'!H:H,'تحليل مبيعات'!C:C,'حركة المخزن'!Q80,'تحليل مبيعات'!W:W,'حركة المخزن'!$Y$6)</f>
        <v>0</v>
      </c>
      <c r="Z80" s="136">
        <f>SUMIFS('تحليل مبيعات'!H:H,'تحليل مبيعات'!C:C,'حركة المخزن'!Q80,'تحليل مبيعات'!W:W,'حركة المخزن'!$Z$6)</f>
        <v>0</v>
      </c>
      <c r="AA80" s="136">
        <f>SUMIFS('تحليل مبيعات'!H:H,'تحليل مبيعات'!C:C,'حركة المخزن'!Q80,'تحليل مبيعات'!W:W,'حركة المخزن'!$AA$6)</f>
        <v>0</v>
      </c>
      <c r="AB80" s="136">
        <f>SUMIFS('تحليل مبيعات'!H:H,'تحليل مبيعات'!C:C,'حركة المخزن'!Q80,'تحليل مبيعات'!W:W,'حركة المخزن'!$AB$6)</f>
        <v>0</v>
      </c>
      <c r="AC80" s="137">
        <f>SUMIFS('تحليل مبيعات'!H:H,'تحليل مبيعات'!C:C,'حركة المخزن'!Q80,'تحليل مبيعات'!W:W,'حركة المخزن'!$AC$6)</f>
        <v>0</v>
      </c>
      <c r="AD80" s="134">
        <f t="shared" si="5"/>
        <v>4</v>
      </c>
    </row>
    <row r="81" spans="2:30" ht="16.2" thickBot="1" x14ac:dyDescent="0.35">
      <c r="B81" s="70" t="s">
        <v>104</v>
      </c>
      <c r="C81" s="10" t="s">
        <v>342</v>
      </c>
      <c r="D81" s="10" t="s">
        <v>204</v>
      </c>
      <c r="E81" s="145">
        <v>10</v>
      </c>
      <c r="F81" s="145">
        <v>10000</v>
      </c>
      <c r="G81" s="10">
        <v>0</v>
      </c>
      <c r="H81" s="10">
        <v>0</v>
      </c>
      <c r="I81" s="10">
        <f>IFERROR(IF(SUMIF('تحليل مبيعات'!C:C, 'حركة المخزن'!B81, 'تحليل مبيعات'!H:H)=0,"",SUMIF('تحليل مبيعات'!C:C, 'حركة المخزن'!B81, 'تحليل مبيعات'!H:H)),"")</f>
        <v>3</v>
      </c>
      <c r="J81" s="10">
        <f>IFERROR(IF(SUMIF('تحليل مبيعات'!C:C, 'حركة المخزن'!B81, 'تحليل مبيعات'!L:L)=0,"",SUMIF('تحليل مبيعات'!C:C, 'حركة المخزن'!B81, 'تحليل مبيعات'!L:L)),"")</f>
        <v>450</v>
      </c>
      <c r="K81" s="10">
        <f t="shared" si="6"/>
        <v>7</v>
      </c>
      <c r="L81" s="10">
        <f t="shared" si="7"/>
        <v>9550</v>
      </c>
      <c r="M81" s="10">
        <v>5</v>
      </c>
      <c r="N81" s="10" t="str">
        <f t="shared" si="8"/>
        <v>يوجد رصيد كافى</v>
      </c>
      <c r="O81" s="44">
        <v>65</v>
      </c>
      <c r="Q81" s="130" t="str">
        <v>جلد صباب يابانى لف</v>
      </c>
      <c r="R81" s="135">
        <f>SUMIFS('تحليل مبيعات'!H:H,'تحليل مبيعات'!C:C,'حركة المخزن'!Q81,'تحليل مبيعات'!W:W,'حركة المخزن'!$R$6)</f>
        <v>0</v>
      </c>
      <c r="S81" s="136">
        <f>SUMIFS('تحليل مبيعات'!H:H,'تحليل مبيعات'!C:C,'حركة المخزن'!Q81,'تحليل مبيعات'!W:W,'حركة المخزن'!$S$6)</f>
        <v>0</v>
      </c>
      <c r="T81" s="136">
        <f>SUMIFS('تحليل مبيعات'!H:H,'تحليل مبيعات'!C:C,'حركة المخزن'!Q81,'تحليل مبيعات'!W:W,'حركة المخزن'!$T$6)</f>
        <v>0</v>
      </c>
      <c r="U81" s="136">
        <f>SUMIFS('تحليل مبيعات'!H:H,'تحليل مبيعات'!C:C,'حركة المخزن'!Q81,'تحليل مبيعات'!W:W,'حركة المخزن'!$U$6)</f>
        <v>0</v>
      </c>
      <c r="V81" s="136">
        <f>SUMIFS('تحليل مبيعات'!H:H,'تحليل مبيعات'!C:C,'حركة المخزن'!Q81,'تحليل مبيعات'!W:W,'حركة المخزن'!$V$6)</f>
        <v>0</v>
      </c>
      <c r="W81" s="136">
        <f>SUMIFS('تحليل مبيعات'!H:H,'تحليل مبيعات'!C:C,'حركة المخزن'!Q81,'تحليل مبيعات'!W:W,'حركة المخزن'!$W$6)</f>
        <v>0</v>
      </c>
      <c r="X81" s="136">
        <f>SUMIFS('تحليل مبيعات'!H:H,'تحليل مبيعات'!C:C,'حركة المخزن'!Q81,'تحليل مبيعات'!W:W,'حركة المخزن'!$X$6)</f>
        <v>3</v>
      </c>
      <c r="Y81" s="136">
        <f>SUMIFS('تحليل مبيعات'!H:H,'تحليل مبيعات'!C:C,'حركة المخزن'!Q81,'تحليل مبيعات'!W:W,'حركة المخزن'!$Y$6)</f>
        <v>0</v>
      </c>
      <c r="Z81" s="136">
        <f>SUMIFS('تحليل مبيعات'!H:H,'تحليل مبيعات'!C:C,'حركة المخزن'!Q81,'تحليل مبيعات'!W:W,'حركة المخزن'!$Z$6)</f>
        <v>0</v>
      </c>
      <c r="AA81" s="136">
        <f>SUMIFS('تحليل مبيعات'!H:H,'تحليل مبيعات'!C:C,'حركة المخزن'!Q81,'تحليل مبيعات'!W:W,'حركة المخزن'!$AA$6)</f>
        <v>0</v>
      </c>
      <c r="AB81" s="136">
        <f>SUMIFS('تحليل مبيعات'!H:H,'تحليل مبيعات'!C:C,'حركة المخزن'!Q81,'تحليل مبيعات'!W:W,'حركة المخزن'!$AB$6)</f>
        <v>0</v>
      </c>
      <c r="AC81" s="137">
        <f>SUMIFS('تحليل مبيعات'!H:H,'تحليل مبيعات'!C:C,'حركة المخزن'!Q81,'تحليل مبيعات'!W:W,'حركة المخزن'!$AC$6)</f>
        <v>0</v>
      </c>
      <c r="AD81" s="134">
        <f t="shared" si="5"/>
        <v>3</v>
      </c>
    </row>
    <row r="82" spans="2:30" ht="16.2" thickBot="1" x14ac:dyDescent="0.35">
      <c r="B82" s="70" t="s">
        <v>109</v>
      </c>
      <c r="C82" s="10" t="s">
        <v>343</v>
      </c>
      <c r="D82" s="10" t="s">
        <v>204</v>
      </c>
      <c r="E82" s="145">
        <v>10</v>
      </c>
      <c r="F82" s="145">
        <v>10000</v>
      </c>
      <c r="G82" s="10">
        <v>0</v>
      </c>
      <c r="H82" s="10">
        <v>0</v>
      </c>
      <c r="I82" s="10">
        <f>IFERROR(IF(SUMIF('تحليل مبيعات'!C:C, 'حركة المخزن'!B82, 'تحليل مبيعات'!H:H)=0,"",SUMIF('تحليل مبيعات'!C:C, 'حركة المخزن'!B82, 'تحليل مبيعات'!H:H)),"")</f>
        <v>5</v>
      </c>
      <c r="J82" s="10">
        <f>IFERROR(IF(SUMIF('تحليل مبيعات'!C:C, 'حركة المخزن'!B82, 'تحليل مبيعات'!L:L)=0,"",SUMIF('تحليل مبيعات'!C:C, 'حركة المخزن'!B82, 'تحليل مبيعات'!L:L)),"")</f>
        <v>4150</v>
      </c>
      <c r="K82" s="10">
        <f t="shared" si="6"/>
        <v>5</v>
      </c>
      <c r="L82" s="10">
        <f t="shared" si="7"/>
        <v>5850</v>
      </c>
      <c r="M82" s="10">
        <v>5</v>
      </c>
      <c r="N82" s="10" t="str">
        <f t="shared" si="8"/>
        <v>يوجد رصيد كافى</v>
      </c>
      <c r="O82" s="44">
        <v>70</v>
      </c>
      <c r="Q82" s="130" t="str">
        <v>خبور كرنك</v>
      </c>
      <c r="R82" s="135">
        <f>SUMIFS('تحليل مبيعات'!H:H,'تحليل مبيعات'!C:C,'حركة المخزن'!Q82,'تحليل مبيعات'!W:W,'حركة المخزن'!$R$6)</f>
        <v>0</v>
      </c>
      <c r="S82" s="136">
        <f>SUMIFS('تحليل مبيعات'!H:H,'تحليل مبيعات'!C:C,'حركة المخزن'!Q82,'تحليل مبيعات'!W:W,'حركة المخزن'!$S$6)</f>
        <v>0</v>
      </c>
      <c r="T82" s="136">
        <f>SUMIFS('تحليل مبيعات'!H:H,'تحليل مبيعات'!C:C,'حركة المخزن'!Q82,'تحليل مبيعات'!W:W,'حركة المخزن'!$T$6)</f>
        <v>0</v>
      </c>
      <c r="U82" s="136">
        <f>SUMIFS('تحليل مبيعات'!H:H,'تحليل مبيعات'!C:C,'حركة المخزن'!Q82,'تحليل مبيعات'!W:W,'حركة المخزن'!$U$6)</f>
        <v>0</v>
      </c>
      <c r="V82" s="136">
        <f>SUMIFS('تحليل مبيعات'!H:H,'تحليل مبيعات'!C:C,'حركة المخزن'!Q82,'تحليل مبيعات'!W:W,'حركة المخزن'!$V$6)</f>
        <v>0</v>
      </c>
      <c r="W82" s="136">
        <f>SUMIFS('تحليل مبيعات'!H:H,'تحليل مبيعات'!C:C,'حركة المخزن'!Q82,'تحليل مبيعات'!W:W,'حركة المخزن'!$W$6)</f>
        <v>0</v>
      </c>
      <c r="X82" s="136">
        <f>SUMIFS('تحليل مبيعات'!H:H,'تحليل مبيعات'!C:C,'حركة المخزن'!Q82,'تحليل مبيعات'!W:W,'حركة المخزن'!$X$6)</f>
        <v>2</v>
      </c>
      <c r="Y82" s="136">
        <f>SUMIFS('تحليل مبيعات'!H:H,'تحليل مبيعات'!C:C,'حركة المخزن'!Q82,'تحليل مبيعات'!W:W,'حركة المخزن'!$Y$6)</f>
        <v>0</v>
      </c>
      <c r="Z82" s="136">
        <f>SUMIFS('تحليل مبيعات'!H:H,'تحليل مبيعات'!C:C,'حركة المخزن'!Q82,'تحليل مبيعات'!W:W,'حركة المخزن'!$Z$6)</f>
        <v>0</v>
      </c>
      <c r="AA82" s="136">
        <f>SUMIFS('تحليل مبيعات'!H:H,'تحليل مبيعات'!C:C,'حركة المخزن'!Q82,'تحليل مبيعات'!W:W,'حركة المخزن'!$AA$6)</f>
        <v>0</v>
      </c>
      <c r="AB82" s="136">
        <f>SUMIFS('تحليل مبيعات'!H:H,'تحليل مبيعات'!C:C,'حركة المخزن'!Q82,'تحليل مبيعات'!W:W,'حركة المخزن'!$AB$6)</f>
        <v>0</v>
      </c>
      <c r="AC82" s="137">
        <f>SUMIFS('تحليل مبيعات'!H:H,'تحليل مبيعات'!C:C,'حركة المخزن'!Q82,'تحليل مبيعات'!W:W,'حركة المخزن'!$AC$6)</f>
        <v>0</v>
      </c>
      <c r="AD82" s="134">
        <f t="shared" si="5"/>
        <v>2</v>
      </c>
    </row>
    <row r="83" spans="2:30" ht="16.2" thickBot="1" x14ac:dyDescent="0.35">
      <c r="B83" s="70" t="s">
        <v>110</v>
      </c>
      <c r="C83" s="10" t="s">
        <v>344</v>
      </c>
      <c r="D83" s="10" t="s">
        <v>204</v>
      </c>
      <c r="E83" s="145">
        <v>10</v>
      </c>
      <c r="F83" s="145">
        <v>10000</v>
      </c>
      <c r="G83" s="10">
        <v>0</v>
      </c>
      <c r="H83" s="10">
        <v>0</v>
      </c>
      <c r="I83" s="10">
        <f>IFERROR(IF(SUMIF('تحليل مبيعات'!C:C, 'حركة المخزن'!B83, 'تحليل مبيعات'!H:H)=0,"",SUMIF('تحليل مبيعات'!C:C, 'حركة المخزن'!B83, 'تحليل مبيعات'!H:H)),"")</f>
        <v>3</v>
      </c>
      <c r="J83" s="10">
        <f>IFERROR(IF(SUMIF('تحليل مبيعات'!C:C, 'حركة المخزن'!B83, 'تحليل مبيعات'!L:L)=0,"",SUMIF('تحليل مبيعات'!C:C, 'حركة المخزن'!B83, 'تحليل مبيعات'!L:L)),"")</f>
        <v>80</v>
      </c>
      <c r="K83" s="10">
        <f t="shared" si="6"/>
        <v>7</v>
      </c>
      <c r="L83" s="10">
        <f t="shared" si="7"/>
        <v>9920</v>
      </c>
      <c r="M83" s="10">
        <v>5</v>
      </c>
      <c r="N83" s="10" t="str">
        <f t="shared" si="8"/>
        <v>يوجد رصيد كافى</v>
      </c>
      <c r="O83" s="44">
        <v>75</v>
      </c>
      <c r="Q83" s="130" t="str">
        <v>خزنة فرامل عمومى</v>
      </c>
      <c r="R83" s="135">
        <f>SUMIFS('تحليل مبيعات'!H:H,'تحليل مبيعات'!C:C,'حركة المخزن'!Q83,'تحليل مبيعات'!W:W,'حركة المخزن'!$R$6)</f>
        <v>0</v>
      </c>
      <c r="S83" s="136">
        <f>SUMIFS('تحليل مبيعات'!H:H,'تحليل مبيعات'!C:C,'حركة المخزن'!Q83,'تحليل مبيعات'!W:W,'حركة المخزن'!$S$6)</f>
        <v>0</v>
      </c>
      <c r="T83" s="136">
        <f>SUMIFS('تحليل مبيعات'!H:H,'تحليل مبيعات'!C:C,'حركة المخزن'!Q83,'تحليل مبيعات'!W:W,'حركة المخزن'!$T$6)</f>
        <v>0</v>
      </c>
      <c r="U83" s="136">
        <f>SUMIFS('تحليل مبيعات'!H:H,'تحليل مبيعات'!C:C,'حركة المخزن'!Q83,'تحليل مبيعات'!W:W,'حركة المخزن'!$U$6)</f>
        <v>0</v>
      </c>
      <c r="V83" s="136">
        <f>SUMIFS('تحليل مبيعات'!H:H,'تحليل مبيعات'!C:C,'حركة المخزن'!Q83,'تحليل مبيعات'!W:W,'حركة المخزن'!$V$6)</f>
        <v>0</v>
      </c>
      <c r="W83" s="136">
        <f>SUMIFS('تحليل مبيعات'!H:H,'تحليل مبيعات'!C:C,'حركة المخزن'!Q83,'تحليل مبيعات'!W:W,'حركة المخزن'!$W$6)</f>
        <v>0</v>
      </c>
      <c r="X83" s="136">
        <f>SUMIFS('تحليل مبيعات'!H:H,'تحليل مبيعات'!C:C,'حركة المخزن'!Q83,'تحليل مبيعات'!W:W,'حركة المخزن'!$X$6)</f>
        <v>5</v>
      </c>
      <c r="Y83" s="136">
        <f>SUMIFS('تحليل مبيعات'!H:H,'تحليل مبيعات'!C:C,'حركة المخزن'!Q83,'تحليل مبيعات'!W:W,'حركة المخزن'!$Y$6)</f>
        <v>0</v>
      </c>
      <c r="Z83" s="136">
        <f>SUMIFS('تحليل مبيعات'!H:H,'تحليل مبيعات'!C:C,'حركة المخزن'!Q83,'تحليل مبيعات'!W:W,'حركة المخزن'!$Z$6)</f>
        <v>0</v>
      </c>
      <c r="AA83" s="136">
        <f>SUMIFS('تحليل مبيعات'!H:H,'تحليل مبيعات'!C:C,'حركة المخزن'!Q83,'تحليل مبيعات'!W:W,'حركة المخزن'!$AA$6)</f>
        <v>0</v>
      </c>
      <c r="AB83" s="136">
        <f>SUMIFS('تحليل مبيعات'!H:H,'تحليل مبيعات'!C:C,'حركة المخزن'!Q83,'تحليل مبيعات'!W:W,'حركة المخزن'!$AB$6)</f>
        <v>0</v>
      </c>
      <c r="AC83" s="137">
        <f>SUMIFS('تحليل مبيعات'!H:H,'تحليل مبيعات'!C:C,'حركة المخزن'!Q83,'تحليل مبيعات'!W:W,'حركة المخزن'!$AC$6)</f>
        <v>0</v>
      </c>
      <c r="AD83" s="134">
        <f t="shared" si="5"/>
        <v>5</v>
      </c>
    </row>
    <row r="84" spans="2:30" ht="16.2" thickBot="1" x14ac:dyDescent="0.35">
      <c r="B84" s="70" t="s">
        <v>117</v>
      </c>
      <c r="C84" s="10" t="s">
        <v>345</v>
      </c>
      <c r="D84" s="10" t="s">
        <v>204</v>
      </c>
      <c r="E84" s="145">
        <v>10</v>
      </c>
      <c r="F84" s="145">
        <v>10000</v>
      </c>
      <c r="G84" s="10">
        <v>0</v>
      </c>
      <c r="H84" s="10">
        <v>0</v>
      </c>
      <c r="I84" s="10">
        <f>IFERROR(IF(SUMIF('تحليل مبيعات'!C:C, 'حركة المخزن'!B84, 'تحليل مبيعات'!H:H)=0,"",SUMIF('تحليل مبيعات'!C:C, 'حركة المخزن'!B84, 'تحليل مبيعات'!H:H)),"")</f>
        <v>2</v>
      </c>
      <c r="J84" s="10">
        <f>IFERROR(IF(SUMIF('تحليل مبيعات'!C:C, 'حركة المخزن'!B84, 'تحليل مبيعات'!L:L)=0,"",SUMIF('تحليل مبيعات'!C:C, 'حركة المخزن'!B84, 'تحليل مبيعات'!L:L)),"")</f>
        <v>6690</v>
      </c>
      <c r="K84" s="10">
        <f t="shared" si="6"/>
        <v>8</v>
      </c>
      <c r="L84" s="10">
        <f t="shared" si="7"/>
        <v>3310</v>
      </c>
      <c r="M84" s="10">
        <v>5</v>
      </c>
      <c r="N84" s="10" t="str">
        <f t="shared" si="8"/>
        <v>يوجد رصيد كافى</v>
      </c>
      <c r="O84" s="44">
        <v>80</v>
      </c>
      <c r="Q84" s="130" t="str">
        <v>اكرة باب زجاج تويوتا 90</v>
      </c>
      <c r="R84" s="135">
        <f>SUMIFS('تحليل مبيعات'!H:H,'تحليل مبيعات'!C:C,'حركة المخزن'!Q84,'تحليل مبيعات'!W:W,'حركة المخزن'!$R$6)</f>
        <v>0</v>
      </c>
      <c r="S84" s="136">
        <f>SUMIFS('تحليل مبيعات'!H:H,'تحليل مبيعات'!C:C,'حركة المخزن'!Q84,'تحليل مبيعات'!W:W,'حركة المخزن'!$S$6)</f>
        <v>0</v>
      </c>
      <c r="T84" s="136">
        <f>SUMIFS('تحليل مبيعات'!H:H,'تحليل مبيعات'!C:C,'حركة المخزن'!Q84,'تحليل مبيعات'!W:W,'حركة المخزن'!$T$6)</f>
        <v>0</v>
      </c>
      <c r="U84" s="136">
        <f>SUMIFS('تحليل مبيعات'!H:H,'تحليل مبيعات'!C:C,'حركة المخزن'!Q84,'تحليل مبيعات'!W:W,'حركة المخزن'!$U$6)</f>
        <v>0</v>
      </c>
      <c r="V84" s="136">
        <f>SUMIFS('تحليل مبيعات'!H:H,'تحليل مبيعات'!C:C,'حركة المخزن'!Q84,'تحليل مبيعات'!W:W,'حركة المخزن'!$V$6)</f>
        <v>0</v>
      </c>
      <c r="W84" s="136">
        <f>SUMIFS('تحليل مبيعات'!H:H,'تحليل مبيعات'!C:C,'حركة المخزن'!Q84,'تحليل مبيعات'!W:W,'حركة المخزن'!$W$6)</f>
        <v>0</v>
      </c>
      <c r="X84" s="136">
        <f>SUMIFS('تحليل مبيعات'!H:H,'تحليل مبيعات'!C:C,'حركة المخزن'!Q84,'تحليل مبيعات'!W:W,'حركة المخزن'!$X$6)</f>
        <v>3</v>
      </c>
      <c r="Y84" s="136">
        <f>SUMIFS('تحليل مبيعات'!H:H,'تحليل مبيعات'!C:C,'حركة المخزن'!Q84,'تحليل مبيعات'!W:W,'حركة المخزن'!$Y$6)</f>
        <v>0</v>
      </c>
      <c r="Z84" s="136">
        <f>SUMIFS('تحليل مبيعات'!H:H,'تحليل مبيعات'!C:C,'حركة المخزن'!Q84,'تحليل مبيعات'!W:W,'حركة المخزن'!$Z$6)</f>
        <v>0</v>
      </c>
      <c r="AA84" s="136">
        <f>SUMIFS('تحليل مبيعات'!H:H,'تحليل مبيعات'!C:C,'حركة المخزن'!Q84,'تحليل مبيعات'!W:W,'حركة المخزن'!$AA$6)</f>
        <v>0</v>
      </c>
      <c r="AB84" s="136">
        <f>SUMIFS('تحليل مبيعات'!H:H,'تحليل مبيعات'!C:C,'حركة المخزن'!Q84,'تحليل مبيعات'!W:W,'حركة المخزن'!$AB$6)</f>
        <v>0</v>
      </c>
      <c r="AC84" s="137">
        <f>SUMIFS('تحليل مبيعات'!H:H,'تحليل مبيعات'!C:C,'حركة المخزن'!Q84,'تحليل مبيعات'!W:W,'حركة المخزن'!$AC$6)</f>
        <v>0</v>
      </c>
      <c r="AD84" s="134">
        <f t="shared" si="5"/>
        <v>3</v>
      </c>
    </row>
    <row r="85" spans="2:30" ht="16.2" thickBot="1" x14ac:dyDescent="0.35">
      <c r="B85" s="70" t="s">
        <v>111</v>
      </c>
      <c r="C85" s="10" t="s">
        <v>346</v>
      </c>
      <c r="D85" s="10" t="s">
        <v>204</v>
      </c>
      <c r="E85" s="145">
        <v>10</v>
      </c>
      <c r="F85" s="145">
        <v>10000</v>
      </c>
      <c r="G85" s="10">
        <v>0</v>
      </c>
      <c r="H85" s="10">
        <v>0</v>
      </c>
      <c r="I85" s="10">
        <f>IFERROR(IF(SUMIF('تحليل مبيعات'!C:C, 'حركة المخزن'!B85, 'تحليل مبيعات'!H:H)=0,"",SUMIF('تحليل مبيعات'!C:C, 'حركة المخزن'!B85, 'تحليل مبيعات'!H:H)),"")</f>
        <v>1</v>
      </c>
      <c r="J85" s="10">
        <f>IFERROR(IF(SUMIF('تحليل مبيعات'!C:C, 'حركة المخزن'!B85, 'تحليل مبيعات'!L:L)=0,"",SUMIF('تحليل مبيعات'!C:C, 'حركة المخزن'!B85, 'تحليل مبيعات'!L:L)),"")</f>
        <v>300</v>
      </c>
      <c r="K85" s="10">
        <f t="shared" si="6"/>
        <v>9</v>
      </c>
      <c r="L85" s="10">
        <f t="shared" si="7"/>
        <v>9700</v>
      </c>
      <c r="M85" s="10">
        <v>5</v>
      </c>
      <c r="N85" s="10" t="str">
        <f t="shared" si="8"/>
        <v>يوجد رصيد كافى</v>
      </c>
      <c r="O85" s="44">
        <v>85</v>
      </c>
      <c r="Q85" s="130" t="str">
        <v>ديسك دبرياج تويوتا عالى يابانى</v>
      </c>
      <c r="R85" s="135">
        <f>SUMIFS('تحليل مبيعات'!H:H,'تحليل مبيعات'!C:C,'حركة المخزن'!Q85,'تحليل مبيعات'!W:W,'حركة المخزن'!$R$6)</f>
        <v>0</v>
      </c>
      <c r="S85" s="136">
        <f>SUMIFS('تحليل مبيعات'!H:H,'تحليل مبيعات'!C:C,'حركة المخزن'!Q85,'تحليل مبيعات'!W:W,'حركة المخزن'!$S$6)</f>
        <v>0</v>
      </c>
      <c r="T85" s="136">
        <f>SUMIFS('تحليل مبيعات'!H:H,'تحليل مبيعات'!C:C,'حركة المخزن'!Q85,'تحليل مبيعات'!W:W,'حركة المخزن'!$T$6)</f>
        <v>0</v>
      </c>
      <c r="U85" s="136">
        <f>SUMIFS('تحليل مبيعات'!H:H,'تحليل مبيعات'!C:C,'حركة المخزن'!Q85,'تحليل مبيعات'!W:W,'حركة المخزن'!$U$6)</f>
        <v>0</v>
      </c>
      <c r="V85" s="136">
        <f>SUMIFS('تحليل مبيعات'!H:H,'تحليل مبيعات'!C:C,'حركة المخزن'!Q85,'تحليل مبيعات'!W:W,'حركة المخزن'!$V$6)</f>
        <v>0</v>
      </c>
      <c r="W85" s="136">
        <f>SUMIFS('تحليل مبيعات'!H:H,'تحليل مبيعات'!C:C,'حركة المخزن'!Q85,'تحليل مبيعات'!W:W,'حركة المخزن'!$W$6)</f>
        <v>0</v>
      </c>
      <c r="X85" s="136">
        <f>SUMIFS('تحليل مبيعات'!H:H,'تحليل مبيعات'!C:C,'حركة المخزن'!Q85,'تحليل مبيعات'!W:W,'حركة المخزن'!$X$6)</f>
        <v>2</v>
      </c>
      <c r="Y85" s="136">
        <f>SUMIFS('تحليل مبيعات'!H:H,'تحليل مبيعات'!C:C,'حركة المخزن'!Q85,'تحليل مبيعات'!W:W,'حركة المخزن'!$Y$6)</f>
        <v>0</v>
      </c>
      <c r="Z85" s="136">
        <f>SUMIFS('تحليل مبيعات'!H:H,'تحليل مبيعات'!C:C,'حركة المخزن'!Q85,'تحليل مبيعات'!W:W,'حركة المخزن'!$Z$6)</f>
        <v>0</v>
      </c>
      <c r="AA85" s="136">
        <f>SUMIFS('تحليل مبيعات'!H:H,'تحليل مبيعات'!C:C,'حركة المخزن'!Q85,'تحليل مبيعات'!W:W,'حركة المخزن'!$AA$6)</f>
        <v>0</v>
      </c>
      <c r="AB85" s="136">
        <f>SUMIFS('تحليل مبيعات'!H:H,'تحليل مبيعات'!C:C,'حركة المخزن'!Q85,'تحليل مبيعات'!W:W,'حركة المخزن'!$AB$6)</f>
        <v>0</v>
      </c>
      <c r="AC85" s="137">
        <f>SUMIFS('تحليل مبيعات'!H:H,'تحليل مبيعات'!C:C,'حركة المخزن'!Q85,'تحليل مبيعات'!W:W,'حركة المخزن'!$AC$6)</f>
        <v>0</v>
      </c>
      <c r="AD85" s="134">
        <f t="shared" si="5"/>
        <v>2</v>
      </c>
    </row>
    <row r="86" spans="2:30" ht="16.2" thickBot="1" x14ac:dyDescent="0.35">
      <c r="B86" s="70" t="s">
        <v>112</v>
      </c>
      <c r="C86" s="10" t="s">
        <v>347</v>
      </c>
      <c r="D86" s="10" t="s">
        <v>204</v>
      </c>
      <c r="E86" s="145">
        <v>10</v>
      </c>
      <c r="F86" s="145">
        <v>10000</v>
      </c>
      <c r="G86" s="10">
        <v>0</v>
      </c>
      <c r="H86" s="10">
        <v>0</v>
      </c>
      <c r="I86" s="10">
        <f>IFERROR(IF(SUMIF('تحليل مبيعات'!C:C, 'حركة المخزن'!B86, 'تحليل مبيعات'!H:H)=0,"",SUMIF('تحليل مبيعات'!C:C, 'حركة المخزن'!B86, 'تحليل مبيعات'!H:H)),"")</f>
        <v>1</v>
      </c>
      <c r="J86" s="10">
        <f>IFERROR(IF(SUMIF('تحليل مبيعات'!C:C, 'حركة المخزن'!B86, 'تحليل مبيعات'!L:L)=0,"",SUMIF('تحليل مبيعات'!C:C, 'حركة المخزن'!B86, 'تحليل مبيعات'!L:L)),"")</f>
        <v>1700</v>
      </c>
      <c r="K86" s="10">
        <f t="shared" si="6"/>
        <v>9</v>
      </c>
      <c r="L86" s="10">
        <f t="shared" si="7"/>
        <v>8300</v>
      </c>
      <c r="M86" s="10">
        <v>5</v>
      </c>
      <c r="N86" s="10" t="str">
        <f t="shared" si="8"/>
        <v>يوجد رصيد كافى</v>
      </c>
      <c r="O86" s="44">
        <v>90</v>
      </c>
      <c r="Q86" s="130" t="str">
        <v>جلب كامة تويوتا</v>
      </c>
      <c r="R86" s="135">
        <f>SUMIFS('تحليل مبيعات'!H:H,'تحليل مبيعات'!C:C,'حركة المخزن'!Q86,'تحليل مبيعات'!W:W,'حركة المخزن'!$R$6)</f>
        <v>0</v>
      </c>
      <c r="S86" s="136">
        <f>SUMIFS('تحليل مبيعات'!H:H,'تحليل مبيعات'!C:C,'حركة المخزن'!Q86,'تحليل مبيعات'!W:W,'حركة المخزن'!$S$6)</f>
        <v>0</v>
      </c>
      <c r="T86" s="136">
        <f>SUMIFS('تحليل مبيعات'!H:H,'تحليل مبيعات'!C:C,'حركة المخزن'!Q86,'تحليل مبيعات'!W:W,'حركة المخزن'!$T$6)</f>
        <v>0</v>
      </c>
      <c r="U86" s="136">
        <f>SUMIFS('تحليل مبيعات'!H:H,'تحليل مبيعات'!C:C,'حركة المخزن'!Q86,'تحليل مبيعات'!W:W,'حركة المخزن'!$U$6)</f>
        <v>0</v>
      </c>
      <c r="V86" s="136">
        <f>SUMIFS('تحليل مبيعات'!H:H,'تحليل مبيعات'!C:C,'حركة المخزن'!Q86,'تحليل مبيعات'!W:W,'حركة المخزن'!$V$6)</f>
        <v>0</v>
      </c>
      <c r="W86" s="136">
        <f>SUMIFS('تحليل مبيعات'!H:H,'تحليل مبيعات'!C:C,'حركة المخزن'!Q86,'تحليل مبيعات'!W:W,'حركة المخزن'!$W$6)</f>
        <v>0</v>
      </c>
      <c r="X86" s="136">
        <f>SUMIFS('تحليل مبيعات'!H:H,'تحليل مبيعات'!C:C,'حركة المخزن'!Q86,'تحليل مبيعات'!W:W,'حركة المخزن'!$X$6)</f>
        <v>1</v>
      </c>
      <c r="Y86" s="136">
        <f>SUMIFS('تحليل مبيعات'!H:H,'تحليل مبيعات'!C:C,'حركة المخزن'!Q86,'تحليل مبيعات'!W:W,'حركة المخزن'!$Y$6)</f>
        <v>0</v>
      </c>
      <c r="Z86" s="136">
        <f>SUMIFS('تحليل مبيعات'!H:H,'تحليل مبيعات'!C:C,'حركة المخزن'!Q86,'تحليل مبيعات'!W:W,'حركة المخزن'!$Z$6)</f>
        <v>0</v>
      </c>
      <c r="AA86" s="136">
        <f>SUMIFS('تحليل مبيعات'!H:H,'تحليل مبيعات'!C:C,'حركة المخزن'!Q86,'تحليل مبيعات'!W:W,'حركة المخزن'!$AA$6)</f>
        <v>0</v>
      </c>
      <c r="AB86" s="136">
        <f>SUMIFS('تحليل مبيعات'!H:H,'تحليل مبيعات'!C:C,'حركة المخزن'!Q86,'تحليل مبيعات'!W:W,'حركة المخزن'!$AB$6)</f>
        <v>0</v>
      </c>
      <c r="AC86" s="137">
        <f>SUMIFS('تحليل مبيعات'!H:H,'تحليل مبيعات'!C:C,'حركة المخزن'!Q86,'تحليل مبيعات'!W:W,'حركة المخزن'!$AC$6)</f>
        <v>0</v>
      </c>
      <c r="AD86" s="134">
        <f t="shared" si="5"/>
        <v>1</v>
      </c>
    </row>
    <row r="87" spans="2:30" ht="16.2" thickBot="1" x14ac:dyDescent="0.35">
      <c r="B87" s="70" t="s">
        <v>116</v>
      </c>
      <c r="C87" s="10" t="s">
        <v>348</v>
      </c>
      <c r="D87" s="10" t="s">
        <v>204</v>
      </c>
      <c r="E87" s="145">
        <v>10</v>
      </c>
      <c r="F87" s="145">
        <v>10000</v>
      </c>
      <c r="G87" s="10">
        <v>0</v>
      </c>
      <c r="H87" s="10">
        <v>0</v>
      </c>
      <c r="I87" s="10">
        <f>IFERROR(IF(SUMIF('تحليل مبيعات'!C:C, 'حركة المخزن'!B87, 'تحليل مبيعات'!H:H)=0,"",SUMIF('تحليل مبيعات'!C:C, 'حركة المخزن'!B87, 'تحليل مبيعات'!H:H)),"")</f>
        <v>4</v>
      </c>
      <c r="J87" s="10">
        <f>IFERROR(IF(SUMIF('تحليل مبيعات'!C:C, 'حركة المخزن'!B87, 'تحليل مبيعات'!L:L)=0,"",SUMIF('تحليل مبيعات'!C:C, 'حركة المخزن'!B87, 'تحليل مبيعات'!L:L)),"")</f>
        <v>7200</v>
      </c>
      <c r="K87" s="10">
        <f t="shared" si="6"/>
        <v>6</v>
      </c>
      <c r="L87" s="10">
        <f t="shared" si="7"/>
        <v>2800</v>
      </c>
      <c r="M87" s="10">
        <v>5</v>
      </c>
      <c r="N87" s="10" t="str">
        <f t="shared" si="8"/>
        <v>يوجد رصيد كافى</v>
      </c>
      <c r="O87" s="44">
        <v>95</v>
      </c>
      <c r="Q87" s="130" t="str">
        <v>طقم بستم تيوتا</v>
      </c>
      <c r="R87" s="135">
        <f>SUMIFS('تحليل مبيعات'!H:H,'تحليل مبيعات'!C:C,'حركة المخزن'!Q87,'تحليل مبيعات'!W:W,'حركة المخزن'!$R$6)</f>
        <v>0</v>
      </c>
      <c r="S87" s="136">
        <f>SUMIFS('تحليل مبيعات'!H:H,'تحليل مبيعات'!C:C,'حركة المخزن'!Q87,'تحليل مبيعات'!W:W,'حركة المخزن'!$S$6)</f>
        <v>0</v>
      </c>
      <c r="T87" s="136">
        <f>SUMIFS('تحليل مبيعات'!H:H,'تحليل مبيعات'!C:C,'حركة المخزن'!Q87,'تحليل مبيعات'!W:W,'حركة المخزن'!$T$6)</f>
        <v>0</v>
      </c>
      <c r="U87" s="136">
        <f>SUMIFS('تحليل مبيعات'!H:H,'تحليل مبيعات'!C:C,'حركة المخزن'!Q87,'تحليل مبيعات'!W:W,'حركة المخزن'!$U$6)</f>
        <v>0</v>
      </c>
      <c r="V87" s="136">
        <f>SUMIFS('تحليل مبيعات'!H:H,'تحليل مبيعات'!C:C,'حركة المخزن'!Q87,'تحليل مبيعات'!W:W,'حركة المخزن'!$V$6)</f>
        <v>0</v>
      </c>
      <c r="W87" s="136">
        <f>SUMIFS('تحليل مبيعات'!H:H,'تحليل مبيعات'!C:C,'حركة المخزن'!Q87,'تحليل مبيعات'!W:W,'حركة المخزن'!$W$6)</f>
        <v>0</v>
      </c>
      <c r="X87" s="136">
        <f>SUMIFS('تحليل مبيعات'!H:H,'تحليل مبيعات'!C:C,'حركة المخزن'!Q87,'تحليل مبيعات'!W:W,'حركة المخزن'!$X$6)</f>
        <v>1</v>
      </c>
      <c r="Y87" s="136">
        <f>SUMIFS('تحليل مبيعات'!H:H,'تحليل مبيعات'!C:C,'حركة المخزن'!Q87,'تحليل مبيعات'!W:W,'حركة المخزن'!$Y$6)</f>
        <v>0</v>
      </c>
      <c r="Z87" s="136">
        <f>SUMIFS('تحليل مبيعات'!H:H,'تحليل مبيعات'!C:C,'حركة المخزن'!Q87,'تحليل مبيعات'!W:W,'حركة المخزن'!$Z$6)</f>
        <v>0</v>
      </c>
      <c r="AA87" s="136">
        <f>SUMIFS('تحليل مبيعات'!H:H,'تحليل مبيعات'!C:C,'حركة المخزن'!Q87,'تحليل مبيعات'!W:W,'حركة المخزن'!$AA$6)</f>
        <v>0</v>
      </c>
      <c r="AB87" s="136">
        <f>SUMIFS('تحليل مبيعات'!H:H,'تحليل مبيعات'!C:C,'حركة المخزن'!Q87,'تحليل مبيعات'!W:W,'حركة المخزن'!$AB$6)</f>
        <v>0</v>
      </c>
      <c r="AC87" s="137">
        <f>SUMIFS('تحليل مبيعات'!H:H,'تحليل مبيعات'!C:C,'حركة المخزن'!Q87,'تحليل مبيعات'!W:W,'حركة المخزن'!$AC$6)</f>
        <v>0</v>
      </c>
      <c r="AD87" s="134">
        <f t="shared" si="5"/>
        <v>1</v>
      </c>
    </row>
    <row r="88" spans="2:30" ht="16.2" thickBot="1" x14ac:dyDescent="0.35">
      <c r="B88" s="70" t="s">
        <v>131</v>
      </c>
      <c r="C88" s="10" t="s">
        <v>349</v>
      </c>
      <c r="D88" s="10" t="s">
        <v>204</v>
      </c>
      <c r="E88" s="145">
        <v>10</v>
      </c>
      <c r="F88" s="145">
        <v>10000</v>
      </c>
      <c r="G88" s="10">
        <v>0</v>
      </c>
      <c r="H88" s="10">
        <v>0</v>
      </c>
      <c r="I88" s="10">
        <f>IFERROR(IF(SUMIF('تحليل مبيعات'!C:C, 'حركة المخزن'!B88, 'تحليل مبيعات'!H:H)=0,"",SUMIF('تحليل مبيعات'!C:C, 'حركة المخزن'!B88, 'تحليل مبيعات'!H:H)),"")</f>
        <v>1</v>
      </c>
      <c r="J88" s="10">
        <f>IFERROR(IF(SUMIF('تحليل مبيعات'!C:C, 'حركة المخزن'!B88, 'تحليل مبيعات'!L:L)=0,"",SUMIF('تحليل مبيعات'!C:C, 'حركة المخزن'!B88, 'تحليل مبيعات'!L:L)),"")</f>
        <v>2500</v>
      </c>
      <c r="K88" s="10">
        <f t="shared" si="6"/>
        <v>9</v>
      </c>
      <c r="L88" s="10">
        <f t="shared" si="7"/>
        <v>7500</v>
      </c>
      <c r="M88" s="10">
        <v>5</v>
      </c>
      <c r="N88" s="10" t="str">
        <f t="shared" si="8"/>
        <v>يوجد رصيد كافى</v>
      </c>
      <c r="O88" s="44">
        <v>100</v>
      </c>
      <c r="Q88" s="130" t="str">
        <v>اسكترا تويوتا هاى  سباركس</v>
      </c>
      <c r="R88" s="135">
        <f>SUMIFS('تحليل مبيعات'!H:H,'تحليل مبيعات'!C:C,'حركة المخزن'!Q88,'تحليل مبيعات'!W:W,'حركة المخزن'!$R$6)</f>
        <v>0</v>
      </c>
      <c r="S88" s="136">
        <f>SUMIFS('تحليل مبيعات'!H:H,'تحليل مبيعات'!C:C,'حركة المخزن'!Q88,'تحليل مبيعات'!W:W,'حركة المخزن'!$S$6)</f>
        <v>0</v>
      </c>
      <c r="T88" s="136">
        <f>SUMIFS('تحليل مبيعات'!H:H,'تحليل مبيعات'!C:C,'حركة المخزن'!Q88,'تحليل مبيعات'!W:W,'حركة المخزن'!$T$6)</f>
        <v>0</v>
      </c>
      <c r="U88" s="136">
        <f>SUMIFS('تحليل مبيعات'!H:H,'تحليل مبيعات'!C:C,'حركة المخزن'!Q88,'تحليل مبيعات'!W:W,'حركة المخزن'!$U$6)</f>
        <v>0</v>
      </c>
      <c r="V88" s="136">
        <f>SUMIFS('تحليل مبيعات'!H:H,'تحليل مبيعات'!C:C,'حركة المخزن'!Q88,'تحليل مبيعات'!W:W,'حركة المخزن'!$V$6)</f>
        <v>0</v>
      </c>
      <c r="W88" s="136">
        <f>SUMIFS('تحليل مبيعات'!H:H,'تحليل مبيعات'!C:C,'حركة المخزن'!Q88,'تحليل مبيعات'!W:W,'حركة المخزن'!$W$6)</f>
        <v>0</v>
      </c>
      <c r="X88" s="136">
        <f>SUMIFS('تحليل مبيعات'!H:H,'تحليل مبيعات'!C:C,'حركة المخزن'!Q88,'تحليل مبيعات'!W:W,'حركة المخزن'!$X$6)</f>
        <v>1</v>
      </c>
      <c r="Y88" s="136">
        <f>SUMIFS('تحليل مبيعات'!H:H,'تحليل مبيعات'!C:C,'حركة المخزن'!Q88,'تحليل مبيعات'!W:W,'حركة المخزن'!$Y$6)</f>
        <v>0</v>
      </c>
      <c r="Z88" s="136">
        <f>SUMIFS('تحليل مبيعات'!H:H,'تحليل مبيعات'!C:C,'حركة المخزن'!Q88,'تحليل مبيعات'!W:W,'حركة المخزن'!$Z$6)</f>
        <v>0</v>
      </c>
      <c r="AA88" s="136">
        <f>SUMIFS('تحليل مبيعات'!H:H,'تحليل مبيعات'!C:C,'حركة المخزن'!Q88,'تحليل مبيعات'!W:W,'حركة المخزن'!$AA$6)</f>
        <v>0</v>
      </c>
      <c r="AB88" s="136">
        <f>SUMIFS('تحليل مبيعات'!H:H,'تحليل مبيعات'!C:C,'حركة المخزن'!Q88,'تحليل مبيعات'!W:W,'حركة المخزن'!$AB$6)</f>
        <v>0</v>
      </c>
      <c r="AC88" s="137">
        <f>SUMIFS('تحليل مبيعات'!H:H,'تحليل مبيعات'!C:C,'حركة المخزن'!Q88,'تحليل مبيعات'!W:W,'حركة المخزن'!$AC$6)</f>
        <v>0</v>
      </c>
      <c r="AD88" s="134">
        <f t="shared" si="5"/>
        <v>1</v>
      </c>
    </row>
    <row r="89" spans="2:30" ht="16.2" thickBot="1" x14ac:dyDescent="0.35">
      <c r="B89" s="70" t="s">
        <v>118</v>
      </c>
      <c r="C89" s="10" t="s">
        <v>350</v>
      </c>
      <c r="D89" s="10" t="s">
        <v>204</v>
      </c>
      <c r="E89" s="145">
        <v>10</v>
      </c>
      <c r="F89" s="145">
        <v>10000</v>
      </c>
      <c r="G89" s="10">
        <v>0</v>
      </c>
      <c r="H89" s="10">
        <v>0</v>
      </c>
      <c r="I89" s="10">
        <f>IFERROR(IF(SUMIF('تحليل مبيعات'!C:C, 'حركة المخزن'!B89, 'تحليل مبيعات'!H:H)=0,"",SUMIF('تحليل مبيعات'!C:C, 'حركة المخزن'!B89, 'تحليل مبيعات'!H:H)),"")</f>
        <v>1</v>
      </c>
      <c r="J89" s="10">
        <f>IFERROR(IF(SUMIF('تحليل مبيعات'!C:C, 'حركة المخزن'!B89, 'تحليل مبيعات'!L:L)=0,"",SUMIF('تحليل مبيعات'!C:C, 'حركة المخزن'!B89, 'تحليل مبيعات'!L:L)),"")</f>
        <v>250</v>
      </c>
      <c r="K89" s="10">
        <f t="shared" si="6"/>
        <v>9</v>
      </c>
      <c r="L89" s="10">
        <f t="shared" si="7"/>
        <v>9750</v>
      </c>
      <c r="M89" s="10">
        <v>5</v>
      </c>
      <c r="N89" s="10" t="str">
        <f t="shared" si="8"/>
        <v>يوجد رصيد كافى</v>
      </c>
      <c r="O89" s="44">
        <v>105</v>
      </c>
      <c r="Q89" s="130" t="str">
        <v>اكصدام خلفى بعواكس</v>
      </c>
      <c r="R89" s="135">
        <f>SUMIFS('تحليل مبيعات'!H:H,'تحليل مبيعات'!C:C,'حركة المخزن'!Q89,'تحليل مبيعات'!W:W,'حركة المخزن'!$R$6)</f>
        <v>0</v>
      </c>
      <c r="S89" s="136">
        <f>SUMIFS('تحليل مبيعات'!H:H,'تحليل مبيعات'!C:C,'حركة المخزن'!Q89,'تحليل مبيعات'!W:W,'حركة المخزن'!$S$6)</f>
        <v>0</v>
      </c>
      <c r="T89" s="136">
        <f>SUMIFS('تحليل مبيعات'!H:H,'تحليل مبيعات'!C:C,'حركة المخزن'!Q89,'تحليل مبيعات'!W:W,'حركة المخزن'!$T$6)</f>
        <v>0</v>
      </c>
      <c r="U89" s="136">
        <f>SUMIFS('تحليل مبيعات'!H:H,'تحليل مبيعات'!C:C,'حركة المخزن'!Q89,'تحليل مبيعات'!W:W,'حركة المخزن'!$U$6)</f>
        <v>0</v>
      </c>
      <c r="V89" s="136">
        <f>SUMIFS('تحليل مبيعات'!H:H,'تحليل مبيعات'!C:C,'حركة المخزن'!Q89,'تحليل مبيعات'!W:W,'حركة المخزن'!$V$6)</f>
        <v>0</v>
      </c>
      <c r="W89" s="136">
        <f>SUMIFS('تحليل مبيعات'!H:H,'تحليل مبيعات'!C:C,'حركة المخزن'!Q89,'تحليل مبيعات'!W:W,'حركة المخزن'!$W$6)</f>
        <v>0</v>
      </c>
      <c r="X89" s="136">
        <f>SUMIFS('تحليل مبيعات'!H:H,'تحليل مبيعات'!C:C,'حركة المخزن'!Q89,'تحليل مبيعات'!W:W,'حركة المخزن'!$X$6)</f>
        <v>2</v>
      </c>
      <c r="Y89" s="136">
        <f>SUMIFS('تحليل مبيعات'!H:H,'تحليل مبيعات'!C:C,'حركة المخزن'!Q89,'تحليل مبيعات'!W:W,'حركة المخزن'!$Y$6)</f>
        <v>0</v>
      </c>
      <c r="Z89" s="136">
        <f>SUMIFS('تحليل مبيعات'!H:H,'تحليل مبيعات'!C:C,'حركة المخزن'!Q89,'تحليل مبيعات'!W:W,'حركة المخزن'!$Z$6)</f>
        <v>0</v>
      </c>
      <c r="AA89" s="136">
        <f>SUMIFS('تحليل مبيعات'!H:H,'تحليل مبيعات'!C:C,'حركة المخزن'!Q89,'تحليل مبيعات'!W:W,'حركة المخزن'!$AA$6)</f>
        <v>0</v>
      </c>
      <c r="AB89" s="136">
        <f>SUMIFS('تحليل مبيعات'!H:H,'تحليل مبيعات'!C:C,'حركة المخزن'!Q89,'تحليل مبيعات'!W:W,'حركة المخزن'!$AB$6)</f>
        <v>0</v>
      </c>
      <c r="AC89" s="137">
        <f>SUMIFS('تحليل مبيعات'!H:H,'تحليل مبيعات'!C:C,'حركة المخزن'!Q89,'تحليل مبيعات'!W:W,'حركة المخزن'!$AC$6)</f>
        <v>0</v>
      </c>
      <c r="AD89" s="134">
        <f t="shared" si="5"/>
        <v>2</v>
      </c>
    </row>
    <row r="90" spans="2:30" ht="16.2" thickBot="1" x14ac:dyDescent="0.35">
      <c r="B90" s="70" t="s">
        <v>122</v>
      </c>
      <c r="C90" s="10" t="s">
        <v>351</v>
      </c>
      <c r="D90" s="10" t="s">
        <v>204</v>
      </c>
      <c r="E90" s="145">
        <v>10</v>
      </c>
      <c r="F90" s="145">
        <v>10000</v>
      </c>
      <c r="G90" s="10">
        <v>0</v>
      </c>
      <c r="H90" s="10">
        <v>0</v>
      </c>
      <c r="I90" s="10">
        <f>IFERROR(IF(SUMIF('تحليل مبيعات'!C:C, 'حركة المخزن'!B90, 'تحليل مبيعات'!H:H)=0,"",SUMIF('تحليل مبيعات'!C:C, 'حركة المخزن'!B90, 'تحليل مبيعات'!H:H)),"")</f>
        <v>2</v>
      </c>
      <c r="J90" s="10">
        <f>IFERROR(IF(SUMIF('تحليل مبيعات'!C:C, 'حركة المخزن'!B90, 'تحليل مبيعات'!L:L)=0,"",SUMIF('تحليل مبيعات'!C:C, 'حركة المخزن'!B90, 'تحليل مبيعات'!L:L)),"")</f>
        <v>370</v>
      </c>
      <c r="K90" s="10">
        <f t="shared" si="6"/>
        <v>8</v>
      </c>
      <c r="L90" s="10">
        <f t="shared" si="7"/>
        <v>9630</v>
      </c>
      <c r="M90" s="10">
        <v>5</v>
      </c>
      <c r="N90" s="10" t="str">
        <f t="shared" si="8"/>
        <v>يوجد رصيد كافى</v>
      </c>
      <c r="O90" s="44">
        <v>110</v>
      </c>
      <c r="Q90" s="130" t="str">
        <v>شبكة شوقى نيكل</v>
      </c>
      <c r="R90" s="135">
        <f>SUMIFS('تحليل مبيعات'!H:H,'تحليل مبيعات'!C:C,'حركة المخزن'!Q90,'تحليل مبيعات'!W:W,'حركة المخزن'!$R$6)</f>
        <v>0</v>
      </c>
      <c r="S90" s="136">
        <f>SUMIFS('تحليل مبيعات'!H:H,'تحليل مبيعات'!C:C,'حركة المخزن'!Q90,'تحليل مبيعات'!W:W,'حركة المخزن'!$S$6)</f>
        <v>0</v>
      </c>
      <c r="T90" s="136">
        <f>SUMIFS('تحليل مبيعات'!H:H,'تحليل مبيعات'!C:C,'حركة المخزن'!Q90,'تحليل مبيعات'!W:W,'حركة المخزن'!$T$6)</f>
        <v>0</v>
      </c>
      <c r="U90" s="136">
        <f>SUMIFS('تحليل مبيعات'!H:H,'تحليل مبيعات'!C:C,'حركة المخزن'!Q90,'تحليل مبيعات'!W:W,'حركة المخزن'!$U$6)</f>
        <v>0</v>
      </c>
      <c r="V90" s="136">
        <f>SUMIFS('تحليل مبيعات'!H:H,'تحليل مبيعات'!C:C,'حركة المخزن'!Q90,'تحليل مبيعات'!W:W,'حركة المخزن'!$V$6)</f>
        <v>0</v>
      </c>
      <c r="W90" s="136">
        <f>SUMIFS('تحليل مبيعات'!H:H,'تحليل مبيعات'!C:C,'حركة المخزن'!Q90,'تحليل مبيعات'!W:W,'حركة المخزن'!$W$6)</f>
        <v>0</v>
      </c>
      <c r="X90" s="136">
        <f>SUMIFS('تحليل مبيعات'!H:H,'تحليل مبيعات'!C:C,'حركة المخزن'!Q90,'تحليل مبيعات'!W:W,'حركة المخزن'!$X$6)</f>
        <v>1</v>
      </c>
      <c r="Y90" s="136">
        <f>SUMIFS('تحليل مبيعات'!H:H,'تحليل مبيعات'!C:C,'حركة المخزن'!Q90,'تحليل مبيعات'!W:W,'حركة المخزن'!$Y$6)</f>
        <v>0</v>
      </c>
      <c r="Z90" s="136">
        <f>SUMIFS('تحليل مبيعات'!H:H,'تحليل مبيعات'!C:C,'حركة المخزن'!Q90,'تحليل مبيعات'!W:W,'حركة المخزن'!$Z$6)</f>
        <v>0</v>
      </c>
      <c r="AA90" s="136">
        <f>SUMIFS('تحليل مبيعات'!H:H,'تحليل مبيعات'!C:C,'حركة المخزن'!Q90,'تحليل مبيعات'!W:W,'حركة المخزن'!$AA$6)</f>
        <v>0</v>
      </c>
      <c r="AB90" s="136">
        <f>SUMIFS('تحليل مبيعات'!H:H,'تحليل مبيعات'!C:C,'حركة المخزن'!Q90,'تحليل مبيعات'!W:W,'حركة المخزن'!$AB$6)</f>
        <v>0</v>
      </c>
      <c r="AC90" s="137">
        <f>SUMIFS('تحليل مبيعات'!H:H,'تحليل مبيعات'!C:C,'حركة المخزن'!Q90,'تحليل مبيعات'!W:W,'حركة المخزن'!$AC$6)</f>
        <v>0</v>
      </c>
      <c r="AD90" s="134">
        <f t="shared" si="5"/>
        <v>1</v>
      </c>
    </row>
    <row r="91" spans="2:30" ht="16.2" thickBot="1" x14ac:dyDescent="0.35">
      <c r="B91" s="70" t="s">
        <v>123</v>
      </c>
      <c r="C91" s="10" t="s">
        <v>352</v>
      </c>
      <c r="D91" s="10" t="s">
        <v>204</v>
      </c>
      <c r="E91" s="145">
        <v>10</v>
      </c>
      <c r="F91" s="145">
        <v>10000</v>
      </c>
      <c r="G91" s="10">
        <v>0</v>
      </c>
      <c r="H91" s="10">
        <v>0</v>
      </c>
      <c r="I91" s="10">
        <f>IFERROR(IF(SUMIF('تحليل مبيعات'!C:C, 'حركة المخزن'!B91, 'تحليل مبيعات'!H:H)=0,"",SUMIF('تحليل مبيعات'!C:C, 'حركة المخزن'!B91, 'تحليل مبيعات'!H:H)),"")</f>
        <v>1</v>
      </c>
      <c r="J91" s="10">
        <f>IFERROR(IF(SUMIF('تحليل مبيعات'!C:C, 'حركة المخزن'!B91, 'تحليل مبيعات'!L:L)=0,"",SUMIF('تحليل مبيعات'!C:C, 'حركة المخزن'!B91, 'تحليل مبيعات'!L:L)),"")</f>
        <v>70</v>
      </c>
      <c r="K91" s="10">
        <f t="shared" si="6"/>
        <v>9</v>
      </c>
      <c r="L91" s="10">
        <f t="shared" si="7"/>
        <v>9930</v>
      </c>
      <c r="M91" s="10">
        <v>5</v>
      </c>
      <c r="N91" s="10" t="str">
        <f t="shared" si="8"/>
        <v>يوجد رصيد كافى</v>
      </c>
      <c r="O91" s="44">
        <v>115</v>
      </c>
      <c r="Q91" s="130" t="str">
        <v>مساعد امامى تويوتا</v>
      </c>
      <c r="R91" s="135">
        <f>SUMIFS('تحليل مبيعات'!H:H,'تحليل مبيعات'!C:C,'حركة المخزن'!Q91,'تحليل مبيعات'!W:W,'حركة المخزن'!$R$6)</f>
        <v>0</v>
      </c>
      <c r="S91" s="136">
        <f>SUMIFS('تحليل مبيعات'!H:H,'تحليل مبيعات'!C:C,'حركة المخزن'!Q91,'تحليل مبيعات'!W:W,'حركة المخزن'!$S$6)</f>
        <v>0</v>
      </c>
      <c r="T91" s="136">
        <f>SUMIFS('تحليل مبيعات'!H:H,'تحليل مبيعات'!C:C,'حركة المخزن'!Q91,'تحليل مبيعات'!W:W,'حركة المخزن'!$T$6)</f>
        <v>0</v>
      </c>
      <c r="U91" s="136">
        <f>SUMIFS('تحليل مبيعات'!H:H,'تحليل مبيعات'!C:C,'حركة المخزن'!Q91,'تحليل مبيعات'!W:W,'حركة المخزن'!$U$6)</f>
        <v>0</v>
      </c>
      <c r="V91" s="136">
        <f>SUMIFS('تحليل مبيعات'!H:H,'تحليل مبيعات'!C:C,'حركة المخزن'!Q91,'تحليل مبيعات'!W:W,'حركة المخزن'!$V$6)</f>
        <v>0</v>
      </c>
      <c r="W91" s="136">
        <f>SUMIFS('تحليل مبيعات'!H:H,'تحليل مبيعات'!C:C,'حركة المخزن'!Q91,'تحليل مبيعات'!W:W,'حركة المخزن'!$W$6)</f>
        <v>0</v>
      </c>
      <c r="X91" s="136">
        <f>SUMIFS('تحليل مبيعات'!H:H,'تحليل مبيعات'!C:C,'حركة المخزن'!Q91,'تحليل مبيعات'!W:W,'حركة المخزن'!$X$6)</f>
        <v>2</v>
      </c>
      <c r="Y91" s="136">
        <f>SUMIFS('تحليل مبيعات'!H:H,'تحليل مبيعات'!C:C,'حركة المخزن'!Q91,'تحليل مبيعات'!W:W,'حركة المخزن'!$Y$6)</f>
        <v>2</v>
      </c>
      <c r="Z91" s="136">
        <f>SUMIFS('تحليل مبيعات'!H:H,'تحليل مبيعات'!C:C,'حركة المخزن'!Q91,'تحليل مبيعات'!W:W,'حركة المخزن'!$Z$6)</f>
        <v>0</v>
      </c>
      <c r="AA91" s="136">
        <f>SUMIFS('تحليل مبيعات'!H:H,'تحليل مبيعات'!C:C,'حركة المخزن'!Q91,'تحليل مبيعات'!W:W,'حركة المخزن'!$AA$6)</f>
        <v>0</v>
      </c>
      <c r="AB91" s="136">
        <f>SUMIFS('تحليل مبيعات'!H:H,'تحليل مبيعات'!C:C,'حركة المخزن'!Q91,'تحليل مبيعات'!W:W,'حركة المخزن'!$AB$6)</f>
        <v>0</v>
      </c>
      <c r="AC91" s="137">
        <f>SUMIFS('تحليل مبيعات'!H:H,'تحليل مبيعات'!C:C,'حركة المخزن'!Q91,'تحليل مبيعات'!W:W,'حركة المخزن'!$AC$6)</f>
        <v>0</v>
      </c>
      <c r="AD91" s="134">
        <f t="shared" si="5"/>
        <v>4</v>
      </c>
    </row>
    <row r="92" spans="2:30" ht="16.2" thickBot="1" x14ac:dyDescent="0.35">
      <c r="B92" s="70" t="s">
        <v>124</v>
      </c>
      <c r="C92" s="10" t="s">
        <v>353</v>
      </c>
      <c r="D92" s="10" t="s">
        <v>204</v>
      </c>
      <c r="E92" s="145">
        <v>10</v>
      </c>
      <c r="F92" s="145">
        <v>10000</v>
      </c>
      <c r="G92" s="10">
        <v>0</v>
      </c>
      <c r="H92" s="10">
        <v>0</v>
      </c>
      <c r="I92" s="10">
        <f>IFERROR(IF(SUMIF('تحليل مبيعات'!C:C, 'حركة المخزن'!B92, 'تحليل مبيعات'!H:H)=0,"",SUMIF('تحليل مبيعات'!C:C, 'حركة المخزن'!B92, 'تحليل مبيعات'!H:H)),"")</f>
        <v>2</v>
      </c>
      <c r="J92" s="10">
        <f>IFERROR(IF(SUMIF('تحليل مبيعات'!C:C, 'حركة المخزن'!B92, 'تحليل مبيعات'!L:L)=0,"",SUMIF('تحليل مبيعات'!C:C, 'حركة المخزن'!B92, 'تحليل مبيعات'!L:L)),"")</f>
        <v>800</v>
      </c>
      <c r="K92" s="10">
        <f t="shared" si="6"/>
        <v>8</v>
      </c>
      <c r="L92" s="10">
        <f t="shared" si="7"/>
        <v>9200</v>
      </c>
      <c r="M92" s="10">
        <v>5</v>
      </c>
      <c r="N92" s="10" t="str">
        <f t="shared" si="8"/>
        <v>يوجد رصيد كافى</v>
      </c>
      <c r="O92" s="44">
        <v>120</v>
      </c>
      <c r="Q92" s="130" t="str">
        <v>مساعد خلفى تويوتا هاى اس</v>
      </c>
      <c r="R92" s="135">
        <f>SUMIFS('تحليل مبيعات'!H:H,'تحليل مبيعات'!C:C,'حركة المخزن'!Q92,'تحليل مبيعات'!W:W,'حركة المخزن'!$R$6)</f>
        <v>0</v>
      </c>
      <c r="S92" s="136">
        <f>SUMIFS('تحليل مبيعات'!H:H,'تحليل مبيعات'!C:C,'حركة المخزن'!Q92,'تحليل مبيعات'!W:W,'حركة المخزن'!$S$6)</f>
        <v>0</v>
      </c>
      <c r="T92" s="136">
        <f>SUMIFS('تحليل مبيعات'!H:H,'تحليل مبيعات'!C:C,'حركة المخزن'!Q92,'تحليل مبيعات'!W:W,'حركة المخزن'!$T$6)</f>
        <v>0</v>
      </c>
      <c r="U92" s="136">
        <f>SUMIFS('تحليل مبيعات'!H:H,'تحليل مبيعات'!C:C,'حركة المخزن'!Q92,'تحليل مبيعات'!W:W,'حركة المخزن'!$U$6)</f>
        <v>0</v>
      </c>
      <c r="V92" s="136">
        <f>SUMIFS('تحليل مبيعات'!H:H,'تحليل مبيعات'!C:C,'حركة المخزن'!Q92,'تحليل مبيعات'!W:W,'حركة المخزن'!$V$6)</f>
        <v>0</v>
      </c>
      <c r="W92" s="136">
        <f>SUMIFS('تحليل مبيعات'!H:H,'تحليل مبيعات'!C:C,'حركة المخزن'!Q92,'تحليل مبيعات'!W:W,'حركة المخزن'!$W$6)</f>
        <v>0</v>
      </c>
      <c r="X92" s="136">
        <f>SUMIFS('تحليل مبيعات'!H:H,'تحليل مبيعات'!C:C,'حركة المخزن'!Q92,'تحليل مبيعات'!W:W,'حركة المخزن'!$X$6)</f>
        <v>1</v>
      </c>
      <c r="Y92" s="136">
        <f>SUMIFS('تحليل مبيعات'!H:H,'تحليل مبيعات'!C:C,'حركة المخزن'!Q92,'تحليل مبيعات'!W:W,'حركة المخزن'!$Y$6)</f>
        <v>0</v>
      </c>
      <c r="Z92" s="136">
        <f>SUMIFS('تحليل مبيعات'!H:H,'تحليل مبيعات'!C:C,'حركة المخزن'!Q92,'تحليل مبيعات'!W:W,'حركة المخزن'!$Z$6)</f>
        <v>0</v>
      </c>
      <c r="AA92" s="136">
        <f>SUMIFS('تحليل مبيعات'!H:H,'تحليل مبيعات'!C:C,'حركة المخزن'!Q92,'تحليل مبيعات'!W:W,'حركة المخزن'!$AA$6)</f>
        <v>0</v>
      </c>
      <c r="AB92" s="136">
        <f>SUMIFS('تحليل مبيعات'!H:H,'تحليل مبيعات'!C:C,'حركة المخزن'!Q92,'تحليل مبيعات'!W:W,'حركة المخزن'!$AB$6)</f>
        <v>0</v>
      </c>
      <c r="AC92" s="137">
        <f>SUMIFS('تحليل مبيعات'!H:H,'تحليل مبيعات'!C:C,'حركة المخزن'!Q92,'تحليل مبيعات'!W:W,'حركة المخزن'!$AC$6)</f>
        <v>0</v>
      </c>
      <c r="AD92" s="134">
        <f t="shared" si="5"/>
        <v>1</v>
      </c>
    </row>
    <row r="93" spans="2:30" ht="16.2" thickBot="1" x14ac:dyDescent="0.35">
      <c r="B93" s="70" t="s">
        <v>125</v>
      </c>
      <c r="C93" s="10" t="s">
        <v>354</v>
      </c>
      <c r="D93" s="10" t="s">
        <v>204</v>
      </c>
      <c r="E93" s="145">
        <v>10</v>
      </c>
      <c r="F93" s="145">
        <v>10000</v>
      </c>
      <c r="G93" s="10">
        <v>0</v>
      </c>
      <c r="H93" s="10">
        <v>0</v>
      </c>
      <c r="I93" s="10">
        <f>IFERROR(IF(SUMIF('تحليل مبيعات'!C:C, 'حركة المخزن'!B93, 'تحليل مبيعات'!H:H)=0,"",SUMIF('تحليل مبيعات'!C:C, 'حركة المخزن'!B93, 'تحليل مبيعات'!H:H)),"")</f>
        <v>4</v>
      </c>
      <c r="J93" s="10">
        <f>IFERROR(IF(SUMIF('تحليل مبيعات'!C:C, 'حركة المخزن'!B93, 'تحليل مبيعات'!L:L)=0,"",SUMIF('تحليل مبيعات'!C:C, 'حركة المخزن'!B93, 'تحليل مبيعات'!L:L)),"")</f>
        <v>400</v>
      </c>
      <c r="K93" s="10">
        <f t="shared" si="6"/>
        <v>6</v>
      </c>
      <c r="L93" s="10">
        <f t="shared" si="7"/>
        <v>9600</v>
      </c>
      <c r="M93" s="10">
        <v>5</v>
      </c>
      <c r="N93" s="10" t="str">
        <f t="shared" si="8"/>
        <v>يوجد رصيد كافى</v>
      </c>
      <c r="O93" s="44">
        <v>125</v>
      </c>
      <c r="Q93" s="130" t="str">
        <v>فانوس اشارة jimbe يمين</v>
      </c>
      <c r="R93" s="135">
        <f>SUMIFS('تحليل مبيعات'!H:H,'تحليل مبيعات'!C:C,'حركة المخزن'!Q93,'تحليل مبيعات'!W:W,'حركة المخزن'!$R$6)</f>
        <v>0</v>
      </c>
      <c r="S93" s="136">
        <f>SUMIFS('تحليل مبيعات'!H:H,'تحليل مبيعات'!C:C,'حركة المخزن'!Q93,'تحليل مبيعات'!W:W,'حركة المخزن'!$S$6)</f>
        <v>0</v>
      </c>
      <c r="T93" s="136">
        <f>SUMIFS('تحليل مبيعات'!H:H,'تحليل مبيعات'!C:C,'حركة المخزن'!Q93,'تحليل مبيعات'!W:W,'حركة المخزن'!$T$6)</f>
        <v>0</v>
      </c>
      <c r="U93" s="136">
        <f>SUMIFS('تحليل مبيعات'!H:H,'تحليل مبيعات'!C:C,'حركة المخزن'!Q93,'تحليل مبيعات'!W:W,'حركة المخزن'!$U$6)</f>
        <v>0</v>
      </c>
      <c r="V93" s="136">
        <f>SUMIFS('تحليل مبيعات'!H:H,'تحليل مبيعات'!C:C,'حركة المخزن'!Q93,'تحليل مبيعات'!W:W,'حركة المخزن'!$V$6)</f>
        <v>0</v>
      </c>
      <c r="W93" s="136">
        <f>SUMIFS('تحليل مبيعات'!H:H,'تحليل مبيعات'!C:C,'حركة المخزن'!Q93,'تحليل مبيعات'!W:W,'حركة المخزن'!$W$6)</f>
        <v>0</v>
      </c>
      <c r="X93" s="136">
        <f>SUMIFS('تحليل مبيعات'!H:H,'تحليل مبيعات'!C:C,'حركة المخزن'!Q93,'تحليل مبيعات'!W:W,'حركة المخزن'!$X$6)</f>
        <v>1</v>
      </c>
      <c r="Y93" s="136">
        <f>SUMIFS('تحليل مبيعات'!H:H,'تحليل مبيعات'!C:C,'حركة المخزن'!Q93,'تحليل مبيعات'!W:W,'حركة المخزن'!$Y$6)</f>
        <v>0</v>
      </c>
      <c r="Z93" s="136">
        <f>SUMIFS('تحليل مبيعات'!H:H,'تحليل مبيعات'!C:C,'حركة المخزن'!Q93,'تحليل مبيعات'!W:W,'حركة المخزن'!$Z$6)</f>
        <v>0</v>
      </c>
      <c r="AA93" s="136">
        <f>SUMIFS('تحليل مبيعات'!H:H,'تحليل مبيعات'!C:C,'حركة المخزن'!Q93,'تحليل مبيعات'!W:W,'حركة المخزن'!$AA$6)</f>
        <v>0</v>
      </c>
      <c r="AB93" s="136">
        <f>SUMIFS('تحليل مبيعات'!H:H,'تحليل مبيعات'!C:C,'حركة المخزن'!Q93,'تحليل مبيعات'!W:W,'حركة المخزن'!$AB$6)</f>
        <v>0</v>
      </c>
      <c r="AC93" s="137">
        <f>SUMIFS('تحليل مبيعات'!H:H,'تحليل مبيعات'!C:C,'حركة المخزن'!Q93,'تحليل مبيعات'!W:W,'حركة المخزن'!$AC$6)</f>
        <v>0</v>
      </c>
      <c r="AD93" s="134">
        <f t="shared" si="5"/>
        <v>1</v>
      </c>
    </row>
    <row r="94" spans="2:30" ht="16.2" thickBot="1" x14ac:dyDescent="0.35">
      <c r="B94" s="70" t="s">
        <v>127</v>
      </c>
      <c r="C94" s="10" t="s">
        <v>355</v>
      </c>
      <c r="D94" s="10" t="s">
        <v>204</v>
      </c>
      <c r="E94" s="145">
        <v>10</v>
      </c>
      <c r="F94" s="145">
        <v>10000</v>
      </c>
      <c r="G94" s="10">
        <v>0</v>
      </c>
      <c r="H94" s="10">
        <v>0</v>
      </c>
      <c r="I94" s="10">
        <f>IFERROR(IF(SUMIF('تحليل مبيعات'!C:C, 'حركة المخزن'!B94, 'تحليل مبيعات'!H:H)=0,"",SUMIF('تحليل مبيعات'!C:C, 'حركة المخزن'!B94, 'تحليل مبيعات'!H:H)),"")</f>
        <v>3</v>
      </c>
      <c r="J94" s="10">
        <f>IFERROR(IF(SUMIF('تحليل مبيعات'!C:C, 'حركة المخزن'!B94, 'تحليل مبيعات'!L:L)=0,"",SUMIF('تحليل مبيعات'!C:C, 'حركة المخزن'!B94, 'تحليل مبيعات'!L:L)),"")</f>
        <v>200</v>
      </c>
      <c r="K94" s="10">
        <f t="shared" si="6"/>
        <v>7</v>
      </c>
      <c r="L94" s="10">
        <f t="shared" si="7"/>
        <v>9800</v>
      </c>
      <c r="M94" s="10">
        <v>5</v>
      </c>
      <c r="N94" s="10" t="str">
        <f t="shared" si="8"/>
        <v>يوجد رصيد كافى</v>
      </c>
      <c r="O94" s="44">
        <v>130</v>
      </c>
      <c r="Q94" s="130" t="str">
        <v xml:space="preserve">اربه مياه </v>
      </c>
      <c r="R94" s="135">
        <f>SUMIFS('تحليل مبيعات'!H:H,'تحليل مبيعات'!C:C,'حركة المخزن'!Q94,'تحليل مبيعات'!W:W,'حركة المخزن'!$R$6)</f>
        <v>0</v>
      </c>
      <c r="S94" s="136">
        <f>SUMIFS('تحليل مبيعات'!H:H,'تحليل مبيعات'!C:C,'حركة المخزن'!Q94,'تحليل مبيعات'!W:W,'حركة المخزن'!$S$6)</f>
        <v>0</v>
      </c>
      <c r="T94" s="136">
        <f>SUMIFS('تحليل مبيعات'!H:H,'تحليل مبيعات'!C:C,'حركة المخزن'!Q94,'تحليل مبيعات'!W:W,'حركة المخزن'!$T$6)</f>
        <v>0</v>
      </c>
      <c r="U94" s="136">
        <f>SUMIFS('تحليل مبيعات'!H:H,'تحليل مبيعات'!C:C,'حركة المخزن'!Q94,'تحليل مبيعات'!W:W,'حركة المخزن'!$U$6)</f>
        <v>0</v>
      </c>
      <c r="V94" s="136">
        <f>SUMIFS('تحليل مبيعات'!H:H,'تحليل مبيعات'!C:C,'حركة المخزن'!Q94,'تحليل مبيعات'!W:W,'حركة المخزن'!$V$6)</f>
        <v>0</v>
      </c>
      <c r="W94" s="136">
        <f>SUMIFS('تحليل مبيعات'!H:H,'تحليل مبيعات'!C:C,'حركة المخزن'!Q94,'تحليل مبيعات'!W:W,'حركة المخزن'!$W$6)</f>
        <v>0</v>
      </c>
      <c r="X94" s="136">
        <f>SUMIFS('تحليل مبيعات'!H:H,'تحليل مبيعات'!C:C,'حركة المخزن'!Q94,'تحليل مبيعات'!W:W,'حركة المخزن'!$X$6)</f>
        <v>2</v>
      </c>
      <c r="Y94" s="136">
        <f>SUMIFS('تحليل مبيعات'!H:H,'تحليل مبيعات'!C:C,'حركة المخزن'!Q94,'تحليل مبيعات'!W:W,'حركة المخزن'!$Y$6)</f>
        <v>0</v>
      </c>
      <c r="Z94" s="136">
        <f>SUMIFS('تحليل مبيعات'!H:H,'تحليل مبيعات'!C:C,'حركة المخزن'!Q94,'تحليل مبيعات'!W:W,'حركة المخزن'!$Z$6)</f>
        <v>0</v>
      </c>
      <c r="AA94" s="136">
        <f>SUMIFS('تحليل مبيعات'!H:H,'تحليل مبيعات'!C:C,'حركة المخزن'!Q94,'تحليل مبيعات'!W:W,'حركة المخزن'!$AA$6)</f>
        <v>0</v>
      </c>
      <c r="AB94" s="136">
        <f>SUMIFS('تحليل مبيعات'!H:H,'تحليل مبيعات'!C:C,'حركة المخزن'!Q94,'تحليل مبيعات'!W:W,'حركة المخزن'!$AB$6)</f>
        <v>0</v>
      </c>
      <c r="AC94" s="137">
        <f>SUMIFS('تحليل مبيعات'!H:H,'تحليل مبيعات'!C:C,'حركة المخزن'!Q94,'تحليل مبيعات'!W:W,'حركة المخزن'!$AC$6)</f>
        <v>0</v>
      </c>
      <c r="AD94" s="134">
        <f t="shared" si="5"/>
        <v>2</v>
      </c>
    </row>
    <row r="95" spans="2:30" ht="16.2" thickBot="1" x14ac:dyDescent="0.35">
      <c r="B95" s="70" t="s">
        <v>121</v>
      </c>
      <c r="C95" s="10" t="s">
        <v>356</v>
      </c>
      <c r="D95" s="10" t="s">
        <v>204</v>
      </c>
      <c r="E95" s="145">
        <v>10</v>
      </c>
      <c r="F95" s="145">
        <v>10000</v>
      </c>
      <c r="G95" s="10">
        <v>0</v>
      </c>
      <c r="H95" s="10">
        <v>0</v>
      </c>
      <c r="I95" s="10">
        <f>IFERROR(IF(SUMIF('تحليل مبيعات'!C:C, 'حركة المخزن'!B95, 'تحليل مبيعات'!H:H)=0,"",SUMIF('تحليل مبيعات'!C:C, 'حركة المخزن'!B95, 'تحليل مبيعات'!H:H)),"")</f>
        <v>1</v>
      </c>
      <c r="J95" s="10">
        <f>IFERROR(IF(SUMIF('تحليل مبيعات'!C:C, 'حركة المخزن'!B95, 'تحليل مبيعات'!L:L)=0,"",SUMIF('تحليل مبيعات'!C:C, 'حركة المخزن'!B95, 'تحليل مبيعات'!L:L)),"")</f>
        <v>50</v>
      </c>
      <c r="K95" s="10">
        <f t="shared" si="6"/>
        <v>9</v>
      </c>
      <c r="L95" s="10">
        <f t="shared" si="7"/>
        <v>9950</v>
      </c>
      <c r="M95" s="10">
        <v>5</v>
      </c>
      <c r="N95" s="10" t="str">
        <f t="shared" si="8"/>
        <v>يوجد رصيد كافى</v>
      </c>
      <c r="O95" s="44">
        <v>135</v>
      </c>
      <c r="Q95" s="130" t="str">
        <v>غطاء زيت</v>
      </c>
      <c r="R95" s="135">
        <f>SUMIFS('تحليل مبيعات'!H:H,'تحليل مبيعات'!C:C,'حركة المخزن'!Q95,'تحليل مبيعات'!W:W,'حركة المخزن'!$R$6)</f>
        <v>0</v>
      </c>
      <c r="S95" s="136">
        <f>SUMIFS('تحليل مبيعات'!H:H,'تحليل مبيعات'!C:C,'حركة المخزن'!Q95,'تحليل مبيعات'!W:W,'حركة المخزن'!$S$6)</f>
        <v>0</v>
      </c>
      <c r="T95" s="136">
        <f>SUMIFS('تحليل مبيعات'!H:H,'تحليل مبيعات'!C:C,'حركة المخزن'!Q95,'تحليل مبيعات'!W:W,'حركة المخزن'!$T$6)</f>
        <v>0</v>
      </c>
      <c r="U95" s="136">
        <f>SUMIFS('تحليل مبيعات'!H:H,'تحليل مبيعات'!C:C,'حركة المخزن'!Q95,'تحليل مبيعات'!W:W,'حركة المخزن'!$U$6)</f>
        <v>0</v>
      </c>
      <c r="V95" s="136">
        <f>SUMIFS('تحليل مبيعات'!H:H,'تحليل مبيعات'!C:C,'حركة المخزن'!Q95,'تحليل مبيعات'!W:W,'حركة المخزن'!$V$6)</f>
        <v>0</v>
      </c>
      <c r="W95" s="136">
        <f>SUMIFS('تحليل مبيعات'!H:H,'تحليل مبيعات'!C:C,'حركة المخزن'!Q95,'تحليل مبيعات'!W:W,'حركة المخزن'!$W$6)</f>
        <v>0</v>
      </c>
      <c r="X95" s="136">
        <f>SUMIFS('تحليل مبيعات'!H:H,'تحليل مبيعات'!C:C,'حركة المخزن'!Q95,'تحليل مبيعات'!W:W,'حركة المخزن'!$X$6)</f>
        <v>1</v>
      </c>
      <c r="Y95" s="136">
        <f>SUMIFS('تحليل مبيعات'!H:H,'تحليل مبيعات'!C:C,'حركة المخزن'!Q95,'تحليل مبيعات'!W:W,'حركة المخزن'!$Y$6)</f>
        <v>0</v>
      </c>
      <c r="Z95" s="136">
        <f>SUMIFS('تحليل مبيعات'!H:H,'تحليل مبيعات'!C:C,'حركة المخزن'!Q95,'تحليل مبيعات'!W:W,'حركة المخزن'!$Z$6)</f>
        <v>0</v>
      </c>
      <c r="AA95" s="136">
        <f>SUMIFS('تحليل مبيعات'!H:H,'تحليل مبيعات'!C:C,'حركة المخزن'!Q95,'تحليل مبيعات'!W:W,'حركة المخزن'!$AA$6)</f>
        <v>0</v>
      </c>
      <c r="AB95" s="136">
        <f>SUMIFS('تحليل مبيعات'!H:H,'تحليل مبيعات'!C:C,'حركة المخزن'!Q95,'تحليل مبيعات'!W:W,'حركة المخزن'!$AB$6)</f>
        <v>0</v>
      </c>
      <c r="AC95" s="137">
        <f>SUMIFS('تحليل مبيعات'!H:H,'تحليل مبيعات'!C:C,'حركة المخزن'!Q95,'تحليل مبيعات'!W:W,'حركة المخزن'!$AC$6)</f>
        <v>0</v>
      </c>
      <c r="AD95" s="134">
        <f t="shared" si="5"/>
        <v>1</v>
      </c>
    </row>
    <row r="96" spans="2:30" ht="16.2" thickBot="1" x14ac:dyDescent="0.35">
      <c r="B96" s="70" t="s">
        <v>126</v>
      </c>
      <c r="C96" s="10" t="s">
        <v>357</v>
      </c>
      <c r="D96" s="10" t="s">
        <v>204</v>
      </c>
      <c r="E96" s="145">
        <v>10</v>
      </c>
      <c r="F96" s="145">
        <v>10000</v>
      </c>
      <c r="G96" s="10">
        <v>0</v>
      </c>
      <c r="H96" s="10">
        <v>0</v>
      </c>
      <c r="I96" s="10">
        <f>IFERROR(IF(SUMIF('تحليل مبيعات'!C:C, 'حركة المخزن'!B96, 'تحليل مبيعات'!H:H)=0,"",SUMIF('تحليل مبيعات'!C:C, 'حركة المخزن'!B96, 'تحليل مبيعات'!H:H)),"")</f>
        <v>1</v>
      </c>
      <c r="J96" s="10">
        <f>IFERROR(IF(SUMIF('تحليل مبيعات'!C:C, 'حركة المخزن'!B96, 'تحليل مبيعات'!L:L)=0,"",SUMIF('تحليل مبيعات'!C:C, 'حركة المخزن'!B96, 'تحليل مبيعات'!L:L)),"")</f>
        <v>320</v>
      </c>
      <c r="K96" s="10">
        <f t="shared" si="6"/>
        <v>9</v>
      </c>
      <c r="L96" s="10">
        <f t="shared" si="7"/>
        <v>9680</v>
      </c>
      <c r="M96" s="10">
        <v>5</v>
      </c>
      <c r="N96" s="10" t="str">
        <f t="shared" si="8"/>
        <v>يوجد رصيد كافى</v>
      </c>
      <c r="O96" s="44">
        <v>140</v>
      </c>
      <c r="Q96" s="130" t="str">
        <v>اسطوانة تويوتا بكر سباركس</v>
      </c>
      <c r="R96" s="135">
        <f>SUMIFS('تحليل مبيعات'!H:H,'تحليل مبيعات'!C:C,'حركة المخزن'!Q96,'تحليل مبيعات'!W:W,'حركة المخزن'!$R$6)</f>
        <v>0</v>
      </c>
      <c r="S96" s="136">
        <f>SUMIFS('تحليل مبيعات'!H:H,'تحليل مبيعات'!C:C,'حركة المخزن'!Q96,'تحليل مبيعات'!W:W,'حركة المخزن'!$S$6)</f>
        <v>0</v>
      </c>
      <c r="T96" s="136">
        <f>SUMIFS('تحليل مبيعات'!H:H,'تحليل مبيعات'!C:C,'حركة المخزن'!Q96,'تحليل مبيعات'!W:W,'حركة المخزن'!$T$6)</f>
        <v>0</v>
      </c>
      <c r="U96" s="136">
        <f>SUMIFS('تحليل مبيعات'!H:H,'تحليل مبيعات'!C:C,'حركة المخزن'!Q96,'تحليل مبيعات'!W:W,'حركة المخزن'!$U$6)</f>
        <v>0</v>
      </c>
      <c r="V96" s="136">
        <f>SUMIFS('تحليل مبيعات'!H:H,'تحليل مبيعات'!C:C,'حركة المخزن'!Q96,'تحليل مبيعات'!W:W,'حركة المخزن'!$V$6)</f>
        <v>0</v>
      </c>
      <c r="W96" s="136">
        <f>SUMIFS('تحليل مبيعات'!H:H,'تحليل مبيعات'!C:C,'حركة المخزن'!Q96,'تحليل مبيعات'!W:W,'حركة المخزن'!$W$6)</f>
        <v>0</v>
      </c>
      <c r="X96" s="136">
        <f>SUMIFS('تحليل مبيعات'!H:H,'تحليل مبيعات'!C:C,'حركة المخزن'!Q96,'تحليل مبيعات'!W:W,'حركة المخزن'!$X$6)</f>
        <v>2</v>
      </c>
      <c r="Y96" s="136">
        <f>SUMIFS('تحليل مبيعات'!H:H,'تحليل مبيعات'!C:C,'حركة المخزن'!Q96,'تحليل مبيعات'!W:W,'حركة المخزن'!$Y$6)</f>
        <v>0</v>
      </c>
      <c r="Z96" s="136">
        <f>SUMIFS('تحليل مبيعات'!H:H,'تحليل مبيعات'!C:C,'حركة المخزن'!Q96,'تحليل مبيعات'!W:W,'حركة المخزن'!$Z$6)</f>
        <v>0</v>
      </c>
      <c r="AA96" s="136">
        <f>SUMIFS('تحليل مبيعات'!H:H,'تحليل مبيعات'!C:C,'حركة المخزن'!Q96,'تحليل مبيعات'!W:W,'حركة المخزن'!$AA$6)</f>
        <v>0</v>
      </c>
      <c r="AB96" s="136">
        <f>SUMIFS('تحليل مبيعات'!H:H,'تحليل مبيعات'!C:C,'حركة المخزن'!Q96,'تحليل مبيعات'!W:W,'حركة المخزن'!$AB$6)</f>
        <v>0</v>
      </c>
      <c r="AC96" s="137">
        <f>SUMIFS('تحليل مبيعات'!H:H,'تحليل مبيعات'!C:C,'حركة المخزن'!Q96,'تحليل مبيعات'!W:W,'حركة المخزن'!$AC$6)</f>
        <v>0</v>
      </c>
      <c r="AD96" s="134">
        <f t="shared" si="5"/>
        <v>2</v>
      </c>
    </row>
    <row r="97" spans="2:30" ht="16.2" thickBot="1" x14ac:dyDescent="0.35">
      <c r="B97" s="70" t="s">
        <v>140</v>
      </c>
      <c r="C97" s="10" t="s">
        <v>358</v>
      </c>
      <c r="D97" s="10" t="s">
        <v>204</v>
      </c>
      <c r="E97" s="145">
        <v>10</v>
      </c>
      <c r="F97" s="145">
        <v>10000</v>
      </c>
      <c r="G97" s="10">
        <v>0</v>
      </c>
      <c r="H97" s="10">
        <v>0</v>
      </c>
      <c r="I97" s="10">
        <f>IFERROR(IF(SUMIF('تحليل مبيعات'!C:C, 'حركة المخزن'!B97, 'تحليل مبيعات'!H:H)=0,"",SUMIF('تحليل مبيعات'!C:C, 'حركة المخزن'!B97, 'تحليل مبيعات'!H:H)),"")</f>
        <v>3</v>
      </c>
      <c r="J97" s="10">
        <f>IFERROR(IF(SUMIF('تحليل مبيعات'!C:C, 'حركة المخزن'!B97, 'تحليل مبيعات'!L:L)=0,"",SUMIF('تحليل مبيعات'!C:C, 'حركة المخزن'!B97, 'تحليل مبيعات'!L:L)),"")</f>
        <v>365</v>
      </c>
      <c r="K97" s="10">
        <f t="shared" si="6"/>
        <v>7</v>
      </c>
      <c r="L97" s="10">
        <f t="shared" si="7"/>
        <v>9635</v>
      </c>
      <c r="M97" s="10">
        <v>5</v>
      </c>
      <c r="N97" s="10" t="str">
        <f t="shared" si="8"/>
        <v>يوجد رصيد كافى</v>
      </c>
      <c r="O97" s="44">
        <v>145</v>
      </c>
      <c r="Q97" s="130" t="str">
        <v>فرش دبرياش</v>
      </c>
      <c r="R97" s="135">
        <f>SUMIFS('تحليل مبيعات'!H:H,'تحليل مبيعات'!C:C,'حركة المخزن'!Q97,'تحليل مبيعات'!W:W,'حركة المخزن'!$R$6)</f>
        <v>0</v>
      </c>
      <c r="S97" s="136">
        <f>SUMIFS('تحليل مبيعات'!H:H,'تحليل مبيعات'!C:C,'حركة المخزن'!Q97,'تحليل مبيعات'!W:W,'حركة المخزن'!$S$6)</f>
        <v>0</v>
      </c>
      <c r="T97" s="136">
        <f>SUMIFS('تحليل مبيعات'!H:H,'تحليل مبيعات'!C:C,'حركة المخزن'!Q97,'تحليل مبيعات'!W:W,'حركة المخزن'!$T$6)</f>
        <v>0</v>
      </c>
      <c r="U97" s="136">
        <f>SUMIFS('تحليل مبيعات'!H:H,'تحليل مبيعات'!C:C,'حركة المخزن'!Q97,'تحليل مبيعات'!W:W,'حركة المخزن'!$U$6)</f>
        <v>0</v>
      </c>
      <c r="V97" s="136">
        <f>SUMIFS('تحليل مبيعات'!H:H,'تحليل مبيعات'!C:C,'حركة المخزن'!Q97,'تحليل مبيعات'!W:W,'حركة المخزن'!$V$6)</f>
        <v>0</v>
      </c>
      <c r="W97" s="136">
        <f>SUMIFS('تحليل مبيعات'!H:H,'تحليل مبيعات'!C:C,'حركة المخزن'!Q97,'تحليل مبيعات'!W:W,'حركة المخزن'!$W$6)</f>
        <v>0</v>
      </c>
      <c r="X97" s="136">
        <f>SUMIFS('تحليل مبيعات'!H:H,'تحليل مبيعات'!C:C,'حركة المخزن'!Q97,'تحليل مبيعات'!W:W,'حركة المخزن'!$X$6)</f>
        <v>4</v>
      </c>
      <c r="Y97" s="136">
        <f>SUMIFS('تحليل مبيعات'!H:H,'تحليل مبيعات'!C:C,'حركة المخزن'!Q97,'تحليل مبيعات'!W:W,'حركة المخزن'!$Y$6)</f>
        <v>0</v>
      </c>
      <c r="Z97" s="136">
        <f>SUMIFS('تحليل مبيعات'!H:H,'تحليل مبيعات'!C:C,'حركة المخزن'!Q97,'تحليل مبيعات'!W:W,'حركة المخزن'!$Z$6)</f>
        <v>0</v>
      </c>
      <c r="AA97" s="136">
        <f>SUMIFS('تحليل مبيعات'!H:H,'تحليل مبيعات'!C:C,'حركة المخزن'!Q97,'تحليل مبيعات'!W:W,'حركة المخزن'!$AA$6)</f>
        <v>0</v>
      </c>
      <c r="AB97" s="136">
        <f>SUMIFS('تحليل مبيعات'!H:H,'تحليل مبيعات'!C:C,'حركة المخزن'!Q97,'تحليل مبيعات'!W:W,'حركة المخزن'!$AB$6)</f>
        <v>0</v>
      </c>
      <c r="AC97" s="137">
        <f>SUMIFS('تحليل مبيعات'!H:H,'تحليل مبيعات'!C:C,'حركة المخزن'!Q97,'تحليل مبيعات'!W:W,'حركة المخزن'!$AC$6)</f>
        <v>0</v>
      </c>
      <c r="AD97" s="134">
        <f t="shared" si="5"/>
        <v>4</v>
      </c>
    </row>
    <row r="98" spans="2:30" ht="16.2" thickBot="1" x14ac:dyDescent="0.35">
      <c r="B98" s="70" t="s">
        <v>130</v>
      </c>
      <c r="C98" s="10" t="s">
        <v>359</v>
      </c>
      <c r="D98" s="10" t="s">
        <v>204</v>
      </c>
      <c r="E98" s="145">
        <v>10</v>
      </c>
      <c r="F98" s="145">
        <v>10000</v>
      </c>
      <c r="G98" s="10">
        <v>0</v>
      </c>
      <c r="H98" s="10">
        <v>0</v>
      </c>
      <c r="I98" s="10">
        <f>IFERROR(IF(SUMIF('تحليل مبيعات'!C:C, 'حركة المخزن'!B98, 'تحليل مبيعات'!H:H)=0,"",SUMIF('تحليل مبيعات'!C:C, 'حركة المخزن'!B98, 'تحليل مبيعات'!H:H)),"")</f>
        <v>1</v>
      </c>
      <c r="J98" s="10">
        <f>IFERROR(IF(SUMIF('تحليل مبيعات'!C:C, 'حركة المخزن'!B98, 'تحليل مبيعات'!L:L)=0,"",SUMIF('تحليل مبيعات'!C:C, 'حركة المخزن'!B98, 'تحليل مبيعات'!L:L)),"")</f>
        <v>80</v>
      </c>
      <c r="K98" s="10">
        <f t="shared" si="6"/>
        <v>9</v>
      </c>
      <c r="L98" s="10">
        <f t="shared" si="7"/>
        <v>9920</v>
      </c>
      <c r="M98" s="10">
        <v>5</v>
      </c>
      <c r="N98" s="10" t="str">
        <f t="shared" si="8"/>
        <v>يوجد رصيد كافى</v>
      </c>
      <c r="O98" s="44">
        <v>150</v>
      </c>
      <c r="Q98" s="130" t="str">
        <v>طقم سياخ</v>
      </c>
      <c r="R98" s="135">
        <f>SUMIFS('تحليل مبيعات'!H:H,'تحليل مبيعات'!C:C,'حركة المخزن'!Q98,'تحليل مبيعات'!W:W,'حركة المخزن'!$R$6)</f>
        <v>0</v>
      </c>
      <c r="S98" s="136">
        <f>SUMIFS('تحليل مبيعات'!H:H,'تحليل مبيعات'!C:C,'حركة المخزن'!Q98,'تحليل مبيعات'!W:W,'حركة المخزن'!$S$6)</f>
        <v>0</v>
      </c>
      <c r="T98" s="136">
        <f>SUMIFS('تحليل مبيعات'!H:H,'تحليل مبيعات'!C:C,'حركة المخزن'!Q98,'تحليل مبيعات'!W:W,'حركة المخزن'!$T$6)</f>
        <v>0</v>
      </c>
      <c r="U98" s="136">
        <f>SUMIFS('تحليل مبيعات'!H:H,'تحليل مبيعات'!C:C,'حركة المخزن'!Q98,'تحليل مبيعات'!W:W,'حركة المخزن'!$U$6)</f>
        <v>0</v>
      </c>
      <c r="V98" s="136">
        <f>SUMIFS('تحليل مبيعات'!H:H,'تحليل مبيعات'!C:C,'حركة المخزن'!Q98,'تحليل مبيعات'!W:W,'حركة المخزن'!$V$6)</f>
        <v>0</v>
      </c>
      <c r="W98" s="136">
        <f>SUMIFS('تحليل مبيعات'!H:H,'تحليل مبيعات'!C:C,'حركة المخزن'!Q98,'تحليل مبيعات'!W:W,'حركة المخزن'!$W$6)</f>
        <v>0</v>
      </c>
      <c r="X98" s="136">
        <f>SUMIFS('تحليل مبيعات'!H:H,'تحليل مبيعات'!C:C,'حركة المخزن'!Q98,'تحليل مبيعات'!W:W,'حركة المخزن'!$X$6)</f>
        <v>3</v>
      </c>
      <c r="Y98" s="136">
        <f>SUMIFS('تحليل مبيعات'!H:H,'تحليل مبيعات'!C:C,'حركة المخزن'!Q98,'تحليل مبيعات'!W:W,'حركة المخزن'!$Y$6)</f>
        <v>0</v>
      </c>
      <c r="Z98" s="136">
        <f>SUMIFS('تحليل مبيعات'!H:H,'تحليل مبيعات'!C:C,'حركة المخزن'!Q98,'تحليل مبيعات'!W:W,'حركة المخزن'!$Z$6)</f>
        <v>0</v>
      </c>
      <c r="AA98" s="136">
        <f>SUMIFS('تحليل مبيعات'!H:H,'تحليل مبيعات'!C:C,'حركة المخزن'!Q98,'تحليل مبيعات'!W:W,'حركة المخزن'!$AA$6)</f>
        <v>0</v>
      </c>
      <c r="AB98" s="136">
        <f>SUMIFS('تحليل مبيعات'!H:H,'تحليل مبيعات'!C:C,'حركة المخزن'!Q98,'تحليل مبيعات'!W:W,'حركة المخزن'!$AB$6)</f>
        <v>0</v>
      </c>
      <c r="AC98" s="137">
        <f>SUMIFS('تحليل مبيعات'!H:H,'تحليل مبيعات'!C:C,'حركة المخزن'!Q98,'تحليل مبيعات'!W:W,'حركة المخزن'!$AC$6)</f>
        <v>0</v>
      </c>
      <c r="AD98" s="134">
        <f t="shared" si="5"/>
        <v>3</v>
      </c>
    </row>
    <row r="99" spans="2:30" ht="16.2" thickBot="1" x14ac:dyDescent="0.35">
      <c r="B99" s="70" t="s">
        <v>95</v>
      </c>
      <c r="C99" s="10" t="s">
        <v>360</v>
      </c>
      <c r="D99" s="10" t="s">
        <v>204</v>
      </c>
      <c r="E99" s="145">
        <v>10</v>
      </c>
      <c r="F99" s="145">
        <v>10000</v>
      </c>
      <c r="G99" s="10">
        <v>0</v>
      </c>
      <c r="H99" s="10">
        <v>0</v>
      </c>
      <c r="I99" s="10">
        <f>IFERROR(IF(SUMIF('تحليل مبيعات'!C:C, 'حركة المخزن'!B99, 'تحليل مبيعات'!H:H)=0,"",SUMIF('تحليل مبيعات'!C:C, 'حركة المخزن'!B99, 'تحليل مبيعات'!H:H)),"")</f>
        <v>2</v>
      </c>
      <c r="J99" s="10">
        <f>IFERROR(IF(SUMIF('تحليل مبيعات'!C:C, 'حركة المخزن'!B99, 'تحليل مبيعات'!L:L)=0,"",SUMIF('تحليل مبيعات'!C:C, 'حركة المخزن'!B99, 'تحليل مبيعات'!L:L)),"")</f>
        <v>575</v>
      </c>
      <c r="K99" s="10">
        <f t="shared" si="6"/>
        <v>8</v>
      </c>
      <c r="L99" s="10">
        <f t="shared" si="7"/>
        <v>9425</v>
      </c>
      <c r="M99" s="10">
        <v>5</v>
      </c>
      <c r="N99" s="10" t="str">
        <f t="shared" si="8"/>
        <v>يوجد رصيد كافى</v>
      </c>
      <c r="O99" s="44">
        <v>155</v>
      </c>
      <c r="Q99" s="130" t="str">
        <v>هواية فبر منفو</v>
      </c>
      <c r="R99" s="135">
        <f>SUMIFS('تحليل مبيعات'!H:H,'تحليل مبيعات'!C:C,'حركة المخزن'!Q99,'تحليل مبيعات'!W:W,'حركة المخزن'!$R$6)</f>
        <v>0</v>
      </c>
      <c r="S99" s="136">
        <f>SUMIFS('تحليل مبيعات'!H:H,'تحليل مبيعات'!C:C,'حركة المخزن'!Q99,'تحليل مبيعات'!W:W,'حركة المخزن'!$S$6)</f>
        <v>0</v>
      </c>
      <c r="T99" s="136">
        <f>SUMIFS('تحليل مبيعات'!H:H,'تحليل مبيعات'!C:C,'حركة المخزن'!Q99,'تحليل مبيعات'!W:W,'حركة المخزن'!$T$6)</f>
        <v>0</v>
      </c>
      <c r="U99" s="136">
        <f>SUMIFS('تحليل مبيعات'!H:H,'تحليل مبيعات'!C:C,'حركة المخزن'!Q99,'تحليل مبيعات'!W:W,'حركة المخزن'!$U$6)</f>
        <v>0</v>
      </c>
      <c r="V99" s="136">
        <f>SUMIFS('تحليل مبيعات'!H:H,'تحليل مبيعات'!C:C,'حركة المخزن'!Q99,'تحليل مبيعات'!W:W,'حركة المخزن'!$V$6)</f>
        <v>0</v>
      </c>
      <c r="W99" s="136">
        <f>SUMIFS('تحليل مبيعات'!H:H,'تحليل مبيعات'!C:C,'حركة المخزن'!Q99,'تحليل مبيعات'!W:W,'حركة المخزن'!$W$6)</f>
        <v>0</v>
      </c>
      <c r="X99" s="136">
        <f>SUMIFS('تحليل مبيعات'!H:H,'تحليل مبيعات'!C:C,'حركة المخزن'!Q99,'تحليل مبيعات'!W:W,'حركة المخزن'!$X$6)</f>
        <v>1</v>
      </c>
      <c r="Y99" s="136">
        <f>SUMIFS('تحليل مبيعات'!H:H,'تحليل مبيعات'!C:C,'حركة المخزن'!Q99,'تحليل مبيعات'!W:W,'حركة المخزن'!$Y$6)</f>
        <v>0</v>
      </c>
      <c r="Z99" s="136">
        <f>SUMIFS('تحليل مبيعات'!H:H,'تحليل مبيعات'!C:C,'حركة المخزن'!Q99,'تحليل مبيعات'!W:W,'حركة المخزن'!$Z$6)</f>
        <v>0</v>
      </c>
      <c r="AA99" s="136">
        <f>SUMIFS('تحليل مبيعات'!H:H,'تحليل مبيعات'!C:C,'حركة المخزن'!Q99,'تحليل مبيعات'!W:W,'حركة المخزن'!$AA$6)</f>
        <v>0</v>
      </c>
      <c r="AB99" s="136">
        <f>SUMIFS('تحليل مبيعات'!H:H,'تحليل مبيعات'!C:C,'حركة المخزن'!Q99,'تحليل مبيعات'!W:W,'حركة المخزن'!$AB$6)</f>
        <v>0</v>
      </c>
      <c r="AC99" s="137">
        <f>SUMIFS('تحليل مبيعات'!H:H,'تحليل مبيعات'!C:C,'حركة المخزن'!Q99,'تحليل مبيعات'!W:W,'حركة المخزن'!$AC$6)</f>
        <v>0</v>
      </c>
      <c r="AD99" s="134">
        <f t="shared" si="5"/>
        <v>1</v>
      </c>
    </row>
    <row r="100" spans="2:30" ht="16.2" thickBot="1" x14ac:dyDescent="0.35">
      <c r="B100" s="70" t="s">
        <v>133</v>
      </c>
      <c r="C100" s="10" t="s">
        <v>361</v>
      </c>
      <c r="D100" s="10" t="s">
        <v>204</v>
      </c>
      <c r="E100" s="145">
        <v>10</v>
      </c>
      <c r="F100" s="145">
        <v>10000</v>
      </c>
      <c r="G100" s="10">
        <v>0</v>
      </c>
      <c r="H100" s="10">
        <v>0</v>
      </c>
      <c r="I100" s="10">
        <f>IFERROR(IF(SUMIF('تحليل مبيعات'!C:C, 'حركة المخزن'!B100, 'تحليل مبيعات'!H:H)=0,"",SUMIF('تحليل مبيعات'!C:C, 'حركة المخزن'!B100, 'تحليل مبيعات'!H:H)),"")</f>
        <v>2</v>
      </c>
      <c r="J100" s="10">
        <f>IFERROR(IF(SUMIF('تحليل مبيعات'!C:C, 'حركة المخزن'!B100, 'تحليل مبيعات'!L:L)=0,"",SUMIF('تحليل مبيعات'!C:C, 'حركة المخزن'!B100, 'تحليل مبيعات'!L:L)),"")</f>
        <v>1600</v>
      </c>
      <c r="K100" s="10">
        <f t="shared" si="6"/>
        <v>8</v>
      </c>
      <c r="L100" s="10">
        <f t="shared" si="7"/>
        <v>8400</v>
      </c>
      <c r="M100" s="10">
        <v>5</v>
      </c>
      <c r="N100" s="10" t="str">
        <f t="shared" si="8"/>
        <v>يوجد رصيد كافى</v>
      </c>
      <c r="O100" s="44">
        <v>160</v>
      </c>
      <c r="Q100" s="130" t="str">
        <v>خزنة دبرياج سفلى</v>
      </c>
      <c r="R100" s="135">
        <f>SUMIFS('تحليل مبيعات'!H:H,'تحليل مبيعات'!C:C,'حركة المخزن'!Q100,'تحليل مبيعات'!W:W,'حركة المخزن'!$R$6)</f>
        <v>0</v>
      </c>
      <c r="S100" s="136">
        <f>SUMIFS('تحليل مبيعات'!H:H,'تحليل مبيعات'!C:C,'حركة المخزن'!Q100,'تحليل مبيعات'!W:W,'حركة المخزن'!$S$6)</f>
        <v>0</v>
      </c>
      <c r="T100" s="136">
        <f>SUMIFS('تحليل مبيعات'!H:H,'تحليل مبيعات'!C:C,'حركة المخزن'!Q100,'تحليل مبيعات'!W:W,'حركة المخزن'!$T$6)</f>
        <v>0</v>
      </c>
      <c r="U100" s="136">
        <f>SUMIFS('تحليل مبيعات'!H:H,'تحليل مبيعات'!C:C,'حركة المخزن'!Q100,'تحليل مبيعات'!W:W,'حركة المخزن'!$U$6)</f>
        <v>0</v>
      </c>
      <c r="V100" s="136">
        <f>SUMIFS('تحليل مبيعات'!H:H,'تحليل مبيعات'!C:C,'حركة المخزن'!Q100,'تحليل مبيعات'!W:W,'حركة المخزن'!$V$6)</f>
        <v>0</v>
      </c>
      <c r="W100" s="136">
        <f>SUMIFS('تحليل مبيعات'!H:H,'تحليل مبيعات'!C:C,'حركة المخزن'!Q100,'تحليل مبيعات'!W:W,'حركة المخزن'!$W$6)</f>
        <v>0</v>
      </c>
      <c r="X100" s="136">
        <f>SUMIFS('تحليل مبيعات'!H:H,'تحليل مبيعات'!C:C,'حركة المخزن'!Q100,'تحليل مبيعات'!W:W,'حركة المخزن'!$X$6)</f>
        <v>1</v>
      </c>
      <c r="Y100" s="136">
        <f>SUMIFS('تحليل مبيعات'!H:H,'تحليل مبيعات'!C:C,'حركة المخزن'!Q100,'تحليل مبيعات'!W:W,'حركة المخزن'!$Y$6)</f>
        <v>0</v>
      </c>
      <c r="Z100" s="136">
        <f>SUMIFS('تحليل مبيعات'!H:H,'تحليل مبيعات'!C:C,'حركة المخزن'!Q100,'تحليل مبيعات'!W:W,'حركة المخزن'!$Z$6)</f>
        <v>0</v>
      </c>
      <c r="AA100" s="136">
        <f>SUMIFS('تحليل مبيعات'!H:H,'تحليل مبيعات'!C:C,'حركة المخزن'!Q100,'تحليل مبيعات'!W:W,'حركة المخزن'!$AA$6)</f>
        <v>0</v>
      </c>
      <c r="AB100" s="136">
        <f>SUMIFS('تحليل مبيعات'!H:H,'تحليل مبيعات'!C:C,'حركة المخزن'!Q100,'تحليل مبيعات'!W:W,'حركة المخزن'!$AB$6)</f>
        <v>0</v>
      </c>
      <c r="AC100" s="137">
        <f>SUMIFS('تحليل مبيعات'!H:H,'تحليل مبيعات'!C:C,'حركة المخزن'!Q100,'تحليل مبيعات'!W:W,'حركة المخزن'!$AC$6)</f>
        <v>0</v>
      </c>
      <c r="AD100" s="134">
        <f t="shared" si="5"/>
        <v>1</v>
      </c>
    </row>
    <row r="101" spans="2:30" ht="16.2" thickBot="1" x14ac:dyDescent="0.35">
      <c r="B101" s="70" t="s">
        <v>134</v>
      </c>
      <c r="C101" s="10" t="s">
        <v>362</v>
      </c>
      <c r="D101" s="10" t="s">
        <v>204</v>
      </c>
      <c r="E101" s="145">
        <v>10</v>
      </c>
      <c r="F101" s="145">
        <v>10000</v>
      </c>
      <c r="G101" s="10">
        <v>0</v>
      </c>
      <c r="H101" s="10">
        <v>0</v>
      </c>
      <c r="I101" s="10">
        <f>IFERROR(IF(SUMIF('تحليل مبيعات'!C:C, 'حركة المخزن'!B101, 'تحليل مبيعات'!H:H)=0,"",SUMIF('تحليل مبيعات'!C:C, 'حركة المخزن'!B101, 'تحليل مبيعات'!H:H)),"")</f>
        <v>1</v>
      </c>
      <c r="J101" s="10">
        <f>IFERROR(IF(SUMIF('تحليل مبيعات'!C:C, 'حركة المخزن'!B101, 'تحليل مبيعات'!L:L)=0,"",SUMIF('تحليل مبيعات'!C:C, 'حركة المخزن'!B101, 'تحليل مبيعات'!L:L)),"")</f>
        <v>80</v>
      </c>
      <c r="K101" s="10">
        <f t="shared" si="6"/>
        <v>9</v>
      </c>
      <c r="L101" s="10">
        <f t="shared" si="7"/>
        <v>9920</v>
      </c>
      <c r="M101" s="10">
        <v>5</v>
      </c>
      <c r="N101" s="10" t="str">
        <f t="shared" si="8"/>
        <v>يوجد رصيد كافى</v>
      </c>
      <c r="O101" s="44">
        <v>165</v>
      </c>
      <c r="Q101" s="130" t="str">
        <v>مرايا جنب هاى اس بدون قاعدة  ابيض شمال</v>
      </c>
      <c r="R101" s="135">
        <f>SUMIFS('تحليل مبيعات'!H:H,'تحليل مبيعات'!C:C,'حركة المخزن'!Q101,'تحليل مبيعات'!W:W,'حركة المخزن'!$R$6)</f>
        <v>0</v>
      </c>
      <c r="S101" s="136">
        <f>SUMIFS('تحليل مبيعات'!H:H,'تحليل مبيعات'!C:C,'حركة المخزن'!Q101,'تحليل مبيعات'!W:W,'حركة المخزن'!$S$6)</f>
        <v>0</v>
      </c>
      <c r="T101" s="136">
        <f>SUMIFS('تحليل مبيعات'!H:H,'تحليل مبيعات'!C:C,'حركة المخزن'!Q101,'تحليل مبيعات'!W:W,'حركة المخزن'!$T$6)</f>
        <v>0</v>
      </c>
      <c r="U101" s="136">
        <f>SUMIFS('تحليل مبيعات'!H:H,'تحليل مبيعات'!C:C,'حركة المخزن'!Q101,'تحليل مبيعات'!W:W,'حركة المخزن'!$U$6)</f>
        <v>0</v>
      </c>
      <c r="V101" s="136">
        <f>SUMIFS('تحليل مبيعات'!H:H,'تحليل مبيعات'!C:C,'حركة المخزن'!Q101,'تحليل مبيعات'!W:W,'حركة المخزن'!$V$6)</f>
        <v>0</v>
      </c>
      <c r="W101" s="136">
        <f>SUMIFS('تحليل مبيعات'!H:H,'تحليل مبيعات'!C:C,'حركة المخزن'!Q101,'تحليل مبيعات'!W:W,'حركة المخزن'!$W$6)</f>
        <v>0</v>
      </c>
      <c r="X101" s="136">
        <f>SUMIFS('تحليل مبيعات'!H:H,'تحليل مبيعات'!C:C,'حركة المخزن'!Q101,'تحليل مبيعات'!W:W,'حركة المخزن'!$X$6)</f>
        <v>3</v>
      </c>
      <c r="Y101" s="136">
        <f>SUMIFS('تحليل مبيعات'!H:H,'تحليل مبيعات'!C:C,'حركة المخزن'!Q101,'تحليل مبيعات'!W:W,'حركة المخزن'!$Y$6)</f>
        <v>0</v>
      </c>
      <c r="Z101" s="136">
        <f>SUMIFS('تحليل مبيعات'!H:H,'تحليل مبيعات'!C:C,'حركة المخزن'!Q101,'تحليل مبيعات'!W:W,'حركة المخزن'!$Z$6)</f>
        <v>0</v>
      </c>
      <c r="AA101" s="136">
        <f>SUMIFS('تحليل مبيعات'!H:H,'تحليل مبيعات'!C:C,'حركة المخزن'!Q101,'تحليل مبيعات'!W:W,'حركة المخزن'!$AA$6)</f>
        <v>0</v>
      </c>
      <c r="AB101" s="136">
        <f>SUMIFS('تحليل مبيعات'!H:H,'تحليل مبيعات'!C:C,'حركة المخزن'!Q101,'تحليل مبيعات'!W:W,'حركة المخزن'!$AB$6)</f>
        <v>0</v>
      </c>
      <c r="AC101" s="137">
        <f>SUMIFS('تحليل مبيعات'!H:H,'تحليل مبيعات'!C:C,'حركة المخزن'!Q101,'تحليل مبيعات'!W:W,'حركة المخزن'!$AC$6)</f>
        <v>0</v>
      </c>
      <c r="AD101" s="134">
        <f t="shared" si="5"/>
        <v>3</v>
      </c>
    </row>
    <row r="102" spans="2:30" ht="16.2" thickBot="1" x14ac:dyDescent="0.35">
      <c r="B102" s="70" t="s">
        <v>135</v>
      </c>
      <c r="C102" s="10" t="s">
        <v>363</v>
      </c>
      <c r="D102" s="10" t="s">
        <v>204</v>
      </c>
      <c r="E102" s="145">
        <v>10</v>
      </c>
      <c r="F102" s="145">
        <v>10000</v>
      </c>
      <c r="G102" s="10">
        <v>0</v>
      </c>
      <c r="H102" s="10">
        <v>0</v>
      </c>
      <c r="I102" s="10">
        <f>IFERROR(IF(SUMIF('تحليل مبيعات'!C:C, 'حركة المخزن'!B102, 'تحليل مبيعات'!H:H)=0,"",SUMIF('تحليل مبيعات'!C:C, 'حركة المخزن'!B102, 'تحليل مبيعات'!H:H)),"")</f>
        <v>2</v>
      </c>
      <c r="J102" s="10">
        <f>IFERROR(IF(SUMIF('تحليل مبيعات'!C:C, 'حركة المخزن'!B102, 'تحليل مبيعات'!L:L)=0,"",SUMIF('تحليل مبيعات'!C:C, 'حركة المخزن'!B102, 'تحليل مبيعات'!L:L)),"")</f>
        <v>150</v>
      </c>
      <c r="K102" s="10">
        <f t="shared" si="6"/>
        <v>8</v>
      </c>
      <c r="L102" s="10">
        <f t="shared" si="7"/>
        <v>9850</v>
      </c>
      <c r="M102" s="10">
        <v>5</v>
      </c>
      <c r="N102" s="10" t="str">
        <f t="shared" si="8"/>
        <v>يوجد رصيد كافى</v>
      </c>
      <c r="O102" s="44">
        <v>170</v>
      </c>
      <c r="Q102" s="130" t="str">
        <v>اكرة باب جر داخلية تويوتا 90</v>
      </c>
      <c r="R102" s="135">
        <f>SUMIFS('تحليل مبيعات'!H:H,'تحليل مبيعات'!C:C,'حركة المخزن'!Q102,'تحليل مبيعات'!W:W,'حركة المخزن'!$R$6)</f>
        <v>0</v>
      </c>
      <c r="S102" s="136">
        <f>SUMIFS('تحليل مبيعات'!H:H,'تحليل مبيعات'!C:C,'حركة المخزن'!Q102,'تحليل مبيعات'!W:W,'حركة المخزن'!$S$6)</f>
        <v>0</v>
      </c>
      <c r="T102" s="136">
        <f>SUMIFS('تحليل مبيعات'!H:H,'تحليل مبيعات'!C:C,'حركة المخزن'!Q102,'تحليل مبيعات'!W:W,'حركة المخزن'!$T$6)</f>
        <v>0</v>
      </c>
      <c r="U102" s="136">
        <f>SUMIFS('تحليل مبيعات'!H:H,'تحليل مبيعات'!C:C,'حركة المخزن'!Q102,'تحليل مبيعات'!W:W,'حركة المخزن'!$U$6)</f>
        <v>0</v>
      </c>
      <c r="V102" s="136">
        <f>SUMIFS('تحليل مبيعات'!H:H,'تحليل مبيعات'!C:C,'حركة المخزن'!Q102,'تحليل مبيعات'!W:W,'حركة المخزن'!$V$6)</f>
        <v>0</v>
      </c>
      <c r="W102" s="136">
        <f>SUMIFS('تحليل مبيعات'!H:H,'تحليل مبيعات'!C:C,'حركة المخزن'!Q102,'تحليل مبيعات'!W:W,'حركة المخزن'!$W$6)</f>
        <v>0</v>
      </c>
      <c r="X102" s="136">
        <f>SUMIFS('تحليل مبيعات'!H:H,'تحليل مبيعات'!C:C,'حركة المخزن'!Q102,'تحليل مبيعات'!W:W,'حركة المخزن'!$X$6)</f>
        <v>1</v>
      </c>
      <c r="Y102" s="136">
        <f>SUMIFS('تحليل مبيعات'!H:H,'تحليل مبيعات'!C:C,'حركة المخزن'!Q102,'تحليل مبيعات'!W:W,'حركة المخزن'!$Y$6)</f>
        <v>0</v>
      </c>
      <c r="Z102" s="136">
        <f>SUMIFS('تحليل مبيعات'!H:H,'تحليل مبيعات'!C:C,'حركة المخزن'!Q102,'تحليل مبيعات'!W:W,'حركة المخزن'!$Z$6)</f>
        <v>0</v>
      </c>
      <c r="AA102" s="136">
        <f>SUMIFS('تحليل مبيعات'!H:H,'تحليل مبيعات'!C:C,'حركة المخزن'!Q102,'تحليل مبيعات'!W:W,'حركة المخزن'!$AA$6)</f>
        <v>0</v>
      </c>
      <c r="AB102" s="136">
        <f>SUMIFS('تحليل مبيعات'!H:H,'تحليل مبيعات'!C:C,'حركة المخزن'!Q102,'تحليل مبيعات'!W:W,'حركة المخزن'!$AB$6)</f>
        <v>0</v>
      </c>
      <c r="AC102" s="137">
        <f>SUMIFS('تحليل مبيعات'!H:H,'تحليل مبيعات'!C:C,'حركة المخزن'!Q102,'تحليل مبيعات'!W:W,'حركة المخزن'!$AC$6)</f>
        <v>0</v>
      </c>
      <c r="AD102" s="134">
        <f t="shared" si="5"/>
        <v>1</v>
      </c>
    </row>
    <row r="103" spans="2:30" ht="16.2" thickBot="1" x14ac:dyDescent="0.35">
      <c r="B103" s="70" t="s">
        <v>137</v>
      </c>
      <c r="C103" s="10" t="s">
        <v>364</v>
      </c>
      <c r="D103" s="10" t="s">
        <v>204</v>
      </c>
      <c r="E103" s="145">
        <v>10</v>
      </c>
      <c r="F103" s="145">
        <v>10000</v>
      </c>
      <c r="G103" s="10">
        <v>0</v>
      </c>
      <c r="H103" s="10">
        <v>0</v>
      </c>
      <c r="I103" s="10">
        <f>IFERROR(IF(SUMIF('تحليل مبيعات'!C:C, 'حركة المخزن'!B103, 'تحليل مبيعات'!H:H)=0,"",SUMIF('تحليل مبيعات'!C:C, 'حركة المخزن'!B103, 'تحليل مبيعات'!H:H)),"")</f>
        <v>2</v>
      </c>
      <c r="J103" s="10">
        <f>IFERROR(IF(SUMIF('تحليل مبيعات'!C:C, 'حركة المخزن'!B103, 'تحليل مبيعات'!L:L)=0,"",SUMIF('تحليل مبيعات'!C:C, 'حركة المخزن'!B103, 'تحليل مبيعات'!L:L)),"")</f>
        <v>490</v>
      </c>
      <c r="K103" s="10">
        <f t="shared" si="6"/>
        <v>8</v>
      </c>
      <c r="L103" s="10">
        <f t="shared" si="7"/>
        <v>9510</v>
      </c>
      <c r="M103" s="10">
        <v>5</v>
      </c>
      <c r="N103" s="10" t="str">
        <f t="shared" si="8"/>
        <v>يوجد رصيد كافى</v>
      </c>
      <c r="O103" s="44">
        <v>175</v>
      </c>
      <c r="Q103" s="130" t="str">
        <v>كتينة تويوتا</v>
      </c>
      <c r="R103" s="135">
        <f>SUMIFS('تحليل مبيعات'!H:H,'تحليل مبيعات'!C:C,'حركة المخزن'!Q103,'تحليل مبيعات'!W:W,'حركة المخزن'!$R$6)</f>
        <v>0</v>
      </c>
      <c r="S103" s="136">
        <f>SUMIFS('تحليل مبيعات'!H:H,'تحليل مبيعات'!C:C,'حركة المخزن'!Q103,'تحليل مبيعات'!W:W,'حركة المخزن'!$S$6)</f>
        <v>0</v>
      </c>
      <c r="T103" s="136">
        <f>SUMIFS('تحليل مبيعات'!H:H,'تحليل مبيعات'!C:C,'حركة المخزن'!Q103,'تحليل مبيعات'!W:W,'حركة المخزن'!$T$6)</f>
        <v>0</v>
      </c>
      <c r="U103" s="136">
        <f>SUMIFS('تحليل مبيعات'!H:H,'تحليل مبيعات'!C:C,'حركة المخزن'!Q103,'تحليل مبيعات'!W:W,'حركة المخزن'!$U$6)</f>
        <v>0</v>
      </c>
      <c r="V103" s="136">
        <f>SUMIFS('تحليل مبيعات'!H:H,'تحليل مبيعات'!C:C,'حركة المخزن'!Q103,'تحليل مبيعات'!W:W,'حركة المخزن'!$V$6)</f>
        <v>0</v>
      </c>
      <c r="W103" s="136">
        <f>SUMIFS('تحليل مبيعات'!H:H,'تحليل مبيعات'!C:C,'حركة المخزن'!Q103,'تحليل مبيعات'!W:W,'حركة المخزن'!$W$6)</f>
        <v>0</v>
      </c>
      <c r="X103" s="136">
        <f>SUMIFS('تحليل مبيعات'!H:H,'تحليل مبيعات'!C:C,'حركة المخزن'!Q103,'تحليل مبيعات'!W:W,'حركة المخزن'!$X$6)</f>
        <v>2</v>
      </c>
      <c r="Y103" s="136">
        <f>SUMIFS('تحليل مبيعات'!H:H,'تحليل مبيعات'!C:C,'حركة المخزن'!Q103,'تحليل مبيعات'!W:W,'حركة المخزن'!$Y$6)</f>
        <v>0</v>
      </c>
      <c r="Z103" s="136">
        <f>SUMIFS('تحليل مبيعات'!H:H,'تحليل مبيعات'!C:C,'حركة المخزن'!Q103,'تحليل مبيعات'!W:W,'حركة المخزن'!$Z$6)</f>
        <v>0</v>
      </c>
      <c r="AA103" s="136">
        <f>SUMIFS('تحليل مبيعات'!H:H,'تحليل مبيعات'!C:C,'حركة المخزن'!Q103,'تحليل مبيعات'!W:W,'حركة المخزن'!$AA$6)</f>
        <v>0</v>
      </c>
      <c r="AB103" s="136">
        <f>SUMIFS('تحليل مبيعات'!H:H,'تحليل مبيعات'!C:C,'حركة المخزن'!Q103,'تحليل مبيعات'!W:W,'حركة المخزن'!$AB$6)</f>
        <v>0</v>
      </c>
      <c r="AC103" s="137">
        <f>SUMIFS('تحليل مبيعات'!H:H,'تحليل مبيعات'!C:C,'حركة المخزن'!Q103,'تحليل مبيعات'!W:W,'حركة المخزن'!$AC$6)</f>
        <v>0</v>
      </c>
      <c r="AD103" s="134">
        <f t="shared" ref="AD103:AD134" si="9">SUM(R103:AC103)</f>
        <v>2</v>
      </c>
    </row>
    <row r="104" spans="2:30" ht="16.2" thickBot="1" x14ac:dyDescent="0.35">
      <c r="B104" s="70" t="s">
        <v>138</v>
      </c>
      <c r="C104" s="10" t="s">
        <v>365</v>
      </c>
      <c r="D104" s="10" t="s">
        <v>204</v>
      </c>
      <c r="E104" s="145">
        <v>10</v>
      </c>
      <c r="F104" s="145">
        <v>10000</v>
      </c>
      <c r="G104" s="10">
        <v>0</v>
      </c>
      <c r="H104" s="10">
        <v>0</v>
      </c>
      <c r="I104" s="10">
        <f>IFERROR(IF(SUMIF('تحليل مبيعات'!C:C, 'حركة المخزن'!B104, 'تحليل مبيعات'!H:H)=0,"",SUMIF('تحليل مبيعات'!C:C, 'حركة المخزن'!B104, 'تحليل مبيعات'!H:H)),"")</f>
        <v>2</v>
      </c>
      <c r="J104" s="10">
        <f>IFERROR(IF(SUMIF('تحليل مبيعات'!C:C, 'حركة المخزن'!B104, 'تحليل مبيعات'!L:L)=0,"",SUMIF('تحليل مبيعات'!C:C, 'حركة المخزن'!B104, 'تحليل مبيعات'!L:L)),"")</f>
        <v>900</v>
      </c>
      <c r="K104" s="10">
        <f t="shared" si="6"/>
        <v>8</v>
      </c>
      <c r="L104" s="10">
        <f t="shared" si="7"/>
        <v>9100</v>
      </c>
      <c r="M104" s="10">
        <v>5</v>
      </c>
      <c r="N104" s="10" t="str">
        <f t="shared" si="8"/>
        <v>يوجد رصيد كافى</v>
      </c>
      <c r="O104" s="44">
        <v>180</v>
      </c>
      <c r="Q104" s="130" t="str">
        <v>طقم شنبر تويوتا</v>
      </c>
      <c r="R104" s="135">
        <f>SUMIFS('تحليل مبيعات'!H:H,'تحليل مبيعات'!C:C,'حركة المخزن'!Q104,'تحليل مبيعات'!W:W,'حركة المخزن'!$R$6)</f>
        <v>0</v>
      </c>
      <c r="S104" s="136">
        <f>SUMIFS('تحليل مبيعات'!H:H,'تحليل مبيعات'!C:C,'حركة المخزن'!Q104,'تحليل مبيعات'!W:W,'حركة المخزن'!$S$6)</f>
        <v>0</v>
      </c>
      <c r="T104" s="136">
        <f>SUMIFS('تحليل مبيعات'!H:H,'تحليل مبيعات'!C:C,'حركة المخزن'!Q104,'تحليل مبيعات'!W:W,'حركة المخزن'!$T$6)</f>
        <v>0</v>
      </c>
      <c r="U104" s="136">
        <f>SUMIFS('تحليل مبيعات'!H:H,'تحليل مبيعات'!C:C,'حركة المخزن'!Q104,'تحليل مبيعات'!W:W,'حركة المخزن'!$U$6)</f>
        <v>0</v>
      </c>
      <c r="V104" s="136">
        <f>SUMIFS('تحليل مبيعات'!H:H,'تحليل مبيعات'!C:C,'حركة المخزن'!Q104,'تحليل مبيعات'!W:W,'حركة المخزن'!$V$6)</f>
        <v>0</v>
      </c>
      <c r="W104" s="136">
        <f>SUMIFS('تحليل مبيعات'!H:H,'تحليل مبيعات'!C:C,'حركة المخزن'!Q104,'تحليل مبيعات'!W:W,'حركة المخزن'!$W$6)</f>
        <v>0</v>
      </c>
      <c r="X104" s="136">
        <f>SUMIFS('تحليل مبيعات'!H:H,'تحليل مبيعات'!C:C,'حركة المخزن'!Q104,'تحليل مبيعات'!W:W,'حركة المخزن'!$X$6)</f>
        <v>2</v>
      </c>
      <c r="Y104" s="136">
        <f>SUMIFS('تحليل مبيعات'!H:H,'تحليل مبيعات'!C:C,'حركة المخزن'!Q104,'تحليل مبيعات'!W:W,'حركة المخزن'!$Y$6)</f>
        <v>0</v>
      </c>
      <c r="Z104" s="136">
        <f>SUMIFS('تحليل مبيعات'!H:H,'تحليل مبيعات'!C:C,'حركة المخزن'!Q104,'تحليل مبيعات'!W:W,'حركة المخزن'!$Z$6)</f>
        <v>0</v>
      </c>
      <c r="AA104" s="136">
        <f>SUMIFS('تحليل مبيعات'!H:H,'تحليل مبيعات'!C:C,'حركة المخزن'!Q104,'تحليل مبيعات'!W:W,'حركة المخزن'!$AA$6)</f>
        <v>0</v>
      </c>
      <c r="AB104" s="136">
        <f>SUMIFS('تحليل مبيعات'!H:H,'تحليل مبيعات'!C:C,'حركة المخزن'!Q104,'تحليل مبيعات'!W:W,'حركة المخزن'!$AB$6)</f>
        <v>0</v>
      </c>
      <c r="AC104" s="137">
        <f>SUMIFS('تحليل مبيعات'!H:H,'تحليل مبيعات'!C:C,'حركة المخزن'!Q104,'تحليل مبيعات'!W:W,'حركة المخزن'!$AC$6)</f>
        <v>0</v>
      </c>
      <c r="AD104" s="134">
        <f t="shared" si="9"/>
        <v>2</v>
      </c>
    </row>
    <row r="105" spans="2:30" ht="16.2" thickBot="1" x14ac:dyDescent="0.35">
      <c r="B105" s="70" t="s">
        <v>145</v>
      </c>
      <c r="C105" s="10" t="s">
        <v>366</v>
      </c>
      <c r="D105" s="10" t="s">
        <v>204</v>
      </c>
      <c r="E105" s="145">
        <v>10</v>
      </c>
      <c r="F105" s="145">
        <v>10000</v>
      </c>
      <c r="G105" s="10">
        <v>0</v>
      </c>
      <c r="H105" s="10">
        <v>0</v>
      </c>
      <c r="I105" s="10">
        <f>IFERROR(IF(SUMIF('تحليل مبيعات'!C:C, 'حركة المخزن'!B105, 'تحليل مبيعات'!H:H)=0,"",SUMIF('تحليل مبيعات'!C:C, 'حركة المخزن'!B105, 'تحليل مبيعات'!H:H)),"")</f>
        <v>1</v>
      </c>
      <c r="J105" s="10">
        <f>IFERROR(IF(SUMIF('تحليل مبيعات'!C:C, 'حركة المخزن'!B105, 'تحليل مبيعات'!L:L)=0,"",SUMIF('تحليل مبيعات'!C:C, 'حركة المخزن'!B105, 'تحليل مبيعات'!L:L)),"")</f>
        <v>120</v>
      </c>
      <c r="K105" s="10">
        <f t="shared" si="6"/>
        <v>9</v>
      </c>
      <c r="L105" s="10">
        <f t="shared" si="7"/>
        <v>9880</v>
      </c>
      <c r="M105" s="10">
        <v>5</v>
      </c>
      <c r="N105" s="10" t="str">
        <f t="shared" si="8"/>
        <v>يوجد رصيد كافى</v>
      </c>
      <c r="O105" s="44">
        <v>185</v>
      </c>
      <c r="Q105" s="130" t="str">
        <v>اكرة باب امامى داخلى تويوتا 90</v>
      </c>
      <c r="R105" s="135">
        <f>SUMIFS('تحليل مبيعات'!H:H,'تحليل مبيعات'!C:C,'حركة المخزن'!Q105,'تحليل مبيعات'!W:W,'حركة المخزن'!$R$6)</f>
        <v>0</v>
      </c>
      <c r="S105" s="136">
        <f>SUMIFS('تحليل مبيعات'!H:H,'تحليل مبيعات'!C:C,'حركة المخزن'!Q105,'تحليل مبيعات'!W:W,'حركة المخزن'!$S$6)</f>
        <v>0</v>
      </c>
      <c r="T105" s="136">
        <f>SUMIFS('تحليل مبيعات'!H:H,'تحليل مبيعات'!C:C,'حركة المخزن'!Q105,'تحليل مبيعات'!W:W,'حركة المخزن'!$T$6)</f>
        <v>0</v>
      </c>
      <c r="U105" s="136">
        <f>SUMIFS('تحليل مبيعات'!H:H,'تحليل مبيعات'!C:C,'حركة المخزن'!Q105,'تحليل مبيعات'!W:W,'حركة المخزن'!$U$6)</f>
        <v>0</v>
      </c>
      <c r="V105" s="136">
        <f>SUMIFS('تحليل مبيعات'!H:H,'تحليل مبيعات'!C:C,'حركة المخزن'!Q105,'تحليل مبيعات'!W:W,'حركة المخزن'!$V$6)</f>
        <v>0</v>
      </c>
      <c r="W105" s="136">
        <f>SUMIFS('تحليل مبيعات'!H:H,'تحليل مبيعات'!C:C,'حركة المخزن'!Q105,'تحليل مبيعات'!W:W,'حركة المخزن'!$W$6)</f>
        <v>0</v>
      </c>
      <c r="X105" s="136">
        <f>SUMIFS('تحليل مبيعات'!H:H,'تحليل مبيعات'!C:C,'حركة المخزن'!Q105,'تحليل مبيعات'!W:W,'حركة المخزن'!$X$6)</f>
        <v>1</v>
      </c>
      <c r="Y105" s="136">
        <f>SUMIFS('تحليل مبيعات'!H:H,'تحليل مبيعات'!C:C,'حركة المخزن'!Q105,'تحليل مبيعات'!W:W,'حركة المخزن'!$Y$6)</f>
        <v>0</v>
      </c>
      <c r="Z105" s="136">
        <f>SUMIFS('تحليل مبيعات'!H:H,'تحليل مبيعات'!C:C,'حركة المخزن'!Q105,'تحليل مبيعات'!W:W,'حركة المخزن'!$Z$6)</f>
        <v>0</v>
      </c>
      <c r="AA105" s="136">
        <f>SUMIFS('تحليل مبيعات'!H:H,'تحليل مبيعات'!C:C,'حركة المخزن'!Q105,'تحليل مبيعات'!W:W,'حركة المخزن'!$AA$6)</f>
        <v>0</v>
      </c>
      <c r="AB105" s="136">
        <f>SUMIFS('تحليل مبيعات'!H:H,'تحليل مبيعات'!C:C,'حركة المخزن'!Q105,'تحليل مبيعات'!W:W,'حركة المخزن'!$AB$6)</f>
        <v>0</v>
      </c>
      <c r="AC105" s="137">
        <f>SUMIFS('تحليل مبيعات'!H:H,'تحليل مبيعات'!C:C,'حركة المخزن'!Q105,'تحليل مبيعات'!W:W,'حركة المخزن'!$AC$6)</f>
        <v>0</v>
      </c>
      <c r="AD105" s="134">
        <f t="shared" si="9"/>
        <v>1</v>
      </c>
    </row>
    <row r="106" spans="2:30" ht="16.2" thickBot="1" x14ac:dyDescent="0.35">
      <c r="B106" s="70" t="s">
        <v>146</v>
      </c>
      <c r="C106" s="10" t="s">
        <v>367</v>
      </c>
      <c r="D106" s="10" t="s">
        <v>204</v>
      </c>
      <c r="E106" s="145">
        <v>10</v>
      </c>
      <c r="F106" s="145">
        <v>10000</v>
      </c>
      <c r="G106" s="10">
        <v>0</v>
      </c>
      <c r="H106" s="10">
        <v>0</v>
      </c>
      <c r="I106" s="10">
        <f>IFERROR(IF(SUMIF('تحليل مبيعات'!C:C, 'حركة المخزن'!B106, 'تحليل مبيعات'!H:H)=0,"",SUMIF('تحليل مبيعات'!C:C, 'حركة المخزن'!B106, 'تحليل مبيعات'!H:H)),"")</f>
        <v>1</v>
      </c>
      <c r="J106" s="10">
        <f>IFERROR(IF(SUMIF('تحليل مبيعات'!C:C, 'حركة المخزن'!B106, 'تحليل مبيعات'!L:L)=0,"",SUMIF('تحليل مبيعات'!C:C, 'حركة المخزن'!B106, 'تحليل مبيعات'!L:L)),"")</f>
        <v>250</v>
      </c>
      <c r="K106" s="10">
        <f t="shared" si="6"/>
        <v>9</v>
      </c>
      <c r="L106" s="10">
        <f t="shared" si="7"/>
        <v>9750</v>
      </c>
      <c r="M106" s="10">
        <v>5</v>
      </c>
      <c r="N106" s="10" t="str">
        <f t="shared" si="8"/>
        <v>يوجد رصيد كافى</v>
      </c>
      <c r="O106" s="44">
        <v>190</v>
      </c>
      <c r="Q106" s="130" t="str">
        <v>جنط تويوتا 5 خرم</v>
      </c>
      <c r="R106" s="135">
        <f>SUMIFS('تحليل مبيعات'!H:H,'تحليل مبيعات'!C:C,'حركة المخزن'!Q106,'تحليل مبيعات'!W:W,'حركة المخزن'!$R$6)</f>
        <v>0</v>
      </c>
      <c r="S106" s="136">
        <f>SUMIFS('تحليل مبيعات'!H:H,'تحليل مبيعات'!C:C,'حركة المخزن'!Q106,'تحليل مبيعات'!W:W,'حركة المخزن'!$S$6)</f>
        <v>0</v>
      </c>
      <c r="T106" s="136">
        <f>SUMIFS('تحليل مبيعات'!H:H,'تحليل مبيعات'!C:C,'حركة المخزن'!Q106,'تحليل مبيعات'!W:W,'حركة المخزن'!$T$6)</f>
        <v>0</v>
      </c>
      <c r="U106" s="136">
        <f>SUMIFS('تحليل مبيعات'!H:H,'تحليل مبيعات'!C:C,'حركة المخزن'!Q106,'تحليل مبيعات'!W:W,'حركة المخزن'!$U$6)</f>
        <v>0</v>
      </c>
      <c r="V106" s="136">
        <f>SUMIFS('تحليل مبيعات'!H:H,'تحليل مبيعات'!C:C,'حركة المخزن'!Q106,'تحليل مبيعات'!W:W,'حركة المخزن'!$V$6)</f>
        <v>0</v>
      </c>
      <c r="W106" s="136">
        <f>SUMIFS('تحليل مبيعات'!H:H,'تحليل مبيعات'!C:C,'حركة المخزن'!Q106,'تحليل مبيعات'!W:W,'حركة المخزن'!$W$6)</f>
        <v>0</v>
      </c>
      <c r="X106" s="136">
        <f>SUMIFS('تحليل مبيعات'!H:H,'تحليل مبيعات'!C:C,'حركة المخزن'!Q106,'تحليل مبيعات'!W:W,'حركة المخزن'!$X$6)</f>
        <v>8</v>
      </c>
      <c r="Y106" s="136">
        <f>SUMIFS('تحليل مبيعات'!H:H,'تحليل مبيعات'!C:C,'حركة المخزن'!Q106,'تحليل مبيعات'!W:W,'حركة المخزن'!$Y$6)</f>
        <v>0</v>
      </c>
      <c r="Z106" s="136">
        <f>SUMIFS('تحليل مبيعات'!H:H,'تحليل مبيعات'!C:C,'حركة المخزن'!Q106,'تحليل مبيعات'!W:W,'حركة المخزن'!$Z$6)</f>
        <v>0</v>
      </c>
      <c r="AA106" s="136">
        <f>SUMIFS('تحليل مبيعات'!H:H,'تحليل مبيعات'!C:C,'حركة المخزن'!Q106,'تحليل مبيعات'!W:W,'حركة المخزن'!$AA$6)</f>
        <v>0</v>
      </c>
      <c r="AB106" s="136">
        <f>SUMIFS('تحليل مبيعات'!H:H,'تحليل مبيعات'!C:C,'حركة المخزن'!Q106,'تحليل مبيعات'!W:W,'حركة المخزن'!$AB$6)</f>
        <v>0</v>
      </c>
      <c r="AC106" s="137">
        <f>SUMIFS('تحليل مبيعات'!H:H,'تحليل مبيعات'!C:C,'حركة المخزن'!Q106,'تحليل مبيعات'!W:W,'حركة المخزن'!$AC$6)</f>
        <v>0</v>
      </c>
      <c r="AD106" s="134">
        <f t="shared" si="9"/>
        <v>8</v>
      </c>
    </row>
    <row r="107" spans="2:30" ht="16.2" thickBot="1" x14ac:dyDescent="0.35">
      <c r="B107" s="70" t="s">
        <v>91</v>
      </c>
      <c r="C107" s="10" t="s">
        <v>368</v>
      </c>
      <c r="D107" s="10" t="s">
        <v>204</v>
      </c>
      <c r="E107" s="145">
        <v>10</v>
      </c>
      <c r="F107" s="145">
        <v>10000</v>
      </c>
      <c r="G107" s="10">
        <v>0</v>
      </c>
      <c r="H107" s="10">
        <v>0</v>
      </c>
      <c r="I107" s="10">
        <f>IFERROR(IF(SUMIF('تحليل مبيعات'!C:C, 'حركة المخزن'!B107, 'تحليل مبيعات'!H:H)=0,"",SUMIF('تحليل مبيعات'!C:C, 'حركة المخزن'!B107, 'تحليل مبيعات'!H:H)),"")</f>
        <v>1</v>
      </c>
      <c r="J107" s="10">
        <f>IFERROR(IF(SUMIF('تحليل مبيعات'!C:C, 'حركة المخزن'!B107, 'تحليل مبيعات'!L:L)=0,"",SUMIF('تحليل مبيعات'!C:C, 'حركة المخزن'!B107, 'تحليل مبيعات'!L:L)),"")</f>
        <v>800</v>
      </c>
      <c r="K107" s="10">
        <f t="shared" si="6"/>
        <v>9</v>
      </c>
      <c r="L107" s="10">
        <f t="shared" si="7"/>
        <v>9200</v>
      </c>
      <c r="M107" s="10">
        <v>5</v>
      </c>
      <c r="N107" s="10" t="str">
        <f t="shared" si="8"/>
        <v>يوجد رصيد كافى</v>
      </c>
      <c r="O107" s="44">
        <v>195</v>
      </c>
      <c r="Q107" s="130" t="str">
        <v xml:space="preserve">بازبوز مسحات طقم </v>
      </c>
      <c r="R107" s="135">
        <f>SUMIFS('تحليل مبيعات'!H:H,'تحليل مبيعات'!C:C,'حركة المخزن'!Q107,'تحليل مبيعات'!W:W,'حركة المخزن'!$R$6)</f>
        <v>0</v>
      </c>
      <c r="S107" s="136">
        <f>SUMIFS('تحليل مبيعات'!H:H,'تحليل مبيعات'!C:C,'حركة المخزن'!Q107,'تحليل مبيعات'!W:W,'حركة المخزن'!$S$6)</f>
        <v>0</v>
      </c>
      <c r="T107" s="136">
        <f>SUMIFS('تحليل مبيعات'!H:H,'تحليل مبيعات'!C:C,'حركة المخزن'!Q107,'تحليل مبيعات'!W:W,'حركة المخزن'!$T$6)</f>
        <v>0</v>
      </c>
      <c r="U107" s="136">
        <f>SUMIFS('تحليل مبيعات'!H:H,'تحليل مبيعات'!C:C,'حركة المخزن'!Q107,'تحليل مبيعات'!W:W,'حركة المخزن'!$U$6)</f>
        <v>0</v>
      </c>
      <c r="V107" s="136">
        <f>SUMIFS('تحليل مبيعات'!H:H,'تحليل مبيعات'!C:C,'حركة المخزن'!Q107,'تحليل مبيعات'!W:W,'حركة المخزن'!$V$6)</f>
        <v>0</v>
      </c>
      <c r="W107" s="136">
        <f>SUMIFS('تحليل مبيعات'!H:H,'تحليل مبيعات'!C:C,'حركة المخزن'!Q107,'تحليل مبيعات'!W:W,'حركة المخزن'!$W$6)</f>
        <v>0</v>
      </c>
      <c r="X107" s="136">
        <f>SUMIFS('تحليل مبيعات'!H:H,'تحليل مبيعات'!C:C,'حركة المخزن'!Q107,'تحليل مبيعات'!W:W,'حركة المخزن'!$X$6)</f>
        <v>2</v>
      </c>
      <c r="Y107" s="136">
        <f>SUMIFS('تحليل مبيعات'!H:H,'تحليل مبيعات'!C:C,'حركة المخزن'!Q107,'تحليل مبيعات'!W:W,'حركة المخزن'!$Y$6)</f>
        <v>0</v>
      </c>
      <c r="Z107" s="136">
        <f>SUMIFS('تحليل مبيعات'!H:H,'تحليل مبيعات'!C:C,'حركة المخزن'!Q107,'تحليل مبيعات'!W:W,'حركة المخزن'!$Z$6)</f>
        <v>0</v>
      </c>
      <c r="AA107" s="136">
        <f>SUMIFS('تحليل مبيعات'!H:H,'تحليل مبيعات'!C:C,'حركة المخزن'!Q107,'تحليل مبيعات'!W:W,'حركة المخزن'!$AA$6)</f>
        <v>0</v>
      </c>
      <c r="AB107" s="136">
        <f>SUMIFS('تحليل مبيعات'!H:H,'تحليل مبيعات'!C:C,'حركة المخزن'!Q107,'تحليل مبيعات'!W:W,'حركة المخزن'!$AB$6)</f>
        <v>0</v>
      </c>
      <c r="AC107" s="137">
        <f>SUMIFS('تحليل مبيعات'!H:H,'تحليل مبيعات'!C:C,'حركة المخزن'!Q107,'تحليل مبيعات'!W:W,'حركة المخزن'!$AC$6)</f>
        <v>0</v>
      </c>
      <c r="AD107" s="134">
        <f t="shared" si="9"/>
        <v>2</v>
      </c>
    </row>
    <row r="108" spans="2:30" ht="16.2" thickBot="1" x14ac:dyDescent="0.35">
      <c r="B108" s="70" t="s">
        <v>151</v>
      </c>
      <c r="C108" s="10" t="s">
        <v>369</v>
      </c>
      <c r="D108" s="10" t="s">
        <v>204</v>
      </c>
      <c r="E108" s="145">
        <v>10</v>
      </c>
      <c r="F108" s="145">
        <v>10000</v>
      </c>
      <c r="G108" s="10" t="str">
        <f>IFERROR(IF(SUMIF(المشتريات!C:C, 'حركة المخزن'!B108, المشتريات!F:F)=0,"",SUMIF(المشتريات!C:C, 'حركة المخزن'!B108, المشتريات!F:F)),"0")</f>
        <v/>
      </c>
      <c r="H108" s="10" t="str">
        <f>IFERROR(IF(SUMIF(المشتريات!C:C, 'حركة المخزن'!B108, المشتريات!I:I)=0,"",SUMIF(المشتريات!C:C, 'حركة المخزن'!B108, المشتريات!I:I)),"0")</f>
        <v/>
      </c>
      <c r="I108" s="10">
        <f>IFERROR(IF(SUMIF('تحليل مبيعات'!C:C, 'حركة المخزن'!B108, 'تحليل مبيعات'!H:H)=0,"",SUMIF('تحليل مبيعات'!C:C, 'حركة المخزن'!B108, 'تحليل مبيعات'!H:H)),"")</f>
        <v>4</v>
      </c>
      <c r="J108" s="10">
        <f>IFERROR(IF(SUMIF('تحليل مبيعات'!C:C, 'حركة المخزن'!B108, 'تحليل مبيعات'!L:L)=0,"",SUMIF('تحليل مبيعات'!C:C, 'حركة المخزن'!B108, 'تحليل مبيعات'!L:L)),"")</f>
        <v>770</v>
      </c>
      <c r="K108" s="10" t="str">
        <f t="shared" si="6"/>
        <v/>
      </c>
      <c r="L108" s="10" t="str">
        <f t="shared" si="7"/>
        <v/>
      </c>
      <c r="M108" s="10">
        <v>5</v>
      </c>
      <c r="N108" s="10" t="str">
        <f t="shared" si="8"/>
        <v>يوجد رصيد كافى</v>
      </c>
      <c r="O108" s="44">
        <v>200</v>
      </c>
      <c r="Q108" s="130" t="str">
        <v>طقم سلم باب جان بى</v>
      </c>
      <c r="R108" s="135">
        <f>SUMIFS('تحليل مبيعات'!H:H,'تحليل مبيعات'!C:C,'حركة المخزن'!Q108,'تحليل مبيعات'!W:W,'حركة المخزن'!$R$6)</f>
        <v>0</v>
      </c>
      <c r="S108" s="136">
        <f>SUMIFS('تحليل مبيعات'!H:H,'تحليل مبيعات'!C:C,'حركة المخزن'!Q108,'تحليل مبيعات'!W:W,'حركة المخزن'!$S$6)</f>
        <v>0</v>
      </c>
      <c r="T108" s="136">
        <f>SUMIFS('تحليل مبيعات'!H:H,'تحليل مبيعات'!C:C,'حركة المخزن'!Q108,'تحليل مبيعات'!W:W,'حركة المخزن'!$T$6)</f>
        <v>0</v>
      </c>
      <c r="U108" s="136">
        <f>SUMIFS('تحليل مبيعات'!H:H,'تحليل مبيعات'!C:C,'حركة المخزن'!Q108,'تحليل مبيعات'!W:W,'حركة المخزن'!$U$6)</f>
        <v>0</v>
      </c>
      <c r="V108" s="136">
        <f>SUMIFS('تحليل مبيعات'!H:H,'تحليل مبيعات'!C:C,'حركة المخزن'!Q108,'تحليل مبيعات'!W:W,'حركة المخزن'!$V$6)</f>
        <v>0</v>
      </c>
      <c r="W108" s="136">
        <f>SUMIFS('تحليل مبيعات'!H:H,'تحليل مبيعات'!C:C,'حركة المخزن'!Q108,'تحليل مبيعات'!W:W,'حركة المخزن'!$W$6)</f>
        <v>0</v>
      </c>
      <c r="X108" s="136">
        <f>SUMIFS('تحليل مبيعات'!H:H,'تحليل مبيعات'!C:C,'حركة المخزن'!Q108,'تحليل مبيعات'!W:W,'حركة المخزن'!$X$6)</f>
        <v>2</v>
      </c>
      <c r="Y108" s="136">
        <f>SUMIFS('تحليل مبيعات'!H:H,'تحليل مبيعات'!C:C,'حركة المخزن'!Q108,'تحليل مبيعات'!W:W,'حركة المخزن'!$Y$6)</f>
        <v>0</v>
      </c>
      <c r="Z108" s="136">
        <f>SUMIFS('تحليل مبيعات'!H:H,'تحليل مبيعات'!C:C,'حركة المخزن'!Q108,'تحليل مبيعات'!W:W,'حركة المخزن'!$Z$6)</f>
        <v>0</v>
      </c>
      <c r="AA108" s="136">
        <f>SUMIFS('تحليل مبيعات'!H:H,'تحليل مبيعات'!C:C,'حركة المخزن'!Q108,'تحليل مبيعات'!W:W,'حركة المخزن'!$AA$6)</f>
        <v>0</v>
      </c>
      <c r="AB108" s="136">
        <f>SUMIFS('تحليل مبيعات'!H:H,'تحليل مبيعات'!C:C,'حركة المخزن'!Q108,'تحليل مبيعات'!W:W,'حركة المخزن'!$AB$6)</f>
        <v>0</v>
      </c>
      <c r="AC108" s="137">
        <f>SUMIFS('تحليل مبيعات'!H:H,'تحليل مبيعات'!C:C,'حركة المخزن'!Q108,'تحليل مبيعات'!W:W,'حركة المخزن'!$AC$6)</f>
        <v>0</v>
      </c>
      <c r="AD108" s="134">
        <f t="shared" si="9"/>
        <v>2</v>
      </c>
    </row>
    <row r="109" spans="2:30" ht="16.2" thickBot="1" x14ac:dyDescent="0.35">
      <c r="B109" s="70" t="s">
        <v>58</v>
      </c>
      <c r="C109" s="10" t="s">
        <v>370</v>
      </c>
      <c r="D109" s="10" t="s">
        <v>204</v>
      </c>
      <c r="E109" s="145">
        <v>10</v>
      </c>
      <c r="F109" s="145">
        <v>10000</v>
      </c>
      <c r="G109" s="10" t="str">
        <f>IFERROR(IF(SUMIF(المشتريات!C:C, 'حركة المخزن'!B109, المشتريات!F:F)=0,"",SUMIF(المشتريات!C:C, 'حركة المخزن'!B109, المشتريات!F:F)),"0")</f>
        <v/>
      </c>
      <c r="H109" s="10" t="str">
        <f>IFERROR(IF(SUMIF(المشتريات!C:C, 'حركة المخزن'!B109, المشتريات!I:I)=0,"",SUMIF(المشتريات!C:C, 'حركة المخزن'!B109, المشتريات!I:I)),"0")</f>
        <v/>
      </c>
      <c r="I109" s="10">
        <f>IFERROR(IF(SUMIF('تحليل مبيعات'!C:C, 'حركة المخزن'!B109, 'تحليل مبيعات'!H:H)=0,"",SUMIF('تحليل مبيعات'!C:C, 'حركة المخزن'!B109, 'تحليل مبيعات'!H:H)),"")</f>
        <v>8</v>
      </c>
      <c r="J109" s="10">
        <f>IFERROR(IF(SUMIF('تحليل مبيعات'!C:C, 'حركة المخزن'!B109, 'تحليل مبيعات'!L:L)=0,"",SUMIF('تحليل مبيعات'!C:C, 'حركة المخزن'!B109, 'تحليل مبيعات'!L:L)),"")</f>
        <v>9000</v>
      </c>
      <c r="K109" s="10" t="str">
        <f t="shared" si="6"/>
        <v/>
      </c>
      <c r="L109" s="10" t="str">
        <f t="shared" si="7"/>
        <v/>
      </c>
      <c r="M109" s="10">
        <v>5</v>
      </c>
      <c r="N109" s="10" t="str">
        <f t="shared" si="8"/>
        <v>يوجد رصيد كافى</v>
      </c>
      <c r="O109" s="44">
        <v>205</v>
      </c>
      <c r="Q109" s="130" t="str">
        <v>فانوس اشارة شمال فطيم</v>
      </c>
      <c r="R109" s="135">
        <f>SUMIFS('تحليل مبيعات'!H:H,'تحليل مبيعات'!C:C,'حركة المخزن'!Q109,'تحليل مبيعات'!W:W,'حركة المخزن'!$R$6)</f>
        <v>0</v>
      </c>
      <c r="S109" s="136">
        <f>SUMIFS('تحليل مبيعات'!H:H,'تحليل مبيعات'!C:C,'حركة المخزن'!Q109,'تحليل مبيعات'!W:W,'حركة المخزن'!$S$6)</f>
        <v>0</v>
      </c>
      <c r="T109" s="136">
        <f>SUMIFS('تحليل مبيعات'!H:H,'تحليل مبيعات'!C:C,'حركة المخزن'!Q109,'تحليل مبيعات'!W:W,'حركة المخزن'!$T$6)</f>
        <v>0</v>
      </c>
      <c r="U109" s="136">
        <f>SUMIFS('تحليل مبيعات'!H:H,'تحليل مبيعات'!C:C,'حركة المخزن'!Q109,'تحليل مبيعات'!W:W,'حركة المخزن'!$U$6)</f>
        <v>0</v>
      </c>
      <c r="V109" s="136">
        <f>SUMIFS('تحليل مبيعات'!H:H,'تحليل مبيعات'!C:C,'حركة المخزن'!Q109,'تحليل مبيعات'!W:W,'حركة المخزن'!$V$6)</f>
        <v>0</v>
      </c>
      <c r="W109" s="136">
        <f>SUMIFS('تحليل مبيعات'!H:H,'تحليل مبيعات'!C:C,'حركة المخزن'!Q109,'تحليل مبيعات'!W:W,'حركة المخزن'!$W$6)</f>
        <v>0</v>
      </c>
      <c r="X109" s="136">
        <f>SUMIFS('تحليل مبيعات'!H:H,'تحليل مبيعات'!C:C,'حركة المخزن'!Q109,'تحليل مبيعات'!W:W,'حركة المخزن'!$X$6)</f>
        <v>2</v>
      </c>
      <c r="Y109" s="136">
        <f>SUMIFS('تحليل مبيعات'!H:H,'تحليل مبيعات'!C:C,'حركة المخزن'!Q109,'تحليل مبيعات'!W:W,'حركة المخزن'!$Y$6)</f>
        <v>0</v>
      </c>
      <c r="Z109" s="136">
        <f>SUMIFS('تحليل مبيعات'!H:H,'تحليل مبيعات'!C:C,'حركة المخزن'!Q109,'تحليل مبيعات'!W:W,'حركة المخزن'!$Z$6)</f>
        <v>0</v>
      </c>
      <c r="AA109" s="136">
        <f>SUMIFS('تحليل مبيعات'!H:H,'تحليل مبيعات'!C:C,'حركة المخزن'!Q109,'تحليل مبيعات'!W:W,'حركة المخزن'!$AA$6)</f>
        <v>0</v>
      </c>
      <c r="AB109" s="136">
        <f>SUMIFS('تحليل مبيعات'!H:H,'تحليل مبيعات'!C:C,'حركة المخزن'!Q109,'تحليل مبيعات'!W:W,'حركة المخزن'!$AB$6)</f>
        <v>0</v>
      </c>
      <c r="AC109" s="137">
        <f>SUMIFS('تحليل مبيعات'!H:H,'تحليل مبيعات'!C:C,'حركة المخزن'!Q109,'تحليل مبيعات'!W:W,'حركة المخزن'!$AC$6)</f>
        <v>0</v>
      </c>
      <c r="AD109" s="134">
        <f t="shared" si="9"/>
        <v>2</v>
      </c>
    </row>
    <row r="110" spans="2:30" ht="16.2" thickBot="1" x14ac:dyDescent="0.35">
      <c r="B110" s="70" t="s">
        <v>152</v>
      </c>
      <c r="C110" s="10" t="s">
        <v>371</v>
      </c>
      <c r="D110" s="10" t="s">
        <v>204</v>
      </c>
      <c r="E110" s="145">
        <v>10</v>
      </c>
      <c r="F110" s="145">
        <v>10000</v>
      </c>
      <c r="G110" s="10" t="str">
        <f>IFERROR(IF(SUMIF(المشتريات!C:C, 'حركة المخزن'!B110, المشتريات!F:F)=0,"",SUMIF(المشتريات!C:C, 'حركة المخزن'!B110, المشتريات!F:F)),"0")</f>
        <v/>
      </c>
      <c r="H110" s="10" t="str">
        <f>IFERROR(IF(SUMIF(المشتريات!C:C, 'حركة المخزن'!B110, المشتريات!I:I)=0,"",SUMIF(المشتريات!C:C, 'حركة المخزن'!B110, المشتريات!I:I)),"0")</f>
        <v/>
      </c>
      <c r="I110" s="10">
        <f>IFERROR(IF(SUMIF('تحليل مبيعات'!C:C, 'حركة المخزن'!B110, 'تحليل مبيعات'!H:H)=0,"",SUMIF('تحليل مبيعات'!C:C, 'حركة المخزن'!B110, 'تحليل مبيعات'!H:H)),"")</f>
        <v>2</v>
      </c>
      <c r="J110" s="10">
        <f>IFERROR(IF(SUMIF('تحليل مبيعات'!C:C, 'حركة المخزن'!B110, 'تحليل مبيعات'!L:L)=0,"",SUMIF('تحليل مبيعات'!C:C, 'حركة المخزن'!B110, 'تحليل مبيعات'!L:L)),"")</f>
        <v>500</v>
      </c>
      <c r="K110" s="10" t="str">
        <f t="shared" si="6"/>
        <v/>
      </c>
      <c r="L110" s="10" t="str">
        <f t="shared" si="7"/>
        <v/>
      </c>
      <c r="M110" s="10">
        <v>5</v>
      </c>
      <c r="N110" s="10" t="str">
        <f t="shared" si="8"/>
        <v>يوجد رصيد كافى</v>
      </c>
      <c r="O110" s="44">
        <v>210</v>
      </c>
      <c r="Q110" s="130" t="str">
        <v>شبكة تعديل سوداء</v>
      </c>
      <c r="R110" s="135">
        <f>SUMIFS('تحليل مبيعات'!H:H,'تحليل مبيعات'!C:C,'حركة المخزن'!Q110,'تحليل مبيعات'!W:W,'حركة المخزن'!$R$6)</f>
        <v>0</v>
      </c>
      <c r="S110" s="136">
        <f>SUMIFS('تحليل مبيعات'!H:H,'تحليل مبيعات'!C:C,'حركة المخزن'!Q110,'تحليل مبيعات'!W:W,'حركة المخزن'!$S$6)</f>
        <v>0</v>
      </c>
      <c r="T110" s="136">
        <f>SUMIFS('تحليل مبيعات'!H:H,'تحليل مبيعات'!C:C,'حركة المخزن'!Q110,'تحليل مبيعات'!W:W,'حركة المخزن'!$T$6)</f>
        <v>0</v>
      </c>
      <c r="U110" s="136">
        <f>SUMIFS('تحليل مبيعات'!H:H,'تحليل مبيعات'!C:C,'حركة المخزن'!Q110,'تحليل مبيعات'!W:W,'حركة المخزن'!$U$6)</f>
        <v>0</v>
      </c>
      <c r="V110" s="136">
        <f>SUMIFS('تحليل مبيعات'!H:H,'تحليل مبيعات'!C:C,'حركة المخزن'!Q110,'تحليل مبيعات'!W:W,'حركة المخزن'!$V$6)</f>
        <v>0</v>
      </c>
      <c r="W110" s="136">
        <f>SUMIFS('تحليل مبيعات'!H:H,'تحليل مبيعات'!C:C,'حركة المخزن'!Q110,'تحليل مبيعات'!W:W,'حركة المخزن'!$W$6)</f>
        <v>0</v>
      </c>
      <c r="X110" s="136">
        <f>SUMIFS('تحليل مبيعات'!H:H,'تحليل مبيعات'!C:C,'حركة المخزن'!Q110,'تحليل مبيعات'!W:W,'حركة المخزن'!$X$6)</f>
        <v>2</v>
      </c>
      <c r="Y110" s="136">
        <f>SUMIFS('تحليل مبيعات'!H:H,'تحليل مبيعات'!C:C,'حركة المخزن'!Q110,'تحليل مبيعات'!W:W,'حركة المخزن'!$Y$6)</f>
        <v>0</v>
      </c>
      <c r="Z110" s="136">
        <f>SUMIFS('تحليل مبيعات'!H:H,'تحليل مبيعات'!C:C,'حركة المخزن'!Q110,'تحليل مبيعات'!W:W,'حركة المخزن'!$Z$6)</f>
        <v>0</v>
      </c>
      <c r="AA110" s="136">
        <f>SUMIFS('تحليل مبيعات'!H:H,'تحليل مبيعات'!C:C,'حركة المخزن'!Q110,'تحليل مبيعات'!W:W,'حركة المخزن'!$AA$6)</f>
        <v>0</v>
      </c>
      <c r="AB110" s="136">
        <f>SUMIFS('تحليل مبيعات'!H:H,'تحليل مبيعات'!C:C,'حركة المخزن'!Q110,'تحليل مبيعات'!W:W,'حركة المخزن'!$AB$6)</f>
        <v>0</v>
      </c>
      <c r="AC110" s="137">
        <f>SUMIFS('تحليل مبيعات'!H:H,'تحليل مبيعات'!C:C,'حركة المخزن'!Q110,'تحليل مبيعات'!W:W,'حركة المخزن'!$AC$6)</f>
        <v>0</v>
      </c>
      <c r="AD110" s="134">
        <f t="shared" si="9"/>
        <v>2</v>
      </c>
    </row>
    <row r="111" spans="2:30" ht="16.2" thickBot="1" x14ac:dyDescent="0.35">
      <c r="B111" s="70" t="s">
        <v>153</v>
      </c>
      <c r="C111" s="10" t="s">
        <v>372</v>
      </c>
      <c r="D111" s="10" t="s">
        <v>204</v>
      </c>
      <c r="E111" s="145">
        <v>10</v>
      </c>
      <c r="F111" s="145">
        <v>10000</v>
      </c>
      <c r="G111" s="10" t="str">
        <f>IFERROR(IF(SUMIF(المشتريات!C:C, 'حركة المخزن'!B111, المشتريات!F:F)=0,"",SUMIF(المشتريات!C:C, 'حركة المخزن'!B111, المشتريات!F:F)),"0")</f>
        <v/>
      </c>
      <c r="H111" s="10" t="str">
        <f>IFERROR(IF(SUMIF(المشتريات!C:C, 'حركة المخزن'!B111, المشتريات!I:I)=0,"",SUMIF(المشتريات!C:C, 'حركة المخزن'!B111, المشتريات!I:I)),"0")</f>
        <v/>
      </c>
      <c r="I111" s="10">
        <f>IFERROR(IF(SUMIF('تحليل مبيعات'!C:C, 'حركة المخزن'!B111, 'تحليل مبيعات'!H:H)=0,"",SUMIF('تحليل مبيعات'!C:C, 'حركة المخزن'!B111, 'تحليل مبيعات'!H:H)),"")</f>
        <v>2</v>
      </c>
      <c r="J111" s="10">
        <f>IFERROR(IF(SUMIF('تحليل مبيعات'!C:C, 'حركة المخزن'!B111, 'تحليل مبيعات'!L:L)=0,"",SUMIF('تحليل مبيعات'!C:C, 'حركة المخزن'!B111, 'تحليل مبيعات'!L:L)),"")</f>
        <v>140</v>
      </c>
      <c r="K111" s="10" t="str">
        <f t="shared" si="6"/>
        <v/>
      </c>
      <c r="L111" s="10" t="str">
        <f t="shared" si="7"/>
        <v/>
      </c>
      <c r="M111" s="10">
        <v>5</v>
      </c>
      <c r="N111" s="10" t="str">
        <f t="shared" si="8"/>
        <v>يوجد رصيد كافى</v>
      </c>
      <c r="O111" s="44">
        <v>215</v>
      </c>
      <c r="Q111" s="130" t="str">
        <v>بطارية كلورايد 70 فيلدا</v>
      </c>
      <c r="R111" s="135">
        <f>SUMIFS('تحليل مبيعات'!H:H,'تحليل مبيعات'!C:C,'حركة المخزن'!Q111,'تحليل مبيعات'!W:W,'حركة المخزن'!$R$6)</f>
        <v>0</v>
      </c>
      <c r="S111" s="136">
        <f>SUMIFS('تحليل مبيعات'!H:H,'تحليل مبيعات'!C:C,'حركة المخزن'!Q111,'تحليل مبيعات'!W:W,'حركة المخزن'!$S$6)</f>
        <v>0</v>
      </c>
      <c r="T111" s="136">
        <f>SUMIFS('تحليل مبيعات'!H:H,'تحليل مبيعات'!C:C,'حركة المخزن'!Q111,'تحليل مبيعات'!W:W,'حركة المخزن'!$T$6)</f>
        <v>0</v>
      </c>
      <c r="U111" s="136">
        <f>SUMIFS('تحليل مبيعات'!H:H,'تحليل مبيعات'!C:C,'حركة المخزن'!Q111,'تحليل مبيعات'!W:W,'حركة المخزن'!$U$6)</f>
        <v>0</v>
      </c>
      <c r="V111" s="136">
        <f>SUMIFS('تحليل مبيعات'!H:H,'تحليل مبيعات'!C:C,'حركة المخزن'!Q111,'تحليل مبيعات'!W:W,'حركة المخزن'!$V$6)</f>
        <v>0</v>
      </c>
      <c r="W111" s="136">
        <f>SUMIFS('تحليل مبيعات'!H:H,'تحليل مبيعات'!C:C,'حركة المخزن'!Q111,'تحليل مبيعات'!W:W,'حركة المخزن'!$W$6)</f>
        <v>0</v>
      </c>
      <c r="X111" s="136">
        <f>SUMIFS('تحليل مبيعات'!H:H,'تحليل مبيعات'!C:C,'حركة المخزن'!Q111,'تحليل مبيعات'!W:W,'حركة المخزن'!$X$6)</f>
        <v>1</v>
      </c>
      <c r="Y111" s="136">
        <f>SUMIFS('تحليل مبيعات'!H:H,'تحليل مبيعات'!C:C,'حركة المخزن'!Q111,'تحليل مبيعات'!W:W,'حركة المخزن'!$Y$6)</f>
        <v>1</v>
      </c>
      <c r="Z111" s="136">
        <f>SUMIFS('تحليل مبيعات'!H:H,'تحليل مبيعات'!C:C,'حركة المخزن'!Q111,'تحليل مبيعات'!W:W,'حركة المخزن'!$Z$6)</f>
        <v>0</v>
      </c>
      <c r="AA111" s="136">
        <f>SUMIFS('تحليل مبيعات'!H:H,'تحليل مبيعات'!C:C,'حركة المخزن'!Q111,'تحليل مبيعات'!W:W,'حركة المخزن'!$AA$6)</f>
        <v>0</v>
      </c>
      <c r="AB111" s="136">
        <f>SUMIFS('تحليل مبيعات'!H:H,'تحليل مبيعات'!C:C,'حركة المخزن'!Q111,'تحليل مبيعات'!W:W,'حركة المخزن'!$AB$6)</f>
        <v>0</v>
      </c>
      <c r="AC111" s="137">
        <f>SUMIFS('تحليل مبيعات'!H:H,'تحليل مبيعات'!C:C,'حركة المخزن'!Q111,'تحليل مبيعات'!W:W,'حركة المخزن'!$AC$6)</f>
        <v>0</v>
      </c>
      <c r="AD111" s="134">
        <f t="shared" si="9"/>
        <v>2</v>
      </c>
    </row>
    <row r="112" spans="2:30" ht="16.2" thickBot="1" x14ac:dyDescent="0.35">
      <c r="B112" s="70" t="s">
        <v>154</v>
      </c>
      <c r="C112" s="10" t="s">
        <v>373</v>
      </c>
      <c r="D112" s="10" t="s">
        <v>204</v>
      </c>
      <c r="E112" s="145">
        <v>10</v>
      </c>
      <c r="F112" s="145">
        <v>10000</v>
      </c>
      <c r="G112" s="10" t="str">
        <f>IFERROR(IF(SUMIF(المشتريات!C:C, 'حركة المخزن'!B112, المشتريات!F:F)=0,"",SUMIF(المشتريات!C:C, 'حركة المخزن'!B112, المشتريات!F:F)),"0")</f>
        <v/>
      </c>
      <c r="H112" s="10" t="str">
        <f>IFERROR(IF(SUMIF(المشتريات!C:C, 'حركة المخزن'!B112, المشتريات!I:I)=0,"",SUMIF(المشتريات!C:C, 'حركة المخزن'!B112, المشتريات!I:I)),"0")</f>
        <v/>
      </c>
      <c r="I112" s="10">
        <f>IFERROR(IF(SUMIF('تحليل مبيعات'!C:C, 'حركة المخزن'!B112, 'تحليل مبيعات'!H:H)=0,"",SUMIF('تحليل مبيعات'!C:C, 'حركة المخزن'!B112, 'تحليل مبيعات'!H:H)),"")</f>
        <v>1</v>
      </c>
      <c r="J112" s="10">
        <f>IFERROR(IF(SUMIF('تحليل مبيعات'!C:C, 'حركة المخزن'!B112, 'تحليل مبيعات'!L:L)=0,"",SUMIF('تحليل مبيعات'!C:C, 'حركة المخزن'!B112, 'تحليل مبيعات'!L:L)),"")</f>
        <v>70</v>
      </c>
      <c r="K112" s="10" t="str">
        <f t="shared" si="6"/>
        <v/>
      </c>
      <c r="L112" s="10" t="str">
        <f t="shared" si="7"/>
        <v/>
      </c>
      <c r="M112" s="10">
        <v>5</v>
      </c>
      <c r="N112" s="10" t="str">
        <f t="shared" si="8"/>
        <v>يوجد رصيد كافى</v>
      </c>
      <c r="O112" s="44">
        <v>220</v>
      </c>
      <c r="Q112" s="130" t="str">
        <v>اكصدام امامى</v>
      </c>
      <c r="R112" s="135">
        <f>SUMIFS('تحليل مبيعات'!H:H,'تحليل مبيعات'!C:C,'حركة المخزن'!Q112,'تحليل مبيعات'!W:W,'حركة المخزن'!$R$6)</f>
        <v>0</v>
      </c>
      <c r="S112" s="136">
        <f>SUMIFS('تحليل مبيعات'!H:H,'تحليل مبيعات'!C:C,'حركة المخزن'!Q112,'تحليل مبيعات'!W:W,'حركة المخزن'!$S$6)</f>
        <v>0</v>
      </c>
      <c r="T112" s="136">
        <f>SUMIFS('تحليل مبيعات'!H:H,'تحليل مبيعات'!C:C,'حركة المخزن'!Q112,'تحليل مبيعات'!W:W,'حركة المخزن'!$T$6)</f>
        <v>0</v>
      </c>
      <c r="U112" s="136">
        <f>SUMIFS('تحليل مبيعات'!H:H,'تحليل مبيعات'!C:C,'حركة المخزن'!Q112,'تحليل مبيعات'!W:W,'حركة المخزن'!$U$6)</f>
        <v>0</v>
      </c>
      <c r="V112" s="136">
        <f>SUMIFS('تحليل مبيعات'!H:H,'تحليل مبيعات'!C:C,'حركة المخزن'!Q112,'تحليل مبيعات'!W:W,'حركة المخزن'!$V$6)</f>
        <v>0</v>
      </c>
      <c r="W112" s="136">
        <f>SUMIFS('تحليل مبيعات'!H:H,'تحليل مبيعات'!C:C,'حركة المخزن'!Q112,'تحليل مبيعات'!W:W,'حركة المخزن'!$W$6)</f>
        <v>0</v>
      </c>
      <c r="X112" s="136">
        <f>SUMIFS('تحليل مبيعات'!H:H,'تحليل مبيعات'!C:C,'حركة المخزن'!Q112,'تحليل مبيعات'!W:W,'حركة المخزن'!$X$6)</f>
        <v>2</v>
      </c>
      <c r="Y112" s="136">
        <f>SUMIFS('تحليل مبيعات'!H:H,'تحليل مبيعات'!C:C,'حركة المخزن'!Q112,'تحليل مبيعات'!W:W,'حركة المخزن'!$Y$6)</f>
        <v>2</v>
      </c>
      <c r="Z112" s="136">
        <f>SUMIFS('تحليل مبيعات'!H:H,'تحليل مبيعات'!C:C,'حركة المخزن'!Q112,'تحليل مبيعات'!W:W,'حركة المخزن'!$Z$6)</f>
        <v>0</v>
      </c>
      <c r="AA112" s="136">
        <f>SUMIFS('تحليل مبيعات'!H:H,'تحليل مبيعات'!C:C,'حركة المخزن'!Q112,'تحليل مبيعات'!W:W,'حركة المخزن'!$AA$6)</f>
        <v>0</v>
      </c>
      <c r="AB112" s="136">
        <f>SUMIFS('تحليل مبيعات'!H:H,'تحليل مبيعات'!C:C,'حركة المخزن'!Q112,'تحليل مبيعات'!W:W,'حركة المخزن'!$AB$6)</f>
        <v>0</v>
      </c>
      <c r="AC112" s="137">
        <f>SUMIFS('تحليل مبيعات'!H:H,'تحليل مبيعات'!C:C,'حركة المخزن'!Q112,'تحليل مبيعات'!W:W,'حركة المخزن'!$AC$6)</f>
        <v>0</v>
      </c>
      <c r="AD112" s="134">
        <f t="shared" si="9"/>
        <v>4</v>
      </c>
    </row>
    <row r="113" spans="2:30" ht="16.2" thickBot="1" x14ac:dyDescent="0.35">
      <c r="B113" s="70" t="s">
        <v>155</v>
      </c>
      <c r="C113" s="10" t="s">
        <v>374</v>
      </c>
      <c r="D113" s="10" t="s">
        <v>204</v>
      </c>
      <c r="E113" s="145">
        <v>10</v>
      </c>
      <c r="F113" s="145">
        <v>10000</v>
      </c>
      <c r="G113" s="10" t="str">
        <f>IFERROR(IF(SUMIF(المشتريات!C:C, 'حركة المخزن'!B113, المشتريات!F:F)=0,"",SUMIF(المشتريات!C:C, 'حركة المخزن'!B113, المشتريات!F:F)),"0")</f>
        <v/>
      </c>
      <c r="H113" s="10" t="str">
        <f>IFERROR(IF(SUMIF(المشتريات!C:C, 'حركة المخزن'!B113, المشتريات!I:I)=0,"",SUMIF(المشتريات!C:C, 'حركة المخزن'!B113, المشتريات!I:I)),"0")</f>
        <v/>
      </c>
      <c r="I113" s="10">
        <f>IFERROR(IF(SUMIF('تحليل مبيعات'!C:C, 'حركة المخزن'!B113, 'تحليل مبيعات'!H:H)=0,"",SUMIF('تحليل مبيعات'!C:C, 'حركة المخزن'!B113, 'تحليل مبيعات'!H:H)),"")</f>
        <v>2</v>
      </c>
      <c r="J113" s="10">
        <f>IFERROR(IF(SUMIF('تحليل مبيعات'!C:C, 'حركة المخزن'!B113, 'تحليل مبيعات'!L:L)=0,"",SUMIF('تحليل مبيعات'!C:C, 'حركة المخزن'!B113, 'تحليل مبيعات'!L:L)),"")</f>
        <v>350</v>
      </c>
      <c r="K113" s="10" t="str">
        <f t="shared" si="6"/>
        <v/>
      </c>
      <c r="L113" s="10" t="str">
        <f t="shared" si="7"/>
        <v/>
      </c>
      <c r="M113" s="10">
        <v>5</v>
      </c>
      <c r="N113" s="10" t="str">
        <f t="shared" si="8"/>
        <v>يوجد رصيد كافى</v>
      </c>
      <c r="O113" s="44">
        <v>225</v>
      </c>
      <c r="Q113" s="130" t="str">
        <v>طقم فانوس شبورة جان بى</v>
      </c>
      <c r="R113" s="135">
        <f>SUMIFS('تحليل مبيعات'!H:H,'تحليل مبيعات'!C:C,'حركة المخزن'!Q113,'تحليل مبيعات'!W:W,'حركة المخزن'!$R$6)</f>
        <v>0</v>
      </c>
      <c r="S113" s="136">
        <f>SUMIFS('تحليل مبيعات'!H:H,'تحليل مبيعات'!C:C,'حركة المخزن'!Q113,'تحليل مبيعات'!W:W,'حركة المخزن'!$S$6)</f>
        <v>0</v>
      </c>
      <c r="T113" s="136">
        <f>SUMIFS('تحليل مبيعات'!H:H,'تحليل مبيعات'!C:C,'حركة المخزن'!Q113,'تحليل مبيعات'!W:W,'حركة المخزن'!$T$6)</f>
        <v>0</v>
      </c>
      <c r="U113" s="136">
        <f>SUMIFS('تحليل مبيعات'!H:H,'تحليل مبيعات'!C:C,'حركة المخزن'!Q113,'تحليل مبيعات'!W:W,'حركة المخزن'!$U$6)</f>
        <v>0</v>
      </c>
      <c r="V113" s="136">
        <f>SUMIFS('تحليل مبيعات'!H:H,'تحليل مبيعات'!C:C,'حركة المخزن'!Q113,'تحليل مبيعات'!W:W,'حركة المخزن'!$V$6)</f>
        <v>0</v>
      </c>
      <c r="W113" s="136">
        <f>SUMIFS('تحليل مبيعات'!H:H,'تحليل مبيعات'!C:C,'حركة المخزن'!Q113,'تحليل مبيعات'!W:W,'حركة المخزن'!$W$6)</f>
        <v>0</v>
      </c>
      <c r="X113" s="136">
        <f>SUMIFS('تحليل مبيعات'!H:H,'تحليل مبيعات'!C:C,'حركة المخزن'!Q113,'تحليل مبيعات'!W:W,'حركة المخزن'!$X$6)</f>
        <v>1</v>
      </c>
      <c r="Y113" s="136">
        <f>SUMIFS('تحليل مبيعات'!H:H,'تحليل مبيعات'!C:C,'حركة المخزن'!Q113,'تحليل مبيعات'!W:W,'حركة المخزن'!$Y$6)</f>
        <v>0</v>
      </c>
      <c r="Z113" s="136">
        <f>SUMIFS('تحليل مبيعات'!H:H,'تحليل مبيعات'!C:C,'حركة المخزن'!Q113,'تحليل مبيعات'!W:W,'حركة المخزن'!$Z$6)</f>
        <v>0</v>
      </c>
      <c r="AA113" s="136">
        <f>SUMIFS('تحليل مبيعات'!H:H,'تحليل مبيعات'!C:C,'حركة المخزن'!Q113,'تحليل مبيعات'!W:W,'حركة المخزن'!$AA$6)</f>
        <v>0</v>
      </c>
      <c r="AB113" s="136">
        <f>SUMIFS('تحليل مبيعات'!H:H,'تحليل مبيعات'!C:C,'حركة المخزن'!Q113,'تحليل مبيعات'!W:W,'حركة المخزن'!$AB$6)</f>
        <v>0</v>
      </c>
      <c r="AC113" s="137">
        <f>SUMIFS('تحليل مبيعات'!H:H,'تحليل مبيعات'!C:C,'حركة المخزن'!Q113,'تحليل مبيعات'!W:W,'حركة المخزن'!$AC$6)</f>
        <v>0</v>
      </c>
      <c r="AD113" s="134">
        <f t="shared" si="9"/>
        <v>1</v>
      </c>
    </row>
    <row r="114" spans="2:30" ht="16.2" thickBot="1" x14ac:dyDescent="0.35">
      <c r="B114" s="70" t="s">
        <v>158</v>
      </c>
      <c r="C114" s="10" t="s">
        <v>375</v>
      </c>
      <c r="D114" s="10" t="s">
        <v>204</v>
      </c>
      <c r="E114" s="145">
        <v>10</v>
      </c>
      <c r="F114" s="145">
        <v>10000</v>
      </c>
      <c r="G114" s="10" t="str">
        <f>IFERROR(IF(SUMIF(المشتريات!C:C, 'حركة المخزن'!B114, المشتريات!F:F)=0,"",SUMIF(المشتريات!C:C, 'حركة المخزن'!B114, المشتريات!F:F)),"0")</f>
        <v/>
      </c>
      <c r="H114" s="10" t="str">
        <f>IFERROR(IF(SUMIF(المشتريات!C:C, 'حركة المخزن'!B114, المشتريات!I:I)=0,"",SUMIF(المشتريات!C:C, 'حركة المخزن'!B114, المشتريات!I:I)),"0")</f>
        <v/>
      </c>
      <c r="I114" s="10">
        <f>IFERROR(IF(SUMIF('تحليل مبيعات'!C:C, 'حركة المخزن'!B114, 'تحليل مبيعات'!H:H)=0,"",SUMIF('تحليل مبيعات'!C:C, 'حركة المخزن'!B114, 'تحليل مبيعات'!H:H)),"")</f>
        <v>2</v>
      </c>
      <c r="J114" s="10">
        <f>IFERROR(IF(SUMIF('تحليل مبيعات'!C:C, 'حركة المخزن'!B114, 'تحليل مبيعات'!L:L)=0,"",SUMIF('تحليل مبيعات'!C:C, 'حركة المخزن'!B114, 'تحليل مبيعات'!L:L)),"")</f>
        <v>400</v>
      </c>
      <c r="K114" s="10" t="str">
        <f t="shared" si="6"/>
        <v/>
      </c>
      <c r="L114" s="10" t="str">
        <f t="shared" si="7"/>
        <v/>
      </c>
      <c r="M114" s="10">
        <v>5</v>
      </c>
      <c r="N114" s="10" t="str">
        <f t="shared" si="8"/>
        <v>يوجد رصيد كافى</v>
      </c>
      <c r="O114" s="44">
        <v>230</v>
      </c>
      <c r="Q114" s="130" t="str">
        <v>مرايا جنب هاى اس بدون قاعدة  سودا  شمال</v>
      </c>
      <c r="R114" s="135">
        <f>SUMIFS('تحليل مبيعات'!H:H,'تحليل مبيعات'!C:C,'حركة المخزن'!Q114,'تحليل مبيعات'!W:W,'حركة المخزن'!$R$6)</f>
        <v>0</v>
      </c>
      <c r="S114" s="136">
        <f>SUMIFS('تحليل مبيعات'!H:H,'تحليل مبيعات'!C:C,'حركة المخزن'!Q114,'تحليل مبيعات'!W:W,'حركة المخزن'!$S$6)</f>
        <v>0</v>
      </c>
      <c r="T114" s="136">
        <f>SUMIFS('تحليل مبيعات'!H:H,'تحليل مبيعات'!C:C,'حركة المخزن'!Q114,'تحليل مبيعات'!W:W,'حركة المخزن'!$T$6)</f>
        <v>0</v>
      </c>
      <c r="U114" s="136">
        <f>SUMIFS('تحليل مبيعات'!H:H,'تحليل مبيعات'!C:C,'حركة المخزن'!Q114,'تحليل مبيعات'!W:W,'حركة المخزن'!$U$6)</f>
        <v>0</v>
      </c>
      <c r="V114" s="136">
        <f>SUMIFS('تحليل مبيعات'!H:H,'تحليل مبيعات'!C:C,'حركة المخزن'!Q114,'تحليل مبيعات'!W:W,'حركة المخزن'!$V$6)</f>
        <v>0</v>
      </c>
      <c r="W114" s="136">
        <f>SUMIFS('تحليل مبيعات'!H:H,'تحليل مبيعات'!C:C,'حركة المخزن'!Q114,'تحليل مبيعات'!W:W,'حركة المخزن'!$W$6)</f>
        <v>0</v>
      </c>
      <c r="X114" s="136">
        <f>SUMIFS('تحليل مبيعات'!H:H,'تحليل مبيعات'!C:C,'حركة المخزن'!Q114,'تحليل مبيعات'!W:W,'حركة المخزن'!$X$6)</f>
        <v>1</v>
      </c>
      <c r="Y114" s="136">
        <f>SUMIFS('تحليل مبيعات'!H:H,'تحليل مبيعات'!C:C,'حركة المخزن'!Q114,'تحليل مبيعات'!W:W,'حركة المخزن'!$Y$6)</f>
        <v>0</v>
      </c>
      <c r="Z114" s="136">
        <f>SUMIFS('تحليل مبيعات'!H:H,'تحليل مبيعات'!C:C,'حركة المخزن'!Q114,'تحليل مبيعات'!W:W,'حركة المخزن'!$Z$6)</f>
        <v>0</v>
      </c>
      <c r="AA114" s="136">
        <f>SUMIFS('تحليل مبيعات'!H:H,'تحليل مبيعات'!C:C,'حركة المخزن'!Q114,'تحليل مبيعات'!W:W,'حركة المخزن'!$AA$6)</f>
        <v>0</v>
      </c>
      <c r="AB114" s="136">
        <f>SUMIFS('تحليل مبيعات'!H:H,'تحليل مبيعات'!C:C,'حركة المخزن'!Q114,'تحليل مبيعات'!W:W,'حركة المخزن'!$AB$6)</f>
        <v>0</v>
      </c>
      <c r="AC114" s="137">
        <f>SUMIFS('تحليل مبيعات'!H:H,'تحليل مبيعات'!C:C,'حركة المخزن'!Q114,'تحليل مبيعات'!W:W,'حركة المخزن'!$AC$6)</f>
        <v>0</v>
      </c>
      <c r="AD114" s="134">
        <f t="shared" si="9"/>
        <v>1</v>
      </c>
    </row>
    <row r="115" spans="2:30" ht="16.2" thickBot="1" x14ac:dyDescent="0.35">
      <c r="B115" s="70" t="s">
        <v>156</v>
      </c>
      <c r="C115" s="10" t="s">
        <v>376</v>
      </c>
      <c r="D115" s="10" t="s">
        <v>204</v>
      </c>
      <c r="E115" s="145">
        <v>10</v>
      </c>
      <c r="F115" s="145">
        <v>10000</v>
      </c>
      <c r="G115" s="10" t="str">
        <f>IFERROR(IF(SUMIF(المشتريات!C:C, 'حركة المخزن'!B115, المشتريات!F:F)=0,"",SUMIF(المشتريات!C:C, 'حركة المخزن'!B115, المشتريات!F:F)),"0")</f>
        <v/>
      </c>
      <c r="H115" s="10" t="str">
        <f>IFERROR(IF(SUMIF(المشتريات!C:C, 'حركة المخزن'!B115, المشتريات!I:I)=0,"",SUMIF(المشتريات!C:C, 'حركة المخزن'!B115, المشتريات!I:I)),"0")</f>
        <v/>
      </c>
      <c r="I115" s="10">
        <f>IFERROR(IF(SUMIF('تحليل مبيعات'!C:C, 'حركة المخزن'!B115, 'تحليل مبيعات'!H:H)=0,"",SUMIF('تحليل مبيعات'!C:C, 'حركة المخزن'!B115, 'تحليل مبيعات'!H:H)),"")</f>
        <v>4</v>
      </c>
      <c r="J115" s="10">
        <f>IFERROR(IF(SUMIF('تحليل مبيعات'!C:C, 'حركة المخزن'!B115, 'تحليل مبيعات'!L:L)=0,"",SUMIF('تحليل مبيعات'!C:C, 'حركة المخزن'!B115, 'تحليل مبيعات'!L:L)),"")</f>
        <v>700</v>
      </c>
      <c r="K115" s="10" t="str">
        <f t="shared" si="6"/>
        <v/>
      </c>
      <c r="L115" s="10" t="str">
        <f t="shared" si="7"/>
        <v/>
      </c>
      <c r="M115" s="10">
        <v>5</v>
      </c>
      <c r="N115" s="10" t="str">
        <f t="shared" si="8"/>
        <v>يوجد رصيد كافى</v>
      </c>
      <c r="O115" s="44">
        <v>235</v>
      </c>
      <c r="Q115" s="130" t="str">
        <v>كوعة عمه هواء</v>
      </c>
      <c r="R115" s="135">
        <f>SUMIFS('تحليل مبيعات'!H:H,'تحليل مبيعات'!C:C,'حركة المخزن'!Q115,'تحليل مبيعات'!W:W,'حركة المخزن'!$R$6)</f>
        <v>0</v>
      </c>
      <c r="S115" s="136">
        <f>SUMIFS('تحليل مبيعات'!H:H,'تحليل مبيعات'!C:C,'حركة المخزن'!Q115,'تحليل مبيعات'!W:W,'حركة المخزن'!$S$6)</f>
        <v>0</v>
      </c>
      <c r="T115" s="136">
        <f>SUMIFS('تحليل مبيعات'!H:H,'تحليل مبيعات'!C:C,'حركة المخزن'!Q115,'تحليل مبيعات'!W:W,'حركة المخزن'!$T$6)</f>
        <v>0</v>
      </c>
      <c r="U115" s="136">
        <f>SUMIFS('تحليل مبيعات'!H:H,'تحليل مبيعات'!C:C,'حركة المخزن'!Q115,'تحليل مبيعات'!W:W,'حركة المخزن'!$U$6)</f>
        <v>0</v>
      </c>
      <c r="V115" s="136">
        <f>SUMIFS('تحليل مبيعات'!H:H,'تحليل مبيعات'!C:C,'حركة المخزن'!Q115,'تحليل مبيعات'!W:W,'حركة المخزن'!$V$6)</f>
        <v>0</v>
      </c>
      <c r="W115" s="136">
        <f>SUMIFS('تحليل مبيعات'!H:H,'تحليل مبيعات'!C:C,'حركة المخزن'!Q115,'تحليل مبيعات'!W:W,'حركة المخزن'!$W$6)</f>
        <v>0</v>
      </c>
      <c r="X115" s="136">
        <f>SUMIFS('تحليل مبيعات'!H:H,'تحليل مبيعات'!C:C,'حركة المخزن'!Q115,'تحليل مبيعات'!W:W,'حركة المخزن'!$X$6)</f>
        <v>1</v>
      </c>
      <c r="Y115" s="136">
        <f>SUMIFS('تحليل مبيعات'!H:H,'تحليل مبيعات'!C:C,'حركة المخزن'!Q115,'تحليل مبيعات'!W:W,'حركة المخزن'!$Y$6)</f>
        <v>0</v>
      </c>
      <c r="Z115" s="136">
        <f>SUMIFS('تحليل مبيعات'!H:H,'تحليل مبيعات'!C:C,'حركة المخزن'!Q115,'تحليل مبيعات'!W:W,'حركة المخزن'!$Z$6)</f>
        <v>0</v>
      </c>
      <c r="AA115" s="136">
        <f>SUMIFS('تحليل مبيعات'!H:H,'تحليل مبيعات'!C:C,'حركة المخزن'!Q115,'تحليل مبيعات'!W:W,'حركة المخزن'!$AA$6)</f>
        <v>0</v>
      </c>
      <c r="AB115" s="136">
        <f>SUMIFS('تحليل مبيعات'!H:H,'تحليل مبيعات'!C:C,'حركة المخزن'!Q115,'تحليل مبيعات'!W:W,'حركة المخزن'!$AB$6)</f>
        <v>0</v>
      </c>
      <c r="AC115" s="137">
        <f>SUMIFS('تحليل مبيعات'!H:H,'تحليل مبيعات'!C:C,'حركة المخزن'!Q115,'تحليل مبيعات'!W:W,'حركة المخزن'!$AC$6)</f>
        <v>0</v>
      </c>
      <c r="AD115" s="134">
        <f t="shared" si="9"/>
        <v>1</v>
      </c>
    </row>
    <row r="116" spans="2:30" ht="16.2" thickBot="1" x14ac:dyDescent="0.35">
      <c r="B116" s="70" t="s">
        <v>157</v>
      </c>
      <c r="C116" s="10" t="s">
        <v>377</v>
      </c>
      <c r="D116" s="10" t="s">
        <v>204</v>
      </c>
      <c r="E116" s="145">
        <v>10</v>
      </c>
      <c r="F116" s="145">
        <v>10000</v>
      </c>
      <c r="G116" s="10" t="str">
        <f>IFERROR(IF(SUMIF(المشتريات!C:C, 'حركة المخزن'!B116, المشتريات!F:F)=0,"",SUMIF(المشتريات!C:C, 'حركة المخزن'!B116, المشتريات!F:F)),"0")</f>
        <v/>
      </c>
      <c r="H116" s="10" t="str">
        <f>IFERROR(IF(SUMIF(المشتريات!C:C, 'حركة المخزن'!B116, المشتريات!I:I)=0,"",SUMIF(المشتريات!C:C, 'حركة المخزن'!B116, المشتريات!I:I)),"0")</f>
        <v/>
      </c>
      <c r="I116" s="10">
        <f>IFERROR(IF(SUMIF('تحليل مبيعات'!C:C, 'حركة المخزن'!B116, 'تحليل مبيعات'!H:H)=0,"",SUMIF('تحليل مبيعات'!C:C, 'حركة المخزن'!B116, 'تحليل مبيعات'!H:H)),"")</f>
        <v>2</v>
      </c>
      <c r="J116" s="10">
        <f>IFERROR(IF(SUMIF('تحليل مبيعات'!C:C, 'حركة المخزن'!B116, 'تحليل مبيعات'!L:L)=0,"",SUMIF('تحليل مبيعات'!C:C, 'حركة المخزن'!B116, 'تحليل مبيعات'!L:L)),"")</f>
        <v>100</v>
      </c>
      <c r="K116" s="10" t="str">
        <f t="shared" si="6"/>
        <v/>
      </c>
      <c r="L116" s="10" t="str">
        <f t="shared" si="7"/>
        <v/>
      </c>
      <c r="M116" s="10">
        <v>5</v>
      </c>
      <c r="N116" s="10" t="str">
        <f t="shared" si="8"/>
        <v>يوجد رصيد كافى</v>
      </c>
      <c r="O116" s="44">
        <v>240</v>
      </c>
      <c r="Q116" s="130" t="str">
        <v>بلية دبرياج عالية</v>
      </c>
      <c r="R116" s="135">
        <f>SUMIFS('تحليل مبيعات'!H:H,'تحليل مبيعات'!C:C,'حركة المخزن'!Q116,'تحليل مبيعات'!W:W,'حركة المخزن'!$R$6)</f>
        <v>0</v>
      </c>
      <c r="S116" s="136">
        <f>SUMIFS('تحليل مبيعات'!H:H,'تحليل مبيعات'!C:C,'حركة المخزن'!Q116,'تحليل مبيعات'!W:W,'حركة المخزن'!$S$6)</f>
        <v>0</v>
      </c>
      <c r="T116" s="136">
        <f>SUMIFS('تحليل مبيعات'!H:H,'تحليل مبيعات'!C:C,'حركة المخزن'!Q116,'تحليل مبيعات'!W:W,'حركة المخزن'!$T$6)</f>
        <v>0</v>
      </c>
      <c r="U116" s="136">
        <f>SUMIFS('تحليل مبيعات'!H:H,'تحليل مبيعات'!C:C,'حركة المخزن'!Q116,'تحليل مبيعات'!W:W,'حركة المخزن'!$U$6)</f>
        <v>0</v>
      </c>
      <c r="V116" s="136">
        <f>SUMIFS('تحليل مبيعات'!H:H,'تحليل مبيعات'!C:C,'حركة المخزن'!Q116,'تحليل مبيعات'!W:W,'حركة المخزن'!$V$6)</f>
        <v>0</v>
      </c>
      <c r="W116" s="136">
        <f>SUMIFS('تحليل مبيعات'!H:H,'تحليل مبيعات'!C:C,'حركة المخزن'!Q116,'تحليل مبيعات'!W:W,'حركة المخزن'!$W$6)</f>
        <v>0</v>
      </c>
      <c r="X116" s="136">
        <f>SUMIFS('تحليل مبيعات'!H:H,'تحليل مبيعات'!C:C,'حركة المخزن'!Q116,'تحليل مبيعات'!W:W,'حركة المخزن'!$X$6)</f>
        <v>4</v>
      </c>
      <c r="Y116" s="136">
        <f>SUMIFS('تحليل مبيعات'!H:H,'تحليل مبيعات'!C:C,'حركة المخزن'!Q116,'تحليل مبيعات'!W:W,'حركة المخزن'!$Y$6)</f>
        <v>0</v>
      </c>
      <c r="Z116" s="136">
        <f>SUMIFS('تحليل مبيعات'!H:H,'تحليل مبيعات'!C:C,'حركة المخزن'!Q116,'تحليل مبيعات'!W:W,'حركة المخزن'!$Z$6)</f>
        <v>0</v>
      </c>
      <c r="AA116" s="136">
        <f>SUMIFS('تحليل مبيعات'!H:H,'تحليل مبيعات'!C:C,'حركة المخزن'!Q116,'تحليل مبيعات'!W:W,'حركة المخزن'!$AA$6)</f>
        <v>0</v>
      </c>
      <c r="AB116" s="136">
        <f>SUMIFS('تحليل مبيعات'!H:H,'تحليل مبيعات'!C:C,'حركة المخزن'!Q116,'تحليل مبيعات'!W:W,'حركة المخزن'!$AB$6)</f>
        <v>0</v>
      </c>
      <c r="AC116" s="137">
        <f>SUMIFS('تحليل مبيعات'!H:H,'تحليل مبيعات'!C:C,'حركة المخزن'!Q116,'تحليل مبيعات'!W:W,'حركة المخزن'!$AC$6)</f>
        <v>0</v>
      </c>
      <c r="AD116" s="134">
        <f t="shared" si="9"/>
        <v>4</v>
      </c>
    </row>
    <row r="117" spans="2:30" ht="16.2" thickBot="1" x14ac:dyDescent="0.35">
      <c r="B117" s="70" t="s">
        <v>168</v>
      </c>
      <c r="C117" s="10" t="s">
        <v>378</v>
      </c>
      <c r="D117" s="10" t="s">
        <v>204</v>
      </c>
      <c r="E117" s="145">
        <v>10</v>
      </c>
      <c r="F117" s="145">
        <v>10000</v>
      </c>
      <c r="G117" s="10" t="str">
        <f>IFERROR(IF(SUMIF(المشتريات!C:C, 'حركة المخزن'!B117, المشتريات!F:F)=0,"",SUMIF(المشتريات!C:C, 'حركة المخزن'!B117, المشتريات!F:F)),"0")</f>
        <v/>
      </c>
      <c r="H117" s="10" t="str">
        <f>IFERROR(IF(SUMIF(المشتريات!C:C, 'حركة المخزن'!B117, المشتريات!I:I)=0,"",SUMIF(المشتريات!C:C, 'حركة المخزن'!B117, المشتريات!I:I)),"0")</f>
        <v/>
      </c>
      <c r="I117" s="10">
        <f>IFERROR(IF(SUMIF('تحليل مبيعات'!C:C, 'حركة المخزن'!B117, 'تحليل مبيعات'!H:H)=0,"",SUMIF('تحليل مبيعات'!C:C, 'حركة المخزن'!B117, 'تحليل مبيعات'!H:H)),"")</f>
        <v>1</v>
      </c>
      <c r="J117" s="10">
        <f>IFERROR(IF(SUMIF('تحليل مبيعات'!C:C, 'حركة المخزن'!B117, 'تحليل مبيعات'!L:L)=0,"",SUMIF('تحليل مبيعات'!C:C, 'حركة المخزن'!B117, 'تحليل مبيعات'!L:L)),"")</f>
        <v>100</v>
      </c>
      <c r="K117" s="10" t="str">
        <f t="shared" si="6"/>
        <v/>
      </c>
      <c r="L117" s="10" t="str">
        <f t="shared" si="7"/>
        <v/>
      </c>
      <c r="M117" s="10">
        <v>5</v>
      </c>
      <c r="N117" s="10" t="str">
        <f t="shared" si="8"/>
        <v>يوجد رصيد كافى</v>
      </c>
      <c r="O117" s="44">
        <v>245</v>
      </c>
      <c r="Q117" s="130" t="str">
        <v>وش سلندر فطيم</v>
      </c>
      <c r="R117" s="135">
        <f>SUMIFS('تحليل مبيعات'!H:H,'تحليل مبيعات'!C:C,'حركة المخزن'!Q117,'تحليل مبيعات'!W:W,'حركة المخزن'!$R$6)</f>
        <v>0</v>
      </c>
      <c r="S117" s="136">
        <f>SUMIFS('تحليل مبيعات'!H:H,'تحليل مبيعات'!C:C,'حركة المخزن'!Q117,'تحليل مبيعات'!W:W,'حركة المخزن'!$S$6)</f>
        <v>0</v>
      </c>
      <c r="T117" s="136">
        <f>SUMIFS('تحليل مبيعات'!H:H,'تحليل مبيعات'!C:C,'حركة المخزن'!Q117,'تحليل مبيعات'!W:W,'حركة المخزن'!$T$6)</f>
        <v>0</v>
      </c>
      <c r="U117" s="136">
        <f>SUMIFS('تحليل مبيعات'!H:H,'تحليل مبيعات'!C:C,'حركة المخزن'!Q117,'تحليل مبيعات'!W:W,'حركة المخزن'!$U$6)</f>
        <v>0</v>
      </c>
      <c r="V117" s="136">
        <f>SUMIFS('تحليل مبيعات'!H:H,'تحليل مبيعات'!C:C,'حركة المخزن'!Q117,'تحليل مبيعات'!W:W,'حركة المخزن'!$V$6)</f>
        <v>0</v>
      </c>
      <c r="W117" s="136">
        <f>SUMIFS('تحليل مبيعات'!H:H,'تحليل مبيعات'!C:C,'حركة المخزن'!Q117,'تحليل مبيعات'!W:W,'حركة المخزن'!$W$6)</f>
        <v>0</v>
      </c>
      <c r="X117" s="136">
        <f>SUMIFS('تحليل مبيعات'!H:H,'تحليل مبيعات'!C:C,'حركة المخزن'!Q117,'تحليل مبيعات'!W:W,'حركة المخزن'!$X$6)</f>
        <v>1</v>
      </c>
      <c r="Y117" s="136">
        <f>SUMIFS('تحليل مبيعات'!H:H,'تحليل مبيعات'!C:C,'حركة المخزن'!Q117,'تحليل مبيعات'!W:W,'حركة المخزن'!$Y$6)</f>
        <v>0</v>
      </c>
      <c r="Z117" s="136">
        <f>SUMIFS('تحليل مبيعات'!H:H,'تحليل مبيعات'!C:C,'حركة المخزن'!Q117,'تحليل مبيعات'!W:W,'حركة المخزن'!$Z$6)</f>
        <v>0</v>
      </c>
      <c r="AA117" s="136">
        <f>SUMIFS('تحليل مبيعات'!H:H,'تحليل مبيعات'!C:C,'حركة المخزن'!Q117,'تحليل مبيعات'!W:W,'حركة المخزن'!$AA$6)</f>
        <v>0</v>
      </c>
      <c r="AB117" s="136">
        <f>SUMIFS('تحليل مبيعات'!H:H,'تحليل مبيعات'!C:C,'حركة المخزن'!Q117,'تحليل مبيعات'!W:W,'حركة المخزن'!$AB$6)</f>
        <v>0</v>
      </c>
      <c r="AC117" s="137">
        <f>SUMIFS('تحليل مبيعات'!H:H,'تحليل مبيعات'!C:C,'حركة المخزن'!Q117,'تحليل مبيعات'!W:W,'حركة المخزن'!$AC$6)</f>
        <v>0</v>
      </c>
      <c r="AD117" s="134">
        <f t="shared" si="9"/>
        <v>1</v>
      </c>
    </row>
    <row r="118" spans="2:30" ht="16.2" thickBot="1" x14ac:dyDescent="0.35">
      <c r="B118" s="70" t="s">
        <v>169</v>
      </c>
      <c r="C118" s="10" t="s">
        <v>379</v>
      </c>
      <c r="D118" s="10" t="s">
        <v>204</v>
      </c>
      <c r="E118" s="145">
        <v>10</v>
      </c>
      <c r="F118" s="145">
        <v>10000</v>
      </c>
      <c r="G118" s="10" t="str">
        <f>IFERROR(IF(SUMIF(المشتريات!C:C, 'حركة المخزن'!B118, المشتريات!F:F)=0,"",SUMIF(المشتريات!C:C, 'حركة المخزن'!B118, المشتريات!F:F)),"0")</f>
        <v/>
      </c>
      <c r="H118" s="10" t="str">
        <f>IFERROR(IF(SUMIF(المشتريات!C:C, 'حركة المخزن'!B118, المشتريات!I:I)=0,"",SUMIF(المشتريات!C:C, 'حركة المخزن'!B118, المشتريات!I:I)),"0")</f>
        <v/>
      </c>
      <c r="I118" s="10">
        <f>IFERROR(IF(SUMIF('تحليل مبيعات'!C:C, 'حركة المخزن'!B118, 'تحليل مبيعات'!H:H)=0,"",SUMIF('تحليل مبيعات'!C:C, 'حركة المخزن'!B118, 'تحليل مبيعات'!H:H)),"")</f>
        <v>1</v>
      </c>
      <c r="J118" s="10">
        <f>IFERROR(IF(SUMIF('تحليل مبيعات'!C:C, 'حركة المخزن'!B118, 'تحليل مبيعات'!L:L)=0,"",SUMIF('تحليل مبيعات'!C:C, 'حركة المخزن'!B118, 'تحليل مبيعات'!L:L)),"")</f>
        <v>100</v>
      </c>
      <c r="K118" s="10" t="str">
        <f t="shared" si="6"/>
        <v/>
      </c>
      <c r="L118" s="10" t="str">
        <f t="shared" si="7"/>
        <v/>
      </c>
      <c r="M118" s="10">
        <v>5</v>
      </c>
      <c r="N118" s="10" t="str">
        <f t="shared" si="8"/>
        <v>يوجد رصيد كافى</v>
      </c>
      <c r="O118" s="44">
        <v>250</v>
      </c>
      <c r="Q118" s="130" t="str">
        <v>فانوس اشارة يمين فطيم</v>
      </c>
      <c r="R118" s="135">
        <f>SUMIFS('تحليل مبيعات'!H:H,'تحليل مبيعات'!C:C,'حركة المخزن'!Q118,'تحليل مبيعات'!W:W,'حركة المخزن'!$R$6)</f>
        <v>0</v>
      </c>
      <c r="S118" s="136">
        <f>SUMIFS('تحليل مبيعات'!H:H,'تحليل مبيعات'!C:C,'حركة المخزن'!Q118,'تحليل مبيعات'!W:W,'حركة المخزن'!$S$6)</f>
        <v>0</v>
      </c>
      <c r="T118" s="136">
        <f>SUMIFS('تحليل مبيعات'!H:H,'تحليل مبيعات'!C:C,'حركة المخزن'!Q118,'تحليل مبيعات'!W:W,'حركة المخزن'!$T$6)</f>
        <v>0</v>
      </c>
      <c r="U118" s="136">
        <f>SUMIFS('تحليل مبيعات'!H:H,'تحليل مبيعات'!C:C,'حركة المخزن'!Q118,'تحليل مبيعات'!W:W,'حركة المخزن'!$U$6)</f>
        <v>0</v>
      </c>
      <c r="V118" s="136">
        <f>SUMIFS('تحليل مبيعات'!H:H,'تحليل مبيعات'!C:C,'حركة المخزن'!Q118,'تحليل مبيعات'!W:W,'حركة المخزن'!$V$6)</f>
        <v>0</v>
      </c>
      <c r="W118" s="136">
        <f>SUMIFS('تحليل مبيعات'!H:H,'تحليل مبيعات'!C:C,'حركة المخزن'!Q118,'تحليل مبيعات'!W:W,'حركة المخزن'!$W$6)</f>
        <v>0</v>
      </c>
      <c r="X118" s="136">
        <f>SUMIFS('تحليل مبيعات'!H:H,'تحليل مبيعات'!C:C,'حركة المخزن'!Q118,'تحليل مبيعات'!W:W,'حركة المخزن'!$X$6)</f>
        <v>1</v>
      </c>
      <c r="Y118" s="136">
        <f>SUMIFS('تحليل مبيعات'!H:H,'تحليل مبيعات'!C:C,'حركة المخزن'!Q118,'تحليل مبيعات'!W:W,'حركة المخزن'!$Y$6)</f>
        <v>1</v>
      </c>
      <c r="Z118" s="136">
        <f>SUMIFS('تحليل مبيعات'!H:H,'تحليل مبيعات'!C:C,'حركة المخزن'!Q118,'تحليل مبيعات'!W:W,'حركة المخزن'!$Z$6)</f>
        <v>0</v>
      </c>
      <c r="AA118" s="136">
        <f>SUMIFS('تحليل مبيعات'!H:H,'تحليل مبيعات'!C:C,'حركة المخزن'!Q118,'تحليل مبيعات'!W:W,'حركة المخزن'!$AA$6)</f>
        <v>0</v>
      </c>
      <c r="AB118" s="136">
        <f>SUMIFS('تحليل مبيعات'!H:H,'تحليل مبيعات'!C:C,'حركة المخزن'!Q118,'تحليل مبيعات'!W:W,'حركة المخزن'!$AB$6)</f>
        <v>0</v>
      </c>
      <c r="AC118" s="137">
        <f>SUMIFS('تحليل مبيعات'!H:H,'تحليل مبيعات'!C:C,'حركة المخزن'!Q118,'تحليل مبيعات'!W:W,'حركة المخزن'!$AC$6)</f>
        <v>0</v>
      </c>
      <c r="AD118" s="134">
        <f t="shared" si="9"/>
        <v>2</v>
      </c>
    </row>
    <row r="119" spans="2:30" ht="16.2" thickBot="1" x14ac:dyDescent="0.35">
      <c r="B119" s="70" t="s">
        <v>170</v>
      </c>
      <c r="C119" s="10" t="s">
        <v>380</v>
      </c>
      <c r="D119" s="10" t="s">
        <v>204</v>
      </c>
      <c r="E119" s="145">
        <v>10</v>
      </c>
      <c r="F119" s="145">
        <v>10000</v>
      </c>
      <c r="G119" s="10" t="str">
        <f>IFERROR(IF(SUMIF(المشتريات!C:C, 'حركة المخزن'!B119, المشتريات!F:F)=0,"",SUMIF(المشتريات!C:C, 'حركة المخزن'!B119, المشتريات!F:F)),"0")</f>
        <v/>
      </c>
      <c r="H119" s="10" t="str">
        <f>IFERROR(IF(SUMIF(المشتريات!C:C, 'حركة المخزن'!B119, المشتريات!I:I)=0,"",SUMIF(المشتريات!C:C, 'حركة المخزن'!B119, المشتريات!I:I)),"0")</f>
        <v/>
      </c>
      <c r="I119" s="10">
        <f>IFERROR(IF(SUMIF('تحليل مبيعات'!C:C, 'حركة المخزن'!B119, 'تحليل مبيعات'!H:H)=0,"",SUMIF('تحليل مبيعات'!C:C, 'حركة المخزن'!B119, 'تحليل مبيعات'!H:H)),"")</f>
        <v>1</v>
      </c>
      <c r="J119" s="10">
        <f>IFERROR(IF(SUMIF('تحليل مبيعات'!C:C, 'حركة المخزن'!B119, 'تحليل مبيعات'!L:L)=0,"",SUMIF('تحليل مبيعات'!C:C, 'حركة المخزن'!B119, 'تحليل مبيعات'!L:L)),"")</f>
        <v>430</v>
      </c>
      <c r="K119" s="10" t="str">
        <f t="shared" si="6"/>
        <v/>
      </c>
      <c r="L119" s="10" t="str">
        <f t="shared" si="7"/>
        <v/>
      </c>
      <c r="M119" s="10">
        <v>5</v>
      </c>
      <c r="N119" s="10" t="str">
        <f t="shared" si="8"/>
        <v>يوجد رصيد كافى</v>
      </c>
      <c r="O119" s="44">
        <v>255</v>
      </c>
      <c r="Q119" s="130" t="str">
        <v>اويل سيل كرونة</v>
      </c>
      <c r="R119" s="135">
        <f>SUMIFS('تحليل مبيعات'!H:H,'تحليل مبيعات'!C:C,'حركة المخزن'!Q119,'تحليل مبيعات'!W:W,'حركة المخزن'!$R$6)</f>
        <v>0</v>
      </c>
      <c r="S119" s="136">
        <f>SUMIFS('تحليل مبيعات'!H:H,'تحليل مبيعات'!C:C,'حركة المخزن'!Q119,'تحليل مبيعات'!W:W,'حركة المخزن'!$S$6)</f>
        <v>0</v>
      </c>
      <c r="T119" s="136">
        <f>SUMIFS('تحليل مبيعات'!H:H,'تحليل مبيعات'!C:C,'حركة المخزن'!Q119,'تحليل مبيعات'!W:W,'حركة المخزن'!$T$6)</f>
        <v>0</v>
      </c>
      <c r="U119" s="136">
        <f>SUMIFS('تحليل مبيعات'!H:H,'تحليل مبيعات'!C:C,'حركة المخزن'!Q119,'تحليل مبيعات'!W:W,'حركة المخزن'!$U$6)</f>
        <v>0</v>
      </c>
      <c r="V119" s="136">
        <f>SUMIFS('تحليل مبيعات'!H:H,'تحليل مبيعات'!C:C,'حركة المخزن'!Q119,'تحليل مبيعات'!W:W,'حركة المخزن'!$V$6)</f>
        <v>0</v>
      </c>
      <c r="W119" s="136">
        <f>SUMIFS('تحليل مبيعات'!H:H,'تحليل مبيعات'!C:C,'حركة المخزن'!Q119,'تحليل مبيعات'!W:W,'حركة المخزن'!$W$6)</f>
        <v>0</v>
      </c>
      <c r="X119" s="136">
        <f>SUMIFS('تحليل مبيعات'!H:H,'تحليل مبيعات'!C:C,'حركة المخزن'!Q119,'تحليل مبيعات'!W:W,'حركة المخزن'!$X$6)</f>
        <v>2</v>
      </c>
      <c r="Y119" s="136">
        <f>SUMIFS('تحليل مبيعات'!H:H,'تحليل مبيعات'!C:C,'حركة المخزن'!Q119,'تحليل مبيعات'!W:W,'حركة المخزن'!$Y$6)</f>
        <v>0</v>
      </c>
      <c r="Z119" s="136">
        <f>SUMIFS('تحليل مبيعات'!H:H,'تحليل مبيعات'!C:C,'حركة المخزن'!Q119,'تحليل مبيعات'!W:W,'حركة المخزن'!$Z$6)</f>
        <v>0</v>
      </c>
      <c r="AA119" s="136">
        <f>SUMIFS('تحليل مبيعات'!H:H,'تحليل مبيعات'!C:C,'حركة المخزن'!Q119,'تحليل مبيعات'!W:W,'حركة المخزن'!$AA$6)</f>
        <v>0</v>
      </c>
      <c r="AB119" s="136">
        <f>SUMIFS('تحليل مبيعات'!H:H,'تحليل مبيعات'!C:C,'حركة المخزن'!Q119,'تحليل مبيعات'!W:W,'حركة المخزن'!$AB$6)</f>
        <v>0</v>
      </c>
      <c r="AC119" s="137">
        <f>SUMIFS('تحليل مبيعات'!H:H,'تحليل مبيعات'!C:C,'حركة المخزن'!Q119,'تحليل مبيعات'!W:W,'حركة المخزن'!$AC$6)</f>
        <v>0</v>
      </c>
      <c r="AD119" s="134">
        <f t="shared" si="9"/>
        <v>2</v>
      </c>
    </row>
    <row r="120" spans="2:30" ht="16.2" thickBot="1" x14ac:dyDescent="0.35">
      <c r="B120" s="70" t="s">
        <v>172</v>
      </c>
      <c r="C120" s="10" t="s">
        <v>381</v>
      </c>
      <c r="D120" s="10" t="s">
        <v>204</v>
      </c>
      <c r="E120" s="145">
        <v>10</v>
      </c>
      <c r="F120" s="145">
        <v>10000</v>
      </c>
      <c r="G120" s="10" t="str">
        <f>IFERROR(IF(SUMIF(المشتريات!C:C, 'حركة المخزن'!B120, المشتريات!F:F)=0,"",SUMIF(المشتريات!C:C, 'حركة المخزن'!B120, المشتريات!F:F)),"0")</f>
        <v/>
      </c>
      <c r="H120" s="10" t="str">
        <f>IFERROR(IF(SUMIF(المشتريات!C:C, 'حركة المخزن'!B120, المشتريات!I:I)=0,"",SUMIF(المشتريات!C:C, 'حركة المخزن'!B120, المشتريات!I:I)),"0")</f>
        <v/>
      </c>
      <c r="I120" s="10">
        <f>IFERROR(IF(SUMIF('تحليل مبيعات'!C:C, 'حركة المخزن'!B120, 'تحليل مبيعات'!H:H)=0,"",SUMIF('تحليل مبيعات'!C:C, 'حركة المخزن'!B120, 'تحليل مبيعات'!H:H)),"")</f>
        <v>1</v>
      </c>
      <c r="J120" s="10">
        <f>IFERROR(IF(SUMIF('تحليل مبيعات'!C:C, 'حركة المخزن'!B120, 'تحليل مبيعات'!L:L)=0,"",SUMIF('تحليل مبيعات'!C:C, 'حركة المخزن'!B120, 'تحليل مبيعات'!L:L)),"")</f>
        <v>100</v>
      </c>
      <c r="K120" s="10" t="str">
        <f t="shared" si="6"/>
        <v/>
      </c>
      <c r="L120" s="10" t="str">
        <f t="shared" si="7"/>
        <v/>
      </c>
      <c r="M120" s="10">
        <v>5</v>
      </c>
      <c r="N120" s="10" t="str">
        <f t="shared" si="8"/>
        <v>يوجد رصيد كافى</v>
      </c>
      <c r="O120" s="44">
        <v>260</v>
      </c>
      <c r="Q120" s="130" t="str">
        <v>اويل سيل فتيس خلفى</v>
      </c>
      <c r="R120" s="135">
        <f>SUMIFS('تحليل مبيعات'!H:H,'تحليل مبيعات'!C:C,'حركة المخزن'!Q120,'تحليل مبيعات'!W:W,'حركة المخزن'!$R$6)</f>
        <v>0</v>
      </c>
      <c r="S120" s="136">
        <f>SUMIFS('تحليل مبيعات'!H:H,'تحليل مبيعات'!C:C,'حركة المخزن'!Q120,'تحليل مبيعات'!W:W,'حركة المخزن'!$S$6)</f>
        <v>0</v>
      </c>
      <c r="T120" s="136">
        <f>SUMIFS('تحليل مبيعات'!H:H,'تحليل مبيعات'!C:C,'حركة المخزن'!Q120,'تحليل مبيعات'!W:W,'حركة المخزن'!$T$6)</f>
        <v>0</v>
      </c>
      <c r="U120" s="136">
        <f>SUMIFS('تحليل مبيعات'!H:H,'تحليل مبيعات'!C:C,'حركة المخزن'!Q120,'تحليل مبيعات'!W:W,'حركة المخزن'!$U$6)</f>
        <v>0</v>
      </c>
      <c r="V120" s="136">
        <f>SUMIFS('تحليل مبيعات'!H:H,'تحليل مبيعات'!C:C,'حركة المخزن'!Q120,'تحليل مبيعات'!W:W,'حركة المخزن'!$V$6)</f>
        <v>0</v>
      </c>
      <c r="W120" s="136">
        <f>SUMIFS('تحليل مبيعات'!H:H,'تحليل مبيعات'!C:C,'حركة المخزن'!Q120,'تحليل مبيعات'!W:W,'حركة المخزن'!$W$6)</f>
        <v>0</v>
      </c>
      <c r="X120" s="136">
        <f>SUMIFS('تحليل مبيعات'!H:H,'تحليل مبيعات'!C:C,'حركة المخزن'!Q120,'تحليل مبيعات'!W:W,'حركة المخزن'!$X$6)</f>
        <v>1</v>
      </c>
      <c r="Y120" s="136">
        <f>SUMIFS('تحليل مبيعات'!H:H,'تحليل مبيعات'!C:C,'حركة المخزن'!Q120,'تحليل مبيعات'!W:W,'حركة المخزن'!$Y$6)</f>
        <v>0</v>
      </c>
      <c r="Z120" s="136">
        <f>SUMIFS('تحليل مبيعات'!H:H,'تحليل مبيعات'!C:C,'حركة المخزن'!Q120,'تحليل مبيعات'!W:W,'حركة المخزن'!$Z$6)</f>
        <v>0</v>
      </c>
      <c r="AA120" s="136">
        <f>SUMIFS('تحليل مبيعات'!H:H,'تحليل مبيعات'!C:C,'حركة المخزن'!Q120,'تحليل مبيعات'!W:W,'حركة المخزن'!$AA$6)</f>
        <v>0</v>
      </c>
      <c r="AB120" s="136">
        <f>SUMIFS('تحليل مبيعات'!H:H,'تحليل مبيعات'!C:C,'حركة المخزن'!Q120,'تحليل مبيعات'!W:W,'حركة المخزن'!$AB$6)</f>
        <v>0</v>
      </c>
      <c r="AC120" s="137">
        <f>SUMIFS('تحليل مبيعات'!H:H,'تحليل مبيعات'!C:C,'حركة المخزن'!Q120,'تحليل مبيعات'!W:W,'حركة المخزن'!$AC$6)</f>
        <v>0</v>
      </c>
      <c r="AD120" s="134">
        <f t="shared" si="9"/>
        <v>1</v>
      </c>
    </row>
    <row r="121" spans="2:30" ht="16.2" thickBot="1" x14ac:dyDescent="0.35">
      <c r="B121" s="70" t="s">
        <v>173</v>
      </c>
      <c r="C121" s="10" t="s">
        <v>382</v>
      </c>
      <c r="D121" s="10" t="s">
        <v>204</v>
      </c>
      <c r="E121" s="145">
        <v>10</v>
      </c>
      <c r="F121" s="145">
        <v>10000</v>
      </c>
      <c r="G121" s="10" t="str">
        <f>IFERROR(IF(SUMIF(المشتريات!C:C, 'حركة المخزن'!B121, المشتريات!F:F)=0,"",SUMIF(المشتريات!C:C, 'حركة المخزن'!B121, المشتريات!F:F)),"0")</f>
        <v/>
      </c>
      <c r="H121" s="10" t="str">
        <f>IFERROR(IF(SUMIF(المشتريات!C:C, 'حركة المخزن'!B121, المشتريات!I:I)=0,"",SUMIF(المشتريات!C:C, 'حركة المخزن'!B121, المشتريات!I:I)),"0")</f>
        <v/>
      </c>
      <c r="I121" s="10">
        <f>IFERROR(IF(SUMIF('تحليل مبيعات'!C:C, 'حركة المخزن'!B121, 'تحليل مبيعات'!H:H)=0,"",SUMIF('تحليل مبيعات'!C:C, 'حركة المخزن'!B121, 'تحليل مبيعات'!H:H)),"")</f>
        <v>1</v>
      </c>
      <c r="J121" s="10">
        <f>IFERROR(IF(SUMIF('تحليل مبيعات'!C:C, 'حركة المخزن'!B121, 'تحليل مبيعات'!L:L)=0,"",SUMIF('تحليل مبيعات'!C:C, 'حركة المخزن'!B121, 'تحليل مبيعات'!L:L)),"")</f>
        <v>60</v>
      </c>
      <c r="K121" s="10" t="str">
        <f t="shared" si="6"/>
        <v/>
      </c>
      <c r="L121" s="10" t="str">
        <f t="shared" si="7"/>
        <v/>
      </c>
      <c r="M121" s="10">
        <v>5</v>
      </c>
      <c r="N121" s="10" t="str">
        <f t="shared" si="8"/>
        <v>يوجد رصيد كافى</v>
      </c>
      <c r="O121" s="44">
        <v>265</v>
      </c>
      <c r="Q121" s="130" t="str">
        <v>جلبة مقص سفلى وسط</v>
      </c>
      <c r="R121" s="135">
        <f>SUMIFS('تحليل مبيعات'!H:H,'تحليل مبيعات'!C:C,'حركة المخزن'!Q121,'تحليل مبيعات'!W:W,'حركة المخزن'!$R$6)</f>
        <v>0</v>
      </c>
      <c r="S121" s="136">
        <f>SUMIFS('تحليل مبيعات'!H:H,'تحليل مبيعات'!C:C,'حركة المخزن'!Q121,'تحليل مبيعات'!W:W,'حركة المخزن'!$S$6)</f>
        <v>0</v>
      </c>
      <c r="T121" s="136">
        <f>SUMIFS('تحليل مبيعات'!H:H,'تحليل مبيعات'!C:C,'حركة المخزن'!Q121,'تحليل مبيعات'!W:W,'حركة المخزن'!$T$6)</f>
        <v>0</v>
      </c>
      <c r="U121" s="136">
        <f>SUMIFS('تحليل مبيعات'!H:H,'تحليل مبيعات'!C:C,'حركة المخزن'!Q121,'تحليل مبيعات'!W:W,'حركة المخزن'!$U$6)</f>
        <v>0</v>
      </c>
      <c r="V121" s="136">
        <f>SUMIFS('تحليل مبيعات'!H:H,'تحليل مبيعات'!C:C,'حركة المخزن'!Q121,'تحليل مبيعات'!W:W,'حركة المخزن'!$V$6)</f>
        <v>0</v>
      </c>
      <c r="W121" s="136">
        <f>SUMIFS('تحليل مبيعات'!H:H,'تحليل مبيعات'!C:C,'حركة المخزن'!Q121,'تحليل مبيعات'!W:W,'حركة المخزن'!$W$6)</f>
        <v>0</v>
      </c>
      <c r="X121" s="136">
        <f>SUMIFS('تحليل مبيعات'!H:H,'تحليل مبيعات'!C:C,'حركة المخزن'!Q121,'تحليل مبيعات'!W:W,'حركة المخزن'!$X$6)</f>
        <v>2</v>
      </c>
      <c r="Y121" s="136">
        <f>SUMIFS('تحليل مبيعات'!H:H,'تحليل مبيعات'!C:C,'حركة المخزن'!Q121,'تحليل مبيعات'!W:W,'حركة المخزن'!$Y$6)</f>
        <v>0</v>
      </c>
      <c r="Z121" s="136">
        <f>SUMIFS('تحليل مبيعات'!H:H,'تحليل مبيعات'!C:C,'حركة المخزن'!Q121,'تحليل مبيعات'!W:W,'حركة المخزن'!$Z$6)</f>
        <v>0</v>
      </c>
      <c r="AA121" s="136">
        <f>SUMIFS('تحليل مبيعات'!H:H,'تحليل مبيعات'!C:C,'حركة المخزن'!Q121,'تحليل مبيعات'!W:W,'حركة المخزن'!$AA$6)</f>
        <v>0</v>
      </c>
      <c r="AB121" s="136">
        <f>SUMIFS('تحليل مبيعات'!H:H,'تحليل مبيعات'!C:C,'حركة المخزن'!Q121,'تحليل مبيعات'!W:W,'حركة المخزن'!$AB$6)</f>
        <v>0</v>
      </c>
      <c r="AC121" s="137">
        <f>SUMIFS('تحليل مبيعات'!H:H,'تحليل مبيعات'!C:C,'حركة المخزن'!Q121,'تحليل مبيعات'!W:W,'حركة المخزن'!$AC$6)</f>
        <v>0</v>
      </c>
      <c r="AD121" s="134">
        <f t="shared" si="9"/>
        <v>2</v>
      </c>
    </row>
    <row r="122" spans="2:30" ht="16.2" thickBot="1" x14ac:dyDescent="0.35">
      <c r="B122" s="70" t="s">
        <v>174</v>
      </c>
      <c r="C122" s="10" t="s">
        <v>383</v>
      </c>
      <c r="D122" s="10" t="s">
        <v>204</v>
      </c>
      <c r="E122" s="145">
        <v>10</v>
      </c>
      <c r="F122" s="145">
        <v>10000</v>
      </c>
      <c r="G122" s="10" t="str">
        <f>IFERROR(IF(SUMIF(المشتريات!C:C, 'حركة المخزن'!B122, المشتريات!F:F)=0,"",SUMIF(المشتريات!C:C, 'حركة المخزن'!B122, المشتريات!F:F)),"0")</f>
        <v/>
      </c>
      <c r="H122" s="10" t="str">
        <f>IFERROR(IF(SUMIF(المشتريات!C:C, 'حركة المخزن'!B122, المشتريات!I:I)=0,"",SUMIF(المشتريات!C:C, 'حركة المخزن'!B122, المشتريات!I:I)),"0")</f>
        <v/>
      </c>
      <c r="I122" s="10">
        <f>IFERROR(IF(SUMIF('تحليل مبيعات'!C:C, 'حركة المخزن'!B122, 'تحليل مبيعات'!H:H)=0,"",SUMIF('تحليل مبيعات'!C:C, 'حركة المخزن'!B122, 'تحليل مبيعات'!H:H)),"")</f>
        <v>7</v>
      </c>
      <c r="J122" s="10">
        <f>IFERROR(IF(SUMIF('تحليل مبيعات'!C:C, 'حركة المخزن'!B122, 'تحليل مبيعات'!L:L)=0,"",SUMIF('تحليل مبيعات'!C:C, 'حركة المخزن'!B122, 'تحليل مبيعات'!L:L)),"")</f>
        <v>400</v>
      </c>
      <c r="K122" s="10" t="str">
        <f t="shared" si="6"/>
        <v/>
      </c>
      <c r="L122" s="10" t="str">
        <f t="shared" si="7"/>
        <v/>
      </c>
      <c r="M122" s="10">
        <v>5</v>
      </c>
      <c r="N122" s="10" t="str">
        <f t="shared" si="8"/>
        <v>يوجد رصيد كافى</v>
      </c>
      <c r="O122" s="44">
        <v>270</v>
      </c>
      <c r="Q122" s="130" t="str">
        <v>جلبة مقص علوى كبير</v>
      </c>
      <c r="R122" s="135">
        <f>SUMIFS('تحليل مبيعات'!H:H,'تحليل مبيعات'!C:C,'حركة المخزن'!Q122,'تحليل مبيعات'!W:W,'حركة المخزن'!$R$6)</f>
        <v>0</v>
      </c>
      <c r="S122" s="136">
        <f>SUMIFS('تحليل مبيعات'!H:H,'تحليل مبيعات'!C:C,'حركة المخزن'!Q122,'تحليل مبيعات'!W:W,'حركة المخزن'!$S$6)</f>
        <v>0</v>
      </c>
      <c r="T122" s="136">
        <f>SUMIFS('تحليل مبيعات'!H:H,'تحليل مبيعات'!C:C,'حركة المخزن'!Q122,'تحليل مبيعات'!W:W,'حركة المخزن'!$T$6)</f>
        <v>0</v>
      </c>
      <c r="U122" s="136">
        <f>SUMIFS('تحليل مبيعات'!H:H,'تحليل مبيعات'!C:C,'حركة المخزن'!Q122,'تحليل مبيعات'!W:W,'حركة المخزن'!$U$6)</f>
        <v>0</v>
      </c>
      <c r="V122" s="136">
        <f>SUMIFS('تحليل مبيعات'!H:H,'تحليل مبيعات'!C:C,'حركة المخزن'!Q122,'تحليل مبيعات'!W:W,'حركة المخزن'!$V$6)</f>
        <v>0</v>
      </c>
      <c r="W122" s="136">
        <f>SUMIFS('تحليل مبيعات'!H:H,'تحليل مبيعات'!C:C,'حركة المخزن'!Q122,'تحليل مبيعات'!W:W,'حركة المخزن'!$W$6)</f>
        <v>0</v>
      </c>
      <c r="X122" s="136">
        <f>SUMIFS('تحليل مبيعات'!H:H,'تحليل مبيعات'!C:C,'حركة المخزن'!Q122,'تحليل مبيعات'!W:W,'حركة المخزن'!$X$6)</f>
        <v>2</v>
      </c>
      <c r="Y122" s="136">
        <f>SUMIFS('تحليل مبيعات'!H:H,'تحليل مبيعات'!C:C,'حركة المخزن'!Q122,'تحليل مبيعات'!W:W,'حركة المخزن'!$Y$6)</f>
        <v>0</v>
      </c>
      <c r="Z122" s="136">
        <f>SUMIFS('تحليل مبيعات'!H:H,'تحليل مبيعات'!C:C,'حركة المخزن'!Q122,'تحليل مبيعات'!W:W,'حركة المخزن'!$Z$6)</f>
        <v>0</v>
      </c>
      <c r="AA122" s="136">
        <f>SUMIFS('تحليل مبيعات'!H:H,'تحليل مبيعات'!C:C,'حركة المخزن'!Q122,'تحليل مبيعات'!W:W,'حركة المخزن'!$AA$6)</f>
        <v>0</v>
      </c>
      <c r="AB122" s="136">
        <f>SUMIFS('تحليل مبيعات'!H:H,'تحليل مبيعات'!C:C,'حركة المخزن'!Q122,'تحليل مبيعات'!W:W,'حركة المخزن'!$AB$6)</f>
        <v>0</v>
      </c>
      <c r="AC122" s="137">
        <f>SUMIFS('تحليل مبيعات'!H:H,'تحليل مبيعات'!C:C,'حركة المخزن'!Q122,'تحليل مبيعات'!W:W,'حركة المخزن'!$AC$6)</f>
        <v>0</v>
      </c>
      <c r="AD122" s="134">
        <f t="shared" si="9"/>
        <v>2</v>
      </c>
    </row>
    <row r="123" spans="2:30" ht="16.2" thickBot="1" x14ac:dyDescent="0.35">
      <c r="B123" s="70" t="s">
        <v>180</v>
      </c>
      <c r="C123" s="10" t="s">
        <v>384</v>
      </c>
      <c r="D123" s="10" t="s">
        <v>204</v>
      </c>
      <c r="E123" s="145">
        <v>10</v>
      </c>
      <c r="F123" s="145">
        <v>10000</v>
      </c>
      <c r="G123" s="10" t="str">
        <f>IFERROR(IF(SUMIF(المشتريات!C:C, 'حركة المخزن'!B123, المشتريات!F:F)=0,"",SUMIF(المشتريات!C:C, 'حركة المخزن'!B123, المشتريات!F:F)),"0")</f>
        <v/>
      </c>
      <c r="H123" s="10" t="str">
        <f>IFERROR(IF(SUMIF(المشتريات!C:C, 'حركة المخزن'!B123, المشتريات!I:I)=0,"",SUMIF(المشتريات!C:C, 'حركة المخزن'!B123, المشتريات!I:I)),"0")</f>
        <v/>
      </c>
      <c r="I123" s="10">
        <f>IFERROR(IF(SUMIF('تحليل مبيعات'!C:C, 'حركة المخزن'!B123, 'تحليل مبيعات'!H:H)=0,"",SUMIF('تحليل مبيعات'!C:C, 'حركة المخزن'!B123, 'تحليل مبيعات'!H:H)),"")</f>
        <v>2</v>
      </c>
      <c r="J123" s="10">
        <f>IFERROR(IF(SUMIF('تحليل مبيعات'!C:C, 'حركة المخزن'!B123, 'تحليل مبيعات'!L:L)=0,"",SUMIF('تحليل مبيعات'!C:C, 'حركة المخزن'!B123, 'تحليل مبيعات'!L:L)),"")</f>
        <v>2400</v>
      </c>
      <c r="K123" s="10" t="str">
        <f t="shared" si="6"/>
        <v/>
      </c>
      <c r="L123" s="10" t="str">
        <f t="shared" si="7"/>
        <v/>
      </c>
      <c r="M123" s="10">
        <v>5</v>
      </c>
      <c r="N123" s="10" t="str">
        <f t="shared" si="8"/>
        <v>يوجد رصيد كافى</v>
      </c>
      <c r="O123" s="44">
        <v>275</v>
      </c>
      <c r="Q123" s="130" t="str">
        <v xml:space="preserve">بيض علوى تويوتا </v>
      </c>
      <c r="R123" s="135">
        <f>SUMIFS('تحليل مبيعات'!H:H,'تحليل مبيعات'!C:C,'حركة المخزن'!Q123,'تحليل مبيعات'!W:W,'حركة المخزن'!$R$6)</f>
        <v>0</v>
      </c>
      <c r="S123" s="136">
        <f>SUMIFS('تحليل مبيعات'!H:H,'تحليل مبيعات'!C:C,'حركة المخزن'!Q123,'تحليل مبيعات'!W:W,'حركة المخزن'!$S$6)</f>
        <v>0</v>
      </c>
      <c r="T123" s="136">
        <f>SUMIFS('تحليل مبيعات'!H:H,'تحليل مبيعات'!C:C,'حركة المخزن'!Q123,'تحليل مبيعات'!W:W,'حركة المخزن'!$T$6)</f>
        <v>0</v>
      </c>
      <c r="U123" s="136">
        <f>SUMIFS('تحليل مبيعات'!H:H,'تحليل مبيعات'!C:C,'حركة المخزن'!Q123,'تحليل مبيعات'!W:W,'حركة المخزن'!$U$6)</f>
        <v>0</v>
      </c>
      <c r="V123" s="136">
        <f>SUMIFS('تحليل مبيعات'!H:H,'تحليل مبيعات'!C:C,'حركة المخزن'!Q123,'تحليل مبيعات'!W:W,'حركة المخزن'!$V$6)</f>
        <v>0</v>
      </c>
      <c r="W123" s="136">
        <f>SUMIFS('تحليل مبيعات'!H:H,'تحليل مبيعات'!C:C,'حركة المخزن'!Q123,'تحليل مبيعات'!W:W,'حركة المخزن'!$W$6)</f>
        <v>0</v>
      </c>
      <c r="X123" s="136">
        <f>SUMIFS('تحليل مبيعات'!H:H,'تحليل مبيعات'!C:C,'حركة المخزن'!Q123,'تحليل مبيعات'!W:W,'حركة المخزن'!$X$6)</f>
        <v>2</v>
      </c>
      <c r="Y123" s="136">
        <f>SUMIFS('تحليل مبيعات'!H:H,'تحليل مبيعات'!C:C,'حركة المخزن'!Q123,'تحليل مبيعات'!W:W,'حركة المخزن'!$Y$6)</f>
        <v>2</v>
      </c>
      <c r="Z123" s="136">
        <f>SUMIFS('تحليل مبيعات'!H:H,'تحليل مبيعات'!C:C,'حركة المخزن'!Q123,'تحليل مبيعات'!W:W,'حركة المخزن'!$Z$6)</f>
        <v>0</v>
      </c>
      <c r="AA123" s="136">
        <f>SUMIFS('تحليل مبيعات'!H:H,'تحليل مبيعات'!C:C,'حركة المخزن'!Q123,'تحليل مبيعات'!W:W,'حركة المخزن'!$AA$6)</f>
        <v>0</v>
      </c>
      <c r="AB123" s="136">
        <f>SUMIFS('تحليل مبيعات'!H:H,'تحليل مبيعات'!C:C,'حركة المخزن'!Q123,'تحليل مبيعات'!W:W,'حركة المخزن'!$AB$6)</f>
        <v>0</v>
      </c>
      <c r="AC123" s="137">
        <f>SUMIFS('تحليل مبيعات'!H:H,'تحليل مبيعات'!C:C,'حركة المخزن'!Q123,'تحليل مبيعات'!W:W,'حركة المخزن'!$AC$6)</f>
        <v>0</v>
      </c>
      <c r="AD123" s="134">
        <f t="shared" si="9"/>
        <v>4</v>
      </c>
    </row>
    <row r="124" spans="2:30" ht="16.2" thickBot="1" x14ac:dyDescent="0.35">
      <c r="B124" s="70" t="s">
        <v>181</v>
      </c>
      <c r="C124" s="10" t="s">
        <v>385</v>
      </c>
      <c r="D124" s="10" t="s">
        <v>204</v>
      </c>
      <c r="E124" s="145">
        <v>10</v>
      </c>
      <c r="F124" s="145">
        <v>10000</v>
      </c>
      <c r="G124" s="10" t="str">
        <f>IFERROR(IF(SUMIF(المشتريات!C:C, 'حركة المخزن'!B124, المشتريات!F:F)=0,"",SUMIF(المشتريات!C:C, 'حركة المخزن'!B124, المشتريات!F:F)),"0")</f>
        <v/>
      </c>
      <c r="H124" s="10" t="str">
        <f>IFERROR(IF(SUMIF(المشتريات!C:C, 'حركة المخزن'!B124, المشتريات!I:I)=0,"",SUMIF(المشتريات!C:C, 'حركة المخزن'!B124, المشتريات!I:I)),"0")</f>
        <v/>
      </c>
      <c r="I124" s="10">
        <f>IFERROR(IF(SUMIF('تحليل مبيعات'!C:C, 'حركة المخزن'!B124, 'تحليل مبيعات'!H:H)=0,"",SUMIF('تحليل مبيعات'!C:C, 'حركة المخزن'!B124, 'تحليل مبيعات'!H:H)),"")</f>
        <v>2</v>
      </c>
      <c r="J124" s="10">
        <f>IFERROR(IF(SUMIF('تحليل مبيعات'!C:C, 'حركة المخزن'!B124, 'تحليل مبيعات'!L:L)=0,"",SUMIF('تحليل مبيعات'!C:C, 'حركة المخزن'!B124, 'تحليل مبيعات'!L:L)),"")</f>
        <v>2400</v>
      </c>
      <c r="K124" s="10" t="str">
        <f t="shared" si="6"/>
        <v/>
      </c>
      <c r="L124" s="10" t="str">
        <f t="shared" si="7"/>
        <v/>
      </c>
      <c r="M124" s="10">
        <v>5</v>
      </c>
      <c r="N124" s="10" t="str">
        <f t="shared" si="8"/>
        <v>يوجد رصيد كافى</v>
      </c>
      <c r="O124" s="44">
        <v>280</v>
      </c>
      <c r="Q124" s="130" t="str">
        <v>كاوتشة ميزان سوبر</v>
      </c>
      <c r="R124" s="135">
        <f>SUMIFS('تحليل مبيعات'!H:H,'تحليل مبيعات'!C:C,'حركة المخزن'!Q124,'تحليل مبيعات'!W:W,'حركة المخزن'!$R$6)</f>
        <v>0</v>
      </c>
      <c r="S124" s="136">
        <f>SUMIFS('تحليل مبيعات'!H:H,'تحليل مبيعات'!C:C,'حركة المخزن'!Q124,'تحليل مبيعات'!W:W,'حركة المخزن'!$S$6)</f>
        <v>0</v>
      </c>
      <c r="T124" s="136">
        <f>SUMIFS('تحليل مبيعات'!H:H,'تحليل مبيعات'!C:C,'حركة المخزن'!Q124,'تحليل مبيعات'!W:W,'حركة المخزن'!$T$6)</f>
        <v>0</v>
      </c>
      <c r="U124" s="136">
        <f>SUMIFS('تحليل مبيعات'!H:H,'تحليل مبيعات'!C:C,'حركة المخزن'!Q124,'تحليل مبيعات'!W:W,'حركة المخزن'!$U$6)</f>
        <v>0</v>
      </c>
      <c r="V124" s="136">
        <f>SUMIFS('تحليل مبيعات'!H:H,'تحليل مبيعات'!C:C,'حركة المخزن'!Q124,'تحليل مبيعات'!W:W,'حركة المخزن'!$V$6)</f>
        <v>0</v>
      </c>
      <c r="W124" s="136">
        <f>SUMIFS('تحليل مبيعات'!H:H,'تحليل مبيعات'!C:C,'حركة المخزن'!Q124,'تحليل مبيعات'!W:W,'حركة المخزن'!$W$6)</f>
        <v>0</v>
      </c>
      <c r="X124" s="136">
        <f>SUMIFS('تحليل مبيعات'!H:H,'تحليل مبيعات'!C:C,'حركة المخزن'!Q124,'تحليل مبيعات'!W:W,'حركة المخزن'!$X$6)</f>
        <v>2</v>
      </c>
      <c r="Y124" s="136">
        <f>SUMIFS('تحليل مبيعات'!H:H,'تحليل مبيعات'!C:C,'حركة المخزن'!Q124,'تحليل مبيعات'!W:W,'حركة المخزن'!$Y$6)</f>
        <v>0</v>
      </c>
      <c r="Z124" s="136">
        <f>SUMIFS('تحليل مبيعات'!H:H,'تحليل مبيعات'!C:C,'حركة المخزن'!Q124,'تحليل مبيعات'!W:W,'حركة المخزن'!$Z$6)</f>
        <v>0</v>
      </c>
      <c r="AA124" s="136">
        <f>SUMIFS('تحليل مبيعات'!H:H,'تحليل مبيعات'!C:C,'حركة المخزن'!Q124,'تحليل مبيعات'!W:W,'حركة المخزن'!$AA$6)</f>
        <v>0</v>
      </c>
      <c r="AB124" s="136">
        <f>SUMIFS('تحليل مبيعات'!H:H,'تحليل مبيعات'!C:C,'حركة المخزن'!Q124,'تحليل مبيعات'!W:W,'حركة المخزن'!$AB$6)</f>
        <v>0</v>
      </c>
      <c r="AC124" s="137">
        <f>SUMIFS('تحليل مبيعات'!H:H,'تحليل مبيعات'!C:C,'حركة المخزن'!Q124,'تحليل مبيعات'!W:W,'حركة المخزن'!$AC$6)</f>
        <v>0</v>
      </c>
      <c r="AD124" s="134">
        <f t="shared" si="9"/>
        <v>2</v>
      </c>
    </row>
    <row r="125" spans="2:30" ht="16.2" thickBot="1" x14ac:dyDescent="0.35">
      <c r="B125" s="74" t="s">
        <v>182</v>
      </c>
      <c r="C125" s="10" t="s">
        <v>386</v>
      </c>
      <c r="D125" s="10" t="s">
        <v>204</v>
      </c>
      <c r="E125" s="145">
        <v>10</v>
      </c>
      <c r="F125" s="145">
        <v>10000</v>
      </c>
      <c r="G125" s="10" t="str">
        <f>IFERROR(IF(SUMIF(المشتريات!C:C, 'حركة المخزن'!B125, المشتريات!F:F)=0,"",SUMIF(المشتريات!C:C, 'حركة المخزن'!B125, المشتريات!F:F)),"0")</f>
        <v/>
      </c>
      <c r="H125" s="10" t="str">
        <f>IFERROR(IF(SUMIF(المشتريات!C:C, 'حركة المخزن'!B125, المشتريات!I:I)=0,"",SUMIF(المشتريات!C:C, 'حركة المخزن'!B125, المشتريات!I:I)),"0")</f>
        <v/>
      </c>
      <c r="I125" s="10">
        <f>IFERROR(IF(SUMIF('تحليل مبيعات'!C:C, 'حركة المخزن'!B125, 'تحليل مبيعات'!H:H)=0,"",SUMIF('تحليل مبيعات'!C:C, 'حركة المخزن'!B125, 'تحليل مبيعات'!H:H)),"")</f>
        <v>1</v>
      </c>
      <c r="J125" s="10">
        <f>IFERROR(IF(SUMIF('تحليل مبيعات'!C:C, 'حركة المخزن'!B125, 'تحليل مبيعات'!L:L)=0,"",SUMIF('تحليل مبيعات'!C:C, 'حركة المخزن'!B125, 'تحليل مبيعات'!L:L)),"")</f>
        <v>100</v>
      </c>
      <c r="K125" s="10" t="str">
        <f t="shared" si="6"/>
        <v/>
      </c>
      <c r="L125" s="10" t="str">
        <f t="shared" si="7"/>
        <v/>
      </c>
      <c r="M125" s="10">
        <v>5</v>
      </c>
      <c r="N125" s="10" t="str">
        <f t="shared" si="8"/>
        <v>يوجد رصيد كافى</v>
      </c>
      <c r="O125" s="44">
        <v>285</v>
      </c>
      <c r="Q125" s="130" t="str">
        <v>بطارية كلورايد 70 ك</v>
      </c>
      <c r="R125" s="135">
        <f>SUMIFS('تحليل مبيعات'!H:H,'تحليل مبيعات'!C:C,'حركة المخزن'!Q125,'تحليل مبيعات'!W:W,'حركة المخزن'!$R$6)</f>
        <v>0</v>
      </c>
      <c r="S125" s="136">
        <f>SUMIFS('تحليل مبيعات'!H:H,'تحليل مبيعات'!C:C,'حركة المخزن'!Q125,'تحليل مبيعات'!W:W,'حركة المخزن'!$S$6)</f>
        <v>0</v>
      </c>
      <c r="T125" s="136">
        <f>SUMIFS('تحليل مبيعات'!H:H,'تحليل مبيعات'!C:C,'حركة المخزن'!Q125,'تحليل مبيعات'!W:W,'حركة المخزن'!$T$6)</f>
        <v>0</v>
      </c>
      <c r="U125" s="136">
        <f>SUMIFS('تحليل مبيعات'!H:H,'تحليل مبيعات'!C:C,'حركة المخزن'!Q125,'تحليل مبيعات'!W:W,'حركة المخزن'!$U$6)</f>
        <v>0</v>
      </c>
      <c r="V125" s="136">
        <f>SUMIFS('تحليل مبيعات'!H:H,'تحليل مبيعات'!C:C,'حركة المخزن'!Q125,'تحليل مبيعات'!W:W,'حركة المخزن'!$V$6)</f>
        <v>0</v>
      </c>
      <c r="W125" s="136">
        <f>SUMIFS('تحليل مبيعات'!H:H,'تحليل مبيعات'!C:C,'حركة المخزن'!Q125,'تحليل مبيعات'!W:W,'حركة المخزن'!$W$6)</f>
        <v>0</v>
      </c>
      <c r="X125" s="136">
        <f>SUMIFS('تحليل مبيعات'!H:H,'تحليل مبيعات'!C:C,'حركة المخزن'!Q125,'تحليل مبيعات'!W:W,'حركة المخزن'!$X$6)</f>
        <v>1</v>
      </c>
      <c r="Y125" s="136">
        <f>SUMIFS('تحليل مبيعات'!H:H,'تحليل مبيعات'!C:C,'حركة المخزن'!Q125,'تحليل مبيعات'!W:W,'حركة المخزن'!$Y$6)</f>
        <v>0</v>
      </c>
      <c r="Z125" s="136">
        <f>SUMIFS('تحليل مبيعات'!H:H,'تحليل مبيعات'!C:C,'حركة المخزن'!Q125,'تحليل مبيعات'!W:W,'حركة المخزن'!$Z$6)</f>
        <v>0</v>
      </c>
      <c r="AA125" s="136">
        <f>SUMIFS('تحليل مبيعات'!H:H,'تحليل مبيعات'!C:C,'حركة المخزن'!Q125,'تحليل مبيعات'!W:W,'حركة المخزن'!$AA$6)</f>
        <v>0</v>
      </c>
      <c r="AB125" s="136">
        <f>SUMIFS('تحليل مبيعات'!H:H,'تحليل مبيعات'!C:C,'حركة المخزن'!Q125,'تحليل مبيعات'!W:W,'حركة المخزن'!$AB$6)</f>
        <v>0</v>
      </c>
      <c r="AC125" s="137">
        <f>SUMIFS('تحليل مبيعات'!H:H,'تحليل مبيعات'!C:C,'حركة المخزن'!Q125,'تحليل مبيعات'!W:W,'حركة المخزن'!$AC$6)</f>
        <v>0</v>
      </c>
      <c r="AD125" s="134">
        <f t="shared" si="9"/>
        <v>1</v>
      </c>
    </row>
    <row r="126" spans="2:30" ht="16.2" thickBot="1" x14ac:dyDescent="0.35">
      <c r="B126" s="74" t="s">
        <v>184</v>
      </c>
      <c r="C126" s="10" t="s">
        <v>387</v>
      </c>
      <c r="D126" s="10" t="s">
        <v>204</v>
      </c>
      <c r="E126" s="145">
        <v>10</v>
      </c>
      <c r="F126" s="145">
        <v>10000</v>
      </c>
      <c r="G126" s="10" t="str">
        <f>IFERROR(IF(SUMIF(المشتريات!C:C, 'حركة المخزن'!B126, المشتريات!F:F)=0,"",SUMIF(المشتريات!C:C, 'حركة المخزن'!B126, المشتريات!F:F)),"0")</f>
        <v/>
      </c>
      <c r="H126" s="10" t="str">
        <f>IFERROR(IF(SUMIF(المشتريات!C:C, 'حركة المخزن'!B126, المشتريات!I:I)=0,"",SUMIF(المشتريات!C:C, 'حركة المخزن'!B126, المشتريات!I:I)),"0")</f>
        <v/>
      </c>
      <c r="I126" s="10">
        <f>IFERROR(IF(SUMIF('تحليل مبيعات'!C:C, 'حركة المخزن'!B126, 'تحليل مبيعات'!H:H)=0,"",SUMIF('تحليل مبيعات'!C:C, 'حركة المخزن'!B126, 'تحليل مبيعات'!H:H)),"")</f>
        <v>1</v>
      </c>
      <c r="J126" s="10">
        <f>IFERROR(IF(SUMIF('تحليل مبيعات'!C:C, 'حركة المخزن'!B126, 'تحليل مبيعات'!L:L)=0,"",SUMIF('تحليل مبيعات'!C:C, 'حركة المخزن'!B126, 'تحليل مبيعات'!L:L)),"")</f>
        <v>30</v>
      </c>
      <c r="K126" s="10" t="str">
        <f t="shared" si="6"/>
        <v/>
      </c>
      <c r="L126" s="10" t="str">
        <f t="shared" si="7"/>
        <v/>
      </c>
      <c r="M126" s="10">
        <v>5</v>
      </c>
      <c r="N126" s="10" t="str">
        <f t="shared" si="8"/>
        <v>يوجد رصيد كافى</v>
      </c>
      <c r="O126" s="44">
        <v>290</v>
      </c>
      <c r="Q126" s="130" t="str">
        <v>بطارية كلورايد 70 الالمانية</v>
      </c>
      <c r="R126" s="135">
        <f>SUMIFS('تحليل مبيعات'!H:H,'تحليل مبيعات'!C:C,'حركة المخزن'!Q126,'تحليل مبيعات'!W:W,'حركة المخزن'!$R$6)</f>
        <v>0</v>
      </c>
      <c r="S126" s="136">
        <f>SUMIFS('تحليل مبيعات'!H:H,'تحليل مبيعات'!C:C,'حركة المخزن'!Q126,'تحليل مبيعات'!W:W,'حركة المخزن'!$S$6)</f>
        <v>0</v>
      </c>
      <c r="T126" s="136">
        <f>SUMIFS('تحليل مبيعات'!H:H,'تحليل مبيعات'!C:C,'حركة المخزن'!Q126,'تحليل مبيعات'!W:W,'حركة المخزن'!$T$6)</f>
        <v>0</v>
      </c>
      <c r="U126" s="136">
        <f>SUMIFS('تحليل مبيعات'!H:H,'تحليل مبيعات'!C:C,'حركة المخزن'!Q126,'تحليل مبيعات'!W:W,'حركة المخزن'!$U$6)</f>
        <v>0</v>
      </c>
      <c r="V126" s="136">
        <f>SUMIFS('تحليل مبيعات'!H:H,'تحليل مبيعات'!C:C,'حركة المخزن'!Q126,'تحليل مبيعات'!W:W,'حركة المخزن'!$V$6)</f>
        <v>0</v>
      </c>
      <c r="W126" s="136">
        <f>SUMIFS('تحليل مبيعات'!H:H,'تحليل مبيعات'!C:C,'حركة المخزن'!Q126,'تحليل مبيعات'!W:W,'حركة المخزن'!$W$6)</f>
        <v>0</v>
      </c>
      <c r="X126" s="136">
        <f>SUMIFS('تحليل مبيعات'!H:H,'تحليل مبيعات'!C:C,'حركة المخزن'!Q126,'تحليل مبيعات'!W:W,'حركة المخزن'!$X$6)</f>
        <v>1</v>
      </c>
      <c r="Y126" s="136">
        <f>SUMIFS('تحليل مبيعات'!H:H,'تحليل مبيعات'!C:C,'حركة المخزن'!Q126,'تحليل مبيعات'!W:W,'حركة المخزن'!$Y$6)</f>
        <v>0</v>
      </c>
      <c r="Z126" s="136">
        <f>SUMIFS('تحليل مبيعات'!H:H,'تحليل مبيعات'!C:C,'حركة المخزن'!Q126,'تحليل مبيعات'!W:W,'حركة المخزن'!$Z$6)</f>
        <v>0</v>
      </c>
      <c r="AA126" s="136">
        <f>SUMIFS('تحليل مبيعات'!H:H,'تحليل مبيعات'!C:C,'حركة المخزن'!Q126,'تحليل مبيعات'!W:W,'حركة المخزن'!$AA$6)</f>
        <v>0</v>
      </c>
      <c r="AB126" s="136">
        <f>SUMIFS('تحليل مبيعات'!H:H,'تحليل مبيعات'!C:C,'حركة المخزن'!Q126,'تحليل مبيعات'!W:W,'حركة المخزن'!$AB$6)</f>
        <v>0</v>
      </c>
      <c r="AC126" s="137">
        <f>SUMIFS('تحليل مبيعات'!H:H,'تحليل مبيعات'!C:C,'حركة المخزن'!Q126,'تحليل مبيعات'!W:W,'حركة المخزن'!$AC$6)</f>
        <v>0</v>
      </c>
      <c r="AD126" s="134">
        <f t="shared" si="9"/>
        <v>1</v>
      </c>
    </row>
    <row r="127" spans="2:30" ht="16.2" thickBot="1" x14ac:dyDescent="0.35">
      <c r="B127" s="74" t="s">
        <v>185</v>
      </c>
      <c r="C127" s="10" t="s">
        <v>388</v>
      </c>
      <c r="D127" s="10" t="s">
        <v>204</v>
      </c>
      <c r="E127" s="145">
        <v>10</v>
      </c>
      <c r="F127" s="145">
        <v>10000</v>
      </c>
      <c r="G127" s="10" t="str">
        <f>IFERROR(IF(SUMIF(المشتريات!C:C, 'حركة المخزن'!B127, المشتريات!F:F)=0,"",SUMIF(المشتريات!C:C, 'حركة المخزن'!B127, المشتريات!F:F)),"0")</f>
        <v/>
      </c>
      <c r="H127" s="10" t="str">
        <f>IFERROR(IF(SUMIF(المشتريات!C:C, 'حركة المخزن'!B127, المشتريات!I:I)=0,"",SUMIF(المشتريات!C:C, 'حركة المخزن'!B127, المشتريات!I:I)),"0")</f>
        <v/>
      </c>
      <c r="I127" s="10">
        <f>IFERROR(IF(SUMIF('تحليل مبيعات'!C:C, 'حركة المخزن'!B127, 'تحليل مبيعات'!H:H)=0,"",SUMIF('تحليل مبيعات'!C:C, 'حركة المخزن'!B127, 'تحليل مبيعات'!H:H)),"")</f>
        <v>1</v>
      </c>
      <c r="J127" s="10">
        <f>IFERROR(IF(SUMIF('تحليل مبيعات'!C:C, 'حركة المخزن'!B127, 'تحليل مبيعات'!L:L)=0,"",SUMIF('تحليل مبيعات'!C:C, 'حركة المخزن'!B127, 'تحليل مبيعات'!L:L)),"")</f>
        <v>750</v>
      </c>
      <c r="K127" s="10" t="str">
        <f t="shared" si="6"/>
        <v/>
      </c>
      <c r="L127" s="10" t="str">
        <f t="shared" si="7"/>
        <v/>
      </c>
      <c r="M127" s="10">
        <v>5</v>
      </c>
      <c r="N127" s="10" t="str">
        <f t="shared" si="8"/>
        <v>يوجد رصيد كافى</v>
      </c>
      <c r="O127" s="44">
        <v>295</v>
      </c>
      <c r="Q127" s="130" t="str">
        <v>مسمار بالصمولة</v>
      </c>
      <c r="R127" s="135">
        <f>SUMIFS('تحليل مبيعات'!H:H,'تحليل مبيعات'!C:C,'حركة المخزن'!Q127,'تحليل مبيعات'!W:W,'حركة المخزن'!$R$6)</f>
        <v>0</v>
      </c>
      <c r="S127" s="136">
        <f>SUMIFS('تحليل مبيعات'!H:H,'تحليل مبيعات'!C:C,'حركة المخزن'!Q127,'تحليل مبيعات'!W:W,'حركة المخزن'!$S$6)</f>
        <v>0</v>
      </c>
      <c r="T127" s="136">
        <f>SUMIFS('تحليل مبيعات'!H:H,'تحليل مبيعات'!C:C,'حركة المخزن'!Q127,'تحليل مبيعات'!W:W,'حركة المخزن'!$T$6)</f>
        <v>0</v>
      </c>
      <c r="U127" s="136">
        <f>SUMIFS('تحليل مبيعات'!H:H,'تحليل مبيعات'!C:C,'حركة المخزن'!Q127,'تحليل مبيعات'!W:W,'حركة المخزن'!$U$6)</f>
        <v>0</v>
      </c>
      <c r="V127" s="136">
        <f>SUMIFS('تحليل مبيعات'!H:H,'تحليل مبيعات'!C:C,'حركة المخزن'!Q127,'تحليل مبيعات'!W:W,'حركة المخزن'!$V$6)</f>
        <v>0</v>
      </c>
      <c r="W127" s="136">
        <f>SUMIFS('تحليل مبيعات'!H:H,'تحليل مبيعات'!C:C,'حركة المخزن'!Q127,'تحليل مبيعات'!W:W,'حركة المخزن'!$W$6)</f>
        <v>0</v>
      </c>
      <c r="X127" s="136">
        <f>SUMIFS('تحليل مبيعات'!H:H,'تحليل مبيعات'!C:C,'حركة المخزن'!Q127,'تحليل مبيعات'!W:W,'حركة المخزن'!$X$6)</f>
        <v>5</v>
      </c>
      <c r="Y127" s="136">
        <f>SUMIFS('تحليل مبيعات'!H:H,'تحليل مبيعات'!C:C,'حركة المخزن'!Q127,'تحليل مبيعات'!W:W,'حركة المخزن'!$Y$6)</f>
        <v>5</v>
      </c>
      <c r="Z127" s="136">
        <f>SUMIFS('تحليل مبيعات'!H:H,'تحليل مبيعات'!C:C,'حركة المخزن'!Q127,'تحليل مبيعات'!W:W,'حركة المخزن'!$Z$6)</f>
        <v>0</v>
      </c>
      <c r="AA127" s="136">
        <f>SUMIFS('تحليل مبيعات'!H:H,'تحليل مبيعات'!C:C,'حركة المخزن'!Q127,'تحليل مبيعات'!W:W,'حركة المخزن'!$AA$6)</f>
        <v>0</v>
      </c>
      <c r="AB127" s="136">
        <f>SUMIFS('تحليل مبيعات'!H:H,'تحليل مبيعات'!C:C,'حركة المخزن'!Q127,'تحليل مبيعات'!W:W,'حركة المخزن'!$AB$6)</f>
        <v>0</v>
      </c>
      <c r="AC127" s="137">
        <f>SUMIFS('تحليل مبيعات'!H:H,'تحليل مبيعات'!C:C,'حركة المخزن'!Q127,'تحليل مبيعات'!W:W,'حركة المخزن'!$AC$6)</f>
        <v>0</v>
      </c>
      <c r="AD127" s="134">
        <f t="shared" si="9"/>
        <v>10</v>
      </c>
    </row>
    <row r="128" spans="2:30" ht="16.2" thickBot="1" x14ac:dyDescent="0.35">
      <c r="B128" s="74" t="s">
        <v>189</v>
      </c>
      <c r="C128" s="10" t="s">
        <v>389</v>
      </c>
      <c r="D128" s="10" t="s">
        <v>204</v>
      </c>
      <c r="E128" s="145">
        <v>10</v>
      </c>
      <c r="F128" s="145">
        <v>10000</v>
      </c>
      <c r="G128" s="10" t="str">
        <f>IFERROR(IF(SUMIF(المشتريات!C:C, 'حركة المخزن'!B128, المشتريات!F:F)=0,"",SUMIF(المشتريات!C:C, 'حركة المخزن'!B128, المشتريات!F:F)),"0")</f>
        <v/>
      </c>
      <c r="H128" s="10" t="str">
        <f>IFERROR(IF(SUMIF(المشتريات!C:C, 'حركة المخزن'!B128, المشتريات!I:I)=0,"",SUMIF(المشتريات!C:C, 'حركة المخزن'!B128, المشتريات!I:I)),"0")</f>
        <v/>
      </c>
      <c r="I128" s="10">
        <f>IFERROR(IF(SUMIF('تحليل مبيعات'!C:C, 'حركة المخزن'!B128, 'تحليل مبيعات'!H:H)=0,"",SUMIF('تحليل مبيعات'!C:C, 'حركة المخزن'!B128, 'تحليل مبيعات'!H:H)),"")</f>
        <v>1</v>
      </c>
      <c r="J128" s="10">
        <f>IFERROR(IF(SUMIF('تحليل مبيعات'!C:C, 'حركة المخزن'!B128, 'تحليل مبيعات'!L:L)=0,"",SUMIF('تحليل مبيعات'!C:C, 'حركة المخزن'!B128, 'تحليل مبيعات'!L:L)),"")</f>
        <v>400</v>
      </c>
      <c r="K128" s="10" t="str">
        <f t="shared" si="6"/>
        <v/>
      </c>
      <c r="L128" s="10" t="str">
        <f t="shared" si="7"/>
        <v/>
      </c>
      <c r="M128" s="10">
        <v>5</v>
      </c>
      <c r="N128" s="10" t="str">
        <f t="shared" si="8"/>
        <v>يوجد رصيد كافى</v>
      </c>
      <c r="O128" s="44">
        <v>300</v>
      </c>
      <c r="Q128" s="130" t="str">
        <v>خرطوم  راجع باور</v>
      </c>
      <c r="R128" s="135">
        <f>SUMIFS('تحليل مبيعات'!H:H,'تحليل مبيعات'!C:C,'حركة المخزن'!Q128,'تحليل مبيعات'!W:W,'حركة المخزن'!$R$6)</f>
        <v>0</v>
      </c>
      <c r="S128" s="136">
        <f>SUMIFS('تحليل مبيعات'!H:H,'تحليل مبيعات'!C:C,'حركة المخزن'!Q128,'تحليل مبيعات'!W:W,'حركة المخزن'!$S$6)</f>
        <v>0</v>
      </c>
      <c r="T128" s="136">
        <f>SUMIFS('تحليل مبيعات'!H:H,'تحليل مبيعات'!C:C,'حركة المخزن'!Q128,'تحليل مبيعات'!W:W,'حركة المخزن'!$T$6)</f>
        <v>0</v>
      </c>
      <c r="U128" s="136">
        <f>SUMIFS('تحليل مبيعات'!H:H,'تحليل مبيعات'!C:C,'حركة المخزن'!Q128,'تحليل مبيعات'!W:W,'حركة المخزن'!$U$6)</f>
        <v>0</v>
      </c>
      <c r="V128" s="136">
        <f>SUMIFS('تحليل مبيعات'!H:H,'تحليل مبيعات'!C:C,'حركة المخزن'!Q128,'تحليل مبيعات'!W:W,'حركة المخزن'!$V$6)</f>
        <v>0</v>
      </c>
      <c r="W128" s="136">
        <f>SUMIFS('تحليل مبيعات'!H:H,'تحليل مبيعات'!C:C,'حركة المخزن'!Q128,'تحليل مبيعات'!W:W,'حركة المخزن'!$W$6)</f>
        <v>0</v>
      </c>
      <c r="X128" s="136">
        <f>SUMIFS('تحليل مبيعات'!H:H,'تحليل مبيعات'!C:C,'حركة المخزن'!Q128,'تحليل مبيعات'!W:W,'حركة المخزن'!$X$6)</f>
        <v>1</v>
      </c>
      <c r="Y128" s="136">
        <f>SUMIFS('تحليل مبيعات'!H:H,'تحليل مبيعات'!C:C,'حركة المخزن'!Q128,'تحليل مبيعات'!W:W,'حركة المخزن'!$Y$6)</f>
        <v>0</v>
      </c>
      <c r="Z128" s="136">
        <f>SUMIFS('تحليل مبيعات'!H:H,'تحليل مبيعات'!C:C,'حركة المخزن'!Q128,'تحليل مبيعات'!W:W,'حركة المخزن'!$Z$6)</f>
        <v>0</v>
      </c>
      <c r="AA128" s="136">
        <f>SUMIFS('تحليل مبيعات'!H:H,'تحليل مبيعات'!C:C,'حركة المخزن'!Q128,'تحليل مبيعات'!W:W,'حركة المخزن'!$AA$6)</f>
        <v>0</v>
      </c>
      <c r="AB128" s="136">
        <f>SUMIFS('تحليل مبيعات'!H:H,'تحليل مبيعات'!C:C,'حركة المخزن'!Q128,'تحليل مبيعات'!W:W,'حركة المخزن'!$AB$6)</f>
        <v>0</v>
      </c>
      <c r="AC128" s="137">
        <f>SUMIFS('تحليل مبيعات'!H:H,'تحليل مبيعات'!C:C,'حركة المخزن'!Q128,'تحليل مبيعات'!W:W,'حركة المخزن'!$AC$6)</f>
        <v>0</v>
      </c>
      <c r="AD128" s="134">
        <f t="shared" si="9"/>
        <v>1</v>
      </c>
    </row>
    <row r="129" spans="2:30" ht="16.2" thickBot="1" x14ac:dyDescent="0.35">
      <c r="B129" s="74" t="s">
        <v>190</v>
      </c>
      <c r="C129" s="10" t="s">
        <v>390</v>
      </c>
      <c r="D129" s="10" t="s">
        <v>204</v>
      </c>
      <c r="E129" s="145">
        <v>10</v>
      </c>
      <c r="F129" s="145">
        <v>10000</v>
      </c>
      <c r="G129" s="10" t="str">
        <f>IFERROR(IF(SUMIF(المشتريات!C:C, 'حركة المخزن'!B129, المشتريات!F:F)=0,"",SUMIF(المشتريات!C:C, 'حركة المخزن'!B129, المشتريات!F:F)),"0")</f>
        <v/>
      </c>
      <c r="H129" s="10" t="str">
        <f>IFERROR(IF(SUMIF(المشتريات!C:C, 'حركة المخزن'!B129, المشتريات!I:I)=0,"",SUMIF(المشتريات!C:C, 'حركة المخزن'!B129, المشتريات!I:I)),"0")</f>
        <v/>
      </c>
      <c r="I129" s="10">
        <f>IFERROR(IF(SUMIF('تحليل مبيعات'!C:C, 'حركة المخزن'!B129, 'تحليل مبيعات'!H:H)=0,"",SUMIF('تحليل مبيعات'!C:C, 'حركة المخزن'!B129, 'تحليل مبيعات'!H:H)),"")</f>
        <v>1</v>
      </c>
      <c r="J129" s="10">
        <f>IFERROR(IF(SUMIF('تحليل مبيعات'!C:C, 'حركة المخزن'!B129, 'تحليل مبيعات'!L:L)=0,"",SUMIF('تحليل مبيعات'!C:C, 'حركة المخزن'!B129, 'تحليل مبيعات'!L:L)),"")</f>
        <v>250</v>
      </c>
      <c r="K129" s="10" t="str">
        <f t="shared" si="6"/>
        <v/>
      </c>
      <c r="L129" s="10" t="str">
        <f t="shared" si="7"/>
        <v/>
      </c>
      <c r="M129" s="10">
        <v>5</v>
      </c>
      <c r="N129" s="10" t="str">
        <f t="shared" si="8"/>
        <v>يوجد رصيد كافى</v>
      </c>
      <c r="O129" s="44">
        <v>305</v>
      </c>
      <c r="Q129" s="130" t="str">
        <v>بلف غطاء</v>
      </c>
      <c r="R129" s="135">
        <f>SUMIFS('تحليل مبيعات'!H:H,'تحليل مبيعات'!C:C,'حركة المخزن'!Q129,'تحليل مبيعات'!W:W,'حركة المخزن'!$R$6)</f>
        <v>0</v>
      </c>
      <c r="S129" s="136">
        <f>SUMIFS('تحليل مبيعات'!H:H,'تحليل مبيعات'!C:C,'حركة المخزن'!Q129,'تحليل مبيعات'!W:W,'حركة المخزن'!$S$6)</f>
        <v>0</v>
      </c>
      <c r="T129" s="136">
        <f>SUMIFS('تحليل مبيعات'!H:H,'تحليل مبيعات'!C:C,'حركة المخزن'!Q129,'تحليل مبيعات'!W:W,'حركة المخزن'!$T$6)</f>
        <v>0</v>
      </c>
      <c r="U129" s="136">
        <f>SUMIFS('تحليل مبيعات'!H:H,'تحليل مبيعات'!C:C,'حركة المخزن'!Q129,'تحليل مبيعات'!W:W,'حركة المخزن'!$U$6)</f>
        <v>0</v>
      </c>
      <c r="V129" s="136">
        <f>SUMIFS('تحليل مبيعات'!H:H,'تحليل مبيعات'!C:C,'حركة المخزن'!Q129,'تحليل مبيعات'!W:W,'حركة المخزن'!$V$6)</f>
        <v>0</v>
      </c>
      <c r="W129" s="136">
        <f>SUMIFS('تحليل مبيعات'!H:H,'تحليل مبيعات'!C:C,'حركة المخزن'!Q129,'تحليل مبيعات'!W:W,'حركة المخزن'!$W$6)</f>
        <v>0</v>
      </c>
      <c r="X129" s="136">
        <f>SUMIFS('تحليل مبيعات'!H:H,'تحليل مبيعات'!C:C,'حركة المخزن'!Q129,'تحليل مبيعات'!W:W,'حركة المخزن'!$X$6)</f>
        <v>1</v>
      </c>
      <c r="Y129" s="136">
        <f>SUMIFS('تحليل مبيعات'!H:H,'تحليل مبيعات'!C:C,'حركة المخزن'!Q129,'تحليل مبيعات'!W:W,'حركة المخزن'!$Y$6)</f>
        <v>0</v>
      </c>
      <c r="Z129" s="136">
        <f>SUMIFS('تحليل مبيعات'!H:H,'تحليل مبيعات'!C:C,'حركة المخزن'!Q129,'تحليل مبيعات'!W:W,'حركة المخزن'!$Z$6)</f>
        <v>0</v>
      </c>
      <c r="AA129" s="136">
        <f>SUMIFS('تحليل مبيعات'!H:H,'تحليل مبيعات'!C:C,'حركة المخزن'!Q129,'تحليل مبيعات'!W:W,'حركة المخزن'!$AA$6)</f>
        <v>0</v>
      </c>
      <c r="AB129" s="136">
        <f>SUMIFS('تحليل مبيعات'!H:H,'تحليل مبيعات'!C:C,'حركة المخزن'!Q129,'تحليل مبيعات'!W:W,'حركة المخزن'!$AB$6)</f>
        <v>0</v>
      </c>
      <c r="AC129" s="137">
        <f>SUMIFS('تحليل مبيعات'!H:H,'تحليل مبيعات'!C:C,'حركة المخزن'!Q129,'تحليل مبيعات'!W:W,'حركة المخزن'!$AC$6)</f>
        <v>0</v>
      </c>
      <c r="AD129" s="134">
        <f t="shared" si="9"/>
        <v>1</v>
      </c>
    </row>
    <row r="130" spans="2:30" ht="16.2" thickBot="1" x14ac:dyDescent="0.35">
      <c r="B130" s="74" t="s">
        <v>195</v>
      </c>
      <c r="C130" s="10" t="s">
        <v>391</v>
      </c>
      <c r="D130" s="10" t="s">
        <v>204</v>
      </c>
      <c r="E130" s="145">
        <v>10</v>
      </c>
      <c r="F130" s="145">
        <v>10000</v>
      </c>
      <c r="G130" s="10" t="str">
        <f>IFERROR(IF(SUMIF(المشتريات!C:C, 'حركة المخزن'!B130, المشتريات!F:F)=0,"",SUMIF(المشتريات!C:C, 'حركة المخزن'!B130, المشتريات!F:F)),"0")</f>
        <v/>
      </c>
      <c r="H130" s="10" t="str">
        <f>IFERROR(IF(SUMIF(المشتريات!C:C, 'حركة المخزن'!B130, المشتريات!I:I)=0,"",SUMIF(المشتريات!C:C, 'حركة المخزن'!B130, المشتريات!I:I)),"0")</f>
        <v/>
      </c>
      <c r="I130" s="10">
        <f>IFERROR(IF(SUMIF('تحليل مبيعات'!C:C, 'حركة المخزن'!B130, 'تحليل مبيعات'!H:H)=0,"",SUMIF('تحليل مبيعات'!C:C, 'حركة المخزن'!B130, 'تحليل مبيعات'!H:H)),"")</f>
        <v>1</v>
      </c>
      <c r="J130" s="10">
        <f>IFERROR(IF(SUMIF('تحليل مبيعات'!C:C, 'حركة المخزن'!B130, 'تحليل مبيعات'!L:L)=0,"",SUMIF('تحليل مبيعات'!C:C, 'حركة المخزن'!B130, 'تحليل مبيعات'!L:L)),"")</f>
        <v>100</v>
      </c>
      <c r="K130" s="10" t="str">
        <f t="shared" si="6"/>
        <v/>
      </c>
      <c r="L130" s="10" t="str">
        <f t="shared" si="7"/>
        <v/>
      </c>
      <c r="M130" s="10">
        <v>5</v>
      </c>
      <c r="N130" s="10" t="str">
        <f t="shared" si="8"/>
        <v>يوجد رصيد كافى</v>
      </c>
      <c r="O130" s="44">
        <v>310</v>
      </c>
      <c r="Q130" s="130" t="str">
        <v>قاعدة فتيس سوبر</v>
      </c>
      <c r="R130" s="135">
        <f>SUMIFS('تحليل مبيعات'!H:H,'تحليل مبيعات'!C:C,'حركة المخزن'!Q130,'تحليل مبيعات'!W:W,'حركة المخزن'!$R$6)</f>
        <v>0</v>
      </c>
      <c r="S130" s="136">
        <f>SUMIFS('تحليل مبيعات'!H:H,'تحليل مبيعات'!C:C,'حركة المخزن'!Q130,'تحليل مبيعات'!W:W,'حركة المخزن'!$S$6)</f>
        <v>0</v>
      </c>
      <c r="T130" s="136">
        <f>SUMIFS('تحليل مبيعات'!H:H,'تحليل مبيعات'!C:C,'حركة المخزن'!Q130,'تحليل مبيعات'!W:W,'حركة المخزن'!$T$6)</f>
        <v>0</v>
      </c>
      <c r="U130" s="136">
        <f>SUMIFS('تحليل مبيعات'!H:H,'تحليل مبيعات'!C:C,'حركة المخزن'!Q130,'تحليل مبيعات'!W:W,'حركة المخزن'!$U$6)</f>
        <v>0</v>
      </c>
      <c r="V130" s="136">
        <f>SUMIFS('تحليل مبيعات'!H:H,'تحليل مبيعات'!C:C,'حركة المخزن'!Q130,'تحليل مبيعات'!W:W,'حركة المخزن'!$V$6)</f>
        <v>0</v>
      </c>
      <c r="W130" s="136">
        <f>SUMIFS('تحليل مبيعات'!H:H,'تحليل مبيعات'!C:C,'حركة المخزن'!Q130,'تحليل مبيعات'!W:W,'حركة المخزن'!$W$6)</f>
        <v>0</v>
      </c>
      <c r="X130" s="136">
        <f>SUMIFS('تحليل مبيعات'!H:H,'تحليل مبيعات'!C:C,'حركة المخزن'!Q130,'تحليل مبيعات'!W:W,'حركة المخزن'!$X$6)</f>
        <v>1</v>
      </c>
      <c r="Y130" s="136">
        <f>SUMIFS('تحليل مبيعات'!H:H,'تحليل مبيعات'!C:C,'حركة المخزن'!Q130,'تحليل مبيعات'!W:W,'حركة المخزن'!$Y$6)</f>
        <v>0</v>
      </c>
      <c r="Z130" s="136">
        <f>SUMIFS('تحليل مبيعات'!H:H,'تحليل مبيعات'!C:C,'حركة المخزن'!Q130,'تحليل مبيعات'!W:W,'حركة المخزن'!$Z$6)</f>
        <v>0</v>
      </c>
      <c r="AA130" s="136">
        <f>SUMIFS('تحليل مبيعات'!H:H,'تحليل مبيعات'!C:C,'حركة المخزن'!Q130,'تحليل مبيعات'!W:W,'حركة المخزن'!$AA$6)</f>
        <v>0</v>
      </c>
      <c r="AB130" s="136">
        <f>SUMIFS('تحليل مبيعات'!H:H,'تحليل مبيعات'!C:C,'حركة المخزن'!Q130,'تحليل مبيعات'!W:W,'حركة المخزن'!$AB$6)</f>
        <v>0</v>
      </c>
      <c r="AC130" s="137">
        <f>SUMIFS('تحليل مبيعات'!H:H,'تحليل مبيعات'!C:C,'حركة المخزن'!Q130,'تحليل مبيعات'!W:W,'حركة المخزن'!$AC$6)</f>
        <v>0</v>
      </c>
      <c r="AD130" s="134">
        <f t="shared" si="9"/>
        <v>1</v>
      </c>
    </row>
    <row r="131" spans="2:30" ht="16.2" thickBot="1" x14ac:dyDescent="0.35">
      <c r="B131" s="74" t="s">
        <v>196</v>
      </c>
      <c r="C131" s="10" t="s">
        <v>392</v>
      </c>
      <c r="D131" s="10" t="s">
        <v>204</v>
      </c>
      <c r="E131" s="145">
        <v>10</v>
      </c>
      <c r="F131" s="145">
        <v>10000</v>
      </c>
      <c r="G131" s="10" t="str">
        <f>IFERROR(IF(SUMIF(المشتريات!C:C, 'حركة المخزن'!B131, المشتريات!F:F)=0,"",SUMIF(المشتريات!C:C, 'حركة المخزن'!B131, المشتريات!F:F)),"0")</f>
        <v/>
      </c>
      <c r="H131" s="10" t="str">
        <f>IFERROR(IF(SUMIF(المشتريات!C:C, 'حركة المخزن'!B131, المشتريات!I:I)=0,"",SUMIF(المشتريات!C:C, 'حركة المخزن'!B131, المشتريات!I:I)),"0")</f>
        <v/>
      </c>
      <c r="I131" s="10">
        <f>IFERROR(IF(SUMIF('تحليل مبيعات'!C:C, 'حركة المخزن'!B131, 'تحليل مبيعات'!H:H)=0,"",SUMIF('تحليل مبيعات'!C:C, 'حركة المخزن'!B131, 'تحليل مبيعات'!H:H)),"")</f>
        <v>1</v>
      </c>
      <c r="J131" s="10">
        <f>IFERROR(IF(SUMIF('تحليل مبيعات'!C:C, 'حركة المخزن'!B131, 'تحليل مبيعات'!L:L)=0,"",SUMIF('تحليل مبيعات'!C:C, 'حركة المخزن'!B131, 'تحليل مبيعات'!L:L)),"")</f>
        <v>40</v>
      </c>
      <c r="K131" s="10" t="str">
        <f t="shared" si="6"/>
        <v/>
      </c>
      <c r="L131" s="10" t="str">
        <f t="shared" si="7"/>
        <v/>
      </c>
      <c r="M131" s="10">
        <v>5</v>
      </c>
      <c r="N131" s="10" t="str">
        <f t="shared" si="8"/>
        <v>يوجد رصيد كافى</v>
      </c>
      <c r="O131" s="44">
        <v>315</v>
      </c>
      <c r="Q131" s="130" t="str">
        <v>وش تقسيمة</v>
      </c>
      <c r="R131" s="135">
        <f>SUMIFS('تحليل مبيعات'!H:H,'تحليل مبيعات'!C:C,'حركة المخزن'!Q131,'تحليل مبيعات'!W:W,'حركة المخزن'!$R$6)</f>
        <v>0</v>
      </c>
      <c r="S131" s="136">
        <f>SUMIFS('تحليل مبيعات'!H:H,'تحليل مبيعات'!C:C,'حركة المخزن'!Q131,'تحليل مبيعات'!W:W,'حركة المخزن'!$S$6)</f>
        <v>0</v>
      </c>
      <c r="T131" s="136">
        <f>SUMIFS('تحليل مبيعات'!H:H,'تحليل مبيعات'!C:C,'حركة المخزن'!Q131,'تحليل مبيعات'!W:W,'حركة المخزن'!$T$6)</f>
        <v>0</v>
      </c>
      <c r="U131" s="136">
        <f>SUMIFS('تحليل مبيعات'!H:H,'تحليل مبيعات'!C:C,'حركة المخزن'!Q131,'تحليل مبيعات'!W:W,'حركة المخزن'!$U$6)</f>
        <v>0</v>
      </c>
      <c r="V131" s="136">
        <f>SUMIFS('تحليل مبيعات'!H:H,'تحليل مبيعات'!C:C,'حركة المخزن'!Q131,'تحليل مبيعات'!W:W,'حركة المخزن'!$V$6)</f>
        <v>0</v>
      </c>
      <c r="W131" s="136">
        <f>SUMIFS('تحليل مبيعات'!H:H,'تحليل مبيعات'!C:C,'حركة المخزن'!Q131,'تحليل مبيعات'!W:W,'حركة المخزن'!$W$6)</f>
        <v>0</v>
      </c>
      <c r="X131" s="136">
        <f>SUMIFS('تحليل مبيعات'!H:H,'تحليل مبيعات'!C:C,'حركة المخزن'!Q131,'تحليل مبيعات'!W:W,'حركة المخزن'!$X$6)</f>
        <v>1</v>
      </c>
      <c r="Y131" s="136">
        <f>SUMIFS('تحليل مبيعات'!H:H,'تحليل مبيعات'!C:C,'حركة المخزن'!Q131,'تحليل مبيعات'!W:W,'حركة المخزن'!$Y$6)</f>
        <v>0</v>
      </c>
      <c r="Z131" s="136">
        <f>SUMIFS('تحليل مبيعات'!H:H,'تحليل مبيعات'!C:C,'حركة المخزن'!Q131,'تحليل مبيعات'!W:W,'حركة المخزن'!$Z$6)</f>
        <v>0</v>
      </c>
      <c r="AA131" s="136">
        <f>SUMIFS('تحليل مبيعات'!H:H,'تحليل مبيعات'!C:C,'حركة المخزن'!Q131,'تحليل مبيعات'!W:W,'حركة المخزن'!$AA$6)</f>
        <v>0</v>
      </c>
      <c r="AB131" s="136">
        <f>SUMIFS('تحليل مبيعات'!H:H,'تحليل مبيعات'!C:C,'حركة المخزن'!Q131,'تحليل مبيعات'!W:W,'حركة المخزن'!$AB$6)</f>
        <v>0</v>
      </c>
      <c r="AC131" s="137">
        <f>SUMIFS('تحليل مبيعات'!H:H,'تحليل مبيعات'!C:C,'حركة المخزن'!Q131,'تحليل مبيعات'!W:W,'حركة المخزن'!$AC$6)</f>
        <v>0</v>
      </c>
      <c r="AD131" s="134">
        <f t="shared" si="9"/>
        <v>1</v>
      </c>
    </row>
    <row r="132" spans="2:30" ht="16.2" thickBot="1" x14ac:dyDescent="0.35">
      <c r="B132" s="74" t="s">
        <v>160</v>
      </c>
      <c r="C132" s="10" t="s">
        <v>393</v>
      </c>
      <c r="D132" s="10" t="s">
        <v>204</v>
      </c>
      <c r="E132" s="145">
        <v>10</v>
      </c>
      <c r="F132" s="145">
        <v>10000</v>
      </c>
      <c r="G132" s="10">
        <f>IFERROR(IF(SUMIF(المشتريات!C:C, 'حركة المخزن'!B132, المشتريات!F:F)=0,"",SUMIF(المشتريات!C:C, 'حركة المخزن'!B132, المشتريات!F:F)),"0")</f>
        <v>10</v>
      </c>
      <c r="H132" s="10">
        <f>IFERROR(IF(SUMIF(المشتريات!C:C, 'حركة المخزن'!B132, المشتريات!I:I)=0,"",SUMIF(المشتريات!C:C, 'حركة المخزن'!B132, المشتريات!I:I)),"0")</f>
        <v>2000</v>
      </c>
      <c r="I132" s="10">
        <f>IFERROR(IF(SUMIF('تحليل مبيعات'!C:C, 'حركة المخزن'!B132, 'تحليل مبيعات'!H:H)=0,"",SUMIF('تحليل مبيعات'!C:C, 'حركة المخزن'!B132, 'تحليل مبيعات'!H:H)),"")</f>
        <v>4</v>
      </c>
      <c r="J132" s="10">
        <f>IFERROR(IF(SUMIF('تحليل مبيعات'!C:C, 'حركة المخزن'!B132, 'تحليل مبيعات'!L:L)=0,"",SUMIF('تحليل مبيعات'!C:C, 'حركة المخزن'!B132, 'تحليل مبيعات'!L:L)),"")</f>
        <v>1200</v>
      </c>
      <c r="K132" s="10">
        <f t="shared" si="6"/>
        <v>16</v>
      </c>
      <c r="L132" s="10">
        <f t="shared" si="7"/>
        <v>10800</v>
      </c>
      <c r="M132" s="10">
        <v>5</v>
      </c>
      <c r="N132" s="10" t="str">
        <f t="shared" si="8"/>
        <v>يوجد رصيد كافى</v>
      </c>
      <c r="O132" s="44">
        <v>320</v>
      </c>
      <c r="Q132" s="130" t="str">
        <v>طلمبه مياة</v>
      </c>
      <c r="R132" s="135">
        <f>SUMIFS('تحليل مبيعات'!H:H,'تحليل مبيعات'!C:C,'حركة المخزن'!Q132,'تحليل مبيعات'!W:W,'حركة المخزن'!$R$6)</f>
        <v>0</v>
      </c>
      <c r="S132" s="136">
        <f>SUMIFS('تحليل مبيعات'!H:H,'تحليل مبيعات'!C:C,'حركة المخزن'!Q132,'تحليل مبيعات'!W:W,'حركة المخزن'!$S$6)</f>
        <v>0</v>
      </c>
      <c r="T132" s="136">
        <f>SUMIFS('تحليل مبيعات'!H:H,'تحليل مبيعات'!C:C,'حركة المخزن'!Q132,'تحليل مبيعات'!W:W,'حركة المخزن'!$T$6)</f>
        <v>0</v>
      </c>
      <c r="U132" s="136">
        <f>SUMIFS('تحليل مبيعات'!H:H,'تحليل مبيعات'!C:C,'حركة المخزن'!Q132,'تحليل مبيعات'!W:W,'حركة المخزن'!$U$6)</f>
        <v>0</v>
      </c>
      <c r="V132" s="136">
        <f>SUMIFS('تحليل مبيعات'!H:H,'تحليل مبيعات'!C:C,'حركة المخزن'!Q132,'تحليل مبيعات'!W:W,'حركة المخزن'!$V$6)</f>
        <v>0</v>
      </c>
      <c r="W132" s="136">
        <f>SUMIFS('تحليل مبيعات'!H:H,'تحليل مبيعات'!C:C,'حركة المخزن'!Q132,'تحليل مبيعات'!W:W,'حركة المخزن'!$W$6)</f>
        <v>0</v>
      </c>
      <c r="X132" s="136">
        <f>SUMIFS('تحليل مبيعات'!H:H,'تحليل مبيعات'!C:C,'حركة المخزن'!Q132,'تحليل مبيعات'!W:W,'حركة المخزن'!$X$6)</f>
        <v>1</v>
      </c>
      <c r="Y132" s="136">
        <f>SUMIFS('تحليل مبيعات'!H:H,'تحليل مبيعات'!C:C,'حركة المخزن'!Q132,'تحليل مبيعات'!W:W,'حركة المخزن'!$Y$6)</f>
        <v>0</v>
      </c>
      <c r="Z132" s="136">
        <f>SUMIFS('تحليل مبيعات'!H:H,'تحليل مبيعات'!C:C,'حركة المخزن'!Q132,'تحليل مبيعات'!W:W,'حركة المخزن'!$Z$6)</f>
        <v>0</v>
      </c>
      <c r="AA132" s="136">
        <f>SUMIFS('تحليل مبيعات'!H:H,'تحليل مبيعات'!C:C,'حركة المخزن'!Q132,'تحليل مبيعات'!W:W,'حركة المخزن'!$AA$6)</f>
        <v>0</v>
      </c>
      <c r="AB132" s="136">
        <f>SUMIFS('تحليل مبيعات'!H:H,'تحليل مبيعات'!C:C,'حركة المخزن'!Q132,'تحليل مبيعات'!W:W,'حركة المخزن'!$AB$6)</f>
        <v>0</v>
      </c>
      <c r="AC132" s="137">
        <f>SUMIFS('تحليل مبيعات'!H:H,'تحليل مبيعات'!C:C,'حركة المخزن'!Q132,'تحليل مبيعات'!W:W,'حركة المخزن'!$AC$6)</f>
        <v>0</v>
      </c>
      <c r="AD132" s="134">
        <f t="shared" si="9"/>
        <v>1</v>
      </c>
    </row>
    <row r="133" spans="2:30" ht="16.2" thickBot="1" x14ac:dyDescent="0.35">
      <c r="B133" s="74" t="s">
        <v>197</v>
      </c>
      <c r="C133" s="10" t="s">
        <v>394</v>
      </c>
      <c r="D133" s="10" t="s">
        <v>204</v>
      </c>
      <c r="E133" s="145">
        <v>10</v>
      </c>
      <c r="F133" s="145">
        <v>10000</v>
      </c>
      <c r="G133" s="10" t="str">
        <f>IFERROR(IF(SUMIF(المشتريات!C:C, 'حركة المخزن'!B133, المشتريات!F:F)=0,"",SUMIF(المشتريات!C:C, 'حركة المخزن'!B133, المشتريات!F:F)),"0")</f>
        <v/>
      </c>
      <c r="H133" s="10" t="str">
        <f>IFERROR(IF(SUMIF(المشتريات!C:C, 'حركة المخزن'!B133, المشتريات!I:I)=0,"",SUMIF(المشتريات!C:C, 'حركة المخزن'!B133, المشتريات!I:I)),"0")</f>
        <v/>
      </c>
      <c r="I133" s="10">
        <f>IFERROR(IF(SUMIF('تحليل مبيعات'!C:C, 'حركة المخزن'!B133, 'تحليل مبيعات'!H:H)=0,"",SUMIF('تحليل مبيعات'!C:C, 'حركة المخزن'!B133, 'تحليل مبيعات'!H:H)),"")</f>
        <v>8</v>
      </c>
      <c r="J133" s="10">
        <f>IFERROR(IF(SUMIF('تحليل مبيعات'!C:C, 'حركة المخزن'!B133, 'تحليل مبيعات'!L:L)=0,"",SUMIF('تحليل مبيعات'!C:C, 'حركة المخزن'!B133, 'تحليل مبيعات'!L:L)),"")</f>
        <v>15</v>
      </c>
      <c r="K133" s="10" t="str">
        <f t="shared" si="6"/>
        <v/>
      </c>
      <c r="L133" s="10" t="str">
        <f t="shared" si="7"/>
        <v/>
      </c>
      <c r="M133" s="10">
        <v>5</v>
      </c>
      <c r="N133" s="10" t="str">
        <f t="shared" si="8"/>
        <v>يوجد رصيد كافى</v>
      </c>
      <c r="O133" s="44">
        <v>325</v>
      </c>
      <c r="Q133" s="130" t="str">
        <v>اويل سيل فتيس خلفى تويوتا 90</v>
      </c>
      <c r="R133" s="135">
        <f>SUMIFS('تحليل مبيعات'!H:H,'تحليل مبيعات'!C:C,'حركة المخزن'!Q133,'تحليل مبيعات'!W:W,'حركة المخزن'!$R$6)</f>
        <v>0</v>
      </c>
      <c r="S133" s="136">
        <f>SUMIFS('تحليل مبيعات'!H:H,'تحليل مبيعات'!C:C,'حركة المخزن'!Q133,'تحليل مبيعات'!W:W,'حركة المخزن'!$S$6)</f>
        <v>0</v>
      </c>
      <c r="T133" s="136">
        <f>SUMIFS('تحليل مبيعات'!H:H,'تحليل مبيعات'!C:C,'حركة المخزن'!Q133,'تحليل مبيعات'!W:W,'حركة المخزن'!$T$6)</f>
        <v>0</v>
      </c>
      <c r="U133" s="136">
        <f>SUMIFS('تحليل مبيعات'!H:H,'تحليل مبيعات'!C:C,'حركة المخزن'!Q133,'تحليل مبيعات'!W:W,'حركة المخزن'!$U$6)</f>
        <v>0</v>
      </c>
      <c r="V133" s="136">
        <f>SUMIFS('تحليل مبيعات'!H:H,'تحليل مبيعات'!C:C,'حركة المخزن'!Q133,'تحليل مبيعات'!W:W,'حركة المخزن'!$V$6)</f>
        <v>0</v>
      </c>
      <c r="W133" s="136">
        <f>SUMIFS('تحليل مبيعات'!H:H,'تحليل مبيعات'!C:C,'حركة المخزن'!Q133,'تحليل مبيعات'!W:W,'حركة المخزن'!$W$6)</f>
        <v>0</v>
      </c>
      <c r="X133" s="136">
        <f>SUMIFS('تحليل مبيعات'!H:H,'تحليل مبيعات'!C:C,'حركة المخزن'!Q133,'تحليل مبيعات'!W:W,'حركة المخزن'!$X$6)</f>
        <v>1</v>
      </c>
      <c r="Y133" s="136">
        <f>SUMIFS('تحليل مبيعات'!H:H,'تحليل مبيعات'!C:C,'حركة المخزن'!Q133,'تحليل مبيعات'!W:W,'حركة المخزن'!$Y$6)</f>
        <v>0</v>
      </c>
      <c r="Z133" s="136">
        <f>SUMIFS('تحليل مبيعات'!H:H,'تحليل مبيعات'!C:C,'حركة المخزن'!Q133,'تحليل مبيعات'!W:W,'حركة المخزن'!$Z$6)</f>
        <v>0</v>
      </c>
      <c r="AA133" s="136">
        <f>SUMIFS('تحليل مبيعات'!H:H,'تحليل مبيعات'!C:C,'حركة المخزن'!Q133,'تحليل مبيعات'!W:W,'حركة المخزن'!$AA$6)</f>
        <v>0</v>
      </c>
      <c r="AB133" s="136">
        <f>SUMIFS('تحليل مبيعات'!H:H,'تحليل مبيعات'!C:C,'حركة المخزن'!Q133,'تحليل مبيعات'!W:W,'حركة المخزن'!$AB$6)</f>
        <v>0</v>
      </c>
      <c r="AC133" s="137">
        <f>SUMIFS('تحليل مبيعات'!H:H,'تحليل مبيعات'!C:C,'حركة المخزن'!Q133,'تحليل مبيعات'!W:W,'حركة المخزن'!$AC$6)</f>
        <v>0</v>
      </c>
      <c r="AD133" s="134">
        <f t="shared" si="9"/>
        <v>1</v>
      </c>
    </row>
    <row r="134" spans="2:30" ht="16.2" thickBot="1" x14ac:dyDescent="0.35">
      <c r="B134" s="74" t="s">
        <v>198</v>
      </c>
      <c r="C134" s="10" t="s">
        <v>395</v>
      </c>
      <c r="D134" s="10" t="s">
        <v>204</v>
      </c>
      <c r="E134" s="145">
        <v>10</v>
      </c>
      <c r="F134" s="145">
        <v>10000</v>
      </c>
      <c r="G134" s="10" t="str">
        <f>IFERROR(IF(SUMIF(المشتريات!C:C, 'حركة المخزن'!B134, المشتريات!F:F)=0,"",SUMIF(المشتريات!C:C, 'حركة المخزن'!B134, المشتريات!F:F)),"0")</f>
        <v/>
      </c>
      <c r="H134" s="10" t="str">
        <f>IFERROR(IF(SUMIF(المشتريات!C:C, 'حركة المخزن'!B134, المشتريات!I:I)=0,"",SUMIF(المشتريات!C:C, 'حركة المخزن'!B134, المشتريات!I:I)),"0")</f>
        <v/>
      </c>
      <c r="I134" s="10">
        <f>IFERROR(IF(SUMIF('تحليل مبيعات'!C:C, 'حركة المخزن'!B134, 'تحليل مبيعات'!H:H)=0,"",SUMIF('تحليل مبيعات'!C:C, 'حركة المخزن'!B134, 'تحليل مبيعات'!H:H)),"")</f>
        <v>1</v>
      </c>
      <c r="J134" s="10">
        <f>IFERROR(IF(SUMIF('تحليل مبيعات'!C:C, 'حركة المخزن'!B134, 'تحليل مبيعات'!L:L)=0,"",SUMIF('تحليل مبيعات'!C:C, 'حركة المخزن'!B134, 'تحليل مبيعات'!L:L)),"")</f>
        <v>450</v>
      </c>
      <c r="K134" s="10" t="str">
        <f t="shared" si="6"/>
        <v/>
      </c>
      <c r="L134" s="10" t="str">
        <f t="shared" si="7"/>
        <v/>
      </c>
      <c r="M134" s="10">
        <v>5</v>
      </c>
      <c r="N134" s="10" t="str">
        <f t="shared" si="8"/>
        <v>يوجد رصيد كافى</v>
      </c>
      <c r="O134" s="44">
        <v>330</v>
      </c>
      <c r="Q134" s="130" t="str">
        <v>مسمار ميزان سوبر</v>
      </c>
      <c r="R134" s="135">
        <f>SUMIFS('تحليل مبيعات'!H:H,'تحليل مبيعات'!C:C,'حركة المخزن'!Q134,'تحليل مبيعات'!W:W,'حركة المخزن'!$R$6)</f>
        <v>0</v>
      </c>
      <c r="S134" s="136">
        <f>SUMIFS('تحليل مبيعات'!H:H,'تحليل مبيعات'!C:C,'حركة المخزن'!Q134,'تحليل مبيعات'!W:W,'حركة المخزن'!$S$6)</f>
        <v>0</v>
      </c>
      <c r="T134" s="136">
        <f>SUMIFS('تحليل مبيعات'!H:H,'تحليل مبيعات'!C:C,'حركة المخزن'!Q134,'تحليل مبيعات'!W:W,'حركة المخزن'!$T$6)</f>
        <v>0</v>
      </c>
      <c r="U134" s="136">
        <f>SUMIFS('تحليل مبيعات'!H:H,'تحليل مبيعات'!C:C,'حركة المخزن'!Q134,'تحليل مبيعات'!W:W,'حركة المخزن'!$U$6)</f>
        <v>0</v>
      </c>
      <c r="V134" s="136">
        <f>SUMIFS('تحليل مبيعات'!H:H,'تحليل مبيعات'!C:C,'حركة المخزن'!Q134,'تحليل مبيعات'!W:W,'حركة المخزن'!$V$6)</f>
        <v>0</v>
      </c>
      <c r="W134" s="136">
        <f>SUMIFS('تحليل مبيعات'!H:H,'تحليل مبيعات'!C:C,'حركة المخزن'!Q134,'تحليل مبيعات'!W:W,'حركة المخزن'!$W$6)</f>
        <v>0</v>
      </c>
      <c r="X134" s="136">
        <f>SUMIFS('تحليل مبيعات'!H:H,'تحليل مبيعات'!C:C,'حركة المخزن'!Q134,'تحليل مبيعات'!W:W,'حركة المخزن'!$X$6)</f>
        <v>1</v>
      </c>
      <c r="Y134" s="136">
        <f>SUMIFS('تحليل مبيعات'!H:H,'تحليل مبيعات'!C:C,'حركة المخزن'!Q134,'تحليل مبيعات'!W:W,'حركة المخزن'!$Y$6)</f>
        <v>0</v>
      </c>
      <c r="Z134" s="136">
        <f>SUMIFS('تحليل مبيعات'!H:H,'تحليل مبيعات'!C:C,'حركة المخزن'!Q134,'تحليل مبيعات'!W:W,'حركة المخزن'!$Z$6)</f>
        <v>0</v>
      </c>
      <c r="AA134" s="136">
        <f>SUMIFS('تحليل مبيعات'!H:H,'تحليل مبيعات'!C:C,'حركة المخزن'!Q134,'تحليل مبيعات'!W:W,'حركة المخزن'!$AA$6)</f>
        <v>0</v>
      </c>
      <c r="AB134" s="136">
        <f>SUMIFS('تحليل مبيعات'!H:H,'تحليل مبيعات'!C:C,'حركة المخزن'!Q134,'تحليل مبيعات'!W:W,'حركة المخزن'!$AB$6)</f>
        <v>0</v>
      </c>
      <c r="AC134" s="137">
        <f>SUMIFS('تحليل مبيعات'!H:H,'تحليل مبيعات'!C:C,'حركة المخزن'!Q134,'تحليل مبيعات'!W:W,'حركة المخزن'!$AC$6)</f>
        <v>0</v>
      </c>
      <c r="AD134" s="134">
        <f t="shared" si="9"/>
        <v>1</v>
      </c>
    </row>
    <row r="135" spans="2:30" ht="16.2" thickBot="1" x14ac:dyDescent="0.35">
      <c r="B135" s="70" t="s">
        <v>10</v>
      </c>
      <c r="C135" s="10" t="s">
        <v>396</v>
      </c>
      <c r="D135" s="10" t="s">
        <v>1</v>
      </c>
      <c r="E135" s="145">
        <v>10</v>
      </c>
      <c r="F135" s="145">
        <v>10000</v>
      </c>
      <c r="G135" s="10" t="str">
        <f>IFERROR(IF(SUMIF(المشتريات!C:C, 'حركة المخزن'!B135, المشتريات!F:F)=0,"",SUMIF(المشتريات!C:C, 'حركة المخزن'!B135, المشتريات!F:F)),"0")</f>
        <v/>
      </c>
      <c r="H135" s="10" t="str">
        <f>IFERROR(IF(SUMIF(المشتريات!C:C, 'حركة المخزن'!B135, المشتريات!I:I)=0,"",SUMIF(المشتريات!C:C, 'حركة المخزن'!B135, المشتريات!I:I)),"0")</f>
        <v/>
      </c>
      <c r="I135" s="10">
        <f>IFERROR(IF(SUMIF('تحليل مبيعات'!C:C, 'حركة المخزن'!B135, 'تحليل مبيعات'!H:H)=0,"",SUMIF('تحليل مبيعات'!C:C, 'حركة المخزن'!B135, 'تحليل مبيعات'!H:H)),"")</f>
        <v>1</v>
      </c>
      <c r="J135" s="10">
        <f>IFERROR(IF(SUMIF('تحليل مبيعات'!C:C, 'حركة المخزن'!B135, 'تحليل مبيعات'!L:L)=0,"",SUMIF('تحليل مبيعات'!C:C, 'حركة المخزن'!B135, 'تحليل مبيعات'!L:L)),"")</f>
        <v>1750</v>
      </c>
      <c r="K135" s="10" t="str">
        <f t="shared" si="6"/>
        <v/>
      </c>
      <c r="L135" s="10" t="str">
        <f t="shared" si="7"/>
        <v/>
      </c>
      <c r="M135" s="10">
        <v>5</v>
      </c>
      <c r="N135" s="10" t="str">
        <f t="shared" si="8"/>
        <v>يوجد رصيد كافى</v>
      </c>
      <c r="O135" s="44">
        <v>335</v>
      </c>
      <c r="Q135" s="130" t="str">
        <v>حامل باب جر علوى</v>
      </c>
      <c r="R135" s="135">
        <f>SUMIFS('تحليل مبيعات'!H:H,'تحليل مبيعات'!C:C,'حركة المخزن'!Q135,'تحليل مبيعات'!W:W,'حركة المخزن'!$R$6)</f>
        <v>0</v>
      </c>
      <c r="S135" s="136">
        <f>SUMIFS('تحليل مبيعات'!H:H,'تحليل مبيعات'!C:C,'حركة المخزن'!Q135,'تحليل مبيعات'!W:W,'حركة المخزن'!$S$6)</f>
        <v>0</v>
      </c>
      <c r="T135" s="136">
        <f>SUMIFS('تحليل مبيعات'!H:H,'تحليل مبيعات'!C:C,'حركة المخزن'!Q135,'تحليل مبيعات'!W:W,'حركة المخزن'!$T$6)</f>
        <v>0</v>
      </c>
      <c r="U135" s="136">
        <f>SUMIFS('تحليل مبيعات'!H:H,'تحليل مبيعات'!C:C,'حركة المخزن'!Q135,'تحليل مبيعات'!W:W,'حركة المخزن'!$U$6)</f>
        <v>0</v>
      </c>
      <c r="V135" s="136">
        <f>SUMIFS('تحليل مبيعات'!H:H,'تحليل مبيعات'!C:C,'حركة المخزن'!Q135,'تحليل مبيعات'!W:W,'حركة المخزن'!$V$6)</f>
        <v>0</v>
      </c>
      <c r="W135" s="136">
        <f>SUMIFS('تحليل مبيعات'!H:H,'تحليل مبيعات'!C:C,'حركة المخزن'!Q135,'تحليل مبيعات'!W:W,'حركة المخزن'!$W$6)</f>
        <v>0</v>
      </c>
      <c r="X135" s="136">
        <f>SUMIFS('تحليل مبيعات'!H:H,'تحليل مبيعات'!C:C,'حركة المخزن'!Q135,'تحليل مبيعات'!W:W,'حركة المخزن'!$X$6)</f>
        <v>1</v>
      </c>
      <c r="Y135" s="136">
        <f>SUMIFS('تحليل مبيعات'!H:H,'تحليل مبيعات'!C:C,'حركة المخزن'!Q135,'تحليل مبيعات'!W:W,'حركة المخزن'!$Y$6)</f>
        <v>0</v>
      </c>
      <c r="Z135" s="136">
        <f>SUMIFS('تحليل مبيعات'!H:H,'تحليل مبيعات'!C:C,'حركة المخزن'!Q135,'تحليل مبيعات'!W:W,'حركة المخزن'!$Z$6)</f>
        <v>0</v>
      </c>
      <c r="AA135" s="136">
        <f>SUMIFS('تحليل مبيعات'!H:H,'تحليل مبيعات'!C:C,'حركة المخزن'!Q135,'تحليل مبيعات'!W:W,'حركة المخزن'!$AA$6)</f>
        <v>0</v>
      </c>
      <c r="AB135" s="136">
        <f>SUMIFS('تحليل مبيعات'!H:H,'تحليل مبيعات'!C:C,'حركة المخزن'!Q135,'تحليل مبيعات'!W:W,'حركة المخزن'!$AB$6)</f>
        <v>0</v>
      </c>
      <c r="AC135" s="137">
        <f>SUMIFS('تحليل مبيعات'!H:H,'تحليل مبيعات'!C:C,'حركة المخزن'!Q135,'تحليل مبيعات'!W:W,'حركة المخزن'!$AC$6)</f>
        <v>0</v>
      </c>
      <c r="AD135" s="134">
        <f t="shared" ref="AD135:AD162" si="10">SUM(R135:AC135)</f>
        <v>1</v>
      </c>
    </row>
    <row r="136" spans="2:30" ht="16.2" thickBot="1" x14ac:dyDescent="0.35">
      <c r="B136" s="70" t="s">
        <v>18</v>
      </c>
      <c r="C136" s="10" t="s">
        <v>397</v>
      </c>
      <c r="D136" s="10" t="s">
        <v>1</v>
      </c>
      <c r="E136" s="145">
        <v>10</v>
      </c>
      <c r="F136" s="145">
        <v>10000</v>
      </c>
      <c r="G136" s="10" t="str">
        <f>IFERROR(IF(SUMIF(المشتريات!C:C, 'حركة المخزن'!B136, المشتريات!F:F)=0,"",SUMIF(المشتريات!C:C, 'حركة المخزن'!B136, المشتريات!F:F)),"0")</f>
        <v/>
      </c>
      <c r="H136" s="10" t="str">
        <f>IFERROR(IF(SUMIF(المشتريات!C:C, 'حركة المخزن'!B136, المشتريات!I:I)=0,"",SUMIF(المشتريات!C:C, 'حركة المخزن'!B136, المشتريات!I:I)),"0")</f>
        <v/>
      </c>
      <c r="I136" s="10">
        <f>IFERROR(IF(SUMIF('تحليل مبيعات'!C:C, 'حركة المخزن'!B136, 'تحليل مبيعات'!H:H)=0,"",SUMIF('تحليل مبيعات'!C:C, 'حركة المخزن'!B136, 'تحليل مبيعات'!H:H)),"")</f>
        <v>1</v>
      </c>
      <c r="J136" s="10">
        <f>IFERROR(IF(SUMIF('تحليل مبيعات'!C:C, 'حركة المخزن'!B136, 'تحليل مبيعات'!L:L)=0,"",SUMIF('تحليل مبيعات'!C:C, 'حركة المخزن'!B136, 'تحليل مبيعات'!L:L)),"")</f>
        <v>1350</v>
      </c>
      <c r="K136" s="10" t="str">
        <f t="shared" si="6"/>
        <v/>
      </c>
      <c r="L136" s="10" t="str">
        <f t="shared" si="7"/>
        <v/>
      </c>
      <c r="M136" s="10">
        <v>5</v>
      </c>
      <c r="N136" s="10" t="str">
        <f t="shared" si="8"/>
        <v>يوجد رصيد كافى</v>
      </c>
      <c r="O136" s="44">
        <v>340</v>
      </c>
      <c r="Q136" s="130" t="str">
        <v>كاوتشة شداد</v>
      </c>
      <c r="R136" s="135">
        <f>SUMIFS('تحليل مبيعات'!H:H,'تحليل مبيعات'!C:C,'حركة المخزن'!Q136,'تحليل مبيعات'!W:W,'حركة المخزن'!$R$6)</f>
        <v>0</v>
      </c>
      <c r="S136" s="136">
        <f>SUMIFS('تحليل مبيعات'!H:H,'تحليل مبيعات'!C:C,'حركة المخزن'!Q136,'تحليل مبيعات'!W:W,'حركة المخزن'!$S$6)</f>
        <v>0</v>
      </c>
      <c r="T136" s="136">
        <f>SUMIFS('تحليل مبيعات'!H:H,'تحليل مبيعات'!C:C,'حركة المخزن'!Q136,'تحليل مبيعات'!W:W,'حركة المخزن'!$T$6)</f>
        <v>0</v>
      </c>
      <c r="U136" s="136">
        <f>SUMIFS('تحليل مبيعات'!H:H,'تحليل مبيعات'!C:C,'حركة المخزن'!Q136,'تحليل مبيعات'!W:W,'حركة المخزن'!$U$6)</f>
        <v>0</v>
      </c>
      <c r="V136" s="136">
        <f>SUMIFS('تحليل مبيعات'!H:H,'تحليل مبيعات'!C:C,'حركة المخزن'!Q136,'تحليل مبيعات'!W:W,'حركة المخزن'!$V$6)</f>
        <v>0</v>
      </c>
      <c r="W136" s="136">
        <f>SUMIFS('تحليل مبيعات'!H:H,'تحليل مبيعات'!C:C,'حركة المخزن'!Q136,'تحليل مبيعات'!W:W,'حركة المخزن'!$W$6)</f>
        <v>0</v>
      </c>
      <c r="X136" s="136">
        <f>SUMIFS('تحليل مبيعات'!H:H,'تحليل مبيعات'!C:C,'حركة المخزن'!Q136,'تحليل مبيعات'!W:W,'حركة المخزن'!$X$6)</f>
        <v>1</v>
      </c>
      <c r="Y136" s="136">
        <f>SUMIFS('تحليل مبيعات'!H:H,'تحليل مبيعات'!C:C,'حركة المخزن'!Q136,'تحليل مبيعات'!W:W,'حركة المخزن'!$Y$6)</f>
        <v>6</v>
      </c>
      <c r="Z136" s="136">
        <f>SUMIFS('تحليل مبيعات'!H:H,'تحليل مبيعات'!C:C,'حركة المخزن'!Q136,'تحليل مبيعات'!W:W,'حركة المخزن'!$Z$6)</f>
        <v>0</v>
      </c>
      <c r="AA136" s="136">
        <f>SUMIFS('تحليل مبيعات'!H:H,'تحليل مبيعات'!C:C,'حركة المخزن'!Q136,'تحليل مبيعات'!W:W,'حركة المخزن'!$AA$6)</f>
        <v>0</v>
      </c>
      <c r="AB136" s="136">
        <f>SUMIFS('تحليل مبيعات'!H:H,'تحليل مبيعات'!C:C,'حركة المخزن'!Q136,'تحليل مبيعات'!W:W,'حركة المخزن'!$AB$6)</f>
        <v>0</v>
      </c>
      <c r="AC136" s="137">
        <f>SUMIFS('تحليل مبيعات'!H:H,'تحليل مبيعات'!C:C,'حركة المخزن'!Q136,'تحليل مبيعات'!W:W,'حركة المخزن'!$AC$6)</f>
        <v>0</v>
      </c>
      <c r="AD136" s="134">
        <f t="shared" si="10"/>
        <v>7</v>
      </c>
    </row>
    <row r="137" spans="2:30" ht="16.2" thickBot="1" x14ac:dyDescent="0.35">
      <c r="B137" s="70" t="s">
        <v>21</v>
      </c>
      <c r="C137" s="10" t="s">
        <v>398</v>
      </c>
      <c r="D137" s="10" t="s">
        <v>1</v>
      </c>
      <c r="E137" s="145">
        <v>10</v>
      </c>
      <c r="F137" s="145">
        <v>10000</v>
      </c>
      <c r="G137" s="10" t="str">
        <f>IFERROR(IF(SUMIF(المشتريات!C:C, 'حركة المخزن'!B137, المشتريات!F:F)=0,"",SUMIF(المشتريات!C:C, 'حركة المخزن'!B137, المشتريات!F:F)),"0")</f>
        <v/>
      </c>
      <c r="H137" s="10" t="str">
        <f>IFERROR(IF(SUMIF(المشتريات!C:C, 'حركة المخزن'!B137, المشتريات!I:I)=0,"",SUMIF(المشتريات!C:C, 'حركة المخزن'!B137, المشتريات!I:I)),"0")</f>
        <v/>
      </c>
      <c r="I137" s="10">
        <f>IFERROR(IF(SUMIF('تحليل مبيعات'!C:C, 'حركة المخزن'!B137, 'تحليل مبيعات'!H:H)=0,"",SUMIF('تحليل مبيعات'!C:C, 'حركة المخزن'!B137, 'تحليل مبيعات'!H:H)),"")</f>
        <v>3</v>
      </c>
      <c r="J137" s="10">
        <f>IFERROR(IF(SUMIF('تحليل مبيعات'!C:C, 'حركة المخزن'!B137, 'تحليل مبيعات'!L:L)=0,"",SUMIF('تحليل مبيعات'!C:C, 'حركة المخزن'!B137, 'تحليل مبيعات'!L:L)),"")</f>
        <v>5200</v>
      </c>
      <c r="K137" s="10" t="str">
        <f t="shared" ref="K137:K200" si="11">IFERROR(E137+G137-I137,"")</f>
        <v/>
      </c>
      <c r="L137" s="10" t="str">
        <f t="shared" ref="L137:L200" si="12">IFERROR(F137+H137-J137,"")</f>
        <v/>
      </c>
      <c r="M137" s="10">
        <v>5</v>
      </c>
      <c r="N137" s="10" t="str">
        <f t="shared" ref="N137:N200" si="13">IF(K137&lt;M137,"أعادة الطلب","يوجد رصيد كافى")</f>
        <v>يوجد رصيد كافى</v>
      </c>
      <c r="O137" s="44">
        <v>345</v>
      </c>
      <c r="Q137" s="130" t="str">
        <v>فيتور خط ابيض 14/195 كنزة</v>
      </c>
      <c r="R137" s="135">
        <f>SUMIFS('تحليل مبيعات'!H:H,'تحليل مبيعات'!C:C,'حركة المخزن'!Q137,'تحليل مبيعات'!W:W,'حركة المخزن'!$R$6)</f>
        <v>0</v>
      </c>
      <c r="S137" s="136">
        <f>SUMIFS('تحليل مبيعات'!H:H,'تحليل مبيعات'!C:C,'حركة المخزن'!Q137,'تحليل مبيعات'!W:W,'حركة المخزن'!$S$6)</f>
        <v>0</v>
      </c>
      <c r="T137" s="136">
        <f>SUMIFS('تحليل مبيعات'!H:H,'تحليل مبيعات'!C:C,'حركة المخزن'!Q137,'تحليل مبيعات'!W:W,'حركة المخزن'!$T$6)</f>
        <v>0</v>
      </c>
      <c r="U137" s="136">
        <f>SUMIFS('تحليل مبيعات'!H:H,'تحليل مبيعات'!C:C,'حركة المخزن'!Q137,'تحليل مبيعات'!W:W,'حركة المخزن'!$U$6)</f>
        <v>0</v>
      </c>
      <c r="V137" s="136">
        <f>SUMIFS('تحليل مبيعات'!H:H,'تحليل مبيعات'!C:C,'حركة المخزن'!Q137,'تحليل مبيعات'!W:W,'حركة المخزن'!$V$6)</f>
        <v>0</v>
      </c>
      <c r="W137" s="136">
        <f>SUMIFS('تحليل مبيعات'!H:H,'تحليل مبيعات'!C:C,'حركة المخزن'!Q137,'تحليل مبيعات'!W:W,'حركة المخزن'!$W$6)</f>
        <v>0</v>
      </c>
      <c r="X137" s="136">
        <f>SUMIFS('تحليل مبيعات'!H:H,'تحليل مبيعات'!C:C,'حركة المخزن'!Q137,'تحليل مبيعات'!W:W,'حركة المخزن'!$X$6)</f>
        <v>2</v>
      </c>
      <c r="Y137" s="136">
        <f>SUMIFS('تحليل مبيعات'!H:H,'تحليل مبيعات'!C:C,'حركة المخزن'!Q137,'تحليل مبيعات'!W:W,'حركة المخزن'!$Y$6)</f>
        <v>0</v>
      </c>
      <c r="Z137" s="136">
        <f>SUMIFS('تحليل مبيعات'!H:H,'تحليل مبيعات'!C:C,'حركة المخزن'!Q137,'تحليل مبيعات'!W:W,'حركة المخزن'!$Z$6)</f>
        <v>0</v>
      </c>
      <c r="AA137" s="136">
        <f>SUMIFS('تحليل مبيعات'!H:H,'تحليل مبيعات'!C:C,'حركة المخزن'!Q137,'تحليل مبيعات'!W:W,'حركة المخزن'!$AA$6)</f>
        <v>0</v>
      </c>
      <c r="AB137" s="136">
        <f>SUMIFS('تحليل مبيعات'!H:H,'تحليل مبيعات'!C:C,'حركة المخزن'!Q137,'تحليل مبيعات'!W:W,'حركة المخزن'!$AB$6)</f>
        <v>0</v>
      </c>
      <c r="AC137" s="137">
        <f>SUMIFS('تحليل مبيعات'!H:H,'تحليل مبيعات'!C:C,'حركة المخزن'!Q137,'تحليل مبيعات'!W:W,'حركة المخزن'!$AC$6)</f>
        <v>0</v>
      </c>
      <c r="AD137" s="134">
        <f t="shared" si="10"/>
        <v>2</v>
      </c>
    </row>
    <row r="138" spans="2:30" ht="16.2" thickBot="1" x14ac:dyDescent="0.35">
      <c r="B138" s="70" t="s">
        <v>49</v>
      </c>
      <c r="C138" s="10" t="s">
        <v>399</v>
      </c>
      <c r="D138" s="10" t="s">
        <v>1</v>
      </c>
      <c r="E138" s="145">
        <v>10</v>
      </c>
      <c r="F138" s="145">
        <v>10000</v>
      </c>
      <c r="G138" s="10" t="str">
        <f>IFERROR(IF(SUMIF(المشتريات!C:C, 'حركة المخزن'!B138, المشتريات!F:F)=0,"",SUMIF(المشتريات!C:C, 'حركة المخزن'!B138, المشتريات!F:F)),"0")</f>
        <v/>
      </c>
      <c r="H138" s="10" t="str">
        <f>IFERROR(IF(SUMIF(المشتريات!C:C, 'حركة المخزن'!B138, المشتريات!I:I)=0,"",SUMIF(المشتريات!C:C, 'حركة المخزن'!B138, المشتريات!I:I)),"0")</f>
        <v/>
      </c>
      <c r="I138" s="10">
        <f>IFERROR(IF(SUMIF('تحليل مبيعات'!C:C, 'حركة المخزن'!B138, 'تحليل مبيعات'!H:H)=0,"",SUMIF('تحليل مبيعات'!C:C, 'حركة المخزن'!B138, 'تحليل مبيعات'!H:H)),"")</f>
        <v>7</v>
      </c>
      <c r="J138" s="10">
        <f>IFERROR(IF(SUMIF('تحليل مبيعات'!C:C, 'حركة المخزن'!B138, 'تحليل مبيعات'!L:L)=0,"",SUMIF('تحليل مبيعات'!C:C, 'حركة المخزن'!B138, 'تحليل مبيعات'!L:L)),"")</f>
        <v>19150</v>
      </c>
      <c r="K138" s="10" t="str">
        <f t="shared" si="11"/>
        <v/>
      </c>
      <c r="L138" s="10" t="str">
        <f t="shared" si="12"/>
        <v/>
      </c>
      <c r="M138" s="10">
        <v>5</v>
      </c>
      <c r="N138" s="10" t="str">
        <f t="shared" si="13"/>
        <v>يوجد رصيد كافى</v>
      </c>
      <c r="O138" s="44">
        <v>350</v>
      </c>
      <c r="Q138" s="130" t="str">
        <v xml:space="preserve"> NOZA ECO 15/195/65 كاوتش سومو اكينا صينى</v>
      </c>
      <c r="R138" s="135">
        <f>SUMIFS('تحليل مبيعات'!H:H,'تحليل مبيعات'!C:C,'حركة المخزن'!Q138,'تحليل مبيعات'!W:W,'حركة المخزن'!$R$6)</f>
        <v>0</v>
      </c>
      <c r="S138" s="136">
        <f>SUMIFS('تحليل مبيعات'!H:H,'تحليل مبيعات'!C:C,'حركة المخزن'!Q138,'تحليل مبيعات'!W:W,'حركة المخزن'!$S$6)</f>
        <v>0</v>
      </c>
      <c r="T138" s="136">
        <f>SUMIFS('تحليل مبيعات'!H:H,'تحليل مبيعات'!C:C,'حركة المخزن'!Q138,'تحليل مبيعات'!W:W,'حركة المخزن'!$T$6)</f>
        <v>0</v>
      </c>
      <c r="U138" s="136">
        <f>SUMIFS('تحليل مبيعات'!H:H,'تحليل مبيعات'!C:C,'حركة المخزن'!Q138,'تحليل مبيعات'!W:W,'حركة المخزن'!$U$6)</f>
        <v>0</v>
      </c>
      <c r="V138" s="136">
        <f>SUMIFS('تحليل مبيعات'!H:H,'تحليل مبيعات'!C:C,'حركة المخزن'!Q138,'تحليل مبيعات'!W:W,'حركة المخزن'!$V$6)</f>
        <v>0</v>
      </c>
      <c r="W138" s="136">
        <f>SUMIFS('تحليل مبيعات'!H:H,'تحليل مبيعات'!C:C,'حركة المخزن'!Q138,'تحليل مبيعات'!W:W,'حركة المخزن'!$W$6)</f>
        <v>0</v>
      </c>
      <c r="X138" s="136">
        <f>SUMIFS('تحليل مبيعات'!H:H,'تحليل مبيعات'!C:C,'حركة المخزن'!Q138,'تحليل مبيعات'!W:W,'حركة المخزن'!$X$6)</f>
        <v>4</v>
      </c>
      <c r="Y138" s="136">
        <f>SUMIFS('تحليل مبيعات'!H:H,'تحليل مبيعات'!C:C,'حركة المخزن'!Q138,'تحليل مبيعات'!W:W,'حركة المخزن'!$Y$6)</f>
        <v>0</v>
      </c>
      <c r="Z138" s="136">
        <f>SUMIFS('تحليل مبيعات'!H:H,'تحليل مبيعات'!C:C,'حركة المخزن'!Q138,'تحليل مبيعات'!W:W,'حركة المخزن'!$Z$6)</f>
        <v>0</v>
      </c>
      <c r="AA138" s="136">
        <f>SUMIFS('تحليل مبيعات'!H:H,'تحليل مبيعات'!C:C,'حركة المخزن'!Q138,'تحليل مبيعات'!W:W,'حركة المخزن'!$AA$6)</f>
        <v>0</v>
      </c>
      <c r="AB138" s="136">
        <f>SUMIFS('تحليل مبيعات'!H:H,'تحليل مبيعات'!C:C,'حركة المخزن'!Q138,'تحليل مبيعات'!W:W,'حركة المخزن'!$AB$6)</f>
        <v>0</v>
      </c>
      <c r="AC138" s="137">
        <f>SUMIFS('تحليل مبيعات'!H:H,'تحليل مبيعات'!C:C,'حركة المخزن'!Q138,'تحليل مبيعات'!W:W,'حركة المخزن'!$AC$6)</f>
        <v>0</v>
      </c>
      <c r="AD138" s="134">
        <f t="shared" si="10"/>
        <v>4</v>
      </c>
    </row>
    <row r="139" spans="2:30" ht="16.2" thickBot="1" x14ac:dyDescent="0.35">
      <c r="B139" s="70" t="s">
        <v>120</v>
      </c>
      <c r="C139" s="10" t="s">
        <v>400</v>
      </c>
      <c r="D139" s="10" t="s">
        <v>1</v>
      </c>
      <c r="E139" s="145">
        <v>10</v>
      </c>
      <c r="F139" s="145">
        <v>10000</v>
      </c>
      <c r="G139" s="10" t="str">
        <f>IFERROR(IF(SUMIF(المشتريات!C:C, 'حركة المخزن'!B139, المشتريات!F:F)=0,"",SUMIF(المشتريات!C:C, 'حركة المخزن'!B139, المشتريات!F:F)),"0")</f>
        <v/>
      </c>
      <c r="H139" s="10" t="str">
        <f>IFERROR(IF(SUMIF(المشتريات!C:C, 'حركة المخزن'!B139, المشتريات!I:I)=0,"",SUMIF(المشتريات!C:C, 'حركة المخزن'!B139, المشتريات!I:I)),"0")</f>
        <v/>
      </c>
      <c r="I139" s="10">
        <f>IFERROR(IF(SUMIF('تحليل مبيعات'!C:C, 'حركة المخزن'!B139, 'تحليل مبيعات'!H:H)=0,"",SUMIF('تحليل مبيعات'!C:C, 'حركة المخزن'!B139, 'تحليل مبيعات'!H:H)),"")</f>
        <v>2</v>
      </c>
      <c r="J139" s="10">
        <f>IFERROR(IF(SUMIF('تحليل مبيعات'!C:C, 'حركة المخزن'!B139, 'تحليل مبيعات'!L:L)=0,"",SUMIF('تحليل مبيعات'!C:C, 'حركة المخزن'!B139, 'تحليل مبيعات'!L:L)),"")</f>
        <v>4950</v>
      </c>
      <c r="K139" s="10" t="str">
        <f t="shared" si="11"/>
        <v/>
      </c>
      <c r="L139" s="10" t="str">
        <f t="shared" si="12"/>
        <v/>
      </c>
      <c r="M139" s="10">
        <v>5</v>
      </c>
      <c r="N139" s="10" t="str">
        <f t="shared" si="13"/>
        <v>يوجد رصيد كافى</v>
      </c>
      <c r="O139" s="44">
        <v>355</v>
      </c>
      <c r="Q139" s="130" t="str">
        <v>طقم جانط 5 خرم ملاكى 15</v>
      </c>
      <c r="R139" s="135">
        <f>SUMIFS('تحليل مبيعات'!H:H,'تحليل مبيعات'!C:C,'حركة المخزن'!Q139,'تحليل مبيعات'!W:W,'حركة المخزن'!$R$6)</f>
        <v>0</v>
      </c>
      <c r="S139" s="136">
        <f>SUMIFS('تحليل مبيعات'!H:H,'تحليل مبيعات'!C:C,'حركة المخزن'!Q139,'تحليل مبيعات'!W:W,'حركة المخزن'!$S$6)</f>
        <v>0</v>
      </c>
      <c r="T139" s="136">
        <f>SUMIFS('تحليل مبيعات'!H:H,'تحليل مبيعات'!C:C,'حركة المخزن'!Q139,'تحليل مبيعات'!W:W,'حركة المخزن'!$T$6)</f>
        <v>0</v>
      </c>
      <c r="U139" s="136">
        <f>SUMIFS('تحليل مبيعات'!H:H,'تحليل مبيعات'!C:C,'حركة المخزن'!Q139,'تحليل مبيعات'!W:W,'حركة المخزن'!$U$6)</f>
        <v>0</v>
      </c>
      <c r="V139" s="136">
        <f>SUMIFS('تحليل مبيعات'!H:H,'تحليل مبيعات'!C:C,'حركة المخزن'!Q139,'تحليل مبيعات'!W:W,'حركة المخزن'!$V$6)</f>
        <v>0</v>
      </c>
      <c r="W139" s="136">
        <f>SUMIFS('تحليل مبيعات'!H:H,'تحليل مبيعات'!C:C,'حركة المخزن'!Q139,'تحليل مبيعات'!W:W,'حركة المخزن'!$W$6)</f>
        <v>0</v>
      </c>
      <c r="X139" s="136">
        <f>SUMIFS('تحليل مبيعات'!H:H,'تحليل مبيعات'!C:C,'حركة المخزن'!Q139,'تحليل مبيعات'!W:W,'حركة المخزن'!$X$6)</f>
        <v>4</v>
      </c>
      <c r="Y139" s="136">
        <f>SUMIFS('تحليل مبيعات'!H:H,'تحليل مبيعات'!C:C,'حركة المخزن'!Q139,'تحليل مبيعات'!W:W,'حركة المخزن'!$Y$6)</f>
        <v>0</v>
      </c>
      <c r="Z139" s="136">
        <f>SUMIFS('تحليل مبيعات'!H:H,'تحليل مبيعات'!C:C,'حركة المخزن'!Q139,'تحليل مبيعات'!W:W,'حركة المخزن'!$Z$6)</f>
        <v>0</v>
      </c>
      <c r="AA139" s="136">
        <f>SUMIFS('تحليل مبيعات'!H:H,'تحليل مبيعات'!C:C,'حركة المخزن'!Q139,'تحليل مبيعات'!W:W,'حركة المخزن'!$AA$6)</f>
        <v>0</v>
      </c>
      <c r="AB139" s="136">
        <f>SUMIFS('تحليل مبيعات'!H:H,'تحليل مبيعات'!C:C,'حركة المخزن'!Q139,'تحليل مبيعات'!W:W,'حركة المخزن'!$AB$6)</f>
        <v>0</v>
      </c>
      <c r="AC139" s="137">
        <f>SUMIFS('تحليل مبيعات'!H:H,'تحليل مبيعات'!C:C,'حركة المخزن'!Q139,'تحليل مبيعات'!W:W,'حركة المخزن'!$AC$6)</f>
        <v>0</v>
      </c>
      <c r="AD139" s="134">
        <f t="shared" si="10"/>
        <v>4</v>
      </c>
    </row>
    <row r="140" spans="2:30" ht="16.2" thickBot="1" x14ac:dyDescent="0.35">
      <c r="B140" s="70" t="s">
        <v>33</v>
      </c>
      <c r="C140" s="10" t="s">
        <v>401</v>
      </c>
      <c r="D140" s="10" t="s">
        <v>1</v>
      </c>
      <c r="E140" s="145">
        <v>10</v>
      </c>
      <c r="F140" s="145">
        <v>10000</v>
      </c>
      <c r="G140" s="10" t="str">
        <f>IFERROR(IF(SUMIF(المشتريات!C:C, 'حركة المخزن'!B140, المشتريات!F:F)=0,"",SUMIF(المشتريات!C:C, 'حركة المخزن'!B140, المشتريات!F:F)),"0")</f>
        <v/>
      </c>
      <c r="H140" s="10" t="str">
        <f>IFERROR(IF(SUMIF(المشتريات!C:C, 'حركة المخزن'!B140, المشتريات!I:I)=0,"",SUMIF(المشتريات!C:C, 'حركة المخزن'!B140, المشتريات!I:I)),"0")</f>
        <v/>
      </c>
      <c r="I140" s="10">
        <f>IFERROR(IF(SUMIF('تحليل مبيعات'!C:C, 'حركة المخزن'!B140, 'تحليل مبيعات'!H:H)=0,"",SUMIF('تحليل مبيعات'!C:C, 'حركة المخزن'!B140, 'تحليل مبيعات'!H:H)),"")</f>
        <v>1</v>
      </c>
      <c r="J140" s="10">
        <f>IFERROR(IF(SUMIF('تحليل مبيعات'!C:C, 'حركة المخزن'!B140, 'تحليل مبيعات'!L:L)=0,"",SUMIF('تحليل مبيعات'!C:C, 'حركة المخزن'!B140, 'تحليل مبيعات'!L:L)),"")</f>
        <v>1350</v>
      </c>
      <c r="K140" s="10" t="str">
        <f t="shared" si="11"/>
        <v/>
      </c>
      <c r="L140" s="10" t="str">
        <f t="shared" si="12"/>
        <v/>
      </c>
      <c r="M140" s="10">
        <v>5</v>
      </c>
      <c r="N140" s="10" t="str">
        <f t="shared" si="13"/>
        <v>يوجد رصيد كافى</v>
      </c>
      <c r="O140" s="44">
        <v>360</v>
      </c>
      <c r="Q140" s="130" t="str">
        <v>بطارية كلورايد 40</v>
      </c>
      <c r="R140" s="135">
        <f>SUMIFS('تحليل مبيعات'!H:H,'تحليل مبيعات'!C:C,'حركة المخزن'!Q140,'تحليل مبيعات'!W:W,'حركة المخزن'!$R$6)</f>
        <v>0</v>
      </c>
      <c r="S140" s="136">
        <f>SUMIFS('تحليل مبيعات'!H:H,'تحليل مبيعات'!C:C,'حركة المخزن'!Q140,'تحليل مبيعات'!W:W,'حركة المخزن'!$S$6)</f>
        <v>0</v>
      </c>
      <c r="T140" s="136">
        <f>SUMIFS('تحليل مبيعات'!H:H,'تحليل مبيعات'!C:C,'حركة المخزن'!Q140,'تحليل مبيعات'!W:W,'حركة المخزن'!$T$6)</f>
        <v>0</v>
      </c>
      <c r="U140" s="136">
        <f>SUMIFS('تحليل مبيعات'!H:H,'تحليل مبيعات'!C:C,'حركة المخزن'!Q140,'تحليل مبيعات'!W:W,'حركة المخزن'!$U$6)</f>
        <v>0</v>
      </c>
      <c r="V140" s="136">
        <f>SUMIFS('تحليل مبيعات'!H:H,'تحليل مبيعات'!C:C,'حركة المخزن'!Q140,'تحليل مبيعات'!W:W,'حركة المخزن'!$V$6)</f>
        <v>0</v>
      </c>
      <c r="W140" s="136">
        <f>SUMIFS('تحليل مبيعات'!H:H,'تحليل مبيعات'!C:C,'حركة المخزن'!Q140,'تحليل مبيعات'!W:W,'حركة المخزن'!$W$6)</f>
        <v>0</v>
      </c>
      <c r="X140" s="136">
        <f>SUMIFS('تحليل مبيعات'!H:H,'تحليل مبيعات'!C:C,'حركة المخزن'!Q140,'تحليل مبيعات'!W:W,'حركة المخزن'!$X$6)</f>
        <v>1</v>
      </c>
      <c r="Y140" s="136">
        <f>SUMIFS('تحليل مبيعات'!H:H,'تحليل مبيعات'!C:C,'حركة المخزن'!Q140,'تحليل مبيعات'!W:W,'حركة المخزن'!$Y$6)</f>
        <v>0</v>
      </c>
      <c r="Z140" s="136">
        <f>SUMIFS('تحليل مبيعات'!H:H,'تحليل مبيعات'!C:C,'حركة المخزن'!Q140,'تحليل مبيعات'!W:W,'حركة المخزن'!$Z$6)</f>
        <v>0</v>
      </c>
      <c r="AA140" s="136">
        <f>SUMIFS('تحليل مبيعات'!H:H,'تحليل مبيعات'!C:C,'حركة المخزن'!Q140,'تحليل مبيعات'!W:W,'حركة المخزن'!$AA$6)</f>
        <v>0</v>
      </c>
      <c r="AB140" s="136">
        <f>SUMIFS('تحليل مبيعات'!H:H,'تحليل مبيعات'!C:C,'حركة المخزن'!Q140,'تحليل مبيعات'!W:W,'حركة المخزن'!$AB$6)</f>
        <v>0</v>
      </c>
      <c r="AC140" s="137">
        <f>SUMIFS('تحليل مبيعات'!H:H,'تحليل مبيعات'!C:C,'حركة المخزن'!Q140,'تحليل مبيعات'!W:W,'حركة المخزن'!$AC$6)</f>
        <v>0</v>
      </c>
      <c r="AD140" s="134">
        <f t="shared" si="10"/>
        <v>1</v>
      </c>
    </row>
    <row r="141" spans="2:30" ht="16.2" thickBot="1" x14ac:dyDescent="0.35">
      <c r="B141" s="70" t="s">
        <v>60</v>
      </c>
      <c r="C141" s="10" t="s">
        <v>402</v>
      </c>
      <c r="D141" s="10" t="s">
        <v>1</v>
      </c>
      <c r="E141" s="145">
        <v>10</v>
      </c>
      <c r="F141" s="145">
        <v>10000</v>
      </c>
      <c r="G141" s="10">
        <f>IFERROR(IF(SUMIF(المشتريات!C:C, 'حركة المخزن'!B141, المشتريات!F:F)=0,"",SUMIF(المشتريات!C:C, 'حركة المخزن'!B141, المشتريات!F:F)),"0")</f>
        <v>5</v>
      </c>
      <c r="H141" s="10">
        <f>IFERROR(IF(SUMIF(المشتريات!C:C, 'حركة المخزن'!B141, المشتريات!I:I)=0,"",SUMIF(المشتريات!C:C, 'حركة المخزن'!B141, المشتريات!I:I)),"0")</f>
        <v>750</v>
      </c>
      <c r="I141" s="10">
        <f>IFERROR(IF(SUMIF('تحليل مبيعات'!C:C, 'حركة المخزن'!B141, 'تحليل مبيعات'!H:H)=0,"",SUMIF('تحليل مبيعات'!C:C, 'حركة المخزن'!B141, 'تحليل مبيعات'!H:H)),"")</f>
        <v>1</v>
      </c>
      <c r="J141" s="10">
        <f>IFERROR(IF(SUMIF('تحليل مبيعات'!C:C, 'حركة المخزن'!B141, 'تحليل مبيعات'!L:L)=0,"",SUMIF('تحليل مبيعات'!C:C, 'حركة المخزن'!B141, 'تحليل مبيعات'!L:L)),"")</f>
        <v>1800</v>
      </c>
      <c r="K141" s="10">
        <f t="shared" si="11"/>
        <v>14</v>
      </c>
      <c r="L141" s="10">
        <f t="shared" si="12"/>
        <v>8950</v>
      </c>
      <c r="M141" s="10">
        <v>5</v>
      </c>
      <c r="N141" s="10" t="str">
        <f t="shared" si="13"/>
        <v>يوجد رصيد كافى</v>
      </c>
      <c r="O141" s="44">
        <v>365</v>
      </c>
      <c r="Q141" s="130" t="str">
        <v>دسك تويوتا</v>
      </c>
      <c r="R141" s="135">
        <f>SUMIFS('تحليل مبيعات'!H:H,'تحليل مبيعات'!C:C,'حركة المخزن'!Q141,'تحليل مبيعات'!W:W,'حركة المخزن'!$R$6)</f>
        <v>0</v>
      </c>
      <c r="S141" s="136">
        <f>SUMIFS('تحليل مبيعات'!H:H,'تحليل مبيعات'!C:C,'حركة المخزن'!Q141,'تحليل مبيعات'!W:W,'حركة المخزن'!$S$6)</f>
        <v>0</v>
      </c>
      <c r="T141" s="136">
        <f>SUMIFS('تحليل مبيعات'!H:H,'تحليل مبيعات'!C:C,'حركة المخزن'!Q141,'تحليل مبيعات'!W:W,'حركة المخزن'!$T$6)</f>
        <v>0</v>
      </c>
      <c r="U141" s="136">
        <f>SUMIFS('تحليل مبيعات'!H:H,'تحليل مبيعات'!C:C,'حركة المخزن'!Q141,'تحليل مبيعات'!W:W,'حركة المخزن'!$U$6)</f>
        <v>0</v>
      </c>
      <c r="V141" s="136">
        <f>SUMIFS('تحليل مبيعات'!H:H,'تحليل مبيعات'!C:C,'حركة المخزن'!Q141,'تحليل مبيعات'!W:W,'حركة المخزن'!$V$6)</f>
        <v>0</v>
      </c>
      <c r="W141" s="136">
        <f>SUMIFS('تحليل مبيعات'!H:H,'تحليل مبيعات'!C:C,'حركة المخزن'!Q141,'تحليل مبيعات'!W:W,'حركة المخزن'!$W$6)</f>
        <v>0</v>
      </c>
      <c r="X141" s="136">
        <f>SUMIFS('تحليل مبيعات'!H:H,'تحليل مبيعات'!C:C,'حركة المخزن'!Q141,'تحليل مبيعات'!W:W,'حركة المخزن'!$X$6)</f>
        <v>2</v>
      </c>
      <c r="Y141" s="136">
        <f>SUMIFS('تحليل مبيعات'!H:H,'تحليل مبيعات'!C:C,'حركة المخزن'!Q141,'تحليل مبيعات'!W:W,'حركة المخزن'!$Y$6)</f>
        <v>0</v>
      </c>
      <c r="Z141" s="136">
        <f>SUMIFS('تحليل مبيعات'!H:H,'تحليل مبيعات'!C:C,'حركة المخزن'!Q141,'تحليل مبيعات'!W:W,'حركة المخزن'!$Z$6)</f>
        <v>0</v>
      </c>
      <c r="AA141" s="136">
        <f>SUMIFS('تحليل مبيعات'!H:H,'تحليل مبيعات'!C:C,'حركة المخزن'!Q141,'تحليل مبيعات'!W:W,'حركة المخزن'!$AA$6)</f>
        <v>0</v>
      </c>
      <c r="AB141" s="136">
        <f>SUMIFS('تحليل مبيعات'!H:H,'تحليل مبيعات'!C:C,'حركة المخزن'!Q141,'تحليل مبيعات'!W:W,'حركة المخزن'!$AB$6)</f>
        <v>0</v>
      </c>
      <c r="AC141" s="137">
        <f>SUMIFS('تحليل مبيعات'!H:H,'تحليل مبيعات'!C:C,'حركة المخزن'!Q141,'تحليل مبيعات'!W:W,'حركة المخزن'!$AC$6)</f>
        <v>0</v>
      </c>
      <c r="AD141" s="134">
        <f t="shared" si="10"/>
        <v>2</v>
      </c>
    </row>
    <row r="142" spans="2:30" ht="16.2" thickBot="1" x14ac:dyDescent="0.35">
      <c r="B142" s="70" t="s">
        <v>76</v>
      </c>
      <c r="C142" s="10" t="s">
        <v>403</v>
      </c>
      <c r="D142" s="10" t="s">
        <v>1</v>
      </c>
      <c r="E142" s="145">
        <v>10</v>
      </c>
      <c r="F142" s="145">
        <v>10000</v>
      </c>
      <c r="G142" s="10" t="str">
        <f>IFERROR(IF(SUMIF(المشتريات!C:C, 'حركة المخزن'!B142, المشتريات!F:F)=0,"",SUMIF(المشتريات!C:C, 'حركة المخزن'!B142, المشتريات!F:F)),"0")</f>
        <v/>
      </c>
      <c r="H142" s="10" t="str">
        <f>IFERROR(IF(SUMIF(المشتريات!C:C, 'حركة المخزن'!B142, المشتريات!I:I)=0,"",SUMIF(المشتريات!C:C, 'حركة المخزن'!B142, المشتريات!I:I)),"0")</f>
        <v/>
      </c>
      <c r="I142" s="10">
        <f>IFERROR(IF(SUMIF('تحليل مبيعات'!C:C, 'حركة المخزن'!B142, 'تحليل مبيعات'!H:H)=0,"",SUMIF('تحليل مبيعات'!C:C, 'حركة المخزن'!B142, 'تحليل مبيعات'!H:H)),"")</f>
        <v>13</v>
      </c>
      <c r="J142" s="10">
        <f>IFERROR(IF(SUMIF('تحليل مبيعات'!C:C, 'حركة المخزن'!B142, 'تحليل مبيعات'!L:L)=0,"",SUMIF('تحليل مبيعات'!C:C, 'حركة المخزن'!B142, 'تحليل مبيعات'!L:L)),"")</f>
        <v>22000</v>
      </c>
      <c r="K142" s="10" t="str">
        <f t="shared" si="11"/>
        <v/>
      </c>
      <c r="L142" s="10" t="str">
        <f t="shared" si="12"/>
        <v/>
      </c>
      <c r="M142" s="10">
        <v>5</v>
      </c>
      <c r="N142" s="10" t="str">
        <f t="shared" si="13"/>
        <v>يوجد رصيد كافى</v>
      </c>
      <c r="O142" s="44">
        <v>370</v>
      </c>
      <c r="Q142" s="130" t="str">
        <v>اسطوانة دبرياج تويوتا يابانى</v>
      </c>
      <c r="R142" s="135">
        <f>SUMIFS('تحليل مبيعات'!H:H,'تحليل مبيعات'!C:C,'حركة المخزن'!Q142,'تحليل مبيعات'!W:W,'حركة المخزن'!$R$6)</f>
        <v>0</v>
      </c>
      <c r="S142" s="136">
        <f>SUMIFS('تحليل مبيعات'!H:H,'تحليل مبيعات'!C:C,'حركة المخزن'!Q142,'تحليل مبيعات'!W:W,'حركة المخزن'!$S$6)</f>
        <v>0</v>
      </c>
      <c r="T142" s="136">
        <f>SUMIFS('تحليل مبيعات'!H:H,'تحليل مبيعات'!C:C,'حركة المخزن'!Q142,'تحليل مبيعات'!W:W,'حركة المخزن'!$T$6)</f>
        <v>0</v>
      </c>
      <c r="U142" s="136">
        <f>SUMIFS('تحليل مبيعات'!H:H,'تحليل مبيعات'!C:C,'حركة المخزن'!Q142,'تحليل مبيعات'!W:W,'حركة المخزن'!$U$6)</f>
        <v>0</v>
      </c>
      <c r="V142" s="136">
        <f>SUMIFS('تحليل مبيعات'!H:H,'تحليل مبيعات'!C:C,'حركة المخزن'!Q142,'تحليل مبيعات'!W:W,'حركة المخزن'!$V$6)</f>
        <v>0</v>
      </c>
      <c r="W142" s="136">
        <f>SUMIFS('تحليل مبيعات'!H:H,'تحليل مبيعات'!C:C,'حركة المخزن'!Q142,'تحليل مبيعات'!W:W,'حركة المخزن'!$W$6)</f>
        <v>0</v>
      </c>
      <c r="X142" s="136">
        <f>SUMIFS('تحليل مبيعات'!H:H,'تحليل مبيعات'!C:C,'حركة المخزن'!Q142,'تحليل مبيعات'!W:W,'حركة المخزن'!$X$6)</f>
        <v>2</v>
      </c>
      <c r="Y142" s="136">
        <f>SUMIFS('تحليل مبيعات'!H:H,'تحليل مبيعات'!C:C,'حركة المخزن'!Q142,'تحليل مبيعات'!W:W,'حركة المخزن'!$Y$6)</f>
        <v>0</v>
      </c>
      <c r="Z142" s="136">
        <f>SUMIFS('تحليل مبيعات'!H:H,'تحليل مبيعات'!C:C,'حركة المخزن'!Q142,'تحليل مبيعات'!W:W,'حركة المخزن'!$Z$6)</f>
        <v>0</v>
      </c>
      <c r="AA142" s="136">
        <f>SUMIFS('تحليل مبيعات'!H:H,'تحليل مبيعات'!C:C,'حركة المخزن'!Q142,'تحليل مبيعات'!W:W,'حركة المخزن'!$AA$6)</f>
        <v>0</v>
      </c>
      <c r="AB142" s="136">
        <f>SUMIFS('تحليل مبيعات'!H:H,'تحليل مبيعات'!C:C,'حركة المخزن'!Q142,'تحليل مبيعات'!W:W,'حركة المخزن'!$AB$6)</f>
        <v>0</v>
      </c>
      <c r="AC142" s="137">
        <f>SUMIFS('تحليل مبيعات'!H:H,'تحليل مبيعات'!C:C,'حركة المخزن'!Q142,'تحليل مبيعات'!W:W,'حركة المخزن'!$AC$6)</f>
        <v>0</v>
      </c>
      <c r="AD142" s="134">
        <f t="shared" si="10"/>
        <v>2</v>
      </c>
    </row>
    <row r="143" spans="2:30" ht="16.2" thickBot="1" x14ac:dyDescent="0.35">
      <c r="B143" s="70" t="s">
        <v>139</v>
      </c>
      <c r="C143" s="10" t="s">
        <v>404</v>
      </c>
      <c r="D143" s="10" t="s">
        <v>1</v>
      </c>
      <c r="E143" s="145">
        <v>10</v>
      </c>
      <c r="F143" s="145">
        <v>10000</v>
      </c>
      <c r="G143" s="10" t="str">
        <f>IFERROR(IF(SUMIF(المشتريات!C:C, 'حركة المخزن'!B143, المشتريات!F:F)=0,"",SUMIF(المشتريات!C:C, 'حركة المخزن'!B143, المشتريات!F:F)),"0")</f>
        <v/>
      </c>
      <c r="H143" s="10" t="str">
        <f>IFERROR(IF(SUMIF(المشتريات!C:C, 'حركة المخزن'!B143, المشتريات!I:I)=0,"",SUMIF(المشتريات!C:C, 'حركة المخزن'!B143, المشتريات!I:I)),"0")</f>
        <v/>
      </c>
      <c r="I143" s="10">
        <f>IFERROR(IF(SUMIF('تحليل مبيعات'!C:C, 'حركة المخزن'!B143, 'تحليل مبيعات'!H:H)=0,"",SUMIF('تحليل مبيعات'!C:C, 'حركة المخزن'!B143, 'تحليل مبيعات'!H:H)),"")</f>
        <v>2</v>
      </c>
      <c r="J143" s="10">
        <f>IFERROR(IF(SUMIF('تحليل مبيعات'!C:C, 'حركة المخزن'!B143, 'تحليل مبيعات'!L:L)=0,"",SUMIF('تحليل مبيعات'!C:C, 'حركة المخزن'!B143, 'تحليل مبيعات'!L:L)),"")</f>
        <v>3200</v>
      </c>
      <c r="K143" s="10" t="str">
        <f t="shared" si="11"/>
        <v/>
      </c>
      <c r="L143" s="10" t="str">
        <f t="shared" si="12"/>
        <v/>
      </c>
      <c r="M143" s="10">
        <v>5</v>
      </c>
      <c r="N143" s="10" t="str">
        <f t="shared" si="13"/>
        <v>يوجد رصيد كافى</v>
      </c>
      <c r="O143" s="44">
        <v>375</v>
      </c>
      <c r="Q143" s="130" t="str">
        <v xml:space="preserve">جوان شكمان بالكحكة </v>
      </c>
      <c r="R143" s="135">
        <f>SUMIFS('تحليل مبيعات'!H:H,'تحليل مبيعات'!C:C,'حركة المخزن'!Q143,'تحليل مبيعات'!W:W,'حركة المخزن'!$R$6)</f>
        <v>0</v>
      </c>
      <c r="S143" s="136">
        <f>SUMIFS('تحليل مبيعات'!H:H,'تحليل مبيعات'!C:C,'حركة المخزن'!Q143,'تحليل مبيعات'!W:W,'حركة المخزن'!$S$6)</f>
        <v>0</v>
      </c>
      <c r="T143" s="136">
        <f>SUMIFS('تحليل مبيعات'!H:H,'تحليل مبيعات'!C:C,'حركة المخزن'!Q143,'تحليل مبيعات'!W:W,'حركة المخزن'!$T$6)</f>
        <v>0</v>
      </c>
      <c r="U143" s="136">
        <f>SUMIFS('تحليل مبيعات'!H:H,'تحليل مبيعات'!C:C,'حركة المخزن'!Q143,'تحليل مبيعات'!W:W,'حركة المخزن'!$U$6)</f>
        <v>0</v>
      </c>
      <c r="V143" s="136">
        <f>SUMIFS('تحليل مبيعات'!H:H,'تحليل مبيعات'!C:C,'حركة المخزن'!Q143,'تحليل مبيعات'!W:W,'حركة المخزن'!$V$6)</f>
        <v>0</v>
      </c>
      <c r="W143" s="136">
        <f>SUMIFS('تحليل مبيعات'!H:H,'تحليل مبيعات'!C:C,'حركة المخزن'!Q143,'تحليل مبيعات'!W:W,'حركة المخزن'!$W$6)</f>
        <v>0</v>
      </c>
      <c r="X143" s="136">
        <f>SUMIFS('تحليل مبيعات'!H:H,'تحليل مبيعات'!C:C,'حركة المخزن'!Q143,'تحليل مبيعات'!W:W,'حركة المخزن'!$X$6)</f>
        <v>1</v>
      </c>
      <c r="Y143" s="136">
        <f>SUMIFS('تحليل مبيعات'!H:H,'تحليل مبيعات'!C:C,'حركة المخزن'!Q143,'تحليل مبيعات'!W:W,'حركة المخزن'!$Y$6)</f>
        <v>0</v>
      </c>
      <c r="Z143" s="136">
        <f>SUMIFS('تحليل مبيعات'!H:H,'تحليل مبيعات'!C:C,'حركة المخزن'!Q143,'تحليل مبيعات'!W:W,'حركة المخزن'!$Z$6)</f>
        <v>0</v>
      </c>
      <c r="AA143" s="136">
        <f>SUMIFS('تحليل مبيعات'!H:H,'تحليل مبيعات'!C:C,'حركة المخزن'!Q143,'تحليل مبيعات'!W:W,'حركة المخزن'!$AA$6)</f>
        <v>0</v>
      </c>
      <c r="AB143" s="136">
        <f>SUMIFS('تحليل مبيعات'!H:H,'تحليل مبيعات'!C:C,'حركة المخزن'!Q143,'تحليل مبيعات'!W:W,'حركة المخزن'!$AB$6)</f>
        <v>0</v>
      </c>
      <c r="AC143" s="137">
        <f>SUMIFS('تحليل مبيعات'!H:H,'تحليل مبيعات'!C:C,'حركة المخزن'!Q143,'تحليل مبيعات'!W:W,'حركة المخزن'!$AC$6)</f>
        <v>0</v>
      </c>
      <c r="AD143" s="134">
        <f t="shared" si="10"/>
        <v>1</v>
      </c>
    </row>
    <row r="144" spans="2:30" ht="16.2" thickBot="1" x14ac:dyDescent="0.35">
      <c r="B144" s="70" t="s">
        <v>186</v>
      </c>
      <c r="C144" s="10" t="s">
        <v>405</v>
      </c>
      <c r="D144" s="10" t="s">
        <v>1</v>
      </c>
      <c r="E144" s="145">
        <v>10</v>
      </c>
      <c r="F144" s="145">
        <v>10000</v>
      </c>
      <c r="G144" s="10" t="str">
        <f>IFERROR(IF(SUMIF(المشتريات!C:C, 'حركة المخزن'!B144, المشتريات!F:F)=0,"",SUMIF(المشتريات!C:C, 'حركة المخزن'!B144, المشتريات!F:F)),"0")</f>
        <v/>
      </c>
      <c r="H144" s="10" t="str">
        <f>IFERROR(IF(SUMIF(المشتريات!C:C, 'حركة المخزن'!B144, المشتريات!I:I)=0,"",SUMIF(المشتريات!C:C, 'حركة المخزن'!B144, المشتريات!I:I)),"0")</f>
        <v/>
      </c>
      <c r="I144" s="10">
        <f>IFERROR(IF(SUMIF('تحليل مبيعات'!C:C, 'حركة المخزن'!B144, 'تحليل مبيعات'!H:H)=0,"",SUMIF('تحليل مبيعات'!C:C, 'حركة المخزن'!B144, 'تحليل مبيعات'!H:H)),"")</f>
        <v>1</v>
      </c>
      <c r="J144" s="10">
        <f>IFERROR(IF(SUMIF('تحليل مبيعات'!C:C, 'حركة المخزن'!B144, 'تحليل مبيعات'!L:L)=0,"",SUMIF('تحليل مبيعات'!C:C, 'حركة المخزن'!B144, 'تحليل مبيعات'!L:L)),"")</f>
        <v>1750</v>
      </c>
      <c r="K144" s="10" t="str">
        <f t="shared" si="11"/>
        <v/>
      </c>
      <c r="L144" s="10" t="str">
        <f t="shared" si="12"/>
        <v/>
      </c>
      <c r="M144" s="10">
        <v>5</v>
      </c>
      <c r="N144" s="10" t="str">
        <f t="shared" si="13"/>
        <v>يوجد رصيد كافى</v>
      </c>
      <c r="O144" s="44">
        <v>380</v>
      </c>
      <c r="Q144" s="130" t="str">
        <v>وش كربرتير جوان</v>
      </c>
      <c r="R144" s="135">
        <f>SUMIFS('تحليل مبيعات'!H:H,'تحليل مبيعات'!C:C,'حركة المخزن'!Q144,'تحليل مبيعات'!W:W,'حركة المخزن'!$R$6)</f>
        <v>0</v>
      </c>
      <c r="S144" s="136">
        <f>SUMIFS('تحليل مبيعات'!H:H,'تحليل مبيعات'!C:C,'حركة المخزن'!Q144,'تحليل مبيعات'!W:W,'حركة المخزن'!$S$6)</f>
        <v>0</v>
      </c>
      <c r="T144" s="136">
        <f>SUMIFS('تحليل مبيعات'!H:H,'تحليل مبيعات'!C:C,'حركة المخزن'!Q144,'تحليل مبيعات'!W:W,'حركة المخزن'!$T$6)</f>
        <v>0</v>
      </c>
      <c r="U144" s="136">
        <f>SUMIFS('تحليل مبيعات'!H:H,'تحليل مبيعات'!C:C,'حركة المخزن'!Q144,'تحليل مبيعات'!W:W,'حركة المخزن'!$U$6)</f>
        <v>0</v>
      </c>
      <c r="V144" s="136">
        <f>SUMIFS('تحليل مبيعات'!H:H,'تحليل مبيعات'!C:C,'حركة المخزن'!Q144,'تحليل مبيعات'!W:W,'حركة المخزن'!$V$6)</f>
        <v>0</v>
      </c>
      <c r="W144" s="136">
        <f>SUMIFS('تحليل مبيعات'!H:H,'تحليل مبيعات'!C:C,'حركة المخزن'!Q144,'تحليل مبيعات'!W:W,'حركة المخزن'!$W$6)</f>
        <v>0</v>
      </c>
      <c r="X144" s="136">
        <f>SUMIFS('تحليل مبيعات'!H:H,'تحليل مبيعات'!C:C,'حركة المخزن'!Q144,'تحليل مبيعات'!W:W,'حركة المخزن'!$X$6)</f>
        <v>1</v>
      </c>
      <c r="Y144" s="136">
        <f>SUMIFS('تحليل مبيعات'!H:H,'تحليل مبيعات'!C:C,'حركة المخزن'!Q144,'تحليل مبيعات'!W:W,'حركة المخزن'!$Y$6)</f>
        <v>0</v>
      </c>
      <c r="Z144" s="136">
        <f>SUMIFS('تحليل مبيعات'!H:H,'تحليل مبيعات'!C:C,'حركة المخزن'!Q144,'تحليل مبيعات'!W:W,'حركة المخزن'!$Z$6)</f>
        <v>0</v>
      </c>
      <c r="AA144" s="136">
        <f>SUMIFS('تحليل مبيعات'!H:H,'تحليل مبيعات'!C:C,'حركة المخزن'!Q144,'تحليل مبيعات'!W:W,'حركة المخزن'!$AA$6)</f>
        <v>0</v>
      </c>
      <c r="AB144" s="136">
        <f>SUMIFS('تحليل مبيعات'!H:H,'تحليل مبيعات'!C:C,'حركة المخزن'!Q144,'تحليل مبيعات'!W:W,'حركة المخزن'!$AB$6)</f>
        <v>0</v>
      </c>
      <c r="AC144" s="137">
        <f>SUMIFS('تحليل مبيعات'!H:H,'تحليل مبيعات'!C:C,'حركة المخزن'!Q144,'تحليل مبيعات'!W:W,'حركة المخزن'!$AC$6)</f>
        <v>0</v>
      </c>
      <c r="AD144" s="134">
        <f t="shared" si="10"/>
        <v>1</v>
      </c>
    </row>
    <row r="145" spans="2:30" ht="16.2" thickBot="1" x14ac:dyDescent="0.35">
      <c r="B145" s="70" t="s">
        <v>162</v>
      </c>
      <c r="C145" s="10" t="s">
        <v>406</v>
      </c>
      <c r="D145" s="10" t="s">
        <v>1</v>
      </c>
      <c r="E145" s="145">
        <v>10</v>
      </c>
      <c r="F145" s="145">
        <v>10000</v>
      </c>
      <c r="G145" s="10" t="str">
        <f>IFERROR(IF(SUMIF(المشتريات!C:C, 'حركة المخزن'!B145, المشتريات!F:F)=0,"",SUMIF(المشتريات!C:C, 'حركة المخزن'!B145, المشتريات!F:F)),"0")</f>
        <v/>
      </c>
      <c r="H145" s="10" t="str">
        <f>IFERROR(IF(SUMIF(المشتريات!C:C, 'حركة المخزن'!B145, المشتريات!I:I)=0,"",SUMIF(المشتريات!C:C, 'حركة المخزن'!B145, المشتريات!I:I)),"0")</f>
        <v/>
      </c>
      <c r="I145" s="10">
        <f>IFERROR(IF(SUMIF('تحليل مبيعات'!C:C, 'حركة المخزن'!B145, 'تحليل مبيعات'!H:H)=0,"",SUMIF('تحليل مبيعات'!C:C, 'حركة المخزن'!B145, 'تحليل مبيعات'!H:H)),"")</f>
        <v>1</v>
      </c>
      <c r="J145" s="10">
        <f>IFERROR(IF(SUMIF('تحليل مبيعات'!C:C, 'حركة المخزن'!B145, 'تحليل مبيعات'!L:L)=0,"",SUMIF('تحليل مبيعات'!C:C, 'حركة المخزن'!B145, 'تحليل مبيعات'!L:L)),"")</f>
        <v>2000</v>
      </c>
      <c r="K145" s="10" t="str">
        <f t="shared" si="11"/>
        <v/>
      </c>
      <c r="L145" s="10" t="str">
        <f t="shared" si="12"/>
        <v/>
      </c>
      <c r="M145" s="10">
        <v>5</v>
      </c>
      <c r="N145" s="10" t="str">
        <f t="shared" si="13"/>
        <v>يوجد رصيد كافى</v>
      </c>
      <c r="O145" s="44">
        <v>385</v>
      </c>
      <c r="Q145" s="130" t="str">
        <v>طمبورة امامى شوقى</v>
      </c>
      <c r="R145" s="135">
        <f>SUMIFS('تحليل مبيعات'!H:H,'تحليل مبيعات'!C:C,'حركة المخزن'!Q145,'تحليل مبيعات'!W:W,'حركة المخزن'!$R$6)</f>
        <v>0</v>
      </c>
      <c r="S145" s="136">
        <f>SUMIFS('تحليل مبيعات'!H:H,'تحليل مبيعات'!C:C,'حركة المخزن'!Q145,'تحليل مبيعات'!W:W,'حركة المخزن'!$S$6)</f>
        <v>0</v>
      </c>
      <c r="T145" s="136">
        <f>SUMIFS('تحليل مبيعات'!H:H,'تحليل مبيعات'!C:C,'حركة المخزن'!Q145,'تحليل مبيعات'!W:W,'حركة المخزن'!$T$6)</f>
        <v>0</v>
      </c>
      <c r="U145" s="136">
        <f>SUMIFS('تحليل مبيعات'!H:H,'تحليل مبيعات'!C:C,'حركة المخزن'!Q145,'تحليل مبيعات'!W:W,'حركة المخزن'!$U$6)</f>
        <v>0</v>
      </c>
      <c r="V145" s="136">
        <f>SUMIFS('تحليل مبيعات'!H:H,'تحليل مبيعات'!C:C,'حركة المخزن'!Q145,'تحليل مبيعات'!W:W,'حركة المخزن'!$V$6)</f>
        <v>0</v>
      </c>
      <c r="W145" s="136">
        <f>SUMIFS('تحليل مبيعات'!H:H,'تحليل مبيعات'!C:C,'حركة المخزن'!Q145,'تحليل مبيعات'!W:W,'حركة المخزن'!$W$6)</f>
        <v>0</v>
      </c>
      <c r="X145" s="136">
        <f>SUMIFS('تحليل مبيعات'!H:H,'تحليل مبيعات'!C:C,'حركة المخزن'!Q145,'تحليل مبيعات'!W:W,'حركة المخزن'!$X$6)</f>
        <v>1</v>
      </c>
      <c r="Y145" s="136">
        <f>SUMIFS('تحليل مبيعات'!H:H,'تحليل مبيعات'!C:C,'حركة المخزن'!Q145,'تحليل مبيعات'!W:W,'حركة المخزن'!$Y$6)</f>
        <v>0</v>
      </c>
      <c r="Z145" s="136">
        <f>SUMIFS('تحليل مبيعات'!H:H,'تحليل مبيعات'!C:C,'حركة المخزن'!Q145,'تحليل مبيعات'!W:W,'حركة المخزن'!$Z$6)</f>
        <v>0</v>
      </c>
      <c r="AA145" s="136">
        <f>SUMIFS('تحليل مبيعات'!H:H,'تحليل مبيعات'!C:C,'حركة المخزن'!Q145,'تحليل مبيعات'!W:W,'حركة المخزن'!$AA$6)</f>
        <v>0</v>
      </c>
      <c r="AB145" s="136">
        <f>SUMIFS('تحليل مبيعات'!H:H,'تحليل مبيعات'!C:C,'حركة المخزن'!Q145,'تحليل مبيعات'!W:W,'حركة المخزن'!$AB$6)</f>
        <v>0</v>
      </c>
      <c r="AC145" s="137">
        <f>SUMIFS('تحليل مبيعات'!H:H,'تحليل مبيعات'!C:C,'حركة المخزن'!Q145,'تحليل مبيعات'!W:W,'حركة المخزن'!$AC$6)</f>
        <v>0</v>
      </c>
      <c r="AD145" s="134">
        <f t="shared" si="10"/>
        <v>1</v>
      </c>
    </row>
    <row r="146" spans="2:30" ht="16.2" thickBot="1" x14ac:dyDescent="0.35">
      <c r="B146" s="70" t="s">
        <v>179</v>
      </c>
      <c r="C146" s="10" t="s">
        <v>407</v>
      </c>
      <c r="D146" s="10" t="s">
        <v>1</v>
      </c>
      <c r="E146" s="145">
        <v>10</v>
      </c>
      <c r="F146" s="145">
        <v>10000</v>
      </c>
      <c r="G146" s="10" t="str">
        <f>IFERROR(IF(SUMIF(المشتريات!C:C, 'حركة المخزن'!B146, المشتريات!F:F)=0,"",SUMIF(المشتريات!C:C, 'حركة المخزن'!B146, المشتريات!F:F)),"0")</f>
        <v/>
      </c>
      <c r="H146" s="10" t="str">
        <f>IFERROR(IF(SUMIF(المشتريات!C:C, 'حركة المخزن'!B146, المشتريات!I:I)=0,"",SUMIF(المشتريات!C:C, 'حركة المخزن'!B146, المشتريات!I:I)),"0")</f>
        <v/>
      </c>
      <c r="I146" s="10">
        <f>IFERROR(IF(SUMIF('تحليل مبيعات'!C:C, 'حركة المخزن'!B146, 'تحليل مبيعات'!H:H)=0,"",SUMIF('تحليل مبيعات'!C:C, 'حركة المخزن'!B146, 'تحليل مبيعات'!H:H)),"")</f>
        <v>1</v>
      </c>
      <c r="J146" s="10">
        <f>IFERROR(IF(SUMIF('تحليل مبيعات'!C:C, 'حركة المخزن'!B146, 'تحليل مبيعات'!L:L)=0,"",SUMIF('تحليل مبيعات'!C:C, 'حركة المخزن'!B146, 'تحليل مبيعات'!L:L)),"")</f>
        <v>1300</v>
      </c>
      <c r="K146" s="10" t="str">
        <f t="shared" si="11"/>
        <v/>
      </c>
      <c r="L146" s="10" t="str">
        <f t="shared" si="12"/>
        <v/>
      </c>
      <c r="M146" s="10">
        <v>5</v>
      </c>
      <c r="N146" s="10" t="str">
        <f t="shared" si="13"/>
        <v>يوجد رصيد كافى</v>
      </c>
      <c r="O146" s="44">
        <v>390</v>
      </c>
      <c r="Q146" s="130" t="str">
        <v>سلك اكسرتير يبانى</v>
      </c>
      <c r="R146" s="135">
        <f>SUMIFS('تحليل مبيعات'!H:H,'تحليل مبيعات'!C:C,'حركة المخزن'!Q146,'تحليل مبيعات'!W:W,'حركة المخزن'!$R$6)</f>
        <v>0</v>
      </c>
      <c r="S146" s="136">
        <f>SUMIFS('تحليل مبيعات'!H:H,'تحليل مبيعات'!C:C,'حركة المخزن'!Q146,'تحليل مبيعات'!W:W,'حركة المخزن'!$S$6)</f>
        <v>0</v>
      </c>
      <c r="T146" s="136">
        <f>SUMIFS('تحليل مبيعات'!H:H,'تحليل مبيعات'!C:C,'حركة المخزن'!Q146,'تحليل مبيعات'!W:W,'حركة المخزن'!$T$6)</f>
        <v>0</v>
      </c>
      <c r="U146" s="136">
        <f>SUMIFS('تحليل مبيعات'!H:H,'تحليل مبيعات'!C:C,'حركة المخزن'!Q146,'تحليل مبيعات'!W:W,'حركة المخزن'!$U$6)</f>
        <v>0</v>
      </c>
      <c r="V146" s="136">
        <f>SUMIFS('تحليل مبيعات'!H:H,'تحليل مبيعات'!C:C,'حركة المخزن'!Q146,'تحليل مبيعات'!W:W,'حركة المخزن'!$V$6)</f>
        <v>0</v>
      </c>
      <c r="W146" s="136">
        <f>SUMIFS('تحليل مبيعات'!H:H,'تحليل مبيعات'!C:C,'حركة المخزن'!Q146,'تحليل مبيعات'!W:W,'حركة المخزن'!$W$6)</f>
        <v>0</v>
      </c>
      <c r="X146" s="136">
        <f>SUMIFS('تحليل مبيعات'!H:H,'تحليل مبيعات'!C:C,'حركة المخزن'!Q146,'تحليل مبيعات'!W:W,'حركة المخزن'!$X$6)</f>
        <v>1</v>
      </c>
      <c r="Y146" s="136">
        <f>SUMIFS('تحليل مبيعات'!H:H,'تحليل مبيعات'!C:C,'حركة المخزن'!Q146,'تحليل مبيعات'!W:W,'حركة المخزن'!$Y$6)</f>
        <v>0</v>
      </c>
      <c r="Z146" s="136">
        <f>SUMIFS('تحليل مبيعات'!H:H,'تحليل مبيعات'!C:C,'حركة المخزن'!Q146,'تحليل مبيعات'!W:W,'حركة المخزن'!$Z$6)</f>
        <v>0</v>
      </c>
      <c r="AA146" s="136">
        <f>SUMIFS('تحليل مبيعات'!H:H,'تحليل مبيعات'!C:C,'حركة المخزن'!Q146,'تحليل مبيعات'!W:W,'حركة المخزن'!$AA$6)</f>
        <v>0</v>
      </c>
      <c r="AB146" s="136">
        <f>SUMIFS('تحليل مبيعات'!H:H,'تحليل مبيعات'!C:C,'حركة المخزن'!Q146,'تحليل مبيعات'!W:W,'حركة المخزن'!$AB$6)</f>
        <v>0</v>
      </c>
      <c r="AC146" s="137">
        <f>SUMIFS('تحليل مبيعات'!H:H,'تحليل مبيعات'!C:C,'حركة المخزن'!Q146,'تحليل مبيعات'!W:W,'حركة المخزن'!$AC$6)</f>
        <v>0</v>
      </c>
      <c r="AD146" s="134">
        <f t="shared" si="10"/>
        <v>1</v>
      </c>
    </row>
    <row r="147" spans="2:30" ht="16.2" thickBot="1" x14ac:dyDescent="0.35">
      <c r="B147" s="74" t="s">
        <v>16</v>
      </c>
      <c r="C147" s="10" t="s">
        <v>408</v>
      </c>
      <c r="D147" s="10" t="s">
        <v>1</v>
      </c>
      <c r="E147" s="145">
        <v>10</v>
      </c>
      <c r="F147" s="145">
        <v>10000</v>
      </c>
      <c r="G147" s="10" t="str">
        <f>IFERROR(IF(SUMIF(المشتريات!C:C, 'حركة المخزن'!B147, المشتريات!F:F)=0,"",SUMIF(المشتريات!C:C, 'حركة المخزن'!B147, المشتريات!F:F)),"0")</f>
        <v/>
      </c>
      <c r="H147" s="10" t="str">
        <f>IFERROR(IF(SUMIF(المشتريات!C:C, 'حركة المخزن'!B147, المشتريات!I:I)=0,"",SUMIF(المشتريات!C:C, 'حركة المخزن'!B147, المشتريات!I:I)),"0")</f>
        <v/>
      </c>
      <c r="I147" s="10">
        <f>IFERROR(IF(SUMIF('تحليل مبيعات'!C:C, 'حركة المخزن'!B147, 'تحليل مبيعات'!H:H)=0,"",SUMIF('تحليل مبيعات'!C:C, 'حركة المخزن'!B147, 'تحليل مبيعات'!H:H)),"")</f>
        <v>1</v>
      </c>
      <c r="J147" s="10">
        <f>IFERROR(IF(SUMIF('تحليل مبيعات'!C:C, 'حركة المخزن'!B147, 'تحليل مبيعات'!L:L)=0,"",SUMIF('تحليل مبيعات'!C:C, 'حركة المخزن'!B147, 'تحليل مبيعات'!L:L)),"")</f>
        <v>2850</v>
      </c>
      <c r="K147" s="10" t="str">
        <f t="shared" si="11"/>
        <v/>
      </c>
      <c r="L147" s="10" t="str">
        <f t="shared" si="12"/>
        <v/>
      </c>
      <c r="M147" s="10">
        <v>5</v>
      </c>
      <c r="N147" s="10" t="str">
        <f t="shared" si="13"/>
        <v>يوجد رصيد كافى</v>
      </c>
      <c r="O147" s="44">
        <v>395</v>
      </c>
      <c r="Q147" s="130" t="str">
        <v>بلية دبرياج عالية 90</v>
      </c>
      <c r="R147" s="135">
        <f>SUMIFS('تحليل مبيعات'!H:H,'تحليل مبيعات'!C:C,'حركة المخزن'!Q147,'تحليل مبيعات'!W:W,'حركة المخزن'!$R$6)</f>
        <v>0</v>
      </c>
      <c r="S147" s="136">
        <f>SUMIFS('تحليل مبيعات'!H:H,'تحليل مبيعات'!C:C,'حركة المخزن'!Q147,'تحليل مبيعات'!W:W,'حركة المخزن'!$S$6)</f>
        <v>0</v>
      </c>
      <c r="T147" s="136">
        <f>SUMIFS('تحليل مبيعات'!H:H,'تحليل مبيعات'!C:C,'حركة المخزن'!Q147,'تحليل مبيعات'!W:W,'حركة المخزن'!$T$6)</f>
        <v>0</v>
      </c>
      <c r="U147" s="136">
        <f>SUMIFS('تحليل مبيعات'!H:H,'تحليل مبيعات'!C:C,'حركة المخزن'!Q147,'تحليل مبيعات'!W:W,'حركة المخزن'!$U$6)</f>
        <v>0</v>
      </c>
      <c r="V147" s="136">
        <f>SUMIFS('تحليل مبيعات'!H:H,'تحليل مبيعات'!C:C,'حركة المخزن'!Q147,'تحليل مبيعات'!W:W,'حركة المخزن'!$V$6)</f>
        <v>0</v>
      </c>
      <c r="W147" s="136">
        <f>SUMIFS('تحليل مبيعات'!H:H,'تحليل مبيعات'!C:C,'حركة المخزن'!Q147,'تحليل مبيعات'!W:W,'حركة المخزن'!$W$6)</f>
        <v>0</v>
      </c>
      <c r="X147" s="136">
        <f>SUMIFS('تحليل مبيعات'!H:H,'تحليل مبيعات'!C:C,'حركة المخزن'!Q147,'تحليل مبيعات'!W:W,'حركة المخزن'!$X$6)</f>
        <v>1</v>
      </c>
      <c r="Y147" s="136">
        <f>SUMIFS('تحليل مبيعات'!H:H,'تحليل مبيعات'!C:C,'حركة المخزن'!Q147,'تحليل مبيعات'!W:W,'حركة المخزن'!$Y$6)</f>
        <v>0</v>
      </c>
      <c r="Z147" s="136">
        <f>SUMIFS('تحليل مبيعات'!H:H,'تحليل مبيعات'!C:C,'حركة المخزن'!Q147,'تحليل مبيعات'!W:W,'حركة المخزن'!$Z$6)</f>
        <v>0</v>
      </c>
      <c r="AA147" s="136">
        <f>SUMIFS('تحليل مبيعات'!H:H,'تحليل مبيعات'!C:C,'حركة المخزن'!Q147,'تحليل مبيعات'!W:W,'حركة المخزن'!$AA$6)</f>
        <v>0</v>
      </c>
      <c r="AB147" s="136">
        <f>SUMIFS('تحليل مبيعات'!H:H,'تحليل مبيعات'!C:C,'حركة المخزن'!Q147,'تحليل مبيعات'!W:W,'حركة المخزن'!$AB$6)</f>
        <v>0</v>
      </c>
      <c r="AC147" s="137">
        <f>SUMIFS('تحليل مبيعات'!H:H,'تحليل مبيعات'!C:C,'حركة المخزن'!Q147,'تحليل مبيعات'!W:W,'حركة المخزن'!$AC$6)</f>
        <v>0</v>
      </c>
      <c r="AD147" s="134">
        <f t="shared" si="10"/>
        <v>1</v>
      </c>
    </row>
    <row r="148" spans="2:30" ht="18.600000000000001" thickBot="1" x14ac:dyDescent="0.4">
      <c r="B148" s="102" t="s">
        <v>49</v>
      </c>
      <c r="C148" s="10" t="s">
        <v>409</v>
      </c>
      <c r="D148" s="10" t="s">
        <v>1</v>
      </c>
      <c r="E148" s="145">
        <v>10</v>
      </c>
      <c r="F148" s="145">
        <v>10000</v>
      </c>
      <c r="G148" s="10" t="str">
        <f>IFERROR(IF(SUMIF(المشتريات!C:C, 'حركة المخزن'!B148, المشتريات!F:F)=0,"",SUMIF(المشتريات!C:C, 'حركة المخزن'!B148, المشتريات!F:F)),"0")</f>
        <v/>
      </c>
      <c r="H148" s="10" t="str">
        <f>IFERROR(IF(SUMIF(المشتريات!C:C, 'حركة المخزن'!B148, المشتريات!I:I)=0,"",SUMIF(المشتريات!C:C, 'حركة المخزن'!B148, المشتريات!I:I)),"0")</f>
        <v/>
      </c>
      <c r="I148" s="10">
        <f>IFERROR(IF(SUMIF('تحليل مبيعات'!C:C, 'حركة المخزن'!B148, 'تحليل مبيعات'!H:H)=0,"",SUMIF('تحليل مبيعات'!C:C, 'حركة المخزن'!B148, 'تحليل مبيعات'!H:H)),"")</f>
        <v>7</v>
      </c>
      <c r="J148" s="10">
        <f>IFERROR(IF(SUMIF('تحليل مبيعات'!C:C, 'حركة المخزن'!B148, 'تحليل مبيعات'!L:L)=0,"",SUMIF('تحليل مبيعات'!C:C, 'حركة المخزن'!B148, 'تحليل مبيعات'!L:L)),"")</f>
        <v>19150</v>
      </c>
      <c r="K148" s="10" t="str">
        <f t="shared" si="11"/>
        <v/>
      </c>
      <c r="L148" s="10" t="str">
        <f t="shared" si="12"/>
        <v/>
      </c>
      <c r="M148" s="10">
        <v>5</v>
      </c>
      <c r="N148" s="10" t="str">
        <f t="shared" si="13"/>
        <v>يوجد رصيد كافى</v>
      </c>
      <c r="O148" s="44">
        <v>400</v>
      </c>
      <c r="Q148" s="130" t="str">
        <v>طلمبة باور جان بى</v>
      </c>
      <c r="R148" s="135">
        <f>SUMIFS('تحليل مبيعات'!H:H,'تحليل مبيعات'!C:C,'حركة المخزن'!Q148,'تحليل مبيعات'!W:W,'حركة المخزن'!$R$6)</f>
        <v>0</v>
      </c>
      <c r="S148" s="136">
        <f>SUMIFS('تحليل مبيعات'!H:H,'تحليل مبيعات'!C:C,'حركة المخزن'!Q148,'تحليل مبيعات'!W:W,'حركة المخزن'!$S$6)</f>
        <v>0</v>
      </c>
      <c r="T148" s="136">
        <f>SUMIFS('تحليل مبيعات'!H:H,'تحليل مبيعات'!C:C,'حركة المخزن'!Q148,'تحليل مبيعات'!W:W,'حركة المخزن'!$T$6)</f>
        <v>0</v>
      </c>
      <c r="U148" s="136">
        <f>SUMIFS('تحليل مبيعات'!H:H,'تحليل مبيعات'!C:C,'حركة المخزن'!Q148,'تحليل مبيعات'!W:W,'حركة المخزن'!$U$6)</f>
        <v>0</v>
      </c>
      <c r="V148" s="136">
        <f>SUMIFS('تحليل مبيعات'!H:H,'تحليل مبيعات'!C:C,'حركة المخزن'!Q148,'تحليل مبيعات'!W:W,'حركة المخزن'!$V$6)</f>
        <v>0</v>
      </c>
      <c r="W148" s="136">
        <f>SUMIFS('تحليل مبيعات'!H:H,'تحليل مبيعات'!C:C,'حركة المخزن'!Q148,'تحليل مبيعات'!W:W,'حركة المخزن'!$W$6)</f>
        <v>0</v>
      </c>
      <c r="X148" s="136">
        <f>SUMIFS('تحليل مبيعات'!H:H,'تحليل مبيعات'!C:C,'حركة المخزن'!Q148,'تحليل مبيعات'!W:W,'حركة المخزن'!$X$6)</f>
        <v>1</v>
      </c>
      <c r="Y148" s="136">
        <f>SUMIFS('تحليل مبيعات'!H:H,'تحليل مبيعات'!C:C,'حركة المخزن'!Q148,'تحليل مبيعات'!W:W,'حركة المخزن'!$Y$6)</f>
        <v>0</v>
      </c>
      <c r="Z148" s="136">
        <f>SUMIFS('تحليل مبيعات'!H:H,'تحليل مبيعات'!C:C,'حركة المخزن'!Q148,'تحليل مبيعات'!W:W,'حركة المخزن'!$Z$6)</f>
        <v>0</v>
      </c>
      <c r="AA148" s="136">
        <f>SUMIFS('تحليل مبيعات'!H:H,'تحليل مبيعات'!C:C,'حركة المخزن'!Q148,'تحليل مبيعات'!W:W,'حركة المخزن'!$AA$6)</f>
        <v>0</v>
      </c>
      <c r="AB148" s="136">
        <f>SUMIFS('تحليل مبيعات'!H:H,'تحليل مبيعات'!C:C,'حركة المخزن'!Q148,'تحليل مبيعات'!W:W,'حركة المخزن'!$AB$6)</f>
        <v>0</v>
      </c>
      <c r="AC148" s="137">
        <f>SUMIFS('تحليل مبيعات'!H:H,'تحليل مبيعات'!C:C,'حركة المخزن'!Q148,'تحليل مبيعات'!W:W,'حركة المخزن'!$AC$6)</f>
        <v>0</v>
      </c>
      <c r="AD148" s="134">
        <f t="shared" si="10"/>
        <v>1</v>
      </c>
    </row>
    <row r="149" spans="2:30" ht="18.600000000000001" thickBot="1" x14ac:dyDescent="0.4">
      <c r="B149" s="102" t="s">
        <v>139</v>
      </c>
      <c r="C149" s="10" t="s">
        <v>410</v>
      </c>
      <c r="D149" s="10" t="s">
        <v>1</v>
      </c>
      <c r="E149" s="145">
        <v>10</v>
      </c>
      <c r="F149" s="145">
        <v>10000</v>
      </c>
      <c r="G149" s="10" t="str">
        <f>IFERROR(IF(SUMIF(المشتريات!C:C, 'حركة المخزن'!B149, المشتريات!F:F)=0,"",SUMIF(المشتريات!C:C, 'حركة المخزن'!B149, المشتريات!F:F)),"0")</f>
        <v/>
      </c>
      <c r="H149" s="10" t="str">
        <f>IFERROR(IF(SUMIF(المشتريات!C:C, 'حركة المخزن'!B149, المشتريات!I:I)=0,"",SUMIF(المشتريات!C:C, 'حركة المخزن'!B149, المشتريات!I:I)),"0")</f>
        <v/>
      </c>
      <c r="I149" s="10">
        <f>IFERROR(IF(SUMIF('تحليل مبيعات'!C:C, 'حركة المخزن'!B149, 'تحليل مبيعات'!H:H)=0,"",SUMIF('تحليل مبيعات'!C:C, 'حركة المخزن'!B149, 'تحليل مبيعات'!H:H)),"")</f>
        <v>2</v>
      </c>
      <c r="J149" s="10">
        <f>IFERROR(IF(SUMIF('تحليل مبيعات'!C:C, 'حركة المخزن'!B149, 'تحليل مبيعات'!L:L)=0,"",SUMIF('تحليل مبيعات'!C:C, 'حركة المخزن'!B149, 'تحليل مبيعات'!L:L)),"")</f>
        <v>3200</v>
      </c>
      <c r="K149" s="10" t="str">
        <f t="shared" si="11"/>
        <v/>
      </c>
      <c r="L149" s="10" t="str">
        <f t="shared" si="12"/>
        <v/>
      </c>
      <c r="M149" s="10">
        <v>5</v>
      </c>
      <c r="N149" s="10" t="str">
        <f t="shared" si="13"/>
        <v>يوجد رصيد كافى</v>
      </c>
      <c r="O149" s="44">
        <v>405</v>
      </c>
      <c r="Q149" s="130" t="str">
        <v>فيتور خط ابيض 13/185/60 GALAXY F1</v>
      </c>
      <c r="R149" s="135">
        <f>SUMIFS('تحليل مبيعات'!H:H,'تحليل مبيعات'!C:C,'حركة المخزن'!Q149,'تحليل مبيعات'!W:W,'حركة المخزن'!$R$6)</f>
        <v>0</v>
      </c>
      <c r="S149" s="136">
        <f>SUMIFS('تحليل مبيعات'!H:H,'تحليل مبيعات'!C:C,'حركة المخزن'!Q149,'تحليل مبيعات'!W:W,'حركة المخزن'!$S$6)</f>
        <v>0</v>
      </c>
      <c r="T149" s="136">
        <f>SUMIFS('تحليل مبيعات'!H:H,'تحليل مبيعات'!C:C,'حركة المخزن'!Q149,'تحليل مبيعات'!W:W,'حركة المخزن'!$T$6)</f>
        <v>0</v>
      </c>
      <c r="U149" s="136">
        <f>SUMIFS('تحليل مبيعات'!H:H,'تحليل مبيعات'!C:C,'حركة المخزن'!Q149,'تحليل مبيعات'!W:W,'حركة المخزن'!$U$6)</f>
        <v>0</v>
      </c>
      <c r="V149" s="136">
        <f>SUMIFS('تحليل مبيعات'!H:H,'تحليل مبيعات'!C:C,'حركة المخزن'!Q149,'تحليل مبيعات'!W:W,'حركة المخزن'!$V$6)</f>
        <v>0</v>
      </c>
      <c r="W149" s="136">
        <f>SUMIFS('تحليل مبيعات'!H:H,'تحليل مبيعات'!C:C,'حركة المخزن'!Q149,'تحليل مبيعات'!W:W,'حركة المخزن'!$W$6)</f>
        <v>0</v>
      </c>
      <c r="X149" s="136">
        <f>SUMIFS('تحليل مبيعات'!H:H,'تحليل مبيعات'!C:C,'حركة المخزن'!Q149,'تحليل مبيعات'!W:W,'حركة المخزن'!$X$6)</f>
        <v>4</v>
      </c>
      <c r="Y149" s="136">
        <f>SUMIFS('تحليل مبيعات'!H:H,'تحليل مبيعات'!C:C,'حركة المخزن'!Q149,'تحليل مبيعات'!W:W,'حركة المخزن'!$Y$6)</f>
        <v>0</v>
      </c>
      <c r="Z149" s="136">
        <f>SUMIFS('تحليل مبيعات'!H:H,'تحليل مبيعات'!C:C,'حركة المخزن'!Q149,'تحليل مبيعات'!W:W,'حركة المخزن'!$Z$6)</f>
        <v>0</v>
      </c>
      <c r="AA149" s="136">
        <f>SUMIFS('تحليل مبيعات'!H:H,'تحليل مبيعات'!C:C,'حركة المخزن'!Q149,'تحليل مبيعات'!W:W,'حركة المخزن'!$AA$6)</f>
        <v>0</v>
      </c>
      <c r="AB149" s="136">
        <f>SUMIFS('تحليل مبيعات'!H:H,'تحليل مبيعات'!C:C,'حركة المخزن'!Q149,'تحليل مبيعات'!W:W,'حركة المخزن'!$AB$6)</f>
        <v>0</v>
      </c>
      <c r="AC149" s="137">
        <f>SUMIFS('تحليل مبيعات'!H:H,'تحليل مبيعات'!C:C,'حركة المخزن'!Q149,'تحليل مبيعات'!W:W,'حركة المخزن'!$AC$6)</f>
        <v>0</v>
      </c>
      <c r="AD149" s="134">
        <f t="shared" si="10"/>
        <v>4</v>
      </c>
    </row>
    <row r="150" spans="2:30" ht="15" thickBot="1" x14ac:dyDescent="0.35">
      <c r="B150" s="10" t="s">
        <v>29</v>
      </c>
      <c r="C150" s="10" t="s">
        <v>450</v>
      </c>
      <c r="D150" s="10"/>
      <c r="E150" s="145">
        <v>10</v>
      </c>
      <c r="F150" s="145">
        <v>10000</v>
      </c>
      <c r="G150" s="10" t="str">
        <f>IFERROR(IF(SUMIF(المشتريات!C:C, 'حركة المخزن'!B150, المشتريات!F:F)=0,"",SUMIF(المشتريات!C:C, 'حركة المخزن'!B150, المشتريات!F:F)),"0")</f>
        <v/>
      </c>
      <c r="H150" s="10" t="str">
        <f>IFERROR(IF(SUMIF(المشتريات!C:C, 'حركة المخزن'!B150, المشتريات!I:I)=0,"",SUMIF(المشتريات!C:C, 'حركة المخزن'!B150, المشتريات!I:I)),"0")</f>
        <v/>
      </c>
      <c r="I150" s="10">
        <f>IFERROR(IF(SUMIF('تحليل مبيعات'!C:C, 'حركة المخزن'!B150, 'تحليل مبيعات'!H:H)=0,"",SUMIF('تحليل مبيعات'!C:C, 'حركة المخزن'!B150, 'تحليل مبيعات'!H:H)),"")</f>
        <v>2</v>
      </c>
      <c r="J150" s="10" t="str">
        <f>IFERROR(IF(SUMIF('تحليل مبيعات'!C:C, 'حركة المخزن'!B150, 'تحليل مبيعات'!L:L)=0,"",SUMIF('تحليل مبيعات'!C:C, 'حركة المخزن'!B150, 'تحليل مبيعات'!L:L)),"")</f>
        <v/>
      </c>
      <c r="K150" s="10" t="str">
        <f t="shared" si="11"/>
        <v/>
      </c>
      <c r="L150" s="10" t="str">
        <f t="shared" si="12"/>
        <v/>
      </c>
      <c r="M150" s="10">
        <v>5</v>
      </c>
      <c r="N150" s="10" t="str">
        <f t="shared" si="13"/>
        <v>يوجد رصيد كافى</v>
      </c>
      <c r="O150" s="44">
        <v>100</v>
      </c>
      <c r="Q150" s="130" t="str">
        <v>قاعدة موتور فطيم</v>
      </c>
      <c r="R150" s="135">
        <f>SUMIFS('تحليل مبيعات'!H:H,'تحليل مبيعات'!C:C,'حركة المخزن'!Q150,'تحليل مبيعات'!W:W,'حركة المخزن'!$R$6)</f>
        <v>0</v>
      </c>
      <c r="S150" s="136">
        <f>SUMIFS('تحليل مبيعات'!H:H,'تحليل مبيعات'!C:C,'حركة المخزن'!Q150,'تحليل مبيعات'!W:W,'حركة المخزن'!$S$6)</f>
        <v>0</v>
      </c>
      <c r="T150" s="136">
        <f>SUMIFS('تحليل مبيعات'!H:H,'تحليل مبيعات'!C:C,'حركة المخزن'!Q150,'تحليل مبيعات'!W:W,'حركة المخزن'!$T$6)</f>
        <v>0</v>
      </c>
      <c r="U150" s="136">
        <f>SUMIFS('تحليل مبيعات'!H:H,'تحليل مبيعات'!C:C,'حركة المخزن'!Q150,'تحليل مبيعات'!W:W,'حركة المخزن'!$U$6)</f>
        <v>0</v>
      </c>
      <c r="V150" s="136">
        <f>SUMIFS('تحليل مبيعات'!H:H,'تحليل مبيعات'!C:C,'حركة المخزن'!Q150,'تحليل مبيعات'!W:W,'حركة المخزن'!$V$6)</f>
        <v>0</v>
      </c>
      <c r="W150" s="136">
        <f>SUMIFS('تحليل مبيعات'!H:H,'تحليل مبيعات'!C:C,'حركة المخزن'!Q150,'تحليل مبيعات'!W:W,'حركة المخزن'!$W$6)</f>
        <v>0</v>
      </c>
      <c r="X150" s="136">
        <f>SUMIFS('تحليل مبيعات'!H:H,'تحليل مبيعات'!C:C,'حركة المخزن'!Q150,'تحليل مبيعات'!W:W,'حركة المخزن'!$X$6)</f>
        <v>1</v>
      </c>
      <c r="Y150" s="136">
        <f>SUMIFS('تحليل مبيعات'!H:H,'تحليل مبيعات'!C:C,'حركة المخزن'!Q150,'تحليل مبيعات'!W:W,'حركة المخزن'!$Y$6)</f>
        <v>0</v>
      </c>
      <c r="Z150" s="136">
        <f>SUMIFS('تحليل مبيعات'!H:H,'تحليل مبيعات'!C:C,'حركة المخزن'!Q150,'تحليل مبيعات'!W:W,'حركة المخزن'!$Z$6)</f>
        <v>0</v>
      </c>
      <c r="AA150" s="136">
        <f>SUMIFS('تحليل مبيعات'!H:H,'تحليل مبيعات'!C:C,'حركة المخزن'!Q150,'تحليل مبيعات'!W:W,'حركة المخزن'!$AA$6)</f>
        <v>0</v>
      </c>
      <c r="AB150" s="136">
        <f>SUMIFS('تحليل مبيعات'!H:H,'تحليل مبيعات'!C:C,'حركة المخزن'!Q150,'تحليل مبيعات'!W:W,'حركة المخزن'!$AB$6)</f>
        <v>0</v>
      </c>
      <c r="AC150" s="137">
        <f>SUMIFS('تحليل مبيعات'!H:H,'تحليل مبيعات'!C:C,'حركة المخزن'!Q150,'تحليل مبيعات'!W:W,'حركة المخزن'!$AC$6)</f>
        <v>0</v>
      </c>
      <c r="AD150" s="134">
        <f t="shared" si="10"/>
        <v>1</v>
      </c>
    </row>
    <row r="151" spans="2:30" ht="15" thickBot="1" x14ac:dyDescent="0.35">
      <c r="B151" s="10" t="s">
        <v>30</v>
      </c>
      <c r="C151" s="10" t="s">
        <v>451</v>
      </c>
      <c r="D151" s="10"/>
      <c r="E151" s="145">
        <v>10</v>
      </c>
      <c r="F151" s="145">
        <v>10000</v>
      </c>
      <c r="G151" s="10" t="str">
        <f>IFERROR(IF(SUMIF(المشتريات!C:C, 'حركة المخزن'!B151, المشتريات!F:F)=0,"",SUMIF(المشتريات!C:C, 'حركة المخزن'!B151, المشتريات!F:F)),"0")</f>
        <v/>
      </c>
      <c r="H151" s="10" t="str">
        <f>IFERROR(IF(SUMIF(المشتريات!C:C, 'حركة المخزن'!B151, المشتريات!I:I)=0,"",SUMIF(المشتريات!C:C, 'حركة المخزن'!B151, المشتريات!I:I)),"0")</f>
        <v/>
      </c>
      <c r="I151" s="10">
        <f>IFERROR(IF(SUMIF('تحليل مبيعات'!C:C, 'حركة المخزن'!B151, 'تحليل مبيعات'!H:H)=0,"",SUMIF('تحليل مبيعات'!C:C, 'حركة المخزن'!B151, 'تحليل مبيعات'!H:H)),"")</f>
        <v>1</v>
      </c>
      <c r="J151" s="10" t="str">
        <f>IFERROR(IF(SUMIF('تحليل مبيعات'!C:C, 'حركة المخزن'!B151, 'تحليل مبيعات'!L:L)=0,"",SUMIF('تحليل مبيعات'!C:C, 'حركة المخزن'!B151, 'تحليل مبيعات'!L:L)),"")</f>
        <v/>
      </c>
      <c r="K151" s="10" t="str">
        <f t="shared" si="11"/>
        <v/>
      </c>
      <c r="L151" s="10" t="str">
        <f t="shared" si="12"/>
        <v/>
      </c>
      <c r="M151" s="10">
        <v>5</v>
      </c>
      <c r="N151" s="10" t="str">
        <f t="shared" si="13"/>
        <v>يوجد رصيد كافى</v>
      </c>
      <c r="O151" s="44">
        <v>120</v>
      </c>
      <c r="Q151" s="130" t="str">
        <v>باغة فانوس خلفى كريستال هاى اس شمال</v>
      </c>
      <c r="R151" s="135">
        <f>SUMIFS('تحليل مبيعات'!H:H,'تحليل مبيعات'!C:C,'حركة المخزن'!Q151,'تحليل مبيعات'!W:W,'حركة المخزن'!$R$6)</f>
        <v>0</v>
      </c>
      <c r="S151" s="136">
        <f>SUMIFS('تحليل مبيعات'!H:H,'تحليل مبيعات'!C:C,'حركة المخزن'!Q151,'تحليل مبيعات'!W:W,'حركة المخزن'!$S$6)</f>
        <v>0</v>
      </c>
      <c r="T151" s="136">
        <f>SUMIFS('تحليل مبيعات'!H:H,'تحليل مبيعات'!C:C,'حركة المخزن'!Q151,'تحليل مبيعات'!W:W,'حركة المخزن'!$T$6)</f>
        <v>0</v>
      </c>
      <c r="U151" s="136">
        <f>SUMIFS('تحليل مبيعات'!H:H,'تحليل مبيعات'!C:C,'حركة المخزن'!Q151,'تحليل مبيعات'!W:W,'حركة المخزن'!$U$6)</f>
        <v>0</v>
      </c>
      <c r="V151" s="136">
        <f>SUMIFS('تحليل مبيعات'!H:H,'تحليل مبيعات'!C:C,'حركة المخزن'!Q151,'تحليل مبيعات'!W:W,'حركة المخزن'!$V$6)</f>
        <v>0</v>
      </c>
      <c r="W151" s="136">
        <f>SUMIFS('تحليل مبيعات'!H:H,'تحليل مبيعات'!C:C,'حركة المخزن'!Q151,'تحليل مبيعات'!W:W,'حركة المخزن'!$W$6)</f>
        <v>0</v>
      </c>
      <c r="X151" s="136">
        <f>SUMIFS('تحليل مبيعات'!H:H,'تحليل مبيعات'!C:C,'حركة المخزن'!Q151,'تحليل مبيعات'!W:W,'حركة المخزن'!$X$6)</f>
        <v>1</v>
      </c>
      <c r="Y151" s="136">
        <f>SUMIFS('تحليل مبيعات'!H:H,'تحليل مبيعات'!C:C,'حركة المخزن'!Q151,'تحليل مبيعات'!W:W,'حركة المخزن'!$Y$6)</f>
        <v>0</v>
      </c>
      <c r="Z151" s="136">
        <f>SUMIFS('تحليل مبيعات'!H:H,'تحليل مبيعات'!C:C,'حركة المخزن'!Q151,'تحليل مبيعات'!W:W,'حركة المخزن'!$Z$6)</f>
        <v>0</v>
      </c>
      <c r="AA151" s="136">
        <f>SUMIFS('تحليل مبيعات'!H:H,'تحليل مبيعات'!C:C,'حركة المخزن'!Q151,'تحليل مبيعات'!W:W,'حركة المخزن'!$AA$6)</f>
        <v>0</v>
      </c>
      <c r="AB151" s="136">
        <f>SUMIFS('تحليل مبيعات'!H:H,'تحليل مبيعات'!C:C,'حركة المخزن'!Q151,'تحليل مبيعات'!W:W,'حركة المخزن'!$AB$6)</f>
        <v>0</v>
      </c>
      <c r="AC151" s="137">
        <f>SUMIFS('تحليل مبيعات'!H:H,'تحليل مبيعات'!C:C,'حركة المخزن'!Q151,'تحليل مبيعات'!W:W,'حركة المخزن'!$AC$6)</f>
        <v>0</v>
      </c>
      <c r="AD151" s="134">
        <f t="shared" si="10"/>
        <v>1</v>
      </c>
    </row>
    <row r="152" spans="2:30" ht="15" thickBot="1" x14ac:dyDescent="0.35">
      <c r="B152" s="10" t="s">
        <v>29</v>
      </c>
      <c r="C152" s="10" t="s">
        <v>452</v>
      </c>
      <c r="D152" s="10"/>
      <c r="E152" s="145">
        <v>10</v>
      </c>
      <c r="F152" s="145">
        <v>10000</v>
      </c>
      <c r="G152" s="10" t="str">
        <f>IFERROR(IF(SUMIF(المشتريات!C:C, 'حركة المخزن'!B152, المشتريات!F:F)=0,"",SUMIF(المشتريات!C:C, 'حركة المخزن'!B152, المشتريات!F:F)),"0")</f>
        <v/>
      </c>
      <c r="H152" s="10" t="str">
        <f>IFERROR(IF(SUMIF(المشتريات!C:C, 'حركة المخزن'!B152, المشتريات!I:I)=0,"",SUMIF(المشتريات!C:C, 'حركة المخزن'!B152, المشتريات!I:I)),"0")</f>
        <v/>
      </c>
      <c r="I152" s="10">
        <f>IFERROR(IF(SUMIF('تحليل مبيعات'!C:C, 'حركة المخزن'!B152, 'تحليل مبيعات'!H:H)=0,"",SUMIF('تحليل مبيعات'!C:C, 'حركة المخزن'!B152, 'تحليل مبيعات'!H:H)),"")</f>
        <v>2</v>
      </c>
      <c r="J152" s="10" t="str">
        <f>IFERROR(IF(SUMIF('تحليل مبيعات'!C:C, 'حركة المخزن'!B152, 'تحليل مبيعات'!L:L)=0,"",SUMIF('تحليل مبيعات'!C:C, 'حركة المخزن'!B152, 'تحليل مبيعات'!L:L)),"")</f>
        <v/>
      </c>
      <c r="K152" s="10" t="str">
        <f t="shared" si="11"/>
        <v/>
      </c>
      <c r="L152" s="10" t="str">
        <f t="shared" si="12"/>
        <v/>
      </c>
      <c r="M152" s="10">
        <v>5</v>
      </c>
      <c r="N152" s="10" t="str">
        <f t="shared" si="13"/>
        <v>يوجد رصيد كافى</v>
      </c>
      <c r="O152" s="44">
        <v>140</v>
      </c>
      <c r="Q152" s="130" t="str">
        <v>صدادة باب جرار</v>
      </c>
      <c r="R152" s="135">
        <f>SUMIFS('تحليل مبيعات'!H:H,'تحليل مبيعات'!C:C,'حركة المخزن'!Q152,'تحليل مبيعات'!W:W,'حركة المخزن'!$R$6)</f>
        <v>0</v>
      </c>
      <c r="S152" s="136">
        <f>SUMIFS('تحليل مبيعات'!H:H,'تحليل مبيعات'!C:C,'حركة المخزن'!Q152,'تحليل مبيعات'!W:W,'حركة المخزن'!$S$6)</f>
        <v>0</v>
      </c>
      <c r="T152" s="136">
        <f>SUMIFS('تحليل مبيعات'!H:H,'تحليل مبيعات'!C:C,'حركة المخزن'!Q152,'تحليل مبيعات'!W:W,'حركة المخزن'!$T$6)</f>
        <v>0</v>
      </c>
      <c r="U152" s="136">
        <f>SUMIFS('تحليل مبيعات'!H:H,'تحليل مبيعات'!C:C,'حركة المخزن'!Q152,'تحليل مبيعات'!W:W,'حركة المخزن'!$U$6)</f>
        <v>0</v>
      </c>
      <c r="V152" s="136">
        <f>SUMIFS('تحليل مبيعات'!H:H,'تحليل مبيعات'!C:C,'حركة المخزن'!Q152,'تحليل مبيعات'!W:W,'حركة المخزن'!$V$6)</f>
        <v>0</v>
      </c>
      <c r="W152" s="136">
        <f>SUMIFS('تحليل مبيعات'!H:H,'تحليل مبيعات'!C:C,'حركة المخزن'!Q152,'تحليل مبيعات'!W:W,'حركة المخزن'!$W$6)</f>
        <v>0</v>
      </c>
      <c r="X152" s="136">
        <f>SUMIFS('تحليل مبيعات'!H:H,'تحليل مبيعات'!C:C,'حركة المخزن'!Q152,'تحليل مبيعات'!W:W,'حركة المخزن'!$X$6)</f>
        <v>0</v>
      </c>
      <c r="Y152" s="136">
        <f>SUMIFS('تحليل مبيعات'!H:H,'تحليل مبيعات'!C:C,'حركة المخزن'!Q152,'تحليل مبيعات'!W:W,'حركة المخزن'!$Y$6)</f>
        <v>1</v>
      </c>
      <c r="Z152" s="136">
        <f>SUMIFS('تحليل مبيعات'!H:H,'تحليل مبيعات'!C:C,'حركة المخزن'!Q152,'تحليل مبيعات'!W:W,'حركة المخزن'!$Z$6)</f>
        <v>0</v>
      </c>
      <c r="AA152" s="136">
        <f>SUMIFS('تحليل مبيعات'!H:H,'تحليل مبيعات'!C:C,'حركة المخزن'!Q152,'تحليل مبيعات'!W:W,'حركة المخزن'!$AA$6)</f>
        <v>0</v>
      </c>
      <c r="AB152" s="136">
        <f>SUMIFS('تحليل مبيعات'!H:H,'تحليل مبيعات'!C:C,'حركة المخزن'!Q152,'تحليل مبيعات'!W:W,'حركة المخزن'!$AB$6)</f>
        <v>0</v>
      </c>
      <c r="AC152" s="137">
        <f>SUMIFS('تحليل مبيعات'!H:H,'تحليل مبيعات'!C:C,'حركة المخزن'!Q152,'تحليل مبيعات'!W:W,'حركة المخزن'!$AC$6)</f>
        <v>0</v>
      </c>
      <c r="AD152" s="134">
        <f t="shared" si="10"/>
        <v>1</v>
      </c>
    </row>
    <row r="153" spans="2:30" ht="15" thickBot="1" x14ac:dyDescent="0.35">
      <c r="B153" s="10" t="s">
        <v>105</v>
      </c>
      <c r="C153" s="10" t="s">
        <v>453</v>
      </c>
      <c r="D153" s="10"/>
      <c r="E153" s="145">
        <v>10</v>
      </c>
      <c r="F153" s="145">
        <v>10000</v>
      </c>
      <c r="G153" s="10" t="str">
        <f>IFERROR(IF(SUMIF(المشتريات!C:C, 'حركة المخزن'!B153, المشتريات!F:F)=0,"",SUMIF(المشتريات!C:C, 'حركة المخزن'!B153, المشتريات!F:F)),"0")</f>
        <v/>
      </c>
      <c r="H153" s="10" t="str">
        <f>IFERROR(IF(SUMIF(المشتريات!C:C, 'حركة المخزن'!B153, المشتريات!I:I)=0,"",SUMIF(المشتريات!C:C, 'حركة المخزن'!B153, المشتريات!I:I)),"0")</f>
        <v/>
      </c>
      <c r="I153" s="10">
        <f>IFERROR(IF(SUMIF('تحليل مبيعات'!C:C, 'حركة المخزن'!B153, 'تحليل مبيعات'!H:H)=0,"",SUMIF('تحليل مبيعات'!C:C, 'حركة المخزن'!B153, 'تحليل مبيعات'!H:H)),"")</f>
        <v>2</v>
      </c>
      <c r="J153" s="10" t="str">
        <f>IFERROR(IF(SUMIF('تحليل مبيعات'!C:C, 'حركة المخزن'!B153, 'تحليل مبيعات'!L:L)=0,"",SUMIF('تحليل مبيعات'!C:C, 'حركة المخزن'!B153, 'تحليل مبيعات'!L:L)),"")</f>
        <v/>
      </c>
      <c r="K153" s="10" t="str">
        <f t="shared" si="11"/>
        <v/>
      </c>
      <c r="L153" s="10" t="str">
        <f t="shared" si="12"/>
        <v/>
      </c>
      <c r="M153" s="10">
        <v>5</v>
      </c>
      <c r="N153" s="10" t="str">
        <f t="shared" si="13"/>
        <v>يوجد رصيد كافى</v>
      </c>
      <c r="O153" s="44">
        <v>160</v>
      </c>
      <c r="Q153" s="130" t="str">
        <v xml:space="preserve">  افيس بلاستيك</v>
      </c>
      <c r="R153" s="135">
        <f>SUMIFS('تحليل مبيعات'!H:H,'تحليل مبيعات'!C:C,'حركة المخزن'!Q153,'تحليل مبيعات'!W:W,'حركة المخزن'!$R$6)</f>
        <v>0</v>
      </c>
      <c r="S153" s="136">
        <f>SUMIFS('تحليل مبيعات'!H:H,'تحليل مبيعات'!C:C,'حركة المخزن'!Q153,'تحليل مبيعات'!W:W,'حركة المخزن'!$S$6)</f>
        <v>0</v>
      </c>
      <c r="T153" s="136">
        <f>SUMIFS('تحليل مبيعات'!H:H,'تحليل مبيعات'!C:C,'حركة المخزن'!Q153,'تحليل مبيعات'!W:W,'حركة المخزن'!$T$6)</f>
        <v>0</v>
      </c>
      <c r="U153" s="136">
        <f>SUMIFS('تحليل مبيعات'!H:H,'تحليل مبيعات'!C:C,'حركة المخزن'!Q153,'تحليل مبيعات'!W:W,'حركة المخزن'!$U$6)</f>
        <v>0</v>
      </c>
      <c r="V153" s="136">
        <f>SUMIFS('تحليل مبيعات'!H:H,'تحليل مبيعات'!C:C,'حركة المخزن'!Q153,'تحليل مبيعات'!W:W,'حركة المخزن'!$V$6)</f>
        <v>0</v>
      </c>
      <c r="W153" s="136">
        <f>SUMIFS('تحليل مبيعات'!H:H,'تحليل مبيعات'!C:C,'حركة المخزن'!Q153,'تحليل مبيعات'!W:W,'حركة المخزن'!$W$6)</f>
        <v>0</v>
      </c>
      <c r="X153" s="136">
        <f>SUMIFS('تحليل مبيعات'!H:H,'تحليل مبيعات'!C:C,'حركة المخزن'!Q153,'تحليل مبيعات'!W:W,'حركة المخزن'!$X$6)</f>
        <v>0</v>
      </c>
      <c r="Y153" s="136">
        <f>SUMIFS('تحليل مبيعات'!H:H,'تحليل مبيعات'!C:C,'حركة المخزن'!Q153,'تحليل مبيعات'!W:W,'حركة المخزن'!$Y$6)</f>
        <v>8</v>
      </c>
      <c r="Z153" s="136">
        <f>SUMIFS('تحليل مبيعات'!H:H,'تحليل مبيعات'!C:C,'حركة المخزن'!Q153,'تحليل مبيعات'!W:W,'حركة المخزن'!$Z$6)</f>
        <v>0</v>
      </c>
      <c r="AA153" s="136">
        <f>SUMIFS('تحليل مبيعات'!H:H,'تحليل مبيعات'!C:C,'حركة المخزن'!Q153,'تحليل مبيعات'!W:W,'حركة المخزن'!$AA$6)</f>
        <v>0</v>
      </c>
      <c r="AB153" s="136">
        <f>SUMIFS('تحليل مبيعات'!H:H,'تحليل مبيعات'!C:C,'حركة المخزن'!Q153,'تحليل مبيعات'!W:W,'حركة المخزن'!$AB$6)</f>
        <v>0</v>
      </c>
      <c r="AC153" s="137">
        <f>SUMIFS('تحليل مبيعات'!H:H,'تحليل مبيعات'!C:C,'حركة المخزن'!Q153,'تحليل مبيعات'!W:W,'حركة المخزن'!$AC$6)</f>
        <v>0</v>
      </c>
      <c r="AD153" s="134">
        <f t="shared" si="10"/>
        <v>8</v>
      </c>
    </row>
    <row r="154" spans="2:30" ht="15" thickBot="1" x14ac:dyDescent="0.35">
      <c r="B154" s="10" t="s">
        <v>113</v>
      </c>
      <c r="C154" s="10" t="s">
        <v>454</v>
      </c>
      <c r="D154" s="10"/>
      <c r="E154" s="145">
        <v>10</v>
      </c>
      <c r="F154" s="145">
        <v>10000</v>
      </c>
      <c r="G154" s="10" t="str">
        <f>IFERROR(IF(SUMIF(المشتريات!C:C, 'حركة المخزن'!B154, المشتريات!F:F)=0,"",SUMIF(المشتريات!C:C, 'حركة المخزن'!B154, المشتريات!F:F)),"0")</f>
        <v/>
      </c>
      <c r="H154" s="10" t="str">
        <f>IFERROR(IF(SUMIF(المشتريات!C:C, 'حركة المخزن'!B154, المشتريات!I:I)=0,"",SUMIF(المشتريات!C:C, 'حركة المخزن'!B154, المشتريات!I:I)),"0")</f>
        <v/>
      </c>
      <c r="I154" s="10">
        <f>IFERROR(IF(SUMIF('تحليل مبيعات'!C:C, 'حركة المخزن'!B154, 'تحليل مبيعات'!H:H)=0,"",SUMIF('تحليل مبيعات'!C:C, 'حركة المخزن'!B154, 'تحليل مبيعات'!H:H)),"")</f>
        <v>1</v>
      </c>
      <c r="J154" s="10" t="str">
        <f>IFERROR(IF(SUMIF('تحليل مبيعات'!C:C, 'حركة المخزن'!B154, 'تحليل مبيعات'!L:L)=0,"",SUMIF('تحليل مبيعات'!C:C, 'حركة المخزن'!B154, 'تحليل مبيعات'!L:L)),"")</f>
        <v/>
      </c>
      <c r="K154" s="10" t="str">
        <f t="shared" si="11"/>
        <v/>
      </c>
      <c r="L154" s="10" t="str">
        <f t="shared" si="12"/>
        <v/>
      </c>
      <c r="M154" s="10">
        <v>5</v>
      </c>
      <c r="N154" s="10" t="str">
        <f t="shared" si="13"/>
        <v>يوجد رصيد كافى</v>
      </c>
      <c r="O154" s="44">
        <v>180</v>
      </c>
      <c r="Q154" s="130" t="str">
        <v xml:space="preserve">طقم كالون باب كامل </v>
      </c>
      <c r="R154" s="135">
        <f>SUMIFS('تحليل مبيعات'!H:H,'تحليل مبيعات'!C:C,'حركة المخزن'!Q154,'تحليل مبيعات'!W:W,'حركة المخزن'!$R$6)</f>
        <v>0</v>
      </c>
      <c r="S154" s="136">
        <f>SUMIFS('تحليل مبيعات'!H:H,'تحليل مبيعات'!C:C,'حركة المخزن'!Q154,'تحليل مبيعات'!W:W,'حركة المخزن'!$S$6)</f>
        <v>0</v>
      </c>
      <c r="T154" s="136">
        <f>SUMIFS('تحليل مبيعات'!H:H,'تحليل مبيعات'!C:C,'حركة المخزن'!Q154,'تحليل مبيعات'!W:W,'حركة المخزن'!$T$6)</f>
        <v>0</v>
      </c>
      <c r="U154" s="136">
        <f>SUMIFS('تحليل مبيعات'!H:H,'تحليل مبيعات'!C:C,'حركة المخزن'!Q154,'تحليل مبيعات'!W:W,'حركة المخزن'!$U$6)</f>
        <v>0</v>
      </c>
      <c r="V154" s="136">
        <f>SUMIFS('تحليل مبيعات'!H:H,'تحليل مبيعات'!C:C,'حركة المخزن'!Q154,'تحليل مبيعات'!W:W,'حركة المخزن'!$V$6)</f>
        <v>0</v>
      </c>
      <c r="W154" s="136">
        <f>SUMIFS('تحليل مبيعات'!H:H,'تحليل مبيعات'!C:C,'حركة المخزن'!Q154,'تحليل مبيعات'!W:W,'حركة المخزن'!$W$6)</f>
        <v>0</v>
      </c>
      <c r="X154" s="136">
        <f>SUMIFS('تحليل مبيعات'!H:H,'تحليل مبيعات'!C:C,'حركة المخزن'!Q154,'تحليل مبيعات'!W:W,'حركة المخزن'!$X$6)</f>
        <v>0</v>
      </c>
      <c r="Y154" s="136">
        <f>SUMIFS('تحليل مبيعات'!H:H,'تحليل مبيعات'!C:C,'حركة المخزن'!Q154,'تحليل مبيعات'!W:W,'حركة المخزن'!$Y$6)</f>
        <v>1</v>
      </c>
      <c r="Z154" s="136">
        <f>SUMIFS('تحليل مبيعات'!H:H,'تحليل مبيعات'!C:C,'حركة المخزن'!Q154,'تحليل مبيعات'!W:W,'حركة المخزن'!$Z$6)</f>
        <v>0</v>
      </c>
      <c r="AA154" s="136">
        <f>SUMIFS('تحليل مبيعات'!H:H,'تحليل مبيعات'!C:C,'حركة المخزن'!Q154,'تحليل مبيعات'!W:W,'حركة المخزن'!$AA$6)</f>
        <v>0</v>
      </c>
      <c r="AB154" s="136">
        <f>SUMIFS('تحليل مبيعات'!H:H,'تحليل مبيعات'!C:C,'حركة المخزن'!Q154,'تحليل مبيعات'!W:W,'حركة المخزن'!$AB$6)</f>
        <v>0</v>
      </c>
      <c r="AC154" s="137">
        <f>SUMIFS('تحليل مبيعات'!H:H,'تحليل مبيعات'!C:C,'حركة المخزن'!Q154,'تحليل مبيعات'!W:W,'حركة المخزن'!$AC$6)</f>
        <v>0</v>
      </c>
      <c r="AD154" s="134">
        <f t="shared" si="10"/>
        <v>1</v>
      </c>
    </row>
    <row r="155" spans="2:30" ht="15" thickBot="1" x14ac:dyDescent="0.35">
      <c r="B155" s="10" t="s">
        <v>114</v>
      </c>
      <c r="C155" s="10" t="s">
        <v>455</v>
      </c>
      <c r="D155" s="10"/>
      <c r="E155" s="145">
        <v>10</v>
      </c>
      <c r="F155" s="145">
        <v>10000</v>
      </c>
      <c r="G155" s="10" t="str">
        <f>IFERROR(IF(SUMIF(المشتريات!C:C, 'حركة المخزن'!B155, المشتريات!F:F)=0,"",SUMIF(المشتريات!C:C, 'حركة المخزن'!B155, المشتريات!F:F)),"0")</f>
        <v/>
      </c>
      <c r="H155" s="10" t="str">
        <f>IFERROR(IF(SUMIF(المشتريات!C:C, 'حركة المخزن'!B155, المشتريات!I:I)=0,"",SUMIF(المشتريات!C:C, 'حركة المخزن'!B155, المشتريات!I:I)),"0")</f>
        <v/>
      </c>
      <c r="I155" s="10">
        <f>IFERROR(IF(SUMIF('تحليل مبيعات'!C:C, 'حركة المخزن'!B155, 'تحليل مبيعات'!H:H)=0,"",SUMIF('تحليل مبيعات'!C:C, 'حركة المخزن'!B155, 'تحليل مبيعات'!H:H)),"")</f>
        <v>2</v>
      </c>
      <c r="J155" s="10" t="str">
        <f>IFERROR(IF(SUMIF('تحليل مبيعات'!C:C, 'حركة المخزن'!B155, 'تحليل مبيعات'!L:L)=0,"",SUMIF('تحليل مبيعات'!C:C, 'حركة المخزن'!B155, 'تحليل مبيعات'!L:L)),"")</f>
        <v/>
      </c>
      <c r="K155" s="10" t="str">
        <f t="shared" si="11"/>
        <v/>
      </c>
      <c r="L155" s="10" t="str">
        <f t="shared" si="12"/>
        <v/>
      </c>
      <c r="M155" s="10">
        <v>5</v>
      </c>
      <c r="N155" s="10" t="str">
        <f t="shared" si="13"/>
        <v>يوجد رصيد كافى</v>
      </c>
      <c r="O155" s="44">
        <v>200</v>
      </c>
      <c r="Q155" s="130" t="str">
        <v>فيتور 14/195 عريض</v>
      </c>
      <c r="R155" s="135">
        <f>SUMIFS('تحليل مبيعات'!H:H,'تحليل مبيعات'!C:C,'حركة المخزن'!Q155,'تحليل مبيعات'!W:W,'حركة المخزن'!$R$6)</f>
        <v>0</v>
      </c>
      <c r="S155" s="136">
        <f>SUMIFS('تحليل مبيعات'!H:H,'تحليل مبيعات'!C:C,'حركة المخزن'!Q155,'تحليل مبيعات'!W:W,'حركة المخزن'!$S$6)</f>
        <v>0</v>
      </c>
      <c r="T155" s="136">
        <f>SUMIFS('تحليل مبيعات'!H:H,'تحليل مبيعات'!C:C,'حركة المخزن'!Q155,'تحليل مبيعات'!W:W,'حركة المخزن'!$T$6)</f>
        <v>0</v>
      </c>
      <c r="U155" s="136">
        <f>SUMIFS('تحليل مبيعات'!H:H,'تحليل مبيعات'!C:C,'حركة المخزن'!Q155,'تحليل مبيعات'!W:W,'حركة المخزن'!$U$6)</f>
        <v>0</v>
      </c>
      <c r="V155" s="136">
        <f>SUMIFS('تحليل مبيعات'!H:H,'تحليل مبيعات'!C:C,'حركة المخزن'!Q155,'تحليل مبيعات'!W:W,'حركة المخزن'!$V$6)</f>
        <v>0</v>
      </c>
      <c r="W155" s="136">
        <f>SUMIFS('تحليل مبيعات'!H:H,'تحليل مبيعات'!C:C,'حركة المخزن'!Q155,'تحليل مبيعات'!W:W,'حركة المخزن'!$W$6)</f>
        <v>3</v>
      </c>
      <c r="X155" s="136">
        <f>SUMIFS('تحليل مبيعات'!H:H,'تحليل مبيعات'!C:C,'حركة المخزن'!Q155,'تحليل مبيعات'!W:W,'حركة المخزن'!$X$6)</f>
        <v>14</v>
      </c>
      <c r="Y155" s="136">
        <f>SUMIFS('تحليل مبيعات'!H:H,'تحليل مبيعات'!C:C,'حركة المخزن'!Q155,'تحليل مبيعات'!W:W,'حركة المخزن'!$Y$6)</f>
        <v>0</v>
      </c>
      <c r="Z155" s="136">
        <f>SUMIFS('تحليل مبيعات'!H:H,'تحليل مبيعات'!C:C,'حركة المخزن'!Q155,'تحليل مبيعات'!W:W,'حركة المخزن'!$Z$6)</f>
        <v>0</v>
      </c>
      <c r="AA155" s="136">
        <f>SUMIFS('تحليل مبيعات'!H:H,'تحليل مبيعات'!C:C,'حركة المخزن'!Q155,'تحليل مبيعات'!W:W,'حركة المخزن'!$AA$6)</f>
        <v>0</v>
      </c>
      <c r="AB155" s="136">
        <f>SUMIFS('تحليل مبيعات'!H:H,'تحليل مبيعات'!C:C,'حركة المخزن'!Q155,'تحليل مبيعات'!W:W,'حركة المخزن'!$AB$6)</f>
        <v>0</v>
      </c>
      <c r="AC155" s="137">
        <f>SUMIFS('تحليل مبيعات'!H:H,'تحليل مبيعات'!C:C,'حركة المخزن'!Q155,'تحليل مبيعات'!W:W,'حركة المخزن'!$AC$6)</f>
        <v>0</v>
      </c>
      <c r="AD155" s="134">
        <f t="shared" si="10"/>
        <v>17</v>
      </c>
    </row>
    <row r="156" spans="2:30" ht="15" thickBot="1" x14ac:dyDescent="0.35">
      <c r="B156" s="10" t="s">
        <v>115</v>
      </c>
      <c r="C156" s="10" t="s">
        <v>456</v>
      </c>
      <c r="D156" s="10"/>
      <c r="E156" s="145">
        <v>10</v>
      </c>
      <c r="F156" s="145">
        <v>10000</v>
      </c>
      <c r="G156" s="10" t="str">
        <f>IFERROR(IF(SUMIF(المشتريات!C:C, 'حركة المخزن'!B156, المشتريات!F:F)=0,"",SUMIF(المشتريات!C:C, 'حركة المخزن'!B156, المشتريات!F:F)),"0")</f>
        <v/>
      </c>
      <c r="H156" s="10" t="str">
        <f>IFERROR(IF(SUMIF(المشتريات!C:C, 'حركة المخزن'!B156, المشتريات!I:I)=0,"",SUMIF(المشتريات!C:C, 'حركة المخزن'!B156, المشتريات!I:I)),"0")</f>
        <v/>
      </c>
      <c r="I156" s="10">
        <f>IFERROR(IF(SUMIF('تحليل مبيعات'!C:C, 'حركة المخزن'!B156, 'تحليل مبيعات'!H:H)=0,"",SUMIF('تحليل مبيعات'!C:C, 'حركة المخزن'!B156, 'تحليل مبيعات'!H:H)),"")</f>
        <v>1</v>
      </c>
      <c r="J156" s="10" t="str">
        <f>IFERROR(IF(SUMIF('تحليل مبيعات'!C:C, 'حركة المخزن'!B156, 'تحليل مبيعات'!L:L)=0,"",SUMIF('تحليل مبيعات'!C:C, 'حركة المخزن'!B156, 'تحليل مبيعات'!L:L)),"")</f>
        <v/>
      </c>
      <c r="K156" s="10" t="str">
        <f t="shared" si="11"/>
        <v/>
      </c>
      <c r="L156" s="10" t="str">
        <f t="shared" si="12"/>
        <v/>
      </c>
      <c r="M156" s="10">
        <v>5</v>
      </c>
      <c r="N156" s="10" t="str">
        <f t="shared" si="13"/>
        <v>يوجد رصيد كافى</v>
      </c>
      <c r="O156" s="44">
        <v>220</v>
      </c>
      <c r="Q156" s="130" t="str">
        <v>بطارية 80 كلورايد</v>
      </c>
      <c r="R156" s="135">
        <f>SUMIFS('تحليل مبيعات'!H:H,'تحليل مبيعات'!C:C,'حركة المخزن'!Q156,'تحليل مبيعات'!W:W,'حركة المخزن'!$R$6)</f>
        <v>0</v>
      </c>
      <c r="S156" s="136">
        <f>SUMIFS('تحليل مبيعات'!H:H,'تحليل مبيعات'!C:C,'حركة المخزن'!Q156,'تحليل مبيعات'!W:W,'حركة المخزن'!$S$6)</f>
        <v>0</v>
      </c>
      <c r="T156" s="136">
        <f>SUMIFS('تحليل مبيعات'!H:H,'تحليل مبيعات'!C:C,'حركة المخزن'!Q156,'تحليل مبيعات'!W:W,'حركة المخزن'!$T$6)</f>
        <v>0</v>
      </c>
      <c r="U156" s="136">
        <f>SUMIFS('تحليل مبيعات'!H:H,'تحليل مبيعات'!C:C,'حركة المخزن'!Q156,'تحليل مبيعات'!W:W,'حركة المخزن'!$U$6)</f>
        <v>0</v>
      </c>
      <c r="V156" s="136">
        <f>SUMIFS('تحليل مبيعات'!H:H,'تحليل مبيعات'!C:C,'حركة المخزن'!Q156,'تحليل مبيعات'!W:W,'حركة المخزن'!$V$6)</f>
        <v>0</v>
      </c>
      <c r="W156" s="136">
        <f>SUMIFS('تحليل مبيعات'!H:H,'تحليل مبيعات'!C:C,'حركة المخزن'!Q156,'تحليل مبيعات'!W:W,'حركة المخزن'!$W$6)</f>
        <v>0</v>
      </c>
      <c r="X156" s="136">
        <f>SUMIFS('تحليل مبيعات'!H:H,'تحليل مبيعات'!C:C,'حركة المخزن'!Q156,'تحليل مبيعات'!W:W,'حركة المخزن'!$X$6)</f>
        <v>1</v>
      </c>
      <c r="Y156" s="136">
        <f>SUMIFS('تحليل مبيعات'!H:H,'تحليل مبيعات'!C:C,'حركة المخزن'!Q156,'تحليل مبيعات'!W:W,'حركة المخزن'!$Y$6)</f>
        <v>0</v>
      </c>
      <c r="Z156" s="136">
        <f>SUMIFS('تحليل مبيعات'!H:H,'تحليل مبيعات'!C:C,'حركة المخزن'!Q156,'تحليل مبيعات'!W:W,'حركة المخزن'!$Z$6)</f>
        <v>0</v>
      </c>
      <c r="AA156" s="136">
        <f>SUMIFS('تحليل مبيعات'!H:H,'تحليل مبيعات'!C:C,'حركة المخزن'!Q156,'تحليل مبيعات'!W:W,'حركة المخزن'!$AA$6)</f>
        <v>0</v>
      </c>
      <c r="AB156" s="136">
        <f>SUMIFS('تحليل مبيعات'!H:H,'تحليل مبيعات'!C:C,'حركة المخزن'!Q156,'تحليل مبيعات'!W:W,'حركة المخزن'!$AB$6)</f>
        <v>0</v>
      </c>
      <c r="AC156" s="137">
        <f>SUMIFS('تحليل مبيعات'!H:H,'تحليل مبيعات'!C:C,'حركة المخزن'!Q156,'تحليل مبيعات'!W:W,'حركة المخزن'!$AC$6)</f>
        <v>0</v>
      </c>
      <c r="AD156" s="134">
        <f t="shared" si="10"/>
        <v>1</v>
      </c>
    </row>
    <row r="157" spans="2:30" ht="15" thickBot="1" x14ac:dyDescent="0.35">
      <c r="B157" s="10" t="s">
        <v>136</v>
      </c>
      <c r="C157" s="10" t="s">
        <v>457</v>
      </c>
      <c r="D157" s="10"/>
      <c r="E157" s="145">
        <v>10</v>
      </c>
      <c r="F157" s="145">
        <v>10000</v>
      </c>
      <c r="G157" s="10" t="str">
        <f>IFERROR(IF(SUMIF(المشتريات!C:C, 'حركة المخزن'!B157, المشتريات!F:F)=0,"",SUMIF(المشتريات!C:C, 'حركة المخزن'!B157, المشتريات!F:F)),"0")</f>
        <v/>
      </c>
      <c r="H157" s="10" t="str">
        <f>IFERROR(IF(SUMIF(المشتريات!C:C, 'حركة المخزن'!B157, المشتريات!I:I)=0,"",SUMIF(المشتريات!C:C, 'حركة المخزن'!B157, المشتريات!I:I)),"0")</f>
        <v/>
      </c>
      <c r="I157" s="10">
        <f>IFERROR(IF(SUMIF('تحليل مبيعات'!C:C, 'حركة المخزن'!B157, 'تحليل مبيعات'!H:H)=0,"",SUMIF('تحليل مبيعات'!C:C, 'حركة المخزن'!B157, 'تحليل مبيعات'!H:H)),"")</f>
        <v>2</v>
      </c>
      <c r="J157" s="10">
        <f>IFERROR(IF(SUMIF('تحليل مبيعات'!C:C, 'حركة المخزن'!B157, 'تحليل مبيعات'!L:L)=0,"",SUMIF('تحليل مبيعات'!C:C, 'حركة المخزن'!B157, 'تحليل مبيعات'!L:L)),"")</f>
        <v>200</v>
      </c>
      <c r="K157" s="10" t="str">
        <f t="shared" si="11"/>
        <v/>
      </c>
      <c r="L157" s="10" t="str">
        <f t="shared" si="12"/>
        <v/>
      </c>
      <c r="M157" s="10">
        <v>5</v>
      </c>
      <c r="N157" s="10" t="str">
        <f t="shared" si="13"/>
        <v>يوجد رصيد كافى</v>
      </c>
      <c r="O157" s="44">
        <v>240</v>
      </c>
      <c r="Q157" s="130" t="str">
        <v>فيتور 14/195 كنزة</v>
      </c>
      <c r="R157" s="135">
        <f>SUMIFS('تحليل مبيعات'!H:H,'تحليل مبيعات'!C:C,'حركة المخزن'!Q157,'تحليل مبيعات'!W:W,'حركة المخزن'!$R$6)</f>
        <v>0</v>
      </c>
      <c r="S157" s="136">
        <f>SUMIFS('تحليل مبيعات'!H:H,'تحليل مبيعات'!C:C,'حركة المخزن'!Q157,'تحليل مبيعات'!W:W,'حركة المخزن'!$S$6)</f>
        <v>0</v>
      </c>
      <c r="T157" s="136">
        <f>SUMIFS('تحليل مبيعات'!H:H,'تحليل مبيعات'!C:C,'حركة المخزن'!Q157,'تحليل مبيعات'!W:W,'حركة المخزن'!$T$6)</f>
        <v>0</v>
      </c>
      <c r="U157" s="136">
        <f>SUMIFS('تحليل مبيعات'!H:H,'تحليل مبيعات'!C:C,'حركة المخزن'!Q157,'تحليل مبيعات'!W:W,'حركة المخزن'!$U$6)</f>
        <v>0</v>
      </c>
      <c r="V157" s="136">
        <f>SUMIFS('تحليل مبيعات'!H:H,'تحليل مبيعات'!C:C,'حركة المخزن'!Q157,'تحليل مبيعات'!W:W,'حركة المخزن'!$V$6)</f>
        <v>0</v>
      </c>
      <c r="W157" s="136">
        <f>SUMIFS('تحليل مبيعات'!H:H,'تحليل مبيعات'!C:C,'حركة المخزن'!Q157,'تحليل مبيعات'!W:W,'حركة المخزن'!$W$6)</f>
        <v>0</v>
      </c>
      <c r="X157" s="136">
        <f>SUMIFS('تحليل مبيعات'!H:H,'تحليل مبيعات'!C:C,'حركة المخزن'!Q157,'تحليل مبيعات'!W:W,'حركة المخزن'!$X$6)</f>
        <v>9</v>
      </c>
      <c r="Y157" s="136">
        <f>SUMIFS('تحليل مبيعات'!H:H,'تحليل مبيعات'!C:C,'حركة المخزن'!Q157,'تحليل مبيعات'!W:W,'حركة المخزن'!$Y$6)</f>
        <v>0</v>
      </c>
      <c r="Z157" s="136">
        <f>SUMIFS('تحليل مبيعات'!H:H,'تحليل مبيعات'!C:C,'حركة المخزن'!Q157,'تحليل مبيعات'!W:W,'حركة المخزن'!$Z$6)</f>
        <v>0</v>
      </c>
      <c r="AA157" s="136">
        <f>SUMIFS('تحليل مبيعات'!H:H,'تحليل مبيعات'!C:C,'حركة المخزن'!Q157,'تحليل مبيعات'!W:W,'حركة المخزن'!$AA$6)</f>
        <v>0</v>
      </c>
      <c r="AB157" s="136">
        <f>SUMIFS('تحليل مبيعات'!H:H,'تحليل مبيعات'!C:C,'حركة المخزن'!Q157,'تحليل مبيعات'!W:W,'حركة المخزن'!$AB$6)</f>
        <v>0</v>
      </c>
      <c r="AC157" s="137">
        <f>SUMIFS('تحليل مبيعات'!H:H,'تحليل مبيعات'!C:C,'حركة المخزن'!Q157,'تحليل مبيعات'!W:W,'حركة المخزن'!$AC$6)</f>
        <v>0</v>
      </c>
      <c r="AD157" s="134">
        <f t="shared" si="10"/>
        <v>9</v>
      </c>
    </row>
    <row r="158" spans="2:30" ht="15" thickBot="1" x14ac:dyDescent="0.35">
      <c r="B158" s="10" t="s">
        <v>114</v>
      </c>
      <c r="C158" s="10" t="s">
        <v>458</v>
      </c>
      <c r="D158" s="10"/>
      <c r="E158" s="145">
        <v>10</v>
      </c>
      <c r="F158" s="145">
        <v>10000</v>
      </c>
      <c r="G158" s="10" t="str">
        <f>IFERROR(IF(SUMIF(المشتريات!C:C, 'حركة المخزن'!B158, المشتريات!F:F)=0,"",SUMIF(المشتريات!C:C, 'حركة المخزن'!B158, المشتريات!F:F)),"0")</f>
        <v/>
      </c>
      <c r="H158" s="10" t="str">
        <f>IFERROR(IF(SUMIF(المشتريات!C:C, 'حركة المخزن'!B158, المشتريات!I:I)=0,"",SUMIF(المشتريات!C:C, 'حركة المخزن'!B158, المشتريات!I:I)),"0")</f>
        <v/>
      </c>
      <c r="I158" s="10">
        <f>IFERROR(IF(SUMIF('تحليل مبيعات'!C:C, 'حركة المخزن'!B158, 'تحليل مبيعات'!H:H)=0,"",SUMIF('تحليل مبيعات'!C:C, 'حركة المخزن'!B158, 'تحليل مبيعات'!H:H)),"")</f>
        <v>2</v>
      </c>
      <c r="J158" s="10" t="str">
        <f>IFERROR(IF(SUMIF('تحليل مبيعات'!C:C, 'حركة المخزن'!B158, 'تحليل مبيعات'!L:L)=0,"",SUMIF('تحليل مبيعات'!C:C, 'حركة المخزن'!B158, 'تحليل مبيعات'!L:L)),"")</f>
        <v/>
      </c>
      <c r="K158" s="10" t="str">
        <f t="shared" si="11"/>
        <v/>
      </c>
      <c r="L158" s="10" t="str">
        <f t="shared" si="12"/>
        <v/>
      </c>
      <c r="M158" s="10">
        <v>5</v>
      </c>
      <c r="N158" s="10" t="str">
        <f t="shared" si="13"/>
        <v>يوجد رصيد كافى</v>
      </c>
      <c r="O158" s="44">
        <v>260</v>
      </c>
      <c r="Q158" s="130" t="str">
        <v>طقم جانط 14  BLP LG20-VL</v>
      </c>
      <c r="R158" s="135">
        <f>SUMIFS('تحليل مبيعات'!H:H,'تحليل مبيعات'!C:C,'حركة المخزن'!Q158,'تحليل مبيعات'!W:W,'حركة المخزن'!$R$6)</f>
        <v>0</v>
      </c>
      <c r="S158" s="136">
        <f>SUMIFS('تحليل مبيعات'!H:H,'تحليل مبيعات'!C:C,'حركة المخزن'!Q158,'تحليل مبيعات'!W:W,'حركة المخزن'!$S$6)</f>
        <v>0</v>
      </c>
      <c r="T158" s="136">
        <f>SUMIFS('تحليل مبيعات'!H:H,'تحليل مبيعات'!C:C,'حركة المخزن'!Q158,'تحليل مبيعات'!W:W,'حركة المخزن'!$T$6)</f>
        <v>0</v>
      </c>
      <c r="U158" s="136">
        <f>SUMIFS('تحليل مبيعات'!H:H,'تحليل مبيعات'!C:C,'حركة المخزن'!Q158,'تحليل مبيعات'!W:W,'حركة المخزن'!$U$6)</f>
        <v>0</v>
      </c>
      <c r="V158" s="136">
        <f>SUMIFS('تحليل مبيعات'!H:H,'تحليل مبيعات'!C:C,'حركة المخزن'!Q158,'تحليل مبيعات'!W:W,'حركة المخزن'!$V$6)</f>
        <v>0</v>
      </c>
      <c r="W158" s="136">
        <f>SUMIFS('تحليل مبيعات'!H:H,'تحليل مبيعات'!C:C,'حركة المخزن'!Q158,'تحليل مبيعات'!W:W,'حركة المخزن'!$W$6)</f>
        <v>0</v>
      </c>
      <c r="X158" s="136">
        <f>SUMIFS('تحليل مبيعات'!H:H,'تحليل مبيعات'!C:C,'حركة المخزن'!Q158,'تحليل مبيعات'!W:W,'حركة المخزن'!$X$6)</f>
        <v>4</v>
      </c>
      <c r="Y158" s="136">
        <f>SUMIFS('تحليل مبيعات'!H:H,'تحليل مبيعات'!C:C,'حركة المخزن'!Q158,'تحليل مبيعات'!W:W,'حركة المخزن'!$Y$6)</f>
        <v>0</v>
      </c>
      <c r="Z158" s="136">
        <f>SUMIFS('تحليل مبيعات'!H:H,'تحليل مبيعات'!C:C,'حركة المخزن'!Q158,'تحليل مبيعات'!W:W,'حركة المخزن'!$Z$6)</f>
        <v>0</v>
      </c>
      <c r="AA158" s="136">
        <f>SUMIFS('تحليل مبيعات'!H:H,'تحليل مبيعات'!C:C,'حركة المخزن'!Q158,'تحليل مبيعات'!W:W,'حركة المخزن'!$AA$6)</f>
        <v>0</v>
      </c>
      <c r="AB158" s="136">
        <f>SUMIFS('تحليل مبيعات'!H:H,'تحليل مبيعات'!C:C,'حركة المخزن'!Q158,'تحليل مبيعات'!W:W,'حركة المخزن'!$AB$6)</f>
        <v>0</v>
      </c>
      <c r="AC158" s="137">
        <f>SUMIFS('تحليل مبيعات'!H:H,'تحليل مبيعات'!C:C,'حركة المخزن'!Q158,'تحليل مبيعات'!W:W,'حركة المخزن'!$AC$6)</f>
        <v>0</v>
      </c>
      <c r="AD158" s="134">
        <f t="shared" si="10"/>
        <v>4</v>
      </c>
    </row>
    <row r="159" spans="2:30" ht="15" thickBot="1" x14ac:dyDescent="0.35">
      <c r="B159" s="10" t="s">
        <v>161</v>
      </c>
      <c r="C159" s="10" t="s">
        <v>459</v>
      </c>
      <c r="D159" s="10"/>
      <c r="E159" s="145">
        <v>10</v>
      </c>
      <c r="F159" s="145">
        <v>10000</v>
      </c>
      <c r="G159" s="10" t="str">
        <f>IFERROR(IF(SUMIF(المشتريات!C:C, 'حركة المخزن'!B159, المشتريات!F:F)=0,"",SUMIF(المشتريات!C:C, 'حركة المخزن'!B159, المشتريات!F:F)),"0")</f>
        <v/>
      </c>
      <c r="H159" s="10" t="str">
        <f>IFERROR(IF(SUMIF(المشتريات!C:C, 'حركة المخزن'!B159, المشتريات!I:I)=0,"",SUMIF(المشتريات!C:C, 'حركة المخزن'!B159, المشتريات!I:I)),"0")</f>
        <v/>
      </c>
      <c r="I159" s="10">
        <f>IFERROR(IF(SUMIF('تحليل مبيعات'!C:C, 'حركة المخزن'!B159, 'تحليل مبيعات'!H:H)=0,"",SUMIF('تحليل مبيعات'!C:C, 'حركة المخزن'!B159, 'تحليل مبيعات'!H:H)),"")</f>
        <v>1</v>
      </c>
      <c r="J159" s="10" t="str">
        <f>IFERROR(IF(SUMIF('تحليل مبيعات'!C:C, 'حركة المخزن'!B159, 'تحليل مبيعات'!L:L)=0,"",SUMIF('تحليل مبيعات'!C:C, 'حركة المخزن'!B159, 'تحليل مبيعات'!L:L)),"")</f>
        <v/>
      </c>
      <c r="K159" s="10" t="str">
        <f t="shared" si="11"/>
        <v/>
      </c>
      <c r="L159" s="10" t="str">
        <f t="shared" si="12"/>
        <v/>
      </c>
      <c r="M159" s="10">
        <v>5</v>
      </c>
      <c r="N159" s="10" t="str">
        <f t="shared" si="13"/>
        <v>يوجد رصيد كافى</v>
      </c>
      <c r="O159" s="44">
        <v>280</v>
      </c>
      <c r="Q159" s="130" t="str">
        <v>كاوتش توكتوك</v>
      </c>
      <c r="R159" s="135">
        <f>SUMIFS('تحليل مبيعات'!H:H,'تحليل مبيعات'!C:C,'حركة المخزن'!Q159,'تحليل مبيعات'!W:W,'حركة المخزن'!$R$6)</f>
        <v>0</v>
      </c>
      <c r="S159" s="136">
        <f>SUMIFS('تحليل مبيعات'!H:H,'تحليل مبيعات'!C:C,'حركة المخزن'!Q159,'تحليل مبيعات'!W:W,'حركة المخزن'!$S$6)</f>
        <v>0</v>
      </c>
      <c r="T159" s="136">
        <f>SUMIFS('تحليل مبيعات'!H:H,'تحليل مبيعات'!C:C,'حركة المخزن'!Q159,'تحليل مبيعات'!W:W,'حركة المخزن'!$T$6)</f>
        <v>0</v>
      </c>
      <c r="U159" s="136">
        <f>SUMIFS('تحليل مبيعات'!H:H,'تحليل مبيعات'!C:C,'حركة المخزن'!Q159,'تحليل مبيعات'!W:W,'حركة المخزن'!$U$6)</f>
        <v>0</v>
      </c>
      <c r="V159" s="136">
        <f>SUMIFS('تحليل مبيعات'!H:H,'تحليل مبيعات'!C:C,'حركة المخزن'!Q159,'تحليل مبيعات'!W:W,'حركة المخزن'!$V$6)</f>
        <v>0</v>
      </c>
      <c r="W159" s="136">
        <f>SUMIFS('تحليل مبيعات'!H:H,'تحليل مبيعات'!C:C,'حركة المخزن'!Q159,'تحليل مبيعات'!W:W,'حركة المخزن'!$W$6)</f>
        <v>0</v>
      </c>
      <c r="X159" s="136">
        <f>SUMIFS('تحليل مبيعات'!H:H,'تحليل مبيعات'!C:C,'حركة المخزن'!Q159,'تحليل مبيعات'!W:W,'حركة المخزن'!$X$6)</f>
        <v>2</v>
      </c>
      <c r="Y159" s="136">
        <f>SUMIFS('تحليل مبيعات'!H:H,'تحليل مبيعات'!C:C,'حركة المخزن'!Q159,'تحليل مبيعات'!W:W,'حركة المخزن'!$Y$6)</f>
        <v>0</v>
      </c>
      <c r="Z159" s="136">
        <f>SUMIFS('تحليل مبيعات'!H:H,'تحليل مبيعات'!C:C,'حركة المخزن'!Q159,'تحليل مبيعات'!W:W,'حركة المخزن'!$Z$6)</f>
        <v>0</v>
      </c>
      <c r="AA159" s="136">
        <f>SUMIFS('تحليل مبيعات'!H:H,'تحليل مبيعات'!C:C,'حركة المخزن'!Q159,'تحليل مبيعات'!W:W,'حركة المخزن'!$AA$6)</f>
        <v>0</v>
      </c>
      <c r="AB159" s="136">
        <f>SUMIFS('تحليل مبيعات'!H:H,'تحليل مبيعات'!C:C,'حركة المخزن'!Q159,'تحليل مبيعات'!W:W,'حركة المخزن'!$AB$6)</f>
        <v>0</v>
      </c>
      <c r="AC159" s="137">
        <f>SUMIFS('تحليل مبيعات'!H:H,'تحليل مبيعات'!C:C,'حركة المخزن'!Q159,'تحليل مبيعات'!W:W,'حركة المخزن'!$AC$6)</f>
        <v>0</v>
      </c>
      <c r="AD159" s="134">
        <f t="shared" si="10"/>
        <v>2</v>
      </c>
    </row>
    <row r="160" spans="2:30" ht="15" thickBot="1" x14ac:dyDescent="0.35">
      <c r="B160" s="10" t="s">
        <v>147</v>
      </c>
      <c r="C160" s="10" t="s">
        <v>460</v>
      </c>
      <c r="D160" s="10"/>
      <c r="E160" s="145">
        <v>10</v>
      </c>
      <c r="F160" s="145">
        <v>10000</v>
      </c>
      <c r="G160" s="10" t="str">
        <f>IFERROR(IF(SUMIF(المشتريات!C:C, 'حركة المخزن'!B160, المشتريات!F:F)=0,"",SUMIF(المشتريات!C:C, 'حركة المخزن'!B160, المشتريات!F:F)),"0")</f>
        <v/>
      </c>
      <c r="H160" s="10" t="str">
        <f>IFERROR(IF(SUMIF(المشتريات!C:C, 'حركة المخزن'!B160, المشتريات!I:I)=0,"",SUMIF(المشتريات!C:C, 'حركة المخزن'!B160, المشتريات!I:I)),"0")</f>
        <v/>
      </c>
      <c r="I160" s="10">
        <f>IFERROR(IF(SUMIF('تحليل مبيعات'!C:C, 'حركة المخزن'!B160, 'تحليل مبيعات'!H:H)=0,"",SUMIF('تحليل مبيعات'!C:C, 'حركة المخزن'!B160, 'تحليل مبيعات'!H:H)),"")</f>
        <v>1</v>
      </c>
      <c r="J160" s="10" t="str">
        <f>IFERROR(IF(SUMIF('تحليل مبيعات'!C:C, 'حركة المخزن'!B160, 'تحليل مبيعات'!L:L)=0,"",SUMIF('تحليل مبيعات'!C:C, 'حركة المخزن'!B160, 'تحليل مبيعات'!L:L)),"")</f>
        <v/>
      </c>
      <c r="K160" s="10" t="str">
        <f t="shared" si="11"/>
        <v/>
      </c>
      <c r="L160" s="10" t="str">
        <f t="shared" si="12"/>
        <v/>
      </c>
      <c r="M160" s="10">
        <v>5</v>
      </c>
      <c r="N160" s="10" t="str">
        <f t="shared" si="13"/>
        <v>يوجد رصيد كافى</v>
      </c>
      <c r="O160" s="44">
        <v>300</v>
      </c>
      <c r="Q160" s="130" t="str">
        <v xml:space="preserve">  14/5/144 BM-657-VL جنط سبور صينى غاطس</v>
      </c>
      <c r="R160" s="135">
        <f>SUMIFS('تحليل مبيعات'!H:H,'تحليل مبيعات'!C:C,'حركة المخزن'!Q160,'تحليل مبيعات'!W:W,'حركة المخزن'!$R$6)</f>
        <v>0</v>
      </c>
      <c r="S160" s="136">
        <f>SUMIFS('تحليل مبيعات'!H:H,'تحليل مبيعات'!C:C,'حركة المخزن'!Q160,'تحليل مبيعات'!W:W,'حركة المخزن'!$S$6)</f>
        <v>0</v>
      </c>
      <c r="T160" s="136">
        <f>SUMIFS('تحليل مبيعات'!H:H,'تحليل مبيعات'!C:C,'حركة المخزن'!Q160,'تحليل مبيعات'!W:W,'حركة المخزن'!$T$6)</f>
        <v>0</v>
      </c>
      <c r="U160" s="136">
        <f>SUMIFS('تحليل مبيعات'!H:H,'تحليل مبيعات'!C:C,'حركة المخزن'!Q160,'تحليل مبيعات'!W:W,'حركة المخزن'!$U$6)</f>
        <v>0</v>
      </c>
      <c r="V160" s="136">
        <f>SUMIFS('تحليل مبيعات'!H:H,'تحليل مبيعات'!C:C,'حركة المخزن'!Q160,'تحليل مبيعات'!W:W,'حركة المخزن'!$V$6)</f>
        <v>0</v>
      </c>
      <c r="W160" s="136">
        <f>SUMIFS('تحليل مبيعات'!H:H,'تحليل مبيعات'!C:C,'حركة المخزن'!Q160,'تحليل مبيعات'!W:W,'حركة المخزن'!$W$6)</f>
        <v>0</v>
      </c>
      <c r="X160" s="136">
        <f>SUMIFS('تحليل مبيعات'!H:H,'تحليل مبيعات'!C:C,'حركة المخزن'!Q160,'تحليل مبيعات'!W:W,'حركة المخزن'!$X$6)</f>
        <v>4</v>
      </c>
      <c r="Y160" s="136">
        <f>SUMIFS('تحليل مبيعات'!H:H,'تحليل مبيعات'!C:C,'حركة المخزن'!Q160,'تحليل مبيعات'!W:W,'حركة المخزن'!$Y$6)</f>
        <v>0</v>
      </c>
      <c r="Z160" s="136">
        <f>SUMIFS('تحليل مبيعات'!H:H,'تحليل مبيعات'!C:C,'حركة المخزن'!Q160,'تحليل مبيعات'!W:W,'حركة المخزن'!$Z$6)</f>
        <v>0</v>
      </c>
      <c r="AA160" s="136">
        <f>SUMIFS('تحليل مبيعات'!H:H,'تحليل مبيعات'!C:C,'حركة المخزن'!Q160,'تحليل مبيعات'!W:W,'حركة المخزن'!$AA$6)</f>
        <v>0</v>
      </c>
      <c r="AB160" s="136">
        <f>SUMIFS('تحليل مبيعات'!H:H,'تحليل مبيعات'!C:C,'حركة المخزن'!Q160,'تحليل مبيعات'!W:W,'حركة المخزن'!$AB$6)</f>
        <v>0</v>
      </c>
      <c r="AC160" s="137">
        <f>SUMIFS('تحليل مبيعات'!H:H,'تحليل مبيعات'!C:C,'حركة المخزن'!Q160,'تحليل مبيعات'!W:W,'حركة المخزن'!$AC$6)</f>
        <v>0</v>
      </c>
      <c r="AD160" s="134">
        <f t="shared" si="10"/>
        <v>4</v>
      </c>
    </row>
    <row r="161" spans="2:30" ht="15" thickBot="1" x14ac:dyDescent="0.35">
      <c r="B161" s="10" t="s">
        <v>167</v>
      </c>
      <c r="C161" s="10" t="s">
        <v>461</v>
      </c>
      <c r="D161" s="10"/>
      <c r="E161" s="145">
        <v>10</v>
      </c>
      <c r="F161" s="145">
        <v>10000</v>
      </c>
      <c r="G161" s="10" t="str">
        <f>IFERROR(IF(SUMIF(المشتريات!C:C, 'حركة المخزن'!B161, المشتريات!F:F)=0,"",SUMIF(المشتريات!C:C, 'حركة المخزن'!B161, المشتريات!F:F)),"0")</f>
        <v/>
      </c>
      <c r="H161" s="10" t="str">
        <f>IFERROR(IF(SUMIF(المشتريات!C:C, 'حركة المخزن'!B161, المشتريات!I:I)=0,"",SUMIF(المشتريات!C:C, 'حركة المخزن'!B161, المشتريات!I:I)),"0")</f>
        <v/>
      </c>
      <c r="I161" s="10">
        <f>IFERROR(IF(SUMIF('تحليل مبيعات'!C:C, 'حركة المخزن'!B161, 'تحليل مبيعات'!H:H)=0,"",SUMIF('تحليل مبيعات'!C:C, 'حركة المخزن'!B161, 'تحليل مبيعات'!H:H)),"")</f>
        <v>10</v>
      </c>
      <c r="J161" s="10">
        <f>IFERROR(IF(SUMIF('تحليل مبيعات'!C:C, 'حركة المخزن'!B161, 'تحليل مبيعات'!L:L)=0,"",SUMIF('تحليل مبيعات'!C:C, 'حركة المخزن'!B161, 'تحليل مبيعات'!L:L)),"")</f>
        <v>400</v>
      </c>
      <c r="K161" s="10" t="str">
        <f t="shared" si="11"/>
        <v/>
      </c>
      <c r="L161" s="10" t="str">
        <f t="shared" si="12"/>
        <v/>
      </c>
      <c r="M161" s="10">
        <v>5</v>
      </c>
      <c r="N161" s="10" t="str">
        <f t="shared" si="13"/>
        <v>يوجد رصيد كافى</v>
      </c>
      <c r="O161" s="44">
        <v>320</v>
      </c>
      <c r="Q161" s="130" t="str">
        <v>R14(5X114) BM/657 14/5/144 BM-657-VL جنط سبور صينى تويوتا غاطس</v>
      </c>
      <c r="R161" s="135">
        <f>SUMIFS('تحليل مبيعات'!H:H,'تحليل مبيعات'!C:C,'حركة المخزن'!Q161,'تحليل مبيعات'!W:W,'حركة المخزن'!$R$6)</f>
        <v>0</v>
      </c>
      <c r="S161" s="136">
        <f>SUMIFS('تحليل مبيعات'!H:H,'تحليل مبيعات'!C:C,'حركة المخزن'!Q161,'تحليل مبيعات'!W:W,'حركة المخزن'!$S$6)</f>
        <v>0</v>
      </c>
      <c r="T161" s="136">
        <f>SUMIFS('تحليل مبيعات'!H:H,'تحليل مبيعات'!C:C,'حركة المخزن'!Q161,'تحليل مبيعات'!W:W,'حركة المخزن'!$T$6)</f>
        <v>0</v>
      </c>
      <c r="U161" s="136">
        <f>SUMIFS('تحليل مبيعات'!H:H,'تحليل مبيعات'!C:C,'حركة المخزن'!Q161,'تحليل مبيعات'!W:W,'حركة المخزن'!$U$6)</f>
        <v>0</v>
      </c>
      <c r="V161" s="136">
        <f>SUMIFS('تحليل مبيعات'!H:H,'تحليل مبيعات'!C:C,'حركة المخزن'!Q161,'تحليل مبيعات'!W:W,'حركة المخزن'!$V$6)</f>
        <v>0</v>
      </c>
      <c r="W161" s="136">
        <f>SUMIFS('تحليل مبيعات'!H:H,'تحليل مبيعات'!C:C,'حركة المخزن'!Q161,'تحليل مبيعات'!W:W,'حركة المخزن'!$W$6)</f>
        <v>0</v>
      </c>
      <c r="X161" s="136">
        <f>SUMIFS('تحليل مبيعات'!H:H,'تحليل مبيعات'!C:C,'حركة المخزن'!Q161,'تحليل مبيعات'!W:W,'حركة المخزن'!$X$6)</f>
        <v>4</v>
      </c>
      <c r="Y161" s="136">
        <f>SUMIFS('تحليل مبيعات'!H:H,'تحليل مبيعات'!C:C,'حركة المخزن'!Q161,'تحليل مبيعات'!W:W,'حركة المخزن'!$Y$6)</f>
        <v>0</v>
      </c>
      <c r="Z161" s="136">
        <f>SUMIFS('تحليل مبيعات'!H:H,'تحليل مبيعات'!C:C,'حركة المخزن'!Q161,'تحليل مبيعات'!W:W,'حركة المخزن'!$Z$6)</f>
        <v>0</v>
      </c>
      <c r="AA161" s="136">
        <f>SUMIFS('تحليل مبيعات'!H:H,'تحليل مبيعات'!C:C,'حركة المخزن'!Q161,'تحليل مبيعات'!W:W,'حركة المخزن'!$AA$6)</f>
        <v>0</v>
      </c>
      <c r="AB161" s="136">
        <f>SUMIFS('تحليل مبيعات'!H:H,'تحليل مبيعات'!C:C,'حركة المخزن'!Q161,'تحليل مبيعات'!W:W,'حركة المخزن'!$AB$6)</f>
        <v>0</v>
      </c>
      <c r="AC161" s="137">
        <f>SUMIFS('تحليل مبيعات'!H:H,'تحليل مبيعات'!C:C,'حركة المخزن'!Q161,'تحليل مبيعات'!W:W,'حركة المخزن'!$AC$6)</f>
        <v>0</v>
      </c>
      <c r="AD161" s="134">
        <f t="shared" si="10"/>
        <v>4</v>
      </c>
    </row>
    <row r="162" spans="2:30" ht="15" thickBot="1" x14ac:dyDescent="0.35">
      <c r="B162" s="10" t="s">
        <v>187</v>
      </c>
      <c r="C162" s="10" t="s">
        <v>462</v>
      </c>
      <c r="D162" s="10"/>
      <c r="E162" s="145">
        <v>10</v>
      </c>
      <c r="F162" s="145">
        <v>10000</v>
      </c>
      <c r="G162" s="10" t="str">
        <f>IFERROR(IF(SUMIF(المشتريات!C:C, 'حركة المخزن'!B162, المشتريات!F:F)=0,"",SUMIF(المشتريات!C:C, 'حركة المخزن'!B162, المشتريات!F:F)),"0")</f>
        <v/>
      </c>
      <c r="H162" s="10" t="str">
        <f>IFERROR(IF(SUMIF(المشتريات!C:C, 'حركة المخزن'!B162, المشتريات!I:I)=0,"",SUMIF(المشتريات!C:C, 'حركة المخزن'!B162, المشتريات!I:I)),"0")</f>
        <v/>
      </c>
      <c r="I162" s="10">
        <f>IFERROR(IF(SUMIF('تحليل مبيعات'!C:C, 'حركة المخزن'!B162, 'تحليل مبيعات'!H:H)=0,"",SUMIF('تحليل مبيعات'!C:C, 'حركة المخزن'!B162, 'تحليل مبيعات'!H:H)),"")</f>
        <v>1</v>
      </c>
      <c r="J162" s="10" t="str">
        <f>IFERROR(IF(SUMIF('تحليل مبيعات'!C:C, 'حركة المخزن'!B162, 'تحليل مبيعات'!L:L)=0,"",SUMIF('تحليل مبيعات'!C:C, 'حركة المخزن'!B162, 'تحليل مبيعات'!L:L)),"")</f>
        <v/>
      </c>
      <c r="K162" s="10" t="str">
        <f t="shared" si="11"/>
        <v/>
      </c>
      <c r="L162" s="10" t="str">
        <f t="shared" si="12"/>
        <v/>
      </c>
      <c r="M162" s="10">
        <v>5</v>
      </c>
      <c r="N162" s="10" t="str">
        <f t="shared" si="13"/>
        <v>يوجد رصيد كافى</v>
      </c>
      <c r="O162" s="44">
        <v>340</v>
      </c>
      <c r="Q162" s="130" t="str">
        <v xml:space="preserve"> NOZA ECO 14/185/65 كاوتش سومو اكينا صينى</v>
      </c>
      <c r="R162" s="138">
        <f>SUMIFS('تحليل مبيعات'!H:H,'تحليل مبيعات'!C:C,'حركة المخزن'!Q162,'تحليل مبيعات'!W:W,'حركة المخزن'!$R$6)</f>
        <v>0</v>
      </c>
      <c r="S162" s="139">
        <f>SUMIFS('تحليل مبيعات'!H:H,'تحليل مبيعات'!C:C,'حركة المخزن'!Q162,'تحليل مبيعات'!W:W,'حركة المخزن'!$S$6)</f>
        <v>0</v>
      </c>
      <c r="T162" s="139">
        <f>SUMIFS('تحليل مبيعات'!H:H,'تحليل مبيعات'!C:C,'حركة المخزن'!Q162,'تحليل مبيعات'!W:W,'حركة المخزن'!$T$6)</f>
        <v>0</v>
      </c>
      <c r="U162" s="139">
        <f>SUMIFS('تحليل مبيعات'!H:H,'تحليل مبيعات'!C:C,'حركة المخزن'!Q162,'تحليل مبيعات'!W:W,'حركة المخزن'!$U$6)</f>
        <v>0</v>
      </c>
      <c r="V162" s="139">
        <f>SUMIFS('تحليل مبيعات'!H:H,'تحليل مبيعات'!C:C,'حركة المخزن'!Q162,'تحليل مبيعات'!W:W,'حركة المخزن'!$V$6)</f>
        <v>0</v>
      </c>
      <c r="W162" s="139">
        <f>SUMIFS('تحليل مبيعات'!H:H,'تحليل مبيعات'!C:C,'حركة المخزن'!Q162,'تحليل مبيعات'!W:W,'حركة المخزن'!$W$6)</f>
        <v>0</v>
      </c>
      <c r="X162" s="139">
        <f>SUMIFS('تحليل مبيعات'!H:H,'تحليل مبيعات'!C:C,'حركة المخزن'!Q162,'تحليل مبيعات'!W:W,'حركة المخزن'!$X$6)</f>
        <v>2</v>
      </c>
      <c r="Y162" s="139">
        <f>SUMIFS('تحليل مبيعات'!H:H,'تحليل مبيعات'!C:C,'حركة المخزن'!Q162,'تحليل مبيعات'!W:W,'حركة المخزن'!$Y$6)</f>
        <v>0</v>
      </c>
      <c r="Z162" s="139">
        <f>SUMIFS('تحليل مبيعات'!H:H,'تحليل مبيعات'!C:C,'حركة المخزن'!Q162,'تحليل مبيعات'!W:W,'حركة المخزن'!$Z$6)</f>
        <v>0</v>
      </c>
      <c r="AA162" s="139">
        <f>SUMIFS('تحليل مبيعات'!H:H,'تحليل مبيعات'!C:C,'حركة المخزن'!Q162,'تحليل مبيعات'!W:W,'حركة المخزن'!$AA$6)</f>
        <v>0</v>
      </c>
      <c r="AB162" s="139">
        <f>SUMIFS('تحليل مبيعات'!H:H,'تحليل مبيعات'!C:C,'حركة المخزن'!Q162,'تحليل مبيعات'!W:W,'حركة المخزن'!$AB$6)</f>
        <v>0</v>
      </c>
      <c r="AC162" s="140">
        <f>SUMIFS('تحليل مبيعات'!H:H,'تحليل مبيعات'!C:C,'حركة المخزن'!Q162,'تحليل مبيعات'!W:W,'حركة المخزن'!$AC$6)</f>
        <v>0</v>
      </c>
      <c r="AD162" s="134">
        <f t="shared" si="10"/>
        <v>2</v>
      </c>
    </row>
    <row r="163" spans="2:30" ht="15" thickTop="1" x14ac:dyDescent="0.3">
      <c r="B163" s="10" t="s">
        <v>188</v>
      </c>
      <c r="C163" s="10" t="s">
        <v>463</v>
      </c>
      <c r="D163" s="10"/>
      <c r="E163" s="145">
        <v>10</v>
      </c>
      <c r="F163" s="145">
        <v>10000</v>
      </c>
      <c r="G163" s="10" t="str">
        <f>IFERROR(IF(SUMIF(المشتريات!C:C, 'حركة المخزن'!B163, المشتريات!F:F)=0,"",SUMIF(المشتريات!C:C, 'حركة المخزن'!B163, المشتريات!F:F)),"0")</f>
        <v/>
      </c>
      <c r="H163" s="10" t="str">
        <f>IFERROR(IF(SUMIF(المشتريات!C:C, 'حركة المخزن'!B163, المشتريات!I:I)=0,"",SUMIF(المشتريات!C:C, 'حركة المخزن'!B163, المشتريات!I:I)),"0")</f>
        <v/>
      </c>
      <c r="I163" s="10">
        <f>IFERROR(IF(SUMIF('تحليل مبيعات'!C:C, 'حركة المخزن'!B163, 'تحليل مبيعات'!H:H)=0,"",SUMIF('تحليل مبيعات'!C:C, 'حركة المخزن'!B163, 'تحليل مبيعات'!H:H)),"")</f>
        <v>1</v>
      </c>
      <c r="J163" s="10" t="str">
        <f>IFERROR(IF(SUMIF('تحليل مبيعات'!C:C, 'حركة المخزن'!B163, 'تحليل مبيعات'!L:L)=0,"",SUMIF('تحليل مبيعات'!C:C, 'حركة المخزن'!B163, 'تحليل مبيعات'!L:L)),"")</f>
        <v/>
      </c>
      <c r="K163" s="10" t="str">
        <f t="shared" si="11"/>
        <v/>
      </c>
      <c r="L163" s="10" t="str">
        <f t="shared" si="12"/>
        <v/>
      </c>
      <c r="M163" s="10">
        <v>5</v>
      </c>
      <c r="N163" s="10" t="str">
        <f t="shared" si="13"/>
        <v>يوجد رصيد كافى</v>
      </c>
      <c r="O163" s="44">
        <v>360</v>
      </c>
      <c r="Q163" s="119" t="s">
        <v>438</v>
      </c>
      <c r="R163" s="134">
        <f t="shared" ref="R163:AD163" si="14">SUM(R7:R162)</f>
        <v>0</v>
      </c>
      <c r="S163" s="134">
        <f t="shared" si="14"/>
        <v>0</v>
      </c>
      <c r="T163" s="134">
        <f t="shared" si="14"/>
        <v>0</v>
      </c>
      <c r="U163" s="134">
        <f t="shared" si="14"/>
        <v>0</v>
      </c>
      <c r="V163" s="134">
        <f t="shared" si="14"/>
        <v>0</v>
      </c>
      <c r="W163" s="134">
        <f t="shared" si="14"/>
        <v>4</v>
      </c>
      <c r="X163" s="134">
        <f t="shared" si="14"/>
        <v>594</v>
      </c>
      <c r="Y163" s="134">
        <f t="shared" si="14"/>
        <v>39</v>
      </c>
      <c r="Z163" s="134">
        <f t="shared" si="14"/>
        <v>0</v>
      </c>
      <c r="AA163" s="134">
        <f t="shared" si="14"/>
        <v>0</v>
      </c>
      <c r="AB163" s="134">
        <f t="shared" si="14"/>
        <v>0</v>
      </c>
      <c r="AC163" s="134">
        <f t="shared" si="14"/>
        <v>0</v>
      </c>
      <c r="AD163" s="134">
        <f t="shared" si="14"/>
        <v>637</v>
      </c>
    </row>
    <row r="164" spans="2:30" x14ac:dyDescent="0.3">
      <c r="B164" s="10" t="s">
        <v>171</v>
      </c>
      <c r="C164" s="10" t="s">
        <v>464</v>
      </c>
      <c r="D164" s="10"/>
      <c r="E164" s="145">
        <v>10</v>
      </c>
      <c r="F164" s="145">
        <v>10000</v>
      </c>
      <c r="G164" s="10" t="str">
        <f>IFERROR(IF(SUMIF(المشتريات!C:C, 'حركة المخزن'!B164, المشتريات!F:F)=0,"",SUMIF(المشتريات!C:C, 'حركة المخزن'!B164, المشتريات!F:F)),"0")</f>
        <v/>
      </c>
      <c r="H164" s="10" t="str">
        <f>IFERROR(IF(SUMIF(المشتريات!C:C, 'حركة المخزن'!B164, المشتريات!I:I)=0,"",SUMIF(المشتريات!C:C, 'حركة المخزن'!B164, المشتريات!I:I)),"0")</f>
        <v/>
      </c>
      <c r="I164" s="10">
        <f>IFERROR(IF(SUMIF('تحليل مبيعات'!C:C, 'حركة المخزن'!B164, 'تحليل مبيعات'!H:H)=0,"",SUMIF('تحليل مبيعات'!C:C, 'حركة المخزن'!B164, 'تحليل مبيعات'!H:H)),"")</f>
        <v>1</v>
      </c>
      <c r="J164" s="10">
        <f>IFERROR(IF(SUMIF('تحليل مبيعات'!C:C, 'حركة المخزن'!B164, 'تحليل مبيعات'!L:L)=0,"",SUMIF('تحليل مبيعات'!C:C, 'حركة المخزن'!B164, 'تحليل مبيعات'!L:L)),"")</f>
        <v>50</v>
      </c>
      <c r="K164" s="10" t="str">
        <f t="shared" si="11"/>
        <v/>
      </c>
      <c r="L164" s="10" t="str">
        <f t="shared" si="12"/>
        <v/>
      </c>
      <c r="M164" s="10">
        <v>5</v>
      </c>
      <c r="N164" s="10" t="str">
        <f t="shared" si="13"/>
        <v>يوجد رصيد كافى</v>
      </c>
      <c r="O164" s="44">
        <v>380</v>
      </c>
    </row>
    <row r="165" spans="2:30" x14ac:dyDescent="0.3">
      <c r="B165" s="10" t="s">
        <v>177</v>
      </c>
      <c r="C165" s="10" t="s">
        <v>465</v>
      </c>
      <c r="D165" s="10"/>
      <c r="E165" s="145">
        <v>10</v>
      </c>
      <c r="F165" s="145">
        <v>10000</v>
      </c>
      <c r="G165" s="10" t="str">
        <f>IFERROR(IF(SUMIF(المشتريات!C:C, 'حركة المخزن'!B165, المشتريات!F:F)=0,"",SUMIF(المشتريات!C:C, 'حركة المخزن'!B165, المشتريات!F:F)),"0")</f>
        <v/>
      </c>
      <c r="H165" s="10" t="str">
        <f>IFERROR(IF(SUMIF(المشتريات!C:C, 'حركة المخزن'!B165, المشتريات!I:I)=0,"",SUMIF(المشتريات!C:C, 'حركة المخزن'!B165, المشتريات!I:I)),"0")</f>
        <v/>
      </c>
      <c r="I165" s="10">
        <f>IFERROR(IF(SUMIF('تحليل مبيعات'!C:C, 'حركة المخزن'!B165, 'تحليل مبيعات'!H:H)=0,"",SUMIF('تحليل مبيعات'!C:C, 'حركة المخزن'!B165, 'تحليل مبيعات'!H:H)),"")</f>
        <v>4</v>
      </c>
      <c r="J165" s="10" t="str">
        <f>IFERROR(IF(SUMIF('تحليل مبيعات'!C:C, 'حركة المخزن'!B165, 'تحليل مبيعات'!L:L)=0,"",SUMIF('تحليل مبيعات'!C:C, 'حركة المخزن'!B165, 'تحليل مبيعات'!L:L)),"")</f>
        <v/>
      </c>
      <c r="K165" s="10" t="str">
        <f t="shared" si="11"/>
        <v/>
      </c>
      <c r="L165" s="10" t="str">
        <f t="shared" si="12"/>
        <v/>
      </c>
      <c r="M165" s="10">
        <v>5</v>
      </c>
      <c r="N165" s="10" t="str">
        <f t="shared" si="13"/>
        <v>يوجد رصيد كافى</v>
      </c>
      <c r="O165" s="44">
        <v>400</v>
      </c>
    </row>
    <row r="166" spans="2:30" x14ac:dyDescent="0.3">
      <c r="B166" s="10" t="s">
        <v>191</v>
      </c>
      <c r="C166" s="10" t="s">
        <v>466</v>
      </c>
      <c r="D166" s="10"/>
      <c r="E166" s="145">
        <v>10</v>
      </c>
      <c r="F166" s="145">
        <v>10000</v>
      </c>
      <c r="G166" s="10" t="str">
        <f>IFERROR(IF(SUMIF(المشتريات!C:C, 'حركة المخزن'!B166, المشتريات!F:F)=0,"",SUMIF(المشتريات!C:C, 'حركة المخزن'!B166, المشتريات!F:F)),"0")</f>
        <v/>
      </c>
      <c r="H166" s="10" t="str">
        <f>IFERROR(IF(SUMIF(المشتريات!C:C, 'حركة المخزن'!B166, المشتريات!I:I)=0,"",SUMIF(المشتريات!C:C, 'حركة المخزن'!B166, المشتريات!I:I)),"0")</f>
        <v/>
      </c>
      <c r="I166" s="10">
        <f>IFERROR(IF(SUMIF('تحليل مبيعات'!C:C, 'حركة المخزن'!B166, 'تحليل مبيعات'!H:H)=0,"",SUMIF('تحليل مبيعات'!C:C, 'حركة المخزن'!B166, 'تحليل مبيعات'!H:H)),"")</f>
        <v>1</v>
      </c>
      <c r="J166" s="10" t="str">
        <f>IFERROR(IF(SUMIF('تحليل مبيعات'!C:C, 'حركة المخزن'!B166, 'تحليل مبيعات'!L:L)=0,"",SUMIF('تحليل مبيعات'!C:C, 'حركة المخزن'!B166, 'تحليل مبيعات'!L:L)),"")</f>
        <v/>
      </c>
      <c r="K166" s="10" t="str">
        <f t="shared" si="11"/>
        <v/>
      </c>
      <c r="L166" s="10" t="str">
        <f t="shared" si="12"/>
        <v/>
      </c>
      <c r="M166" s="10">
        <v>5</v>
      </c>
      <c r="N166" s="10" t="str">
        <f t="shared" si="13"/>
        <v>يوجد رصيد كافى</v>
      </c>
      <c r="O166" s="44">
        <v>420</v>
      </c>
    </row>
    <row r="167" spans="2:30" x14ac:dyDescent="0.3">
      <c r="B167" s="10" t="s">
        <v>194</v>
      </c>
      <c r="C167" s="10" t="s">
        <v>467</v>
      </c>
      <c r="D167" s="10"/>
      <c r="E167" s="145">
        <v>10</v>
      </c>
      <c r="F167" s="145">
        <v>10000</v>
      </c>
      <c r="G167" s="10" t="str">
        <f>IFERROR(IF(SUMIF(المشتريات!C:C, 'حركة المخزن'!B167, المشتريات!F:F)=0,"",SUMIF(المشتريات!C:C, 'حركة المخزن'!B167, المشتريات!F:F)),"0")</f>
        <v/>
      </c>
      <c r="H167" s="10" t="str">
        <f>IFERROR(IF(SUMIF(المشتريات!C:C, 'حركة المخزن'!B167, المشتريات!I:I)=0,"",SUMIF(المشتريات!C:C, 'حركة المخزن'!B167, المشتريات!I:I)),"0")</f>
        <v/>
      </c>
      <c r="I167" s="10">
        <f>IFERROR(IF(SUMIF('تحليل مبيعات'!C:C, 'حركة المخزن'!B167, 'تحليل مبيعات'!H:H)=0,"",SUMIF('تحليل مبيعات'!C:C, 'حركة المخزن'!B167, 'تحليل مبيعات'!H:H)),"")</f>
        <v>1</v>
      </c>
      <c r="J167" s="10" t="str">
        <f>IFERROR(IF(SUMIF('تحليل مبيعات'!C:C, 'حركة المخزن'!B167, 'تحليل مبيعات'!L:L)=0,"",SUMIF('تحليل مبيعات'!C:C, 'حركة المخزن'!B167, 'تحليل مبيعات'!L:L)),"")</f>
        <v/>
      </c>
      <c r="K167" s="10" t="str">
        <f t="shared" si="11"/>
        <v/>
      </c>
      <c r="L167" s="10" t="str">
        <f t="shared" si="12"/>
        <v/>
      </c>
      <c r="M167" s="10">
        <v>5</v>
      </c>
      <c r="N167" s="10" t="str">
        <f t="shared" si="13"/>
        <v>يوجد رصيد كافى</v>
      </c>
      <c r="O167" s="44">
        <v>440</v>
      </c>
    </row>
    <row r="168" spans="2:30" x14ac:dyDescent="0.3">
      <c r="B168" s="10" t="s">
        <v>167</v>
      </c>
      <c r="C168" s="10" t="s">
        <v>468</v>
      </c>
      <c r="D168" s="10"/>
      <c r="E168" s="145">
        <v>10</v>
      </c>
      <c r="F168" s="145">
        <v>10000</v>
      </c>
      <c r="G168" s="10" t="str">
        <f>IFERROR(IF(SUMIF(المشتريات!C:C, 'حركة المخزن'!B168, المشتريات!F:F)=0,"",SUMIF(المشتريات!C:C, 'حركة المخزن'!B168, المشتريات!F:F)),"0")</f>
        <v/>
      </c>
      <c r="H168" s="10" t="str">
        <f>IFERROR(IF(SUMIF(المشتريات!C:C, 'حركة المخزن'!B168, المشتريات!I:I)=0,"",SUMIF(المشتريات!C:C, 'حركة المخزن'!B168, المشتريات!I:I)),"0")</f>
        <v/>
      </c>
      <c r="I168" s="10">
        <f>IFERROR(IF(SUMIF('تحليل مبيعات'!C:C, 'حركة المخزن'!B168, 'تحليل مبيعات'!H:H)=0,"",SUMIF('تحليل مبيعات'!C:C, 'حركة المخزن'!B168, 'تحليل مبيعات'!H:H)),"")</f>
        <v>10</v>
      </c>
      <c r="J168" s="10">
        <f>IFERROR(IF(SUMIF('تحليل مبيعات'!C:C, 'حركة المخزن'!B168, 'تحليل مبيعات'!L:L)=0,"",SUMIF('تحليل مبيعات'!C:C, 'حركة المخزن'!B168, 'تحليل مبيعات'!L:L)),"")</f>
        <v>400</v>
      </c>
      <c r="K168" s="10" t="str">
        <f t="shared" si="11"/>
        <v/>
      </c>
      <c r="L168" s="10" t="str">
        <f t="shared" si="12"/>
        <v/>
      </c>
      <c r="M168" s="10">
        <v>5</v>
      </c>
      <c r="N168" s="10" t="str">
        <f t="shared" si="13"/>
        <v>يوجد رصيد كافى</v>
      </c>
      <c r="O168" s="44">
        <v>460</v>
      </c>
    </row>
    <row r="169" spans="2:30" x14ac:dyDescent="0.3">
      <c r="B169" s="10"/>
      <c r="D169" s="141"/>
      <c r="G169" t="str">
        <f>IFERROR(IF(SUMIF(المشتريات!C:C, 'حركة المخزن'!B169, المشتريات!F:F)=0,"",SUMIF(المشتريات!C:C, 'حركة المخزن'!B169, المشتريات!F:F)),"0")</f>
        <v/>
      </c>
      <c r="H169" s="141" t="str">
        <f>IFERROR(IF(SUMIF(المشتريات!C:C, 'حركة المخزن'!B169, المشتريات!I:I)=0,"",SUMIF(المشتريات!C:C, 'حركة المخزن'!B169, المشتريات!I:I)),"0")</f>
        <v/>
      </c>
      <c r="I169" s="141" t="str">
        <f>IFERROR(IF(SUMIF('تحليل مبيعات'!C:C, 'حركة المخزن'!B169, 'تحليل مبيعات'!H:H)=0,"",SUMIF('تحليل مبيعات'!C:C, 'حركة المخزن'!B169, 'تحليل مبيعات'!H:H)),"")</f>
        <v/>
      </c>
      <c r="J169" s="141" t="str">
        <f>IFERROR(IF(SUMIF('تحليل مبيعات'!C:C, 'حركة المخزن'!B169, 'تحليل مبيعات'!L:L)=0,"",SUMIF('تحليل مبيعات'!C:C, 'حركة المخزن'!B169, 'تحليل مبيعات'!L:L)),"")</f>
        <v/>
      </c>
      <c r="K169" s="141" t="str">
        <f t="shared" si="11"/>
        <v/>
      </c>
      <c r="L169" s="141" t="str">
        <f t="shared" si="12"/>
        <v/>
      </c>
      <c r="M169">
        <v>5</v>
      </c>
      <c r="N169" t="str">
        <f t="shared" si="13"/>
        <v>يوجد رصيد كافى</v>
      </c>
    </row>
    <row r="170" spans="2:30" x14ac:dyDescent="0.3">
      <c r="B170" s="10"/>
      <c r="D170" s="10"/>
      <c r="G170" t="str">
        <f>IFERROR(IF(SUMIF(المشتريات!C:C, 'حركة المخزن'!B170, المشتريات!F:F)=0,"",SUMIF(المشتريات!C:C, 'حركة المخزن'!B170, المشتريات!F:F)),"0")</f>
        <v/>
      </c>
      <c r="H170" s="10" t="str">
        <f>IFERROR(IF(SUMIF(المشتريات!C:C, 'حركة المخزن'!B170, المشتريات!I:I)=0,"",SUMIF(المشتريات!C:C, 'حركة المخزن'!B170, المشتريات!I:I)),"0")</f>
        <v/>
      </c>
      <c r="I170" s="10" t="str">
        <f>IFERROR(IF(SUMIF('تحليل مبيعات'!C:C, 'حركة المخزن'!B170, 'تحليل مبيعات'!H:H)=0,"",SUMIF('تحليل مبيعات'!C:C, 'حركة المخزن'!B170, 'تحليل مبيعات'!H:H)),"")</f>
        <v/>
      </c>
      <c r="J170" s="10" t="str">
        <f>IFERROR(IF(SUMIF('تحليل مبيعات'!C:C, 'حركة المخزن'!B170, 'تحليل مبيعات'!L:L)=0,"",SUMIF('تحليل مبيعات'!C:C, 'حركة المخزن'!B170, 'تحليل مبيعات'!L:L)),"")</f>
        <v/>
      </c>
      <c r="K170" s="10" t="str">
        <f t="shared" si="11"/>
        <v/>
      </c>
      <c r="L170" s="10" t="str">
        <f t="shared" si="12"/>
        <v/>
      </c>
      <c r="M170">
        <v>5</v>
      </c>
      <c r="N170" t="str">
        <f t="shared" si="13"/>
        <v>يوجد رصيد كافى</v>
      </c>
    </row>
    <row r="171" spans="2:30" x14ac:dyDescent="0.3">
      <c r="B171" s="10"/>
      <c r="D171" s="10"/>
      <c r="G171" t="str">
        <f>IFERROR(IF(SUMIF(المشتريات!C:C, 'حركة المخزن'!B171, المشتريات!F:F)=0,"",SUMIF(المشتريات!C:C, 'حركة المخزن'!B171, المشتريات!F:F)),"0")</f>
        <v/>
      </c>
      <c r="H171" s="10" t="str">
        <f>IFERROR(IF(SUMIF(المشتريات!C:C, 'حركة المخزن'!B171, المشتريات!I:I)=0,"",SUMIF(المشتريات!C:C, 'حركة المخزن'!B171, المشتريات!I:I)),"0")</f>
        <v/>
      </c>
      <c r="I171" s="10" t="str">
        <f>IFERROR(IF(SUMIF('تحليل مبيعات'!C:C, 'حركة المخزن'!B171, 'تحليل مبيعات'!H:H)=0,"",SUMIF('تحليل مبيعات'!C:C, 'حركة المخزن'!B171, 'تحليل مبيعات'!H:H)),"")</f>
        <v/>
      </c>
      <c r="J171" s="10" t="str">
        <f>IFERROR(IF(SUMIF('تحليل مبيعات'!C:C, 'حركة المخزن'!B171, 'تحليل مبيعات'!L:L)=0,"",SUMIF('تحليل مبيعات'!C:C, 'حركة المخزن'!B171, 'تحليل مبيعات'!L:L)),"")</f>
        <v/>
      </c>
      <c r="K171" s="10" t="str">
        <f t="shared" si="11"/>
        <v/>
      </c>
      <c r="L171" s="10" t="str">
        <f t="shared" si="12"/>
        <v/>
      </c>
      <c r="M171">
        <v>5</v>
      </c>
      <c r="N171" t="str">
        <f t="shared" si="13"/>
        <v>يوجد رصيد كافى</v>
      </c>
    </row>
    <row r="172" spans="2:30" x14ac:dyDescent="0.3">
      <c r="B172" s="10"/>
      <c r="D172" s="10"/>
      <c r="G172" t="str">
        <f>IFERROR(IF(SUMIF(المشتريات!C:C, 'حركة المخزن'!B172, المشتريات!F:F)=0,"",SUMIF(المشتريات!C:C, 'حركة المخزن'!B172, المشتريات!F:F)),"0")</f>
        <v/>
      </c>
      <c r="H172" s="10" t="str">
        <f>IFERROR(IF(SUMIF(المشتريات!C:C, 'حركة المخزن'!B172, المشتريات!I:I)=0,"",SUMIF(المشتريات!C:C, 'حركة المخزن'!B172, المشتريات!I:I)),"0")</f>
        <v/>
      </c>
      <c r="I172" s="10" t="str">
        <f>IFERROR(IF(SUMIF('تحليل مبيعات'!C:C, 'حركة المخزن'!B172, 'تحليل مبيعات'!H:H)=0,"",SUMIF('تحليل مبيعات'!C:C, 'حركة المخزن'!B172, 'تحليل مبيعات'!H:H)),"")</f>
        <v/>
      </c>
      <c r="J172" s="10" t="str">
        <f>IFERROR(IF(SUMIF('تحليل مبيعات'!C:C, 'حركة المخزن'!B172, 'تحليل مبيعات'!L:L)=0,"",SUMIF('تحليل مبيعات'!C:C, 'حركة المخزن'!B172, 'تحليل مبيعات'!L:L)),"")</f>
        <v/>
      </c>
      <c r="K172" s="10" t="str">
        <f t="shared" si="11"/>
        <v/>
      </c>
      <c r="L172" s="10" t="str">
        <f t="shared" si="12"/>
        <v/>
      </c>
      <c r="M172">
        <v>5</v>
      </c>
      <c r="N172" t="str">
        <f t="shared" si="13"/>
        <v>يوجد رصيد كافى</v>
      </c>
    </row>
    <row r="173" spans="2:30" x14ac:dyDescent="0.3">
      <c r="B173" s="10"/>
      <c r="D173" s="10"/>
      <c r="G173" t="str">
        <f>IFERROR(IF(SUMIF(المشتريات!C:C, 'حركة المخزن'!B173, المشتريات!F:F)=0,"",SUMIF(المشتريات!C:C, 'حركة المخزن'!B173, المشتريات!F:F)),"0")</f>
        <v/>
      </c>
      <c r="H173" s="10" t="str">
        <f>IFERROR(IF(SUMIF(المشتريات!C:C, 'حركة المخزن'!B173, المشتريات!I:I)=0,"",SUMIF(المشتريات!C:C, 'حركة المخزن'!B173, المشتريات!I:I)),"0")</f>
        <v/>
      </c>
      <c r="I173" s="10" t="str">
        <f>IFERROR(IF(SUMIF('تحليل مبيعات'!C:C, 'حركة المخزن'!B173, 'تحليل مبيعات'!H:H)=0,"",SUMIF('تحليل مبيعات'!C:C, 'حركة المخزن'!B173, 'تحليل مبيعات'!H:H)),"")</f>
        <v/>
      </c>
      <c r="J173" s="10" t="str">
        <f>IFERROR(IF(SUMIF('تحليل مبيعات'!C:C, 'حركة المخزن'!B173, 'تحليل مبيعات'!L:L)=0,"",SUMIF('تحليل مبيعات'!C:C, 'حركة المخزن'!B173, 'تحليل مبيعات'!L:L)),"")</f>
        <v/>
      </c>
      <c r="K173" s="10" t="str">
        <f t="shared" si="11"/>
        <v/>
      </c>
      <c r="L173" s="10" t="str">
        <f t="shared" si="12"/>
        <v/>
      </c>
      <c r="M173">
        <v>5</v>
      </c>
      <c r="N173" t="str">
        <f t="shared" si="13"/>
        <v>يوجد رصيد كافى</v>
      </c>
    </row>
    <row r="174" spans="2:30" x14ac:dyDescent="0.3">
      <c r="B174" s="10"/>
      <c r="D174" s="10"/>
      <c r="G174" t="str">
        <f>IFERROR(IF(SUMIF(المشتريات!C:C, 'حركة المخزن'!B174, المشتريات!F:F)=0,"",SUMIF(المشتريات!C:C, 'حركة المخزن'!B174, المشتريات!F:F)),"0")</f>
        <v/>
      </c>
      <c r="H174" s="10" t="str">
        <f>IFERROR(IF(SUMIF(المشتريات!C:C, 'حركة المخزن'!B174, المشتريات!I:I)=0,"",SUMIF(المشتريات!C:C, 'حركة المخزن'!B174, المشتريات!I:I)),"0")</f>
        <v/>
      </c>
      <c r="I174" s="10" t="str">
        <f>IFERROR(IF(SUMIF('تحليل مبيعات'!C:C, 'حركة المخزن'!B174, 'تحليل مبيعات'!H:H)=0,"",SUMIF('تحليل مبيعات'!C:C, 'حركة المخزن'!B174, 'تحليل مبيعات'!H:H)),"")</f>
        <v/>
      </c>
      <c r="J174" s="10" t="str">
        <f>IFERROR(IF(SUMIF('تحليل مبيعات'!C:C, 'حركة المخزن'!B174, 'تحليل مبيعات'!L:L)=0,"",SUMIF('تحليل مبيعات'!C:C, 'حركة المخزن'!B174, 'تحليل مبيعات'!L:L)),"")</f>
        <v/>
      </c>
      <c r="K174" s="10" t="str">
        <f t="shared" si="11"/>
        <v/>
      </c>
      <c r="L174" s="10" t="str">
        <f t="shared" si="12"/>
        <v/>
      </c>
      <c r="M174">
        <v>5</v>
      </c>
      <c r="N174" t="str">
        <f t="shared" si="13"/>
        <v>يوجد رصيد كافى</v>
      </c>
    </row>
    <row r="175" spans="2:30" x14ac:dyDescent="0.3">
      <c r="B175" s="10"/>
      <c r="D175" s="10"/>
      <c r="G175" t="str">
        <f>IFERROR(IF(SUMIF(المشتريات!C:C, 'حركة المخزن'!B175, المشتريات!F:F)=0,"",SUMIF(المشتريات!C:C, 'حركة المخزن'!B175, المشتريات!F:F)),"0")</f>
        <v/>
      </c>
      <c r="H175" s="10" t="str">
        <f>IFERROR(IF(SUMIF(المشتريات!C:C, 'حركة المخزن'!B175, المشتريات!I:I)=0,"",SUMIF(المشتريات!C:C, 'حركة المخزن'!B175, المشتريات!I:I)),"0")</f>
        <v/>
      </c>
      <c r="I175" s="10" t="str">
        <f>IFERROR(IF(SUMIF('تحليل مبيعات'!C:C, 'حركة المخزن'!B175, 'تحليل مبيعات'!H:H)=0,"",SUMIF('تحليل مبيعات'!C:C, 'حركة المخزن'!B175, 'تحليل مبيعات'!H:H)),"")</f>
        <v/>
      </c>
      <c r="J175" s="10" t="str">
        <f>IFERROR(IF(SUMIF('تحليل مبيعات'!C:C, 'حركة المخزن'!B175, 'تحليل مبيعات'!L:L)=0,"",SUMIF('تحليل مبيعات'!C:C, 'حركة المخزن'!B175, 'تحليل مبيعات'!L:L)),"")</f>
        <v/>
      </c>
      <c r="K175" s="10" t="str">
        <f t="shared" si="11"/>
        <v/>
      </c>
      <c r="L175" s="10" t="str">
        <f t="shared" si="12"/>
        <v/>
      </c>
      <c r="M175">
        <v>5</v>
      </c>
      <c r="N175" t="str">
        <f t="shared" si="13"/>
        <v>يوجد رصيد كافى</v>
      </c>
    </row>
    <row r="176" spans="2:30" x14ac:dyDescent="0.3">
      <c r="B176" s="10"/>
      <c r="D176" s="10"/>
      <c r="G176" t="str">
        <f>IFERROR(IF(SUMIF(المشتريات!C:C, 'حركة المخزن'!B176, المشتريات!F:F)=0,"",SUMIF(المشتريات!C:C, 'حركة المخزن'!B176, المشتريات!F:F)),"0")</f>
        <v/>
      </c>
      <c r="H176" s="10" t="str">
        <f>IFERROR(IF(SUMIF(المشتريات!C:C, 'حركة المخزن'!B176, المشتريات!I:I)=0,"",SUMIF(المشتريات!C:C, 'حركة المخزن'!B176, المشتريات!I:I)),"0")</f>
        <v/>
      </c>
      <c r="I176" s="10" t="str">
        <f>IFERROR(IF(SUMIF('تحليل مبيعات'!C:C, 'حركة المخزن'!B176, 'تحليل مبيعات'!H:H)=0,"",SUMIF('تحليل مبيعات'!C:C, 'حركة المخزن'!B176, 'تحليل مبيعات'!H:H)),"")</f>
        <v/>
      </c>
      <c r="J176" s="10" t="str">
        <f>IFERROR(IF(SUMIF('تحليل مبيعات'!C:C, 'حركة المخزن'!B176, 'تحليل مبيعات'!L:L)=0,"",SUMIF('تحليل مبيعات'!C:C, 'حركة المخزن'!B176, 'تحليل مبيعات'!L:L)),"")</f>
        <v/>
      </c>
      <c r="K176" s="10" t="str">
        <f t="shared" si="11"/>
        <v/>
      </c>
      <c r="L176" s="10" t="str">
        <f t="shared" si="12"/>
        <v/>
      </c>
      <c r="M176">
        <v>5</v>
      </c>
      <c r="N176" t="str">
        <f t="shared" si="13"/>
        <v>يوجد رصيد كافى</v>
      </c>
    </row>
    <row r="177" spans="2:14" x14ac:dyDescent="0.3">
      <c r="B177" s="10"/>
      <c r="D177" s="10"/>
      <c r="G177" t="str">
        <f>IFERROR(IF(SUMIF(المشتريات!C:C, 'حركة المخزن'!B177, المشتريات!F:F)=0,"",SUMIF(المشتريات!C:C, 'حركة المخزن'!B177, المشتريات!F:F)),"0")</f>
        <v/>
      </c>
      <c r="H177" s="10" t="str">
        <f>IFERROR(IF(SUMIF(المشتريات!C:C, 'حركة المخزن'!B177, المشتريات!I:I)=0,"",SUMIF(المشتريات!C:C, 'حركة المخزن'!B177, المشتريات!I:I)),"0")</f>
        <v/>
      </c>
      <c r="I177" s="10" t="str">
        <f>IFERROR(IF(SUMIF('تحليل مبيعات'!C:C, 'حركة المخزن'!B177, 'تحليل مبيعات'!H:H)=0,"",SUMIF('تحليل مبيعات'!C:C, 'حركة المخزن'!B177, 'تحليل مبيعات'!H:H)),"")</f>
        <v/>
      </c>
      <c r="J177" s="10" t="str">
        <f>IFERROR(IF(SUMIF('تحليل مبيعات'!C:C, 'حركة المخزن'!B177, 'تحليل مبيعات'!L:L)=0,"",SUMIF('تحليل مبيعات'!C:C, 'حركة المخزن'!B177, 'تحليل مبيعات'!L:L)),"")</f>
        <v/>
      </c>
      <c r="K177" s="10" t="str">
        <f t="shared" si="11"/>
        <v/>
      </c>
      <c r="L177" s="10" t="str">
        <f t="shared" si="12"/>
        <v/>
      </c>
      <c r="M177">
        <v>5</v>
      </c>
      <c r="N177" t="str">
        <f t="shared" si="13"/>
        <v>يوجد رصيد كافى</v>
      </c>
    </row>
    <row r="178" spans="2:14" x14ac:dyDescent="0.3">
      <c r="B178" s="10"/>
      <c r="D178" s="10"/>
      <c r="G178" t="str">
        <f>IFERROR(IF(SUMIF(المشتريات!C:C, 'حركة المخزن'!B178, المشتريات!F:F)=0,"",SUMIF(المشتريات!C:C, 'حركة المخزن'!B178, المشتريات!F:F)),"0")</f>
        <v/>
      </c>
      <c r="H178" s="10" t="str">
        <f>IFERROR(IF(SUMIF(المشتريات!C:C, 'حركة المخزن'!B178, المشتريات!I:I)=0,"",SUMIF(المشتريات!C:C, 'حركة المخزن'!B178, المشتريات!I:I)),"0")</f>
        <v/>
      </c>
      <c r="I178" s="10" t="str">
        <f>IFERROR(IF(SUMIF('تحليل مبيعات'!C:C, 'حركة المخزن'!B178, 'تحليل مبيعات'!H:H)=0,"",SUMIF('تحليل مبيعات'!C:C, 'حركة المخزن'!B178, 'تحليل مبيعات'!H:H)),"")</f>
        <v/>
      </c>
      <c r="J178" s="10" t="str">
        <f>IFERROR(IF(SUMIF('تحليل مبيعات'!C:C, 'حركة المخزن'!B178, 'تحليل مبيعات'!L:L)=0,"",SUMIF('تحليل مبيعات'!C:C, 'حركة المخزن'!B178, 'تحليل مبيعات'!L:L)),"")</f>
        <v/>
      </c>
      <c r="K178" s="10" t="str">
        <f t="shared" si="11"/>
        <v/>
      </c>
      <c r="L178" s="10" t="str">
        <f t="shared" si="12"/>
        <v/>
      </c>
      <c r="M178">
        <v>5</v>
      </c>
      <c r="N178" t="str">
        <f t="shared" si="13"/>
        <v>يوجد رصيد كافى</v>
      </c>
    </row>
    <row r="179" spans="2:14" x14ac:dyDescent="0.3">
      <c r="B179" s="10"/>
      <c r="D179" s="10"/>
      <c r="G179" t="str">
        <f>IFERROR(IF(SUMIF(المشتريات!C:C, 'حركة المخزن'!B179, المشتريات!F:F)=0,"",SUMIF(المشتريات!C:C, 'حركة المخزن'!B179, المشتريات!F:F)),"0")</f>
        <v/>
      </c>
      <c r="H179" s="10" t="str">
        <f>IFERROR(IF(SUMIF(المشتريات!C:C, 'حركة المخزن'!B179, المشتريات!I:I)=0,"",SUMIF(المشتريات!C:C, 'حركة المخزن'!B179, المشتريات!I:I)),"0")</f>
        <v/>
      </c>
      <c r="I179" s="10" t="str">
        <f>IFERROR(IF(SUMIF('تحليل مبيعات'!C:C, 'حركة المخزن'!B179, 'تحليل مبيعات'!H:H)=0,"",SUMIF('تحليل مبيعات'!C:C, 'حركة المخزن'!B179, 'تحليل مبيعات'!H:H)),"")</f>
        <v/>
      </c>
      <c r="J179" s="10" t="str">
        <f>IFERROR(IF(SUMIF('تحليل مبيعات'!C:C, 'حركة المخزن'!B179, 'تحليل مبيعات'!L:L)=0,"",SUMIF('تحليل مبيعات'!C:C, 'حركة المخزن'!B179, 'تحليل مبيعات'!L:L)),"")</f>
        <v/>
      </c>
      <c r="K179" s="10" t="str">
        <f t="shared" si="11"/>
        <v/>
      </c>
      <c r="L179" s="10" t="str">
        <f t="shared" si="12"/>
        <v/>
      </c>
      <c r="M179">
        <v>5</v>
      </c>
      <c r="N179" t="str">
        <f t="shared" si="13"/>
        <v>يوجد رصيد كافى</v>
      </c>
    </row>
    <row r="180" spans="2:14" x14ac:dyDescent="0.3">
      <c r="B180" s="10"/>
      <c r="D180" s="10"/>
      <c r="G180" t="str">
        <f>IFERROR(IF(SUMIF(المشتريات!C:C, 'حركة المخزن'!B180, المشتريات!F:F)=0,"",SUMIF(المشتريات!C:C, 'حركة المخزن'!B180, المشتريات!F:F)),"0")</f>
        <v/>
      </c>
      <c r="H180" s="10" t="str">
        <f>IFERROR(IF(SUMIF(المشتريات!C:C, 'حركة المخزن'!B180, المشتريات!I:I)=0,"",SUMIF(المشتريات!C:C, 'حركة المخزن'!B180, المشتريات!I:I)),"0")</f>
        <v/>
      </c>
      <c r="I180" s="10" t="str">
        <f>IFERROR(IF(SUMIF('تحليل مبيعات'!C:C, 'حركة المخزن'!B180, 'تحليل مبيعات'!H:H)=0,"",SUMIF('تحليل مبيعات'!C:C, 'حركة المخزن'!B180, 'تحليل مبيعات'!H:H)),"")</f>
        <v/>
      </c>
      <c r="J180" s="10" t="str">
        <f>IFERROR(IF(SUMIF('تحليل مبيعات'!C:C, 'حركة المخزن'!B180, 'تحليل مبيعات'!L:L)=0,"",SUMIF('تحليل مبيعات'!C:C, 'حركة المخزن'!B180, 'تحليل مبيعات'!L:L)),"")</f>
        <v/>
      </c>
      <c r="K180" s="10" t="str">
        <f t="shared" si="11"/>
        <v/>
      </c>
      <c r="L180" s="10" t="str">
        <f t="shared" si="12"/>
        <v/>
      </c>
      <c r="M180">
        <v>5</v>
      </c>
      <c r="N180" t="str">
        <f t="shared" si="13"/>
        <v>يوجد رصيد كافى</v>
      </c>
    </row>
    <row r="181" spans="2:14" x14ac:dyDescent="0.3">
      <c r="B181" s="10"/>
      <c r="D181" s="10"/>
      <c r="G181" t="str">
        <f>IFERROR(IF(SUMIF(المشتريات!C:C, 'حركة المخزن'!B181, المشتريات!F:F)=0,"",SUMIF(المشتريات!C:C, 'حركة المخزن'!B181, المشتريات!F:F)),"0")</f>
        <v/>
      </c>
      <c r="H181" s="10" t="str">
        <f>IFERROR(IF(SUMIF(المشتريات!C:C, 'حركة المخزن'!B181, المشتريات!I:I)=0,"",SUMIF(المشتريات!C:C, 'حركة المخزن'!B181, المشتريات!I:I)),"0")</f>
        <v/>
      </c>
      <c r="I181" s="10" t="str">
        <f>IFERROR(IF(SUMIF('تحليل مبيعات'!C:C, 'حركة المخزن'!B181, 'تحليل مبيعات'!H:H)=0,"",SUMIF('تحليل مبيعات'!C:C, 'حركة المخزن'!B181, 'تحليل مبيعات'!H:H)),"")</f>
        <v/>
      </c>
      <c r="J181" s="10" t="str">
        <f>IFERROR(IF(SUMIF('تحليل مبيعات'!C:C, 'حركة المخزن'!B181, 'تحليل مبيعات'!L:L)=0,"",SUMIF('تحليل مبيعات'!C:C, 'حركة المخزن'!B181, 'تحليل مبيعات'!L:L)),"")</f>
        <v/>
      </c>
      <c r="K181" s="10" t="str">
        <f t="shared" si="11"/>
        <v/>
      </c>
      <c r="L181" s="10" t="str">
        <f t="shared" si="12"/>
        <v/>
      </c>
      <c r="M181">
        <v>5</v>
      </c>
      <c r="N181" t="str">
        <f t="shared" si="13"/>
        <v>يوجد رصيد كافى</v>
      </c>
    </row>
    <row r="182" spans="2:14" x14ac:dyDescent="0.3">
      <c r="B182" s="10"/>
      <c r="D182" s="10"/>
      <c r="G182" t="str">
        <f>IFERROR(IF(SUMIF(المشتريات!C:C, 'حركة المخزن'!B182, المشتريات!F:F)=0,"",SUMIF(المشتريات!C:C, 'حركة المخزن'!B182, المشتريات!F:F)),"0")</f>
        <v/>
      </c>
      <c r="H182" s="10" t="str">
        <f>IFERROR(IF(SUMIF(المشتريات!C:C, 'حركة المخزن'!B182, المشتريات!I:I)=0,"",SUMIF(المشتريات!C:C, 'حركة المخزن'!B182, المشتريات!I:I)),"0")</f>
        <v/>
      </c>
      <c r="I182" s="10" t="str">
        <f>IFERROR(IF(SUMIF('تحليل مبيعات'!C:C, 'حركة المخزن'!B182, 'تحليل مبيعات'!H:H)=0,"",SUMIF('تحليل مبيعات'!C:C, 'حركة المخزن'!B182, 'تحليل مبيعات'!H:H)),"")</f>
        <v/>
      </c>
      <c r="J182" s="10" t="str">
        <f>IFERROR(IF(SUMIF('تحليل مبيعات'!C:C, 'حركة المخزن'!B182, 'تحليل مبيعات'!L:L)=0,"",SUMIF('تحليل مبيعات'!C:C, 'حركة المخزن'!B182, 'تحليل مبيعات'!L:L)),"")</f>
        <v/>
      </c>
      <c r="K182" s="10" t="str">
        <f t="shared" si="11"/>
        <v/>
      </c>
      <c r="L182" s="10" t="str">
        <f t="shared" si="12"/>
        <v/>
      </c>
      <c r="M182">
        <v>5</v>
      </c>
      <c r="N182" t="str">
        <f t="shared" si="13"/>
        <v>يوجد رصيد كافى</v>
      </c>
    </row>
    <row r="183" spans="2:14" x14ac:dyDescent="0.3">
      <c r="B183" s="10"/>
      <c r="D183" s="10"/>
      <c r="G183" t="str">
        <f>IFERROR(IF(SUMIF(المشتريات!C:C, 'حركة المخزن'!B183, المشتريات!F:F)=0,"",SUMIF(المشتريات!C:C, 'حركة المخزن'!B183, المشتريات!F:F)),"0")</f>
        <v/>
      </c>
      <c r="H183" s="10" t="str">
        <f>IFERROR(IF(SUMIF(المشتريات!C:C, 'حركة المخزن'!B183, المشتريات!I:I)=0,"",SUMIF(المشتريات!C:C, 'حركة المخزن'!B183, المشتريات!I:I)),"0")</f>
        <v/>
      </c>
      <c r="I183" s="10" t="str">
        <f>IFERROR(IF(SUMIF('تحليل مبيعات'!C:C, 'حركة المخزن'!B183, 'تحليل مبيعات'!H:H)=0,"",SUMIF('تحليل مبيعات'!C:C, 'حركة المخزن'!B183, 'تحليل مبيعات'!H:H)),"")</f>
        <v/>
      </c>
      <c r="J183" s="10" t="str">
        <f>IFERROR(IF(SUMIF('تحليل مبيعات'!C:C, 'حركة المخزن'!B183, 'تحليل مبيعات'!L:L)=0,"",SUMIF('تحليل مبيعات'!C:C, 'حركة المخزن'!B183, 'تحليل مبيعات'!L:L)),"")</f>
        <v/>
      </c>
      <c r="K183" s="10" t="str">
        <f t="shared" si="11"/>
        <v/>
      </c>
      <c r="L183" s="10" t="str">
        <f t="shared" si="12"/>
        <v/>
      </c>
      <c r="M183">
        <v>5</v>
      </c>
      <c r="N183" t="str">
        <f t="shared" si="13"/>
        <v>يوجد رصيد كافى</v>
      </c>
    </row>
    <row r="184" spans="2:14" x14ac:dyDescent="0.3">
      <c r="B184" s="10"/>
      <c r="D184" s="10"/>
      <c r="G184" t="str">
        <f>IFERROR(IF(SUMIF(المشتريات!C:C, 'حركة المخزن'!B184, المشتريات!F:F)=0,"",SUMIF(المشتريات!C:C, 'حركة المخزن'!B184, المشتريات!F:F)),"0")</f>
        <v/>
      </c>
      <c r="H184" s="10" t="str">
        <f>IFERROR(IF(SUMIF(المشتريات!C:C, 'حركة المخزن'!B184, المشتريات!I:I)=0,"",SUMIF(المشتريات!C:C, 'حركة المخزن'!B184, المشتريات!I:I)),"0")</f>
        <v/>
      </c>
      <c r="I184" s="10" t="str">
        <f>IFERROR(IF(SUMIF('تحليل مبيعات'!C:C, 'حركة المخزن'!B184, 'تحليل مبيعات'!H:H)=0,"",SUMIF('تحليل مبيعات'!C:C, 'حركة المخزن'!B184, 'تحليل مبيعات'!H:H)),"")</f>
        <v/>
      </c>
      <c r="J184" s="10" t="str">
        <f>IFERROR(IF(SUMIF('تحليل مبيعات'!C:C, 'حركة المخزن'!B184, 'تحليل مبيعات'!L:L)=0,"",SUMIF('تحليل مبيعات'!C:C, 'حركة المخزن'!B184, 'تحليل مبيعات'!L:L)),"")</f>
        <v/>
      </c>
      <c r="K184" s="10" t="str">
        <f t="shared" si="11"/>
        <v/>
      </c>
      <c r="L184" s="10" t="str">
        <f t="shared" si="12"/>
        <v/>
      </c>
      <c r="M184">
        <v>5</v>
      </c>
      <c r="N184" t="str">
        <f t="shared" si="13"/>
        <v>يوجد رصيد كافى</v>
      </c>
    </row>
    <row r="185" spans="2:14" x14ac:dyDescent="0.3">
      <c r="B185" s="10"/>
      <c r="D185" s="10"/>
      <c r="G185" t="str">
        <f>IFERROR(IF(SUMIF(المشتريات!C:C, 'حركة المخزن'!B185, المشتريات!F:F)=0,"",SUMIF(المشتريات!C:C, 'حركة المخزن'!B185, المشتريات!F:F)),"0")</f>
        <v/>
      </c>
      <c r="H185" s="10" t="str">
        <f>IFERROR(IF(SUMIF(المشتريات!C:C, 'حركة المخزن'!B185, المشتريات!I:I)=0,"",SUMIF(المشتريات!C:C, 'حركة المخزن'!B185, المشتريات!I:I)),"0")</f>
        <v/>
      </c>
      <c r="I185" s="10" t="str">
        <f>IFERROR(IF(SUMIF('تحليل مبيعات'!C:C, 'حركة المخزن'!B185, 'تحليل مبيعات'!H:H)=0,"",SUMIF('تحليل مبيعات'!C:C, 'حركة المخزن'!B185, 'تحليل مبيعات'!H:H)),"")</f>
        <v/>
      </c>
      <c r="J185" s="10" t="str">
        <f>IFERROR(IF(SUMIF('تحليل مبيعات'!C:C, 'حركة المخزن'!B185, 'تحليل مبيعات'!L:L)=0,"",SUMIF('تحليل مبيعات'!C:C, 'حركة المخزن'!B185, 'تحليل مبيعات'!L:L)),"")</f>
        <v/>
      </c>
      <c r="K185" s="10" t="str">
        <f t="shared" si="11"/>
        <v/>
      </c>
      <c r="L185" s="10" t="str">
        <f t="shared" si="12"/>
        <v/>
      </c>
      <c r="M185">
        <v>5</v>
      </c>
      <c r="N185" t="str">
        <f t="shared" si="13"/>
        <v>يوجد رصيد كافى</v>
      </c>
    </row>
    <row r="186" spans="2:14" x14ac:dyDescent="0.3">
      <c r="B186" s="10"/>
      <c r="D186" s="10"/>
      <c r="G186" t="str">
        <f>IFERROR(IF(SUMIF(المشتريات!C:C, 'حركة المخزن'!B186, المشتريات!F:F)=0,"",SUMIF(المشتريات!C:C, 'حركة المخزن'!B186, المشتريات!F:F)),"0")</f>
        <v/>
      </c>
      <c r="H186" s="10" t="str">
        <f>IFERROR(IF(SUMIF(المشتريات!C:C, 'حركة المخزن'!B186, المشتريات!I:I)=0,"",SUMIF(المشتريات!C:C, 'حركة المخزن'!B186, المشتريات!I:I)),"0")</f>
        <v/>
      </c>
      <c r="I186" s="10" t="str">
        <f>IFERROR(IF(SUMIF('تحليل مبيعات'!C:C, 'حركة المخزن'!B186, 'تحليل مبيعات'!H:H)=0,"",SUMIF('تحليل مبيعات'!C:C, 'حركة المخزن'!B186, 'تحليل مبيعات'!H:H)),"")</f>
        <v/>
      </c>
      <c r="J186" s="10" t="str">
        <f>IFERROR(IF(SUMIF('تحليل مبيعات'!C:C, 'حركة المخزن'!B186, 'تحليل مبيعات'!L:L)=0,"",SUMIF('تحليل مبيعات'!C:C, 'حركة المخزن'!B186, 'تحليل مبيعات'!L:L)),"")</f>
        <v/>
      </c>
      <c r="K186" s="10" t="str">
        <f t="shared" si="11"/>
        <v/>
      </c>
      <c r="L186" s="10" t="str">
        <f t="shared" si="12"/>
        <v/>
      </c>
      <c r="M186">
        <v>5</v>
      </c>
      <c r="N186" t="str">
        <f t="shared" si="13"/>
        <v>يوجد رصيد كافى</v>
      </c>
    </row>
    <row r="187" spans="2:14" x14ac:dyDescent="0.3">
      <c r="B187" s="10"/>
      <c r="D187" s="10"/>
      <c r="G187" t="str">
        <f>IFERROR(IF(SUMIF(المشتريات!C:C, 'حركة المخزن'!B187, المشتريات!F:F)=0,"",SUMIF(المشتريات!C:C, 'حركة المخزن'!B187, المشتريات!F:F)),"0")</f>
        <v/>
      </c>
      <c r="H187" s="10" t="str">
        <f>IFERROR(IF(SUMIF(المشتريات!C:C, 'حركة المخزن'!B187, المشتريات!I:I)=0,"",SUMIF(المشتريات!C:C, 'حركة المخزن'!B187, المشتريات!I:I)),"0")</f>
        <v/>
      </c>
      <c r="I187" s="10" t="str">
        <f>IFERROR(IF(SUMIF('تحليل مبيعات'!C:C, 'حركة المخزن'!B187, 'تحليل مبيعات'!H:H)=0,"",SUMIF('تحليل مبيعات'!C:C, 'حركة المخزن'!B187, 'تحليل مبيعات'!H:H)),"")</f>
        <v/>
      </c>
      <c r="J187" s="10" t="str">
        <f>IFERROR(IF(SUMIF('تحليل مبيعات'!C:C, 'حركة المخزن'!B187, 'تحليل مبيعات'!L:L)=0,"",SUMIF('تحليل مبيعات'!C:C, 'حركة المخزن'!B187, 'تحليل مبيعات'!L:L)),"")</f>
        <v/>
      </c>
      <c r="K187" s="10" t="str">
        <f t="shared" si="11"/>
        <v/>
      </c>
      <c r="L187" s="10" t="str">
        <f t="shared" si="12"/>
        <v/>
      </c>
      <c r="M187">
        <v>5</v>
      </c>
      <c r="N187" t="str">
        <f t="shared" si="13"/>
        <v>يوجد رصيد كافى</v>
      </c>
    </row>
    <row r="188" spans="2:14" x14ac:dyDescent="0.3">
      <c r="B188" s="10"/>
      <c r="D188" s="10"/>
      <c r="G188" t="str">
        <f>IFERROR(IF(SUMIF(المشتريات!C:C, 'حركة المخزن'!B188, المشتريات!F:F)=0,"",SUMIF(المشتريات!C:C, 'حركة المخزن'!B188, المشتريات!F:F)),"0")</f>
        <v/>
      </c>
      <c r="H188" s="10" t="str">
        <f>IFERROR(IF(SUMIF(المشتريات!C:C, 'حركة المخزن'!B188, المشتريات!I:I)=0,"",SUMIF(المشتريات!C:C, 'حركة المخزن'!B188, المشتريات!I:I)),"0")</f>
        <v/>
      </c>
      <c r="I188" s="10" t="str">
        <f>IFERROR(IF(SUMIF('تحليل مبيعات'!C:C, 'حركة المخزن'!B188, 'تحليل مبيعات'!H:H)=0,"",SUMIF('تحليل مبيعات'!C:C, 'حركة المخزن'!B188, 'تحليل مبيعات'!H:H)),"")</f>
        <v/>
      </c>
      <c r="J188" s="10" t="str">
        <f>IFERROR(IF(SUMIF('تحليل مبيعات'!C:C, 'حركة المخزن'!B188, 'تحليل مبيعات'!L:L)=0,"",SUMIF('تحليل مبيعات'!C:C, 'حركة المخزن'!B188, 'تحليل مبيعات'!L:L)),"")</f>
        <v/>
      </c>
      <c r="K188" s="10" t="str">
        <f t="shared" si="11"/>
        <v/>
      </c>
      <c r="L188" s="10" t="str">
        <f t="shared" si="12"/>
        <v/>
      </c>
      <c r="M188">
        <v>5</v>
      </c>
      <c r="N188" t="str">
        <f t="shared" si="13"/>
        <v>يوجد رصيد كافى</v>
      </c>
    </row>
    <row r="189" spans="2:14" x14ac:dyDescent="0.3">
      <c r="B189" s="10"/>
      <c r="D189" s="10"/>
      <c r="G189" t="str">
        <f>IFERROR(IF(SUMIF(المشتريات!C:C, 'حركة المخزن'!B189, المشتريات!F:F)=0,"",SUMIF(المشتريات!C:C, 'حركة المخزن'!B189, المشتريات!F:F)),"0")</f>
        <v/>
      </c>
      <c r="H189" s="10" t="str">
        <f>IFERROR(IF(SUMIF(المشتريات!C:C, 'حركة المخزن'!B189, المشتريات!I:I)=0,"",SUMIF(المشتريات!C:C, 'حركة المخزن'!B189, المشتريات!I:I)),"0")</f>
        <v/>
      </c>
      <c r="I189" s="10" t="str">
        <f>IFERROR(IF(SUMIF('تحليل مبيعات'!C:C, 'حركة المخزن'!B189, 'تحليل مبيعات'!H:H)=0,"",SUMIF('تحليل مبيعات'!C:C, 'حركة المخزن'!B189, 'تحليل مبيعات'!H:H)),"")</f>
        <v/>
      </c>
      <c r="J189" s="10" t="str">
        <f>IFERROR(IF(SUMIF('تحليل مبيعات'!C:C, 'حركة المخزن'!B189, 'تحليل مبيعات'!L:L)=0,"",SUMIF('تحليل مبيعات'!C:C, 'حركة المخزن'!B189, 'تحليل مبيعات'!L:L)),"")</f>
        <v/>
      </c>
      <c r="K189" s="10" t="str">
        <f t="shared" si="11"/>
        <v/>
      </c>
      <c r="L189" s="10" t="str">
        <f t="shared" si="12"/>
        <v/>
      </c>
      <c r="M189">
        <v>5</v>
      </c>
      <c r="N189" t="str">
        <f t="shared" si="13"/>
        <v>يوجد رصيد كافى</v>
      </c>
    </row>
    <row r="190" spans="2:14" x14ac:dyDescent="0.3">
      <c r="B190" s="10"/>
      <c r="D190" s="10"/>
      <c r="G190" t="str">
        <f>IFERROR(IF(SUMIF(المشتريات!C:C, 'حركة المخزن'!B190, المشتريات!F:F)=0,"",SUMIF(المشتريات!C:C, 'حركة المخزن'!B190, المشتريات!F:F)),"0")</f>
        <v/>
      </c>
      <c r="H190" s="10" t="str">
        <f>IFERROR(IF(SUMIF(المشتريات!C:C, 'حركة المخزن'!B190, المشتريات!I:I)=0,"",SUMIF(المشتريات!C:C, 'حركة المخزن'!B190, المشتريات!I:I)),"0")</f>
        <v/>
      </c>
      <c r="I190" s="10" t="str">
        <f>IFERROR(IF(SUMIF('تحليل مبيعات'!C:C, 'حركة المخزن'!B190, 'تحليل مبيعات'!H:H)=0,"",SUMIF('تحليل مبيعات'!C:C, 'حركة المخزن'!B190, 'تحليل مبيعات'!H:H)),"")</f>
        <v/>
      </c>
      <c r="J190" s="10" t="str">
        <f>IFERROR(IF(SUMIF('تحليل مبيعات'!C:C, 'حركة المخزن'!B190, 'تحليل مبيعات'!L:L)=0,"",SUMIF('تحليل مبيعات'!C:C, 'حركة المخزن'!B190, 'تحليل مبيعات'!L:L)),"")</f>
        <v/>
      </c>
      <c r="K190" s="10" t="str">
        <f t="shared" si="11"/>
        <v/>
      </c>
      <c r="L190" s="10" t="str">
        <f t="shared" si="12"/>
        <v/>
      </c>
      <c r="M190">
        <v>5</v>
      </c>
      <c r="N190" t="str">
        <f t="shared" si="13"/>
        <v>يوجد رصيد كافى</v>
      </c>
    </row>
    <row r="191" spans="2:14" x14ac:dyDescent="0.3">
      <c r="B191" s="10"/>
      <c r="D191" s="10"/>
      <c r="G191" t="str">
        <f>IFERROR(IF(SUMIF(المشتريات!C:C, 'حركة المخزن'!B191, المشتريات!F:F)=0,"",SUMIF(المشتريات!C:C, 'حركة المخزن'!B191, المشتريات!F:F)),"0")</f>
        <v/>
      </c>
      <c r="H191" s="10" t="str">
        <f>IFERROR(IF(SUMIF(المشتريات!C:C, 'حركة المخزن'!B191, المشتريات!I:I)=0,"",SUMIF(المشتريات!C:C, 'حركة المخزن'!B191, المشتريات!I:I)),"0")</f>
        <v/>
      </c>
      <c r="I191" s="10" t="str">
        <f>IFERROR(IF(SUMIF('تحليل مبيعات'!C:C, 'حركة المخزن'!B191, 'تحليل مبيعات'!H:H)=0,"",SUMIF('تحليل مبيعات'!C:C, 'حركة المخزن'!B191, 'تحليل مبيعات'!H:H)),"")</f>
        <v/>
      </c>
      <c r="J191" s="10" t="str">
        <f>IFERROR(IF(SUMIF('تحليل مبيعات'!C:C, 'حركة المخزن'!B191, 'تحليل مبيعات'!L:L)=0,"",SUMIF('تحليل مبيعات'!C:C, 'حركة المخزن'!B191, 'تحليل مبيعات'!L:L)),"")</f>
        <v/>
      </c>
      <c r="K191" s="10" t="str">
        <f t="shared" si="11"/>
        <v/>
      </c>
      <c r="L191" s="10" t="str">
        <f t="shared" si="12"/>
        <v/>
      </c>
      <c r="M191">
        <v>5</v>
      </c>
      <c r="N191" t="str">
        <f t="shared" si="13"/>
        <v>يوجد رصيد كافى</v>
      </c>
    </row>
    <row r="192" spans="2:14" x14ac:dyDescent="0.3">
      <c r="B192" s="10"/>
      <c r="D192" s="10"/>
      <c r="G192" t="str">
        <f>IFERROR(IF(SUMIF(المشتريات!C:C, 'حركة المخزن'!B192, المشتريات!F:F)=0,"",SUMIF(المشتريات!C:C, 'حركة المخزن'!B192, المشتريات!F:F)),"0")</f>
        <v/>
      </c>
      <c r="H192" s="10" t="str">
        <f>IFERROR(IF(SUMIF(المشتريات!C:C, 'حركة المخزن'!B192, المشتريات!I:I)=0,"",SUMIF(المشتريات!C:C, 'حركة المخزن'!B192, المشتريات!I:I)),"0")</f>
        <v/>
      </c>
      <c r="I192" s="10" t="str">
        <f>IFERROR(IF(SUMIF('تحليل مبيعات'!C:C, 'حركة المخزن'!B192, 'تحليل مبيعات'!H:H)=0,"",SUMIF('تحليل مبيعات'!C:C, 'حركة المخزن'!B192, 'تحليل مبيعات'!H:H)),"")</f>
        <v/>
      </c>
      <c r="J192" s="10" t="str">
        <f>IFERROR(IF(SUMIF('تحليل مبيعات'!C:C, 'حركة المخزن'!B192, 'تحليل مبيعات'!L:L)=0,"",SUMIF('تحليل مبيعات'!C:C, 'حركة المخزن'!B192, 'تحليل مبيعات'!L:L)),"")</f>
        <v/>
      </c>
      <c r="K192" s="10" t="str">
        <f t="shared" si="11"/>
        <v/>
      </c>
      <c r="L192" s="10" t="str">
        <f t="shared" si="12"/>
        <v/>
      </c>
      <c r="M192">
        <v>5</v>
      </c>
      <c r="N192" t="str">
        <f t="shared" si="13"/>
        <v>يوجد رصيد كافى</v>
      </c>
    </row>
    <row r="193" spans="2:14" x14ac:dyDescent="0.3">
      <c r="B193" s="10"/>
      <c r="D193" s="10"/>
      <c r="G193" t="str">
        <f>IFERROR(IF(SUMIF(المشتريات!C:C, 'حركة المخزن'!B193, المشتريات!F:F)=0,"",SUMIF(المشتريات!C:C, 'حركة المخزن'!B193, المشتريات!F:F)),"0")</f>
        <v/>
      </c>
      <c r="H193" s="10" t="str">
        <f>IFERROR(IF(SUMIF(المشتريات!C:C, 'حركة المخزن'!B193, المشتريات!I:I)=0,"",SUMIF(المشتريات!C:C, 'حركة المخزن'!B193, المشتريات!I:I)),"0")</f>
        <v/>
      </c>
      <c r="I193" s="10" t="str">
        <f>IFERROR(IF(SUMIF('تحليل مبيعات'!C:C, 'حركة المخزن'!B193, 'تحليل مبيعات'!H:H)=0,"",SUMIF('تحليل مبيعات'!C:C, 'حركة المخزن'!B193, 'تحليل مبيعات'!H:H)),"")</f>
        <v/>
      </c>
      <c r="J193" s="10" t="str">
        <f>IFERROR(IF(SUMIF('تحليل مبيعات'!C:C, 'حركة المخزن'!B193, 'تحليل مبيعات'!L:L)=0,"",SUMIF('تحليل مبيعات'!C:C, 'حركة المخزن'!B193, 'تحليل مبيعات'!L:L)),"")</f>
        <v/>
      </c>
      <c r="K193" s="10" t="str">
        <f t="shared" si="11"/>
        <v/>
      </c>
      <c r="L193" s="10" t="str">
        <f t="shared" si="12"/>
        <v/>
      </c>
      <c r="M193">
        <v>5</v>
      </c>
      <c r="N193" t="str">
        <f t="shared" si="13"/>
        <v>يوجد رصيد كافى</v>
      </c>
    </row>
    <row r="194" spans="2:14" x14ac:dyDescent="0.3">
      <c r="B194" s="10"/>
      <c r="D194" s="10"/>
      <c r="G194" t="str">
        <f>IFERROR(IF(SUMIF(المشتريات!C:C, 'حركة المخزن'!B194, المشتريات!F:F)=0,"",SUMIF(المشتريات!C:C, 'حركة المخزن'!B194, المشتريات!F:F)),"0")</f>
        <v/>
      </c>
      <c r="H194" s="10" t="str">
        <f>IFERROR(IF(SUMIF(المشتريات!C:C, 'حركة المخزن'!B194, المشتريات!I:I)=0,"",SUMIF(المشتريات!C:C, 'حركة المخزن'!B194, المشتريات!I:I)),"0")</f>
        <v/>
      </c>
      <c r="I194" s="10" t="str">
        <f>IFERROR(IF(SUMIF('تحليل مبيعات'!C:C, 'حركة المخزن'!B194, 'تحليل مبيعات'!H:H)=0,"",SUMIF('تحليل مبيعات'!C:C, 'حركة المخزن'!B194, 'تحليل مبيعات'!H:H)),"")</f>
        <v/>
      </c>
      <c r="J194" s="10" t="str">
        <f>IFERROR(IF(SUMIF('تحليل مبيعات'!C:C, 'حركة المخزن'!B194, 'تحليل مبيعات'!L:L)=0,"",SUMIF('تحليل مبيعات'!C:C, 'حركة المخزن'!B194, 'تحليل مبيعات'!L:L)),"")</f>
        <v/>
      </c>
      <c r="K194" s="10" t="str">
        <f t="shared" si="11"/>
        <v/>
      </c>
      <c r="L194" s="10" t="str">
        <f t="shared" si="12"/>
        <v/>
      </c>
      <c r="M194">
        <v>5</v>
      </c>
      <c r="N194" t="str">
        <f t="shared" si="13"/>
        <v>يوجد رصيد كافى</v>
      </c>
    </row>
    <row r="195" spans="2:14" x14ac:dyDescent="0.3">
      <c r="B195" s="10"/>
      <c r="D195" s="10"/>
      <c r="G195" t="str">
        <f>IFERROR(IF(SUMIF(المشتريات!C:C, 'حركة المخزن'!B195, المشتريات!F:F)=0,"",SUMIF(المشتريات!C:C, 'حركة المخزن'!B195, المشتريات!F:F)),"0")</f>
        <v/>
      </c>
      <c r="H195" s="10" t="str">
        <f>IFERROR(IF(SUMIF(المشتريات!C:C, 'حركة المخزن'!B195, المشتريات!I:I)=0,"",SUMIF(المشتريات!C:C, 'حركة المخزن'!B195, المشتريات!I:I)),"0")</f>
        <v/>
      </c>
      <c r="I195" s="10" t="str">
        <f>IFERROR(IF(SUMIF('تحليل مبيعات'!C:C, 'حركة المخزن'!B195, 'تحليل مبيعات'!H:H)=0,"",SUMIF('تحليل مبيعات'!C:C, 'حركة المخزن'!B195, 'تحليل مبيعات'!H:H)),"")</f>
        <v/>
      </c>
      <c r="J195" s="10" t="str">
        <f>IFERROR(IF(SUMIF('تحليل مبيعات'!C:C, 'حركة المخزن'!B195, 'تحليل مبيعات'!L:L)=0,"",SUMIF('تحليل مبيعات'!C:C, 'حركة المخزن'!B195, 'تحليل مبيعات'!L:L)),"")</f>
        <v/>
      </c>
      <c r="K195" s="10" t="str">
        <f t="shared" si="11"/>
        <v/>
      </c>
      <c r="L195" s="10" t="str">
        <f t="shared" si="12"/>
        <v/>
      </c>
      <c r="M195">
        <v>5</v>
      </c>
      <c r="N195" t="str">
        <f t="shared" si="13"/>
        <v>يوجد رصيد كافى</v>
      </c>
    </row>
    <row r="196" spans="2:14" x14ac:dyDescent="0.3">
      <c r="B196" s="10"/>
      <c r="D196" s="10"/>
      <c r="G196" t="str">
        <f>IFERROR(IF(SUMIF(المشتريات!C:C, 'حركة المخزن'!B196, المشتريات!F:F)=0,"",SUMIF(المشتريات!C:C, 'حركة المخزن'!B196, المشتريات!F:F)),"0")</f>
        <v/>
      </c>
      <c r="H196" s="10" t="str">
        <f>IFERROR(IF(SUMIF(المشتريات!C:C, 'حركة المخزن'!B196, المشتريات!I:I)=0,"",SUMIF(المشتريات!C:C, 'حركة المخزن'!B196, المشتريات!I:I)),"0")</f>
        <v/>
      </c>
      <c r="I196" s="10" t="str">
        <f>IFERROR(IF(SUMIF('تحليل مبيعات'!C:C, 'حركة المخزن'!B196, 'تحليل مبيعات'!H:H)=0,"",SUMIF('تحليل مبيعات'!C:C, 'حركة المخزن'!B196, 'تحليل مبيعات'!H:H)),"")</f>
        <v/>
      </c>
      <c r="J196" s="10" t="str">
        <f>IFERROR(IF(SUMIF('تحليل مبيعات'!C:C, 'حركة المخزن'!B196, 'تحليل مبيعات'!L:L)=0,"",SUMIF('تحليل مبيعات'!C:C, 'حركة المخزن'!B196, 'تحليل مبيعات'!L:L)),"")</f>
        <v/>
      </c>
      <c r="K196" s="10" t="str">
        <f t="shared" si="11"/>
        <v/>
      </c>
      <c r="L196" s="10" t="str">
        <f t="shared" si="12"/>
        <v/>
      </c>
      <c r="M196">
        <v>5</v>
      </c>
      <c r="N196" t="str">
        <f t="shared" si="13"/>
        <v>يوجد رصيد كافى</v>
      </c>
    </row>
    <row r="197" spans="2:14" x14ac:dyDescent="0.3">
      <c r="B197" s="10"/>
      <c r="D197" s="10"/>
      <c r="G197" t="str">
        <f>IFERROR(IF(SUMIF(المشتريات!C:C, 'حركة المخزن'!B197, المشتريات!F:F)=0,"",SUMIF(المشتريات!C:C, 'حركة المخزن'!B197, المشتريات!F:F)),"0")</f>
        <v/>
      </c>
      <c r="H197" s="10" t="str">
        <f>IFERROR(IF(SUMIF(المشتريات!C:C, 'حركة المخزن'!B197, المشتريات!I:I)=0,"",SUMIF(المشتريات!C:C, 'حركة المخزن'!B197, المشتريات!I:I)),"0")</f>
        <v/>
      </c>
      <c r="I197" s="10" t="str">
        <f>IFERROR(IF(SUMIF('تحليل مبيعات'!C:C, 'حركة المخزن'!B197, 'تحليل مبيعات'!H:H)=0,"",SUMIF('تحليل مبيعات'!C:C, 'حركة المخزن'!B197, 'تحليل مبيعات'!H:H)),"")</f>
        <v/>
      </c>
      <c r="J197" s="10" t="str">
        <f>IFERROR(IF(SUMIF('تحليل مبيعات'!C:C, 'حركة المخزن'!B197, 'تحليل مبيعات'!L:L)=0,"",SUMIF('تحليل مبيعات'!C:C, 'حركة المخزن'!B197, 'تحليل مبيعات'!L:L)),"")</f>
        <v/>
      </c>
      <c r="K197" s="10" t="str">
        <f t="shared" si="11"/>
        <v/>
      </c>
      <c r="L197" s="10" t="str">
        <f t="shared" si="12"/>
        <v/>
      </c>
      <c r="M197">
        <v>5</v>
      </c>
      <c r="N197" t="str">
        <f t="shared" si="13"/>
        <v>يوجد رصيد كافى</v>
      </c>
    </row>
    <row r="198" spans="2:14" x14ac:dyDescent="0.3">
      <c r="B198" s="10"/>
      <c r="D198" s="10"/>
      <c r="G198" t="str">
        <f>IFERROR(IF(SUMIF(المشتريات!C:C, 'حركة المخزن'!B198, المشتريات!F:F)=0,"",SUMIF(المشتريات!C:C, 'حركة المخزن'!B198, المشتريات!F:F)),"0")</f>
        <v/>
      </c>
      <c r="H198" s="10" t="str">
        <f>IFERROR(IF(SUMIF(المشتريات!C:C, 'حركة المخزن'!B198, المشتريات!I:I)=0,"",SUMIF(المشتريات!C:C, 'حركة المخزن'!B198, المشتريات!I:I)),"0")</f>
        <v/>
      </c>
      <c r="I198" s="10" t="str">
        <f>IFERROR(IF(SUMIF('تحليل مبيعات'!C:C, 'حركة المخزن'!B198, 'تحليل مبيعات'!H:H)=0,"",SUMIF('تحليل مبيعات'!C:C, 'حركة المخزن'!B198, 'تحليل مبيعات'!H:H)),"")</f>
        <v/>
      </c>
      <c r="J198" s="10" t="str">
        <f>IFERROR(IF(SUMIF('تحليل مبيعات'!C:C, 'حركة المخزن'!B198, 'تحليل مبيعات'!L:L)=0,"",SUMIF('تحليل مبيعات'!C:C, 'حركة المخزن'!B198, 'تحليل مبيعات'!L:L)),"")</f>
        <v/>
      </c>
      <c r="K198" s="10" t="str">
        <f t="shared" si="11"/>
        <v/>
      </c>
      <c r="L198" s="10" t="str">
        <f t="shared" si="12"/>
        <v/>
      </c>
      <c r="M198">
        <v>5</v>
      </c>
      <c r="N198" t="str">
        <f t="shared" si="13"/>
        <v>يوجد رصيد كافى</v>
      </c>
    </row>
    <row r="199" spans="2:14" x14ac:dyDescent="0.3">
      <c r="B199" s="10"/>
      <c r="D199" s="10"/>
      <c r="G199" t="str">
        <f>IFERROR(IF(SUMIF(المشتريات!C:C, 'حركة المخزن'!B199, المشتريات!F:F)=0,"",SUMIF(المشتريات!C:C, 'حركة المخزن'!B199, المشتريات!F:F)),"0")</f>
        <v/>
      </c>
      <c r="H199" s="10" t="str">
        <f>IFERROR(IF(SUMIF(المشتريات!C:C, 'حركة المخزن'!B199, المشتريات!I:I)=0,"",SUMIF(المشتريات!C:C, 'حركة المخزن'!B199, المشتريات!I:I)),"0")</f>
        <v/>
      </c>
      <c r="I199" s="10" t="str">
        <f>IFERROR(IF(SUMIF('تحليل مبيعات'!C:C, 'حركة المخزن'!B199, 'تحليل مبيعات'!H:H)=0,"",SUMIF('تحليل مبيعات'!C:C, 'حركة المخزن'!B199, 'تحليل مبيعات'!H:H)),"")</f>
        <v/>
      </c>
      <c r="J199" s="10" t="str">
        <f>IFERROR(IF(SUMIF('تحليل مبيعات'!C:C, 'حركة المخزن'!B199, 'تحليل مبيعات'!L:L)=0,"",SUMIF('تحليل مبيعات'!C:C, 'حركة المخزن'!B199, 'تحليل مبيعات'!L:L)),"")</f>
        <v/>
      </c>
      <c r="K199" s="10" t="str">
        <f t="shared" si="11"/>
        <v/>
      </c>
      <c r="L199" s="10" t="str">
        <f t="shared" si="12"/>
        <v/>
      </c>
      <c r="M199">
        <v>5</v>
      </c>
      <c r="N199" t="str">
        <f t="shared" si="13"/>
        <v>يوجد رصيد كافى</v>
      </c>
    </row>
    <row r="200" spans="2:14" x14ac:dyDescent="0.3">
      <c r="B200" s="10"/>
      <c r="D200" s="10"/>
      <c r="G200" t="str">
        <f>IFERROR(IF(SUMIF(المشتريات!C:C, 'حركة المخزن'!B200, المشتريات!F:F)=0,"",SUMIF(المشتريات!C:C, 'حركة المخزن'!B200, المشتريات!F:F)),"0")</f>
        <v/>
      </c>
      <c r="H200" s="10" t="str">
        <f>IFERROR(IF(SUMIF(المشتريات!C:C, 'حركة المخزن'!B200, المشتريات!I:I)=0,"",SUMIF(المشتريات!C:C, 'حركة المخزن'!B200, المشتريات!I:I)),"0")</f>
        <v/>
      </c>
      <c r="I200" s="10" t="str">
        <f>IFERROR(IF(SUMIF('تحليل مبيعات'!C:C, 'حركة المخزن'!B200, 'تحليل مبيعات'!H:H)=0,"",SUMIF('تحليل مبيعات'!C:C, 'حركة المخزن'!B200, 'تحليل مبيعات'!H:H)),"")</f>
        <v/>
      </c>
      <c r="J200" s="10" t="str">
        <f>IFERROR(IF(SUMIF('تحليل مبيعات'!C:C, 'حركة المخزن'!B200, 'تحليل مبيعات'!L:L)=0,"",SUMIF('تحليل مبيعات'!C:C, 'حركة المخزن'!B200, 'تحليل مبيعات'!L:L)),"")</f>
        <v/>
      </c>
      <c r="K200" s="10" t="str">
        <f t="shared" si="11"/>
        <v/>
      </c>
      <c r="L200" s="10" t="str">
        <f t="shared" si="12"/>
        <v/>
      </c>
      <c r="M200">
        <v>5</v>
      </c>
      <c r="N200" t="str">
        <f t="shared" si="13"/>
        <v>يوجد رصيد كافى</v>
      </c>
    </row>
    <row r="201" spans="2:14" x14ac:dyDescent="0.3">
      <c r="B201" s="10"/>
      <c r="D201" s="10"/>
      <c r="G201" t="str">
        <f>IFERROR(IF(SUMIF(المشتريات!C:C, 'حركة المخزن'!B201, المشتريات!F:F)=0,"",SUMIF(المشتريات!C:C, 'حركة المخزن'!B201, المشتريات!F:F)),"0")</f>
        <v/>
      </c>
      <c r="H201" s="10" t="str">
        <f>IFERROR(IF(SUMIF(المشتريات!C:C, 'حركة المخزن'!B201, المشتريات!I:I)=0,"",SUMIF(المشتريات!C:C, 'حركة المخزن'!B201, المشتريات!I:I)),"0")</f>
        <v/>
      </c>
      <c r="I201" s="10" t="str">
        <f>IFERROR(IF(SUMIF('تحليل مبيعات'!C:C, 'حركة المخزن'!B201, 'تحليل مبيعات'!H:H)=0,"",SUMIF('تحليل مبيعات'!C:C, 'حركة المخزن'!B201, 'تحليل مبيعات'!H:H)),"")</f>
        <v/>
      </c>
      <c r="J201" s="10" t="str">
        <f>IFERROR(IF(SUMIF('تحليل مبيعات'!C:C, 'حركة المخزن'!B201, 'تحليل مبيعات'!L:L)=0,"",SUMIF('تحليل مبيعات'!C:C, 'حركة المخزن'!B201, 'تحليل مبيعات'!L:L)),"")</f>
        <v/>
      </c>
      <c r="K201" s="10" t="str">
        <f t="shared" ref="K201:K264" si="15">IFERROR(E201+G201-I201,"")</f>
        <v/>
      </c>
      <c r="L201" s="10" t="str">
        <f t="shared" ref="L201:L264" si="16">IFERROR(F201+H201-J201,"")</f>
        <v/>
      </c>
      <c r="M201">
        <v>5</v>
      </c>
      <c r="N201" t="str">
        <f t="shared" ref="N201:N264" si="17">IF(K201&lt;M201,"أعادة الطلب","يوجد رصيد كافى")</f>
        <v>يوجد رصيد كافى</v>
      </c>
    </row>
    <row r="202" spans="2:14" x14ac:dyDescent="0.3">
      <c r="B202" s="10"/>
      <c r="D202" s="10"/>
      <c r="G202" t="str">
        <f>IFERROR(IF(SUMIF(المشتريات!C:C, 'حركة المخزن'!B202, المشتريات!F:F)=0,"",SUMIF(المشتريات!C:C, 'حركة المخزن'!B202, المشتريات!F:F)),"0")</f>
        <v/>
      </c>
      <c r="H202" s="10" t="str">
        <f>IFERROR(IF(SUMIF(المشتريات!C:C, 'حركة المخزن'!B202, المشتريات!I:I)=0,"",SUMIF(المشتريات!C:C, 'حركة المخزن'!B202, المشتريات!I:I)),"0")</f>
        <v/>
      </c>
      <c r="I202" s="10" t="str">
        <f>IFERROR(IF(SUMIF('تحليل مبيعات'!C:C, 'حركة المخزن'!B202, 'تحليل مبيعات'!H:H)=0,"",SUMIF('تحليل مبيعات'!C:C, 'حركة المخزن'!B202, 'تحليل مبيعات'!H:H)),"")</f>
        <v/>
      </c>
      <c r="J202" s="10" t="str">
        <f>IFERROR(IF(SUMIF('تحليل مبيعات'!C:C, 'حركة المخزن'!B202, 'تحليل مبيعات'!L:L)=0,"",SUMIF('تحليل مبيعات'!C:C, 'حركة المخزن'!B202, 'تحليل مبيعات'!L:L)),"")</f>
        <v/>
      </c>
      <c r="K202" s="10" t="str">
        <f t="shared" si="15"/>
        <v/>
      </c>
      <c r="L202" s="10" t="str">
        <f t="shared" si="16"/>
        <v/>
      </c>
      <c r="M202">
        <v>5</v>
      </c>
      <c r="N202" t="str">
        <f t="shared" si="17"/>
        <v>يوجد رصيد كافى</v>
      </c>
    </row>
    <row r="203" spans="2:14" x14ac:dyDescent="0.3">
      <c r="B203" s="10"/>
      <c r="D203" s="10"/>
      <c r="G203" t="str">
        <f>IFERROR(IF(SUMIF(المشتريات!C:C, 'حركة المخزن'!B203, المشتريات!F:F)=0,"",SUMIF(المشتريات!C:C, 'حركة المخزن'!B203, المشتريات!F:F)),"0")</f>
        <v/>
      </c>
      <c r="H203" s="10" t="str">
        <f>IFERROR(IF(SUMIF(المشتريات!C:C, 'حركة المخزن'!B203, المشتريات!I:I)=0,"",SUMIF(المشتريات!C:C, 'حركة المخزن'!B203, المشتريات!I:I)),"0")</f>
        <v/>
      </c>
      <c r="I203" s="10" t="str">
        <f>IFERROR(IF(SUMIF('تحليل مبيعات'!C:C, 'حركة المخزن'!B203, 'تحليل مبيعات'!H:H)=0,"",SUMIF('تحليل مبيعات'!C:C, 'حركة المخزن'!B203, 'تحليل مبيعات'!H:H)),"")</f>
        <v/>
      </c>
      <c r="J203" s="10" t="str">
        <f>IFERROR(IF(SUMIF('تحليل مبيعات'!C:C, 'حركة المخزن'!B203, 'تحليل مبيعات'!L:L)=0,"",SUMIF('تحليل مبيعات'!C:C, 'حركة المخزن'!B203, 'تحليل مبيعات'!L:L)),"")</f>
        <v/>
      </c>
      <c r="K203" s="10" t="str">
        <f t="shared" si="15"/>
        <v/>
      </c>
      <c r="L203" s="10" t="str">
        <f t="shared" si="16"/>
        <v/>
      </c>
      <c r="M203">
        <v>5</v>
      </c>
      <c r="N203" t="str">
        <f t="shared" si="17"/>
        <v>يوجد رصيد كافى</v>
      </c>
    </row>
    <row r="204" spans="2:14" x14ac:dyDescent="0.3">
      <c r="B204" s="10"/>
      <c r="D204" s="10"/>
      <c r="G204" t="str">
        <f>IFERROR(IF(SUMIF(المشتريات!C:C, 'حركة المخزن'!B204, المشتريات!F:F)=0,"",SUMIF(المشتريات!C:C, 'حركة المخزن'!B204, المشتريات!F:F)),"0")</f>
        <v/>
      </c>
      <c r="H204" s="10" t="str">
        <f>IFERROR(IF(SUMIF(المشتريات!C:C, 'حركة المخزن'!B204, المشتريات!I:I)=0,"",SUMIF(المشتريات!C:C, 'حركة المخزن'!B204, المشتريات!I:I)),"0")</f>
        <v/>
      </c>
      <c r="I204" s="10" t="str">
        <f>IFERROR(IF(SUMIF('تحليل مبيعات'!C:C, 'حركة المخزن'!B204, 'تحليل مبيعات'!H:H)=0,"",SUMIF('تحليل مبيعات'!C:C, 'حركة المخزن'!B204, 'تحليل مبيعات'!H:H)),"")</f>
        <v/>
      </c>
      <c r="J204" s="10" t="str">
        <f>IFERROR(IF(SUMIF('تحليل مبيعات'!C:C, 'حركة المخزن'!B204, 'تحليل مبيعات'!L:L)=0,"",SUMIF('تحليل مبيعات'!C:C, 'حركة المخزن'!B204, 'تحليل مبيعات'!L:L)),"")</f>
        <v/>
      </c>
      <c r="K204" s="10" t="str">
        <f t="shared" si="15"/>
        <v/>
      </c>
      <c r="L204" s="10" t="str">
        <f t="shared" si="16"/>
        <v/>
      </c>
      <c r="M204">
        <v>5</v>
      </c>
      <c r="N204" t="str">
        <f t="shared" si="17"/>
        <v>يوجد رصيد كافى</v>
      </c>
    </row>
    <row r="205" spans="2:14" x14ac:dyDescent="0.3">
      <c r="B205" s="10"/>
      <c r="D205" s="10"/>
      <c r="G205" t="str">
        <f>IFERROR(IF(SUMIF(المشتريات!C:C, 'حركة المخزن'!B205, المشتريات!F:F)=0,"",SUMIF(المشتريات!C:C, 'حركة المخزن'!B205, المشتريات!F:F)),"0")</f>
        <v/>
      </c>
      <c r="H205" s="10" t="str">
        <f>IFERROR(IF(SUMIF(المشتريات!C:C, 'حركة المخزن'!B205, المشتريات!I:I)=0,"",SUMIF(المشتريات!C:C, 'حركة المخزن'!B205, المشتريات!I:I)),"0")</f>
        <v/>
      </c>
      <c r="I205" s="10" t="str">
        <f>IFERROR(IF(SUMIF('تحليل مبيعات'!C:C, 'حركة المخزن'!B205, 'تحليل مبيعات'!H:H)=0,"",SUMIF('تحليل مبيعات'!C:C, 'حركة المخزن'!B205, 'تحليل مبيعات'!H:H)),"")</f>
        <v/>
      </c>
      <c r="J205" s="10" t="str">
        <f>IFERROR(IF(SUMIF('تحليل مبيعات'!C:C, 'حركة المخزن'!B205, 'تحليل مبيعات'!L:L)=0,"",SUMIF('تحليل مبيعات'!C:C, 'حركة المخزن'!B205, 'تحليل مبيعات'!L:L)),"")</f>
        <v/>
      </c>
      <c r="K205" s="10" t="str">
        <f t="shared" si="15"/>
        <v/>
      </c>
      <c r="L205" s="10" t="str">
        <f t="shared" si="16"/>
        <v/>
      </c>
      <c r="M205">
        <v>5</v>
      </c>
      <c r="N205" t="str">
        <f t="shared" si="17"/>
        <v>يوجد رصيد كافى</v>
      </c>
    </row>
    <row r="206" spans="2:14" x14ac:dyDescent="0.3">
      <c r="B206" s="10"/>
      <c r="D206" s="10"/>
      <c r="G206" t="str">
        <f>IFERROR(IF(SUMIF(المشتريات!C:C, 'حركة المخزن'!B206, المشتريات!F:F)=0,"",SUMIF(المشتريات!C:C, 'حركة المخزن'!B206, المشتريات!F:F)),"0")</f>
        <v/>
      </c>
      <c r="H206" s="10" t="str">
        <f>IFERROR(IF(SUMIF(المشتريات!C:C, 'حركة المخزن'!B206, المشتريات!I:I)=0,"",SUMIF(المشتريات!C:C, 'حركة المخزن'!B206, المشتريات!I:I)),"0")</f>
        <v/>
      </c>
      <c r="I206" s="10" t="str">
        <f>IFERROR(IF(SUMIF('تحليل مبيعات'!C:C, 'حركة المخزن'!B206, 'تحليل مبيعات'!H:H)=0,"",SUMIF('تحليل مبيعات'!C:C, 'حركة المخزن'!B206, 'تحليل مبيعات'!H:H)),"")</f>
        <v/>
      </c>
      <c r="J206" s="10" t="str">
        <f>IFERROR(IF(SUMIF('تحليل مبيعات'!C:C, 'حركة المخزن'!B206, 'تحليل مبيعات'!L:L)=0,"",SUMIF('تحليل مبيعات'!C:C, 'حركة المخزن'!B206, 'تحليل مبيعات'!L:L)),"")</f>
        <v/>
      </c>
      <c r="K206" s="10" t="str">
        <f t="shared" si="15"/>
        <v/>
      </c>
      <c r="L206" s="10" t="str">
        <f t="shared" si="16"/>
        <v/>
      </c>
      <c r="M206">
        <v>5</v>
      </c>
      <c r="N206" t="str">
        <f t="shared" si="17"/>
        <v>يوجد رصيد كافى</v>
      </c>
    </row>
    <row r="207" spans="2:14" x14ac:dyDescent="0.3">
      <c r="B207" s="10"/>
      <c r="D207" s="10"/>
      <c r="G207" t="str">
        <f>IFERROR(IF(SUMIF(المشتريات!C:C, 'حركة المخزن'!B207, المشتريات!F:F)=0,"",SUMIF(المشتريات!C:C, 'حركة المخزن'!B207, المشتريات!F:F)),"0")</f>
        <v/>
      </c>
      <c r="H207" s="10" t="str">
        <f>IFERROR(IF(SUMIF(المشتريات!C:C, 'حركة المخزن'!B207, المشتريات!I:I)=0,"",SUMIF(المشتريات!C:C, 'حركة المخزن'!B207, المشتريات!I:I)),"0")</f>
        <v/>
      </c>
      <c r="I207" s="10" t="str">
        <f>IFERROR(IF(SUMIF('تحليل مبيعات'!C:C, 'حركة المخزن'!B207, 'تحليل مبيعات'!H:H)=0,"",SUMIF('تحليل مبيعات'!C:C, 'حركة المخزن'!B207, 'تحليل مبيعات'!H:H)),"")</f>
        <v/>
      </c>
      <c r="J207" s="10" t="str">
        <f>IFERROR(IF(SUMIF('تحليل مبيعات'!C:C, 'حركة المخزن'!B207, 'تحليل مبيعات'!L:L)=0,"",SUMIF('تحليل مبيعات'!C:C, 'حركة المخزن'!B207, 'تحليل مبيعات'!L:L)),"")</f>
        <v/>
      </c>
      <c r="K207" s="10" t="str">
        <f t="shared" si="15"/>
        <v/>
      </c>
      <c r="L207" s="10" t="str">
        <f t="shared" si="16"/>
        <v/>
      </c>
      <c r="M207">
        <v>5</v>
      </c>
      <c r="N207" t="str">
        <f t="shared" si="17"/>
        <v>يوجد رصيد كافى</v>
      </c>
    </row>
    <row r="208" spans="2:14" x14ac:dyDescent="0.3">
      <c r="B208" s="10"/>
      <c r="D208" s="10"/>
      <c r="G208" t="str">
        <f>IFERROR(IF(SUMIF(المشتريات!C:C, 'حركة المخزن'!B208, المشتريات!F:F)=0,"",SUMIF(المشتريات!C:C, 'حركة المخزن'!B208, المشتريات!F:F)),"0")</f>
        <v/>
      </c>
      <c r="H208" s="10" t="str">
        <f>IFERROR(IF(SUMIF(المشتريات!C:C, 'حركة المخزن'!B208, المشتريات!I:I)=0,"",SUMIF(المشتريات!C:C, 'حركة المخزن'!B208, المشتريات!I:I)),"0")</f>
        <v/>
      </c>
      <c r="I208" s="10" t="str">
        <f>IFERROR(IF(SUMIF('تحليل مبيعات'!C:C, 'حركة المخزن'!B208, 'تحليل مبيعات'!H:H)=0,"",SUMIF('تحليل مبيعات'!C:C, 'حركة المخزن'!B208, 'تحليل مبيعات'!H:H)),"")</f>
        <v/>
      </c>
      <c r="J208" s="10" t="str">
        <f>IFERROR(IF(SUMIF('تحليل مبيعات'!C:C, 'حركة المخزن'!B208, 'تحليل مبيعات'!L:L)=0,"",SUMIF('تحليل مبيعات'!C:C, 'حركة المخزن'!B208, 'تحليل مبيعات'!L:L)),"")</f>
        <v/>
      </c>
      <c r="K208" s="10" t="str">
        <f t="shared" si="15"/>
        <v/>
      </c>
      <c r="L208" s="10" t="str">
        <f t="shared" si="16"/>
        <v/>
      </c>
      <c r="M208">
        <v>5</v>
      </c>
      <c r="N208" t="str">
        <f t="shared" si="17"/>
        <v>يوجد رصيد كافى</v>
      </c>
    </row>
    <row r="209" spans="2:14" x14ac:dyDescent="0.3">
      <c r="B209" s="10"/>
      <c r="D209" s="10"/>
      <c r="G209" t="str">
        <f>IFERROR(IF(SUMIF(المشتريات!C:C, 'حركة المخزن'!B209, المشتريات!F:F)=0,"",SUMIF(المشتريات!C:C, 'حركة المخزن'!B209, المشتريات!F:F)),"0")</f>
        <v/>
      </c>
      <c r="H209" s="10" t="str">
        <f>IFERROR(IF(SUMIF(المشتريات!C:C, 'حركة المخزن'!B209, المشتريات!I:I)=0,"",SUMIF(المشتريات!C:C, 'حركة المخزن'!B209, المشتريات!I:I)),"0")</f>
        <v/>
      </c>
      <c r="I209" s="10" t="str">
        <f>IFERROR(IF(SUMIF('تحليل مبيعات'!C:C, 'حركة المخزن'!B209, 'تحليل مبيعات'!H:H)=0,"",SUMIF('تحليل مبيعات'!C:C, 'حركة المخزن'!B209, 'تحليل مبيعات'!H:H)),"")</f>
        <v/>
      </c>
      <c r="J209" s="10" t="str">
        <f>IFERROR(IF(SUMIF('تحليل مبيعات'!C:C, 'حركة المخزن'!B209, 'تحليل مبيعات'!L:L)=0,"",SUMIF('تحليل مبيعات'!C:C, 'حركة المخزن'!B209, 'تحليل مبيعات'!L:L)),"")</f>
        <v/>
      </c>
      <c r="K209" s="10" t="str">
        <f t="shared" si="15"/>
        <v/>
      </c>
      <c r="L209" s="10" t="str">
        <f t="shared" si="16"/>
        <v/>
      </c>
      <c r="M209">
        <v>5</v>
      </c>
      <c r="N209" t="str">
        <f t="shared" si="17"/>
        <v>يوجد رصيد كافى</v>
      </c>
    </row>
    <row r="210" spans="2:14" x14ac:dyDescent="0.3">
      <c r="B210" s="10"/>
      <c r="D210" s="10"/>
      <c r="G210" t="str">
        <f>IFERROR(IF(SUMIF(المشتريات!C:C, 'حركة المخزن'!B210, المشتريات!F:F)=0,"",SUMIF(المشتريات!C:C, 'حركة المخزن'!B210, المشتريات!F:F)),"0")</f>
        <v/>
      </c>
      <c r="H210" s="10" t="str">
        <f>IFERROR(IF(SUMIF(المشتريات!C:C, 'حركة المخزن'!B210, المشتريات!I:I)=0,"",SUMIF(المشتريات!C:C, 'حركة المخزن'!B210, المشتريات!I:I)),"0")</f>
        <v/>
      </c>
      <c r="I210" s="10" t="str">
        <f>IFERROR(IF(SUMIF('تحليل مبيعات'!C:C, 'حركة المخزن'!B210, 'تحليل مبيعات'!H:H)=0,"",SUMIF('تحليل مبيعات'!C:C, 'حركة المخزن'!B210, 'تحليل مبيعات'!H:H)),"")</f>
        <v/>
      </c>
      <c r="J210" s="10" t="str">
        <f>IFERROR(IF(SUMIF('تحليل مبيعات'!C:C, 'حركة المخزن'!B210, 'تحليل مبيعات'!L:L)=0,"",SUMIF('تحليل مبيعات'!C:C, 'حركة المخزن'!B210, 'تحليل مبيعات'!L:L)),"")</f>
        <v/>
      </c>
      <c r="K210" s="10" t="str">
        <f t="shared" si="15"/>
        <v/>
      </c>
      <c r="L210" s="10" t="str">
        <f t="shared" si="16"/>
        <v/>
      </c>
      <c r="M210">
        <v>5</v>
      </c>
      <c r="N210" t="str">
        <f t="shared" si="17"/>
        <v>يوجد رصيد كافى</v>
      </c>
    </row>
    <row r="211" spans="2:14" x14ac:dyDescent="0.3">
      <c r="B211" s="10"/>
      <c r="D211" s="10"/>
      <c r="G211" t="str">
        <f>IFERROR(IF(SUMIF(المشتريات!C:C, 'حركة المخزن'!B211, المشتريات!F:F)=0,"",SUMIF(المشتريات!C:C, 'حركة المخزن'!B211, المشتريات!F:F)),"0")</f>
        <v/>
      </c>
      <c r="H211" s="10" t="str">
        <f>IFERROR(IF(SUMIF(المشتريات!C:C, 'حركة المخزن'!B211, المشتريات!I:I)=0,"",SUMIF(المشتريات!C:C, 'حركة المخزن'!B211, المشتريات!I:I)),"0")</f>
        <v/>
      </c>
      <c r="I211" s="10" t="str">
        <f>IFERROR(IF(SUMIF('تحليل مبيعات'!C:C, 'حركة المخزن'!B211, 'تحليل مبيعات'!H:H)=0,"",SUMIF('تحليل مبيعات'!C:C, 'حركة المخزن'!B211, 'تحليل مبيعات'!H:H)),"")</f>
        <v/>
      </c>
      <c r="J211" s="10" t="str">
        <f>IFERROR(IF(SUMIF('تحليل مبيعات'!C:C, 'حركة المخزن'!B211, 'تحليل مبيعات'!L:L)=0,"",SUMIF('تحليل مبيعات'!C:C, 'حركة المخزن'!B211, 'تحليل مبيعات'!L:L)),"")</f>
        <v/>
      </c>
      <c r="K211" s="10" t="str">
        <f t="shared" si="15"/>
        <v/>
      </c>
      <c r="L211" s="10" t="str">
        <f t="shared" si="16"/>
        <v/>
      </c>
      <c r="M211">
        <v>5</v>
      </c>
      <c r="N211" t="str">
        <f t="shared" si="17"/>
        <v>يوجد رصيد كافى</v>
      </c>
    </row>
    <row r="212" spans="2:14" x14ac:dyDescent="0.3">
      <c r="B212" s="10"/>
      <c r="D212" s="10"/>
      <c r="G212" t="str">
        <f>IFERROR(IF(SUMIF(المشتريات!C:C, 'حركة المخزن'!B212, المشتريات!F:F)=0,"",SUMIF(المشتريات!C:C, 'حركة المخزن'!B212, المشتريات!F:F)),"0")</f>
        <v/>
      </c>
      <c r="H212" s="10" t="str">
        <f>IFERROR(IF(SUMIF(المشتريات!C:C, 'حركة المخزن'!B212, المشتريات!I:I)=0,"",SUMIF(المشتريات!C:C, 'حركة المخزن'!B212, المشتريات!I:I)),"0")</f>
        <v/>
      </c>
      <c r="I212" s="10" t="str">
        <f>IFERROR(IF(SUMIF('تحليل مبيعات'!C:C, 'حركة المخزن'!B212, 'تحليل مبيعات'!H:H)=0,"",SUMIF('تحليل مبيعات'!C:C, 'حركة المخزن'!B212, 'تحليل مبيعات'!H:H)),"")</f>
        <v/>
      </c>
      <c r="J212" s="10" t="str">
        <f>IFERROR(IF(SUMIF('تحليل مبيعات'!C:C, 'حركة المخزن'!B212, 'تحليل مبيعات'!L:L)=0,"",SUMIF('تحليل مبيعات'!C:C, 'حركة المخزن'!B212, 'تحليل مبيعات'!L:L)),"")</f>
        <v/>
      </c>
      <c r="K212" s="10" t="str">
        <f t="shared" si="15"/>
        <v/>
      </c>
      <c r="L212" s="10" t="str">
        <f t="shared" si="16"/>
        <v/>
      </c>
      <c r="M212">
        <v>5</v>
      </c>
      <c r="N212" t="str">
        <f t="shared" si="17"/>
        <v>يوجد رصيد كافى</v>
      </c>
    </row>
    <row r="213" spans="2:14" x14ac:dyDescent="0.3">
      <c r="B213" s="10"/>
      <c r="D213" s="10"/>
      <c r="G213" t="str">
        <f>IFERROR(IF(SUMIF(المشتريات!C:C, 'حركة المخزن'!B213, المشتريات!F:F)=0,"",SUMIF(المشتريات!C:C, 'حركة المخزن'!B213, المشتريات!F:F)),"0")</f>
        <v/>
      </c>
      <c r="H213" s="10" t="str">
        <f>IFERROR(IF(SUMIF(المشتريات!C:C, 'حركة المخزن'!B213, المشتريات!I:I)=0,"",SUMIF(المشتريات!C:C, 'حركة المخزن'!B213, المشتريات!I:I)),"0")</f>
        <v/>
      </c>
      <c r="I213" s="10" t="str">
        <f>IFERROR(IF(SUMIF('تحليل مبيعات'!C:C, 'حركة المخزن'!B213, 'تحليل مبيعات'!H:H)=0,"",SUMIF('تحليل مبيعات'!C:C, 'حركة المخزن'!B213, 'تحليل مبيعات'!H:H)),"")</f>
        <v/>
      </c>
      <c r="J213" s="10" t="str">
        <f>IFERROR(IF(SUMIF('تحليل مبيعات'!C:C, 'حركة المخزن'!B213, 'تحليل مبيعات'!L:L)=0,"",SUMIF('تحليل مبيعات'!C:C, 'حركة المخزن'!B213, 'تحليل مبيعات'!L:L)),"")</f>
        <v/>
      </c>
      <c r="K213" s="10" t="str">
        <f t="shared" si="15"/>
        <v/>
      </c>
      <c r="L213" s="10" t="str">
        <f t="shared" si="16"/>
        <v/>
      </c>
      <c r="M213">
        <v>5</v>
      </c>
      <c r="N213" t="str">
        <f t="shared" si="17"/>
        <v>يوجد رصيد كافى</v>
      </c>
    </row>
    <row r="214" spans="2:14" x14ac:dyDescent="0.3">
      <c r="B214" s="10"/>
      <c r="D214" s="10"/>
      <c r="G214" t="str">
        <f>IFERROR(IF(SUMIF(المشتريات!C:C, 'حركة المخزن'!B214, المشتريات!F:F)=0,"",SUMIF(المشتريات!C:C, 'حركة المخزن'!B214, المشتريات!F:F)),"0")</f>
        <v/>
      </c>
      <c r="H214" s="10" t="str">
        <f>IFERROR(IF(SUMIF(المشتريات!C:C, 'حركة المخزن'!B214, المشتريات!I:I)=0,"",SUMIF(المشتريات!C:C, 'حركة المخزن'!B214, المشتريات!I:I)),"0")</f>
        <v/>
      </c>
      <c r="I214" s="10" t="str">
        <f>IFERROR(IF(SUMIF('تحليل مبيعات'!C:C, 'حركة المخزن'!B214, 'تحليل مبيعات'!H:H)=0,"",SUMIF('تحليل مبيعات'!C:C, 'حركة المخزن'!B214, 'تحليل مبيعات'!H:H)),"")</f>
        <v/>
      </c>
      <c r="J214" s="10" t="str">
        <f>IFERROR(IF(SUMIF('تحليل مبيعات'!C:C, 'حركة المخزن'!B214, 'تحليل مبيعات'!L:L)=0,"",SUMIF('تحليل مبيعات'!C:C, 'حركة المخزن'!B214, 'تحليل مبيعات'!L:L)),"")</f>
        <v/>
      </c>
      <c r="K214" s="10" t="str">
        <f t="shared" si="15"/>
        <v/>
      </c>
      <c r="L214" s="10" t="str">
        <f t="shared" si="16"/>
        <v/>
      </c>
      <c r="M214">
        <v>5</v>
      </c>
      <c r="N214" t="str">
        <f t="shared" si="17"/>
        <v>يوجد رصيد كافى</v>
      </c>
    </row>
    <row r="215" spans="2:14" x14ac:dyDescent="0.3">
      <c r="B215" s="10"/>
      <c r="D215" s="10"/>
      <c r="G215" t="str">
        <f>IFERROR(IF(SUMIF(المشتريات!C:C, 'حركة المخزن'!B215, المشتريات!F:F)=0,"",SUMIF(المشتريات!C:C, 'حركة المخزن'!B215, المشتريات!F:F)),"0")</f>
        <v/>
      </c>
      <c r="H215" s="10" t="str">
        <f>IFERROR(IF(SUMIF(المشتريات!C:C, 'حركة المخزن'!B215, المشتريات!I:I)=0,"",SUMIF(المشتريات!C:C, 'حركة المخزن'!B215, المشتريات!I:I)),"0")</f>
        <v/>
      </c>
      <c r="I215" s="10" t="str">
        <f>IFERROR(IF(SUMIF('تحليل مبيعات'!C:C, 'حركة المخزن'!B215, 'تحليل مبيعات'!H:H)=0,"",SUMIF('تحليل مبيعات'!C:C, 'حركة المخزن'!B215, 'تحليل مبيعات'!H:H)),"")</f>
        <v/>
      </c>
      <c r="J215" s="10" t="str">
        <f>IFERROR(IF(SUMIF('تحليل مبيعات'!C:C, 'حركة المخزن'!B215, 'تحليل مبيعات'!L:L)=0,"",SUMIF('تحليل مبيعات'!C:C, 'حركة المخزن'!B215, 'تحليل مبيعات'!L:L)),"")</f>
        <v/>
      </c>
      <c r="K215" s="10" t="str">
        <f t="shared" si="15"/>
        <v/>
      </c>
      <c r="L215" s="10" t="str">
        <f t="shared" si="16"/>
        <v/>
      </c>
      <c r="M215">
        <v>5</v>
      </c>
      <c r="N215" t="str">
        <f t="shared" si="17"/>
        <v>يوجد رصيد كافى</v>
      </c>
    </row>
    <row r="216" spans="2:14" x14ac:dyDescent="0.3">
      <c r="B216" s="10"/>
      <c r="D216" s="10"/>
      <c r="G216" t="str">
        <f>IFERROR(IF(SUMIF(المشتريات!C:C, 'حركة المخزن'!B216, المشتريات!F:F)=0,"",SUMIF(المشتريات!C:C, 'حركة المخزن'!B216, المشتريات!F:F)),"0")</f>
        <v/>
      </c>
      <c r="H216" s="10" t="str">
        <f>IFERROR(IF(SUMIF(المشتريات!C:C, 'حركة المخزن'!B216, المشتريات!I:I)=0,"",SUMIF(المشتريات!C:C, 'حركة المخزن'!B216, المشتريات!I:I)),"0")</f>
        <v/>
      </c>
      <c r="I216" s="10" t="str">
        <f>IFERROR(IF(SUMIF('تحليل مبيعات'!C:C, 'حركة المخزن'!B216, 'تحليل مبيعات'!H:H)=0,"",SUMIF('تحليل مبيعات'!C:C, 'حركة المخزن'!B216, 'تحليل مبيعات'!H:H)),"")</f>
        <v/>
      </c>
      <c r="J216" s="10" t="str">
        <f>IFERROR(IF(SUMIF('تحليل مبيعات'!C:C, 'حركة المخزن'!B216, 'تحليل مبيعات'!L:L)=0,"",SUMIF('تحليل مبيعات'!C:C, 'حركة المخزن'!B216, 'تحليل مبيعات'!L:L)),"")</f>
        <v/>
      </c>
      <c r="K216" s="10" t="str">
        <f t="shared" si="15"/>
        <v/>
      </c>
      <c r="L216" s="10" t="str">
        <f t="shared" si="16"/>
        <v/>
      </c>
      <c r="M216">
        <v>5</v>
      </c>
      <c r="N216" t="str">
        <f t="shared" si="17"/>
        <v>يوجد رصيد كافى</v>
      </c>
    </row>
    <row r="217" spans="2:14" x14ac:dyDescent="0.3">
      <c r="B217" s="10"/>
      <c r="D217" s="10"/>
      <c r="G217" t="str">
        <f>IFERROR(IF(SUMIF(المشتريات!C:C, 'حركة المخزن'!B217, المشتريات!F:F)=0,"",SUMIF(المشتريات!C:C, 'حركة المخزن'!B217, المشتريات!F:F)),"0")</f>
        <v/>
      </c>
      <c r="H217" s="10" t="str">
        <f>IFERROR(IF(SUMIF(المشتريات!C:C, 'حركة المخزن'!B217, المشتريات!I:I)=0,"",SUMIF(المشتريات!C:C, 'حركة المخزن'!B217, المشتريات!I:I)),"0")</f>
        <v/>
      </c>
      <c r="I217" s="10" t="str">
        <f>IFERROR(IF(SUMIF('تحليل مبيعات'!C:C, 'حركة المخزن'!B217, 'تحليل مبيعات'!H:H)=0,"",SUMIF('تحليل مبيعات'!C:C, 'حركة المخزن'!B217, 'تحليل مبيعات'!H:H)),"")</f>
        <v/>
      </c>
      <c r="J217" s="10" t="str">
        <f>IFERROR(IF(SUMIF('تحليل مبيعات'!C:C, 'حركة المخزن'!B217, 'تحليل مبيعات'!L:L)=0,"",SUMIF('تحليل مبيعات'!C:C, 'حركة المخزن'!B217, 'تحليل مبيعات'!L:L)),"")</f>
        <v/>
      </c>
      <c r="K217" s="10" t="str">
        <f t="shared" si="15"/>
        <v/>
      </c>
      <c r="L217" s="10" t="str">
        <f t="shared" si="16"/>
        <v/>
      </c>
      <c r="M217">
        <v>5</v>
      </c>
      <c r="N217" t="str">
        <f t="shared" si="17"/>
        <v>يوجد رصيد كافى</v>
      </c>
    </row>
    <row r="218" spans="2:14" x14ac:dyDescent="0.3">
      <c r="B218" s="10"/>
      <c r="D218" s="10"/>
      <c r="G218" t="str">
        <f>IFERROR(IF(SUMIF(المشتريات!C:C, 'حركة المخزن'!B218, المشتريات!F:F)=0,"",SUMIF(المشتريات!C:C, 'حركة المخزن'!B218, المشتريات!F:F)),"0")</f>
        <v/>
      </c>
      <c r="H218" s="10" t="str">
        <f>IFERROR(IF(SUMIF(المشتريات!C:C, 'حركة المخزن'!B218, المشتريات!I:I)=0,"",SUMIF(المشتريات!C:C, 'حركة المخزن'!B218, المشتريات!I:I)),"0")</f>
        <v/>
      </c>
      <c r="I218" s="10" t="str">
        <f>IFERROR(IF(SUMIF('تحليل مبيعات'!C:C, 'حركة المخزن'!B218, 'تحليل مبيعات'!H:H)=0,"",SUMIF('تحليل مبيعات'!C:C, 'حركة المخزن'!B218, 'تحليل مبيعات'!H:H)),"")</f>
        <v/>
      </c>
      <c r="J218" s="10" t="str">
        <f>IFERROR(IF(SUMIF('تحليل مبيعات'!C:C, 'حركة المخزن'!B218, 'تحليل مبيعات'!L:L)=0,"",SUMIF('تحليل مبيعات'!C:C, 'حركة المخزن'!B218, 'تحليل مبيعات'!L:L)),"")</f>
        <v/>
      </c>
      <c r="K218" s="10" t="str">
        <f t="shared" si="15"/>
        <v/>
      </c>
      <c r="L218" s="10" t="str">
        <f t="shared" si="16"/>
        <v/>
      </c>
      <c r="M218">
        <v>5</v>
      </c>
      <c r="N218" t="str">
        <f t="shared" si="17"/>
        <v>يوجد رصيد كافى</v>
      </c>
    </row>
    <row r="219" spans="2:14" x14ac:dyDescent="0.3">
      <c r="B219" s="10"/>
      <c r="D219" s="10"/>
      <c r="G219" t="str">
        <f>IFERROR(IF(SUMIF(المشتريات!C:C, 'حركة المخزن'!B219, المشتريات!F:F)=0,"",SUMIF(المشتريات!C:C, 'حركة المخزن'!B219, المشتريات!F:F)),"0")</f>
        <v/>
      </c>
      <c r="H219" s="10" t="str">
        <f>IFERROR(IF(SUMIF(المشتريات!C:C, 'حركة المخزن'!B219, المشتريات!I:I)=0,"",SUMIF(المشتريات!C:C, 'حركة المخزن'!B219, المشتريات!I:I)),"0")</f>
        <v/>
      </c>
      <c r="I219" s="10" t="str">
        <f>IFERROR(IF(SUMIF('تحليل مبيعات'!C:C, 'حركة المخزن'!B219, 'تحليل مبيعات'!H:H)=0,"",SUMIF('تحليل مبيعات'!C:C, 'حركة المخزن'!B219, 'تحليل مبيعات'!H:H)),"")</f>
        <v/>
      </c>
      <c r="J219" s="10" t="str">
        <f>IFERROR(IF(SUMIF('تحليل مبيعات'!C:C, 'حركة المخزن'!B219, 'تحليل مبيعات'!L:L)=0,"",SUMIF('تحليل مبيعات'!C:C, 'حركة المخزن'!B219, 'تحليل مبيعات'!L:L)),"")</f>
        <v/>
      </c>
      <c r="K219" s="10" t="str">
        <f t="shared" si="15"/>
        <v/>
      </c>
      <c r="L219" s="10" t="str">
        <f t="shared" si="16"/>
        <v/>
      </c>
      <c r="M219">
        <v>5</v>
      </c>
      <c r="N219" t="str">
        <f t="shared" si="17"/>
        <v>يوجد رصيد كافى</v>
      </c>
    </row>
    <row r="220" spans="2:14" x14ac:dyDescent="0.3">
      <c r="B220" s="10"/>
      <c r="D220" s="10"/>
      <c r="G220" t="str">
        <f>IFERROR(IF(SUMIF(المشتريات!C:C, 'حركة المخزن'!B220, المشتريات!F:F)=0,"",SUMIF(المشتريات!C:C, 'حركة المخزن'!B220, المشتريات!F:F)),"0")</f>
        <v/>
      </c>
      <c r="H220" s="10" t="str">
        <f>IFERROR(IF(SUMIF(المشتريات!C:C, 'حركة المخزن'!B220, المشتريات!I:I)=0,"",SUMIF(المشتريات!C:C, 'حركة المخزن'!B220, المشتريات!I:I)),"0")</f>
        <v/>
      </c>
      <c r="I220" s="10" t="str">
        <f>IFERROR(IF(SUMIF('تحليل مبيعات'!C:C, 'حركة المخزن'!B220, 'تحليل مبيعات'!H:H)=0,"",SUMIF('تحليل مبيعات'!C:C, 'حركة المخزن'!B220, 'تحليل مبيعات'!H:H)),"")</f>
        <v/>
      </c>
      <c r="J220" s="10" t="str">
        <f>IFERROR(IF(SUMIF('تحليل مبيعات'!C:C, 'حركة المخزن'!B220, 'تحليل مبيعات'!L:L)=0,"",SUMIF('تحليل مبيعات'!C:C, 'حركة المخزن'!B220, 'تحليل مبيعات'!L:L)),"")</f>
        <v/>
      </c>
      <c r="K220" s="10" t="str">
        <f t="shared" si="15"/>
        <v/>
      </c>
      <c r="L220" s="10" t="str">
        <f t="shared" si="16"/>
        <v/>
      </c>
      <c r="M220">
        <v>5</v>
      </c>
      <c r="N220" t="str">
        <f t="shared" si="17"/>
        <v>يوجد رصيد كافى</v>
      </c>
    </row>
    <row r="221" spans="2:14" x14ac:dyDescent="0.3">
      <c r="B221" s="10"/>
      <c r="D221" s="10"/>
      <c r="G221" t="str">
        <f>IFERROR(IF(SUMIF(المشتريات!C:C, 'حركة المخزن'!B221, المشتريات!F:F)=0,"",SUMIF(المشتريات!C:C, 'حركة المخزن'!B221, المشتريات!F:F)),"0")</f>
        <v/>
      </c>
      <c r="H221" s="10" t="str">
        <f>IFERROR(IF(SUMIF(المشتريات!C:C, 'حركة المخزن'!B221, المشتريات!I:I)=0,"",SUMIF(المشتريات!C:C, 'حركة المخزن'!B221, المشتريات!I:I)),"0")</f>
        <v/>
      </c>
      <c r="I221" s="10" t="str">
        <f>IFERROR(IF(SUMIF('تحليل مبيعات'!C:C, 'حركة المخزن'!B221, 'تحليل مبيعات'!H:H)=0,"",SUMIF('تحليل مبيعات'!C:C, 'حركة المخزن'!B221, 'تحليل مبيعات'!H:H)),"")</f>
        <v/>
      </c>
      <c r="J221" s="10" t="str">
        <f>IFERROR(IF(SUMIF('تحليل مبيعات'!C:C, 'حركة المخزن'!B221, 'تحليل مبيعات'!L:L)=0,"",SUMIF('تحليل مبيعات'!C:C, 'حركة المخزن'!B221, 'تحليل مبيعات'!L:L)),"")</f>
        <v/>
      </c>
      <c r="K221" s="10" t="str">
        <f t="shared" si="15"/>
        <v/>
      </c>
      <c r="L221" s="10" t="str">
        <f t="shared" si="16"/>
        <v/>
      </c>
      <c r="M221">
        <v>5</v>
      </c>
      <c r="N221" t="str">
        <f t="shared" si="17"/>
        <v>يوجد رصيد كافى</v>
      </c>
    </row>
    <row r="222" spans="2:14" x14ac:dyDescent="0.3">
      <c r="B222" s="10"/>
      <c r="D222" s="10"/>
      <c r="G222" t="str">
        <f>IFERROR(IF(SUMIF(المشتريات!C:C, 'حركة المخزن'!B222, المشتريات!F:F)=0,"",SUMIF(المشتريات!C:C, 'حركة المخزن'!B222, المشتريات!F:F)),"0")</f>
        <v/>
      </c>
      <c r="H222" s="10" t="str">
        <f>IFERROR(IF(SUMIF(المشتريات!C:C, 'حركة المخزن'!B222, المشتريات!I:I)=0,"",SUMIF(المشتريات!C:C, 'حركة المخزن'!B222, المشتريات!I:I)),"0")</f>
        <v/>
      </c>
      <c r="I222" s="10" t="str">
        <f>IFERROR(IF(SUMIF('تحليل مبيعات'!C:C, 'حركة المخزن'!B222, 'تحليل مبيعات'!H:H)=0,"",SUMIF('تحليل مبيعات'!C:C, 'حركة المخزن'!B222, 'تحليل مبيعات'!H:H)),"")</f>
        <v/>
      </c>
      <c r="J222" s="10" t="str">
        <f>IFERROR(IF(SUMIF('تحليل مبيعات'!C:C, 'حركة المخزن'!B222, 'تحليل مبيعات'!L:L)=0,"",SUMIF('تحليل مبيعات'!C:C, 'حركة المخزن'!B222, 'تحليل مبيعات'!L:L)),"")</f>
        <v/>
      </c>
      <c r="K222" s="10" t="str">
        <f t="shared" si="15"/>
        <v/>
      </c>
      <c r="L222" s="10" t="str">
        <f t="shared" si="16"/>
        <v/>
      </c>
      <c r="M222">
        <v>5</v>
      </c>
      <c r="N222" t="str">
        <f t="shared" si="17"/>
        <v>يوجد رصيد كافى</v>
      </c>
    </row>
    <row r="223" spans="2:14" x14ac:dyDescent="0.3">
      <c r="B223" s="10"/>
      <c r="D223" s="10"/>
      <c r="G223" t="str">
        <f>IFERROR(IF(SUMIF(المشتريات!C:C, 'حركة المخزن'!B223, المشتريات!F:F)=0,"",SUMIF(المشتريات!C:C, 'حركة المخزن'!B223, المشتريات!F:F)),"0")</f>
        <v/>
      </c>
      <c r="H223" s="10" t="str">
        <f>IFERROR(IF(SUMIF(المشتريات!C:C, 'حركة المخزن'!B223, المشتريات!I:I)=0,"",SUMIF(المشتريات!C:C, 'حركة المخزن'!B223, المشتريات!I:I)),"0")</f>
        <v/>
      </c>
      <c r="I223" s="10" t="str">
        <f>IFERROR(IF(SUMIF('تحليل مبيعات'!C:C, 'حركة المخزن'!B223, 'تحليل مبيعات'!H:H)=0,"",SUMIF('تحليل مبيعات'!C:C, 'حركة المخزن'!B223, 'تحليل مبيعات'!H:H)),"")</f>
        <v/>
      </c>
      <c r="J223" s="10" t="str">
        <f>IFERROR(IF(SUMIF('تحليل مبيعات'!C:C, 'حركة المخزن'!B223, 'تحليل مبيعات'!L:L)=0,"",SUMIF('تحليل مبيعات'!C:C, 'حركة المخزن'!B223, 'تحليل مبيعات'!L:L)),"")</f>
        <v/>
      </c>
      <c r="K223" s="10" t="str">
        <f t="shared" si="15"/>
        <v/>
      </c>
      <c r="L223" s="10" t="str">
        <f t="shared" si="16"/>
        <v/>
      </c>
      <c r="M223">
        <v>5</v>
      </c>
      <c r="N223" t="str">
        <f t="shared" si="17"/>
        <v>يوجد رصيد كافى</v>
      </c>
    </row>
    <row r="224" spans="2:14" x14ac:dyDescent="0.3">
      <c r="B224" s="10"/>
      <c r="D224" s="10"/>
      <c r="G224" t="str">
        <f>IFERROR(IF(SUMIF(المشتريات!C:C, 'حركة المخزن'!B224, المشتريات!F:F)=0,"",SUMIF(المشتريات!C:C, 'حركة المخزن'!B224, المشتريات!F:F)),"0")</f>
        <v/>
      </c>
      <c r="H224" s="10" t="str">
        <f>IFERROR(IF(SUMIF(المشتريات!C:C, 'حركة المخزن'!B224, المشتريات!I:I)=0,"",SUMIF(المشتريات!C:C, 'حركة المخزن'!B224, المشتريات!I:I)),"0")</f>
        <v/>
      </c>
      <c r="I224" s="10" t="str">
        <f>IFERROR(IF(SUMIF('تحليل مبيعات'!C:C, 'حركة المخزن'!B224, 'تحليل مبيعات'!H:H)=0,"",SUMIF('تحليل مبيعات'!C:C, 'حركة المخزن'!B224, 'تحليل مبيعات'!H:H)),"")</f>
        <v/>
      </c>
      <c r="J224" s="10" t="str">
        <f>IFERROR(IF(SUMIF('تحليل مبيعات'!C:C, 'حركة المخزن'!B224, 'تحليل مبيعات'!L:L)=0,"",SUMIF('تحليل مبيعات'!C:C, 'حركة المخزن'!B224, 'تحليل مبيعات'!L:L)),"")</f>
        <v/>
      </c>
      <c r="K224" s="10" t="str">
        <f t="shared" si="15"/>
        <v/>
      </c>
      <c r="L224" s="10" t="str">
        <f t="shared" si="16"/>
        <v/>
      </c>
      <c r="M224">
        <v>5</v>
      </c>
      <c r="N224" t="str">
        <f t="shared" si="17"/>
        <v>يوجد رصيد كافى</v>
      </c>
    </row>
    <row r="225" spans="2:14" x14ac:dyDescent="0.3">
      <c r="B225" s="10"/>
      <c r="D225" s="10"/>
      <c r="G225" t="str">
        <f>IFERROR(IF(SUMIF(المشتريات!C:C, 'حركة المخزن'!B225, المشتريات!F:F)=0,"",SUMIF(المشتريات!C:C, 'حركة المخزن'!B225, المشتريات!F:F)),"0")</f>
        <v/>
      </c>
      <c r="H225" s="10" t="str">
        <f>IFERROR(IF(SUMIF(المشتريات!C:C, 'حركة المخزن'!B225, المشتريات!I:I)=0,"",SUMIF(المشتريات!C:C, 'حركة المخزن'!B225, المشتريات!I:I)),"0")</f>
        <v/>
      </c>
      <c r="I225" s="10" t="str">
        <f>IFERROR(IF(SUMIF('تحليل مبيعات'!C:C, 'حركة المخزن'!B225, 'تحليل مبيعات'!H:H)=0,"",SUMIF('تحليل مبيعات'!C:C, 'حركة المخزن'!B225, 'تحليل مبيعات'!H:H)),"")</f>
        <v/>
      </c>
      <c r="J225" s="10" t="str">
        <f>IFERROR(IF(SUMIF('تحليل مبيعات'!C:C, 'حركة المخزن'!B225, 'تحليل مبيعات'!L:L)=0,"",SUMIF('تحليل مبيعات'!C:C, 'حركة المخزن'!B225, 'تحليل مبيعات'!L:L)),"")</f>
        <v/>
      </c>
      <c r="K225" s="10" t="str">
        <f t="shared" si="15"/>
        <v/>
      </c>
      <c r="L225" s="10" t="str">
        <f t="shared" si="16"/>
        <v/>
      </c>
      <c r="M225">
        <v>5</v>
      </c>
      <c r="N225" t="str">
        <f t="shared" si="17"/>
        <v>يوجد رصيد كافى</v>
      </c>
    </row>
    <row r="226" spans="2:14" x14ac:dyDescent="0.3">
      <c r="B226" s="10"/>
      <c r="D226" s="10"/>
      <c r="G226" t="str">
        <f>IFERROR(IF(SUMIF(المشتريات!C:C, 'حركة المخزن'!B226, المشتريات!F:F)=0,"",SUMIF(المشتريات!C:C, 'حركة المخزن'!B226, المشتريات!F:F)),"0")</f>
        <v/>
      </c>
      <c r="H226" s="10" t="str">
        <f>IFERROR(IF(SUMIF(المشتريات!C:C, 'حركة المخزن'!B226, المشتريات!I:I)=0,"",SUMIF(المشتريات!C:C, 'حركة المخزن'!B226, المشتريات!I:I)),"0")</f>
        <v/>
      </c>
      <c r="I226" s="10" t="str">
        <f>IFERROR(IF(SUMIF('تحليل مبيعات'!C:C, 'حركة المخزن'!B226, 'تحليل مبيعات'!H:H)=0,"",SUMIF('تحليل مبيعات'!C:C, 'حركة المخزن'!B226, 'تحليل مبيعات'!H:H)),"")</f>
        <v/>
      </c>
      <c r="J226" s="10" t="str">
        <f>IFERROR(IF(SUMIF('تحليل مبيعات'!C:C, 'حركة المخزن'!B226, 'تحليل مبيعات'!L:L)=0,"",SUMIF('تحليل مبيعات'!C:C, 'حركة المخزن'!B226, 'تحليل مبيعات'!L:L)),"")</f>
        <v/>
      </c>
      <c r="K226" s="10" t="str">
        <f t="shared" si="15"/>
        <v/>
      </c>
      <c r="L226" s="10" t="str">
        <f t="shared" si="16"/>
        <v/>
      </c>
      <c r="M226">
        <v>5</v>
      </c>
      <c r="N226" t="str">
        <f t="shared" si="17"/>
        <v>يوجد رصيد كافى</v>
      </c>
    </row>
    <row r="227" spans="2:14" x14ac:dyDescent="0.3">
      <c r="B227" s="10"/>
      <c r="D227" s="10"/>
      <c r="G227" t="str">
        <f>IFERROR(IF(SUMIF(المشتريات!C:C, 'حركة المخزن'!B227, المشتريات!F:F)=0,"",SUMIF(المشتريات!C:C, 'حركة المخزن'!B227, المشتريات!F:F)),"0")</f>
        <v/>
      </c>
      <c r="H227" s="10" t="str">
        <f>IFERROR(IF(SUMIF(المشتريات!C:C, 'حركة المخزن'!B227, المشتريات!I:I)=0,"",SUMIF(المشتريات!C:C, 'حركة المخزن'!B227, المشتريات!I:I)),"0")</f>
        <v/>
      </c>
      <c r="I227" s="10" t="str">
        <f>IFERROR(IF(SUMIF('تحليل مبيعات'!C:C, 'حركة المخزن'!B227, 'تحليل مبيعات'!H:H)=0,"",SUMIF('تحليل مبيعات'!C:C, 'حركة المخزن'!B227, 'تحليل مبيعات'!H:H)),"")</f>
        <v/>
      </c>
      <c r="J227" s="10" t="str">
        <f>IFERROR(IF(SUMIF('تحليل مبيعات'!C:C, 'حركة المخزن'!B227, 'تحليل مبيعات'!L:L)=0,"",SUMIF('تحليل مبيعات'!C:C, 'حركة المخزن'!B227, 'تحليل مبيعات'!L:L)),"")</f>
        <v/>
      </c>
      <c r="K227" s="10" t="str">
        <f t="shared" si="15"/>
        <v/>
      </c>
      <c r="L227" s="10" t="str">
        <f t="shared" si="16"/>
        <v/>
      </c>
      <c r="M227">
        <v>5</v>
      </c>
      <c r="N227" t="str">
        <f t="shared" si="17"/>
        <v>يوجد رصيد كافى</v>
      </c>
    </row>
    <row r="228" spans="2:14" x14ac:dyDescent="0.3">
      <c r="B228" s="10"/>
      <c r="D228" s="10"/>
      <c r="G228" t="str">
        <f>IFERROR(IF(SUMIF(المشتريات!C:C, 'حركة المخزن'!B228, المشتريات!F:F)=0,"",SUMIF(المشتريات!C:C, 'حركة المخزن'!B228, المشتريات!F:F)),"0")</f>
        <v/>
      </c>
      <c r="H228" s="10" t="str">
        <f>IFERROR(IF(SUMIF(المشتريات!C:C, 'حركة المخزن'!B228, المشتريات!I:I)=0,"",SUMIF(المشتريات!C:C, 'حركة المخزن'!B228, المشتريات!I:I)),"0")</f>
        <v/>
      </c>
      <c r="I228" s="10" t="str">
        <f>IFERROR(IF(SUMIF('تحليل مبيعات'!C:C, 'حركة المخزن'!B228, 'تحليل مبيعات'!H:H)=0,"",SUMIF('تحليل مبيعات'!C:C, 'حركة المخزن'!B228, 'تحليل مبيعات'!H:H)),"")</f>
        <v/>
      </c>
      <c r="J228" s="10" t="str">
        <f>IFERROR(IF(SUMIF('تحليل مبيعات'!C:C, 'حركة المخزن'!B228, 'تحليل مبيعات'!L:L)=0,"",SUMIF('تحليل مبيعات'!C:C, 'حركة المخزن'!B228, 'تحليل مبيعات'!L:L)),"")</f>
        <v/>
      </c>
      <c r="K228" s="10" t="str">
        <f t="shared" si="15"/>
        <v/>
      </c>
      <c r="L228" s="10" t="str">
        <f t="shared" si="16"/>
        <v/>
      </c>
      <c r="M228">
        <v>5</v>
      </c>
      <c r="N228" t="str">
        <f t="shared" si="17"/>
        <v>يوجد رصيد كافى</v>
      </c>
    </row>
    <row r="229" spans="2:14" x14ac:dyDescent="0.3">
      <c r="B229" s="10"/>
      <c r="D229" s="10"/>
      <c r="G229" t="str">
        <f>IFERROR(IF(SUMIF(المشتريات!C:C, 'حركة المخزن'!B229, المشتريات!F:F)=0,"",SUMIF(المشتريات!C:C, 'حركة المخزن'!B229, المشتريات!F:F)),"0")</f>
        <v/>
      </c>
      <c r="H229" s="10" t="str">
        <f>IFERROR(IF(SUMIF(المشتريات!C:C, 'حركة المخزن'!B229, المشتريات!I:I)=0,"",SUMIF(المشتريات!C:C, 'حركة المخزن'!B229, المشتريات!I:I)),"0")</f>
        <v/>
      </c>
      <c r="I229" s="10" t="str">
        <f>IFERROR(IF(SUMIF('تحليل مبيعات'!C:C, 'حركة المخزن'!B229, 'تحليل مبيعات'!H:H)=0,"",SUMIF('تحليل مبيعات'!C:C, 'حركة المخزن'!B229, 'تحليل مبيعات'!H:H)),"")</f>
        <v/>
      </c>
      <c r="J229" s="10" t="str">
        <f>IFERROR(IF(SUMIF('تحليل مبيعات'!C:C, 'حركة المخزن'!B229, 'تحليل مبيعات'!L:L)=0,"",SUMIF('تحليل مبيعات'!C:C, 'حركة المخزن'!B229, 'تحليل مبيعات'!L:L)),"")</f>
        <v/>
      </c>
      <c r="K229" s="10" t="str">
        <f t="shared" si="15"/>
        <v/>
      </c>
      <c r="L229" s="10" t="str">
        <f t="shared" si="16"/>
        <v/>
      </c>
      <c r="M229">
        <v>5</v>
      </c>
      <c r="N229" t="str">
        <f t="shared" si="17"/>
        <v>يوجد رصيد كافى</v>
      </c>
    </row>
    <row r="230" spans="2:14" x14ac:dyDescent="0.3">
      <c r="B230" s="10"/>
      <c r="D230" s="10"/>
      <c r="G230" t="str">
        <f>IFERROR(IF(SUMIF(المشتريات!C:C, 'حركة المخزن'!B230, المشتريات!F:F)=0,"",SUMIF(المشتريات!C:C, 'حركة المخزن'!B230, المشتريات!F:F)),"0")</f>
        <v/>
      </c>
      <c r="H230" s="10" t="str">
        <f>IFERROR(IF(SUMIF(المشتريات!C:C, 'حركة المخزن'!B230, المشتريات!I:I)=0,"",SUMIF(المشتريات!C:C, 'حركة المخزن'!B230, المشتريات!I:I)),"0")</f>
        <v/>
      </c>
      <c r="I230" s="10" t="str">
        <f>IFERROR(IF(SUMIF('تحليل مبيعات'!C:C, 'حركة المخزن'!B230, 'تحليل مبيعات'!H:H)=0,"",SUMIF('تحليل مبيعات'!C:C, 'حركة المخزن'!B230, 'تحليل مبيعات'!H:H)),"")</f>
        <v/>
      </c>
      <c r="J230" s="10" t="str">
        <f>IFERROR(IF(SUMIF('تحليل مبيعات'!C:C, 'حركة المخزن'!B230, 'تحليل مبيعات'!L:L)=0,"",SUMIF('تحليل مبيعات'!C:C, 'حركة المخزن'!B230, 'تحليل مبيعات'!L:L)),"")</f>
        <v/>
      </c>
      <c r="K230" s="10" t="str">
        <f t="shared" si="15"/>
        <v/>
      </c>
      <c r="L230" s="10" t="str">
        <f t="shared" si="16"/>
        <v/>
      </c>
      <c r="M230">
        <v>5</v>
      </c>
      <c r="N230" t="str">
        <f t="shared" si="17"/>
        <v>يوجد رصيد كافى</v>
      </c>
    </row>
    <row r="231" spans="2:14" x14ac:dyDescent="0.3">
      <c r="B231" s="10"/>
      <c r="D231" s="10"/>
      <c r="G231" t="str">
        <f>IFERROR(IF(SUMIF(المشتريات!C:C, 'حركة المخزن'!B231, المشتريات!F:F)=0,"",SUMIF(المشتريات!C:C, 'حركة المخزن'!B231, المشتريات!F:F)),"0")</f>
        <v/>
      </c>
      <c r="H231" s="10" t="str">
        <f>IFERROR(IF(SUMIF(المشتريات!C:C, 'حركة المخزن'!B231, المشتريات!I:I)=0,"",SUMIF(المشتريات!C:C, 'حركة المخزن'!B231, المشتريات!I:I)),"0")</f>
        <v/>
      </c>
      <c r="I231" s="10" t="str">
        <f>IFERROR(IF(SUMIF('تحليل مبيعات'!C:C, 'حركة المخزن'!B231, 'تحليل مبيعات'!H:H)=0,"",SUMIF('تحليل مبيعات'!C:C, 'حركة المخزن'!B231, 'تحليل مبيعات'!H:H)),"")</f>
        <v/>
      </c>
      <c r="J231" s="10" t="str">
        <f>IFERROR(IF(SUMIF('تحليل مبيعات'!C:C, 'حركة المخزن'!B231, 'تحليل مبيعات'!L:L)=0,"",SUMIF('تحليل مبيعات'!C:C, 'حركة المخزن'!B231, 'تحليل مبيعات'!L:L)),"")</f>
        <v/>
      </c>
      <c r="K231" s="10" t="str">
        <f t="shared" si="15"/>
        <v/>
      </c>
      <c r="L231" s="10" t="str">
        <f t="shared" si="16"/>
        <v/>
      </c>
      <c r="M231">
        <v>5</v>
      </c>
      <c r="N231" t="str">
        <f t="shared" si="17"/>
        <v>يوجد رصيد كافى</v>
      </c>
    </row>
    <row r="232" spans="2:14" x14ac:dyDescent="0.3">
      <c r="B232" s="10"/>
      <c r="D232" s="10"/>
      <c r="G232" t="str">
        <f>IFERROR(IF(SUMIF(المشتريات!C:C, 'حركة المخزن'!B232, المشتريات!F:F)=0,"",SUMIF(المشتريات!C:C, 'حركة المخزن'!B232, المشتريات!F:F)),"0")</f>
        <v/>
      </c>
      <c r="H232" s="10" t="str">
        <f>IFERROR(IF(SUMIF(المشتريات!C:C, 'حركة المخزن'!B232, المشتريات!I:I)=0,"",SUMIF(المشتريات!C:C, 'حركة المخزن'!B232, المشتريات!I:I)),"0")</f>
        <v/>
      </c>
      <c r="I232" s="10" t="str">
        <f>IFERROR(IF(SUMIF('تحليل مبيعات'!C:C, 'حركة المخزن'!B232, 'تحليل مبيعات'!H:H)=0,"",SUMIF('تحليل مبيعات'!C:C, 'حركة المخزن'!B232, 'تحليل مبيعات'!H:H)),"")</f>
        <v/>
      </c>
      <c r="J232" s="10" t="str">
        <f>IFERROR(IF(SUMIF('تحليل مبيعات'!C:C, 'حركة المخزن'!B232, 'تحليل مبيعات'!L:L)=0,"",SUMIF('تحليل مبيعات'!C:C, 'حركة المخزن'!B232, 'تحليل مبيعات'!L:L)),"")</f>
        <v/>
      </c>
      <c r="K232" s="10" t="str">
        <f t="shared" si="15"/>
        <v/>
      </c>
      <c r="L232" s="10" t="str">
        <f t="shared" si="16"/>
        <v/>
      </c>
      <c r="M232">
        <v>5</v>
      </c>
      <c r="N232" t="str">
        <f t="shared" si="17"/>
        <v>يوجد رصيد كافى</v>
      </c>
    </row>
    <row r="233" spans="2:14" x14ac:dyDescent="0.3">
      <c r="B233" s="10"/>
      <c r="D233" s="10"/>
      <c r="G233" t="str">
        <f>IFERROR(IF(SUMIF(المشتريات!C:C, 'حركة المخزن'!B233, المشتريات!F:F)=0,"",SUMIF(المشتريات!C:C, 'حركة المخزن'!B233, المشتريات!F:F)),"0")</f>
        <v/>
      </c>
      <c r="H233" s="10" t="str">
        <f>IFERROR(IF(SUMIF(المشتريات!C:C, 'حركة المخزن'!B233, المشتريات!I:I)=0,"",SUMIF(المشتريات!C:C, 'حركة المخزن'!B233, المشتريات!I:I)),"0")</f>
        <v/>
      </c>
      <c r="I233" s="10" t="str">
        <f>IFERROR(IF(SUMIF('تحليل مبيعات'!C:C, 'حركة المخزن'!B233, 'تحليل مبيعات'!H:H)=0,"",SUMIF('تحليل مبيعات'!C:C, 'حركة المخزن'!B233, 'تحليل مبيعات'!H:H)),"")</f>
        <v/>
      </c>
      <c r="J233" s="10" t="str">
        <f>IFERROR(IF(SUMIF('تحليل مبيعات'!C:C, 'حركة المخزن'!B233, 'تحليل مبيعات'!L:L)=0,"",SUMIF('تحليل مبيعات'!C:C, 'حركة المخزن'!B233, 'تحليل مبيعات'!L:L)),"")</f>
        <v/>
      </c>
      <c r="K233" s="10" t="str">
        <f t="shared" si="15"/>
        <v/>
      </c>
      <c r="L233" s="10" t="str">
        <f t="shared" si="16"/>
        <v/>
      </c>
      <c r="M233">
        <v>5</v>
      </c>
      <c r="N233" t="str">
        <f t="shared" si="17"/>
        <v>يوجد رصيد كافى</v>
      </c>
    </row>
    <row r="234" spans="2:14" x14ac:dyDescent="0.3">
      <c r="B234" s="10"/>
      <c r="D234" s="10"/>
      <c r="G234" t="str">
        <f>IFERROR(IF(SUMIF(المشتريات!C:C, 'حركة المخزن'!B234, المشتريات!F:F)=0,"",SUMIF(المشتريات!C:C, 'حركة المخزن'!B234, المشتريات!F:F)),"0")</f>
        <v/>
      </c>
      <c r="H234" s="10" t="str">
        <f>IFERROR(IF(SUMIF(المشتريات!C:C, 'حركة المخزن'!B234, المشتريات!I:I)=0,"",SUMIF(المشتريات!C:C, 'حركة المخزن'!B234, المشتريات!I:I)),"0")</f>
        <v/>
      </c>
      <c r="I234" s="10" t="str">
        <f>IFERROR(IF(SUMIF('تحليل مبيعات'!C:C, 'حركة المخزن'!B234, 'تحليل مبيعات'!H:H)=0,"",SUMIF('تحليل مبيعات'!C:C, 'حركة المخزن'!B234, 'تحليل مبيعات'!H:H)),"")</f>
        <v/>
      </c>
      <c r="J234" s="10" t="str">
        <f>IFERROR(IF(SUMIF('تحليل مبيعات'!C:C, 'حركة المخزن'!B234, 'تحليل مبيعات'!L:L)=0,"",SUMIF('تحليل مبيعات'!C:C, 'حركة المخزن'!B234, 'تحليل مبيعات'!L:L)),"")</f>
        <v/>
      </c>
      <c r="K234" s="10" t="str">
        <f t="shared" si="15"/>
        <v/>
      </c>
      <c r="L234" s="10" t="str">
        <f t="shared" si="16"/>
        <v/>
      </c>
      <c r="M234">
        <v>5</v>
      </c>
      <c r="N234" t="str">
        <f t="shared" si="17"/>
        <v>يوجد رصيد كافى</v>
      </c>
    </row>
    <row r="235" spans="2:14" x14ac:dyDescent="0.3">
      <c r="B235" s="10"/>
      <c r="D235" s="10"/>
      <c r="G235" t="str">
        <f>IFERROR(IF(SUMIF(المشتريات!C:C, 'حركة المخزن'!B235, المشتريات!F:F)=0,"",SUMIF(المشتريات!C:C, 'حركة المخزن'!B235, المشتريات!F:F)),"0")</f>
        <v/>
      </c>
      <c r="H235" s="10" t="str">
        <f>IFERROR(IF(SUMIF(المشتريات!C:C, 'حركة المخزن'!B235, المشتريات!I:I)=0,"",SUMIF(المشتريات!C:C, 'حركة المخزن'!B235, المشتريات!I:I)),"0")</f>
        <v/>
      </c>
      <c r="I235" s="10" t="str">
        <f>IFERROR(IF(SUMIF('تحليل مبيعات'!C:C, 'حركة المخزن'!B235, 'تحليل مبيعات'!H:H)=0,"",SUMIF('تحليل مبيعات'!C:C, 'حركة المخزن'!B235, 'تحليل مبيعات'!H:H)),"")</f>
        <v/>
      </c>
      <c r="J235" s="10" t="str">
        <f>IFERROR(IF(SUMIF('تحليل مبيعات'!C:C, 'حركة المخزن'!B235, 'تحليل مبيعات'!L:L)=0,"",SUMIF('تحليل مبيعات'!C:C, 'حركة المخزن'!B235, 'تحليل مبيعات'!L:L)),"")</f>
        <v/>
      </c>
      <c r="K235" s="10" t="str">
        <f t="shared" si="15"/>
        <v/>
      </c>
      <c r="L235" s="10" t="str">
        <f t="shared" si="16"/>
        <v/>
      </c>
      <c r="M235">
        <v>5</v>
      </c>
      <c r="N235" t="str">
        <f t="shared" si="17"/>
        <v>يوجد رصيد كافى</v>
      </c>
    </row>
    <row r="236" spans="2:14" x14ac:dyDescent="0.3">
      <c r="B236" s="10"/>
      <c r="D236" s="10"/>
      <c r="G236" t="str">
        <f>IFERROR(IF(SUMIF(المشتريات!C:C, 'حركة المخزن'!B236, المشتريات!F:F)=0,"",SUMIF(المشتريات!C:C, 'حركة المخزن'!B236, المشتريات!F:F)),"0")</f>
        <v/>
      </c>
      <c r="H236" s="10" t="str">
        <f>IFERROR(IF(SUMIF(المشتريات!C:C, 'حركة المخزن'!B236, المشتريات!I:I)=0,"",SUMIF(المشتريات!C:C, 'حركة المخزن'!B236, المشتريات!I:I)),"0")</f>
        <v/>
      </c>
      <c r="I236" s="10" t="str">
        <f>IFERROR(IF(SUMIF('تحليل مبيعات'!C:C, 'حركة المخزن'!B236, 'تحليل مبيعات'!H:H)=0,"",SUMIF('تحليل مبيعات'!C:C, 'حركة المخزن'!B236, 'تحليل مبيعات'!H:H)),"")</f>
        <v/>
      </c>
      <c r="J236" s="10" t="str">
        <f>IFERROR(IF(SUMIF('تحليل مبيعات'!C:C, 'حركة المخزن'!B236, 'تحليل مبيعات'!L:L)=0,"",SUMIF('تحليل مبيعات'!C:C, 'حركة المخزن'!B236, 'تحليل مبيعات'!L:L)),"")</f>
        <v/>
      </c>
      <c r="K236" s="10" t="str">
        <f t="shared" si="15"/>
        <v/>
      </c>
      <c r="L236" s="10" t="str">
        <f t="shared" si="16"/>
        <v/>
      </c>
      <c r="M236">
        <v>5</v>
      </c>
      <c r="N236" t="str">
        <f t="shared" si="17"/>
        <v>يوجد رصيد كافى</v>
      </c>
    </row>
    <row r="237" spans="2:14" x14ac:dyDescent="0.3">
      <c r="B237" s="10"/>
      <c r="D237" s="10"/>
      <c r="G237" t="str">
        <f>IFERROR(IF(SUMIF(المشتريات!C:C, 'حركة المخزن'!B237, المشتريات!F:F)=0,"",SUMIF(المشتريات!C:C, 'حركة المخزن'!B237, المشتريات!F:F)),"0")</f>
        <v/>
      </c>
      <c r="H237" s="10" t="str">
        <f>IFERROR(IF(SUMIF(المشتريات!C:C, 'حركة المخزن'!B237, المشتريات!I:I)=0,"",SUMIF(المشتريات!C:C, 'حركة المخزن'!B237, المشتريات!I:I)),"0")</f>
        <v/>
      </c>
      <c r="I237" s="10" t="str">
        <f>IFERROR(IF(SUMIF('تحليل مبيعات'!C:C, 'حركة المخزن'!B237, 'تحليل مبيعات'!H:H)=0,"",SUMIF('تحليل مبيعات'!C:C, 'حركة المخزن'!B237, 'تحليل مبيعات'!H:H)),"")</f>
        <v/>
      </c>
      <c r="J237" s="10" t="str">
        <f>IFERROR(IF(SUMIF('تحليل مبيعات'!C:C, 'حركة المخزن'!B237, 'تحليل مبيعات'!L:L)=0,"",SUMIF('تحليل مبيعات'!C:C, 'حركة المخزن'!B237, 'تحليل مبيعات'!L:L)),"")</f>
        <v/>
      </c>
      <c r="K237" s="10" t="str">
        <f t="shared" si="15"/>
        <v/>
      </c>
      <c r="L237" s="10" t="str">
        <f t="shared" si="16"/>
        <v/>
      </c>
      <c r="M237">
        <v>5</v>
      </c>
      <c r="N237" t="str">
        <f t="shared" si="17"/>
        <v>يوجد رصيد كافى</v>
      </c>
    </row>
    <row r="238" spans="2:14" x14ac:dyDescent="0.3">
      <c r="B238" s="10"/>
      <c r="D238" s="10"/>
      <c r="G238" t="str">
        <f>IFERROR(IF(SUMIF(المشتريات!C:C, 'حركة المخزن'!B238, المشتريات!F:F)=0,"",SUMIF(المشتريات!C:C, 'حركة المخزن'!B238, المشتريات!F:F)),"")</f>
        <v/>
      </c>
      <c r="H238" s="10" t="str">
        <f>IFERROR(IF(SUMIF(المشتريات!C:C, 'حركة المخزن'!B238, المشتريات!I:I)=0,"",SUMIF(المشتريات!C:C, 'حركة المخزن'!B238, المشتريات!I:I)),"")</f>
        <v/>
      </c>
      <c r="I238" s="10" t="str">
        <f>IFERROR(IF(SUMIF('تحليل مبيعات'!C:C, 'حركة المخزن'!B238, 'تحليل مبيعات'!H:H)=0,"",SUMIF('تحليل مبيعات'!C:C, 'حركة المخزن'!B238, 'تحليل مبيعات'!H:H)),"")</f>
        <v/>
      </c>
      <c r="J238" s="10" t="str">
        <f>IFERROR(IF(SUMIF('تحليل مبيعات'!C:C, 'حركة المخزن'!B238, 'تحليل مبيعات'!L:L)=0,"",SUMIF('تحليل مبيعات'!C:C, 'حركة المخزن'!B238, 'تحليل مبيعات'!L:L)),"")</f>
        <v/>
      </c>
      <c r="K238" s="10" t="str">
        <f t="shared" si="15"/>
        <v/>
      </c>
      <c r="L238" s="10" t="str">
        <f t="shared" si="16"/>
        <v/>
      </c>
      <c r="M238">
        <v>5</v>
      </c>
      <c r="N238" t="str">
        <f t="shared" si="17"/>
        <v>يوجد رصيد كافى</v>
      </c>
    </row>
    <row r="239" spans="2:14" x14ac:dyDescent="0.3">
      <c r="B239" s="10"/>
      <c r="D239" s="10"/>
      <c r="G239" t="str">
        <f>IFERROR(IF(SUMIF(المشتريات!C:C, 'حركة المخزن'!B239, المشتريات!F:F)=0,"",SUMIF(المشتريات!C:C, 'حركة المخزن'!B239, المشتريات!F:F)),"")</f>
        <v/>
      </c>
      <c r="H239" s="10" t="str">
        <f>IFERROR(IF(SUMIF(المشتريات!C:C, 'حركة المخزن'!B239, المشتريات!I:I)=0,"",SUMIF(المشتريات!C:C, 'حركة المخزن'!B239, المشتريات!I:I)),"")</f>
        <v/>
      </c>
      <c r="I239" s="10" t="str">
        <f>IFERROR(IF(SUMIF('تحليل مبيعات'!C:C, 'حركة المخزن'!B239, 'تحليل مبيعات'!H:H)=0,"",SUMIF('تحليل مبيعات'!C:C, 'حركة المخزن'!B239, 'تحليل مبيعات'!H:H)),"")</f>
        <v/>
      </c>
      <c r="J239" s="10" t="str">
        <f>IFERROR(IF(SUMIF('تحليل مبيعات'!C:C, 'حركة المخزن'!B239, 'تحليل مبيعات'!L:L)=0,"",SUMIF('تحليل مبيعات'!C:C, 'حركة المخزن'!B239, 'تحليل مبيعات'!L:L)),"")</f>
        <v/>
      </c>
      <c r="K239" s="10" t="str">
        <f t="shared" si="15"/>
        <v/>
      </c>
      <c r="L239" s="10" t="str">
        <f t="shared" si="16"/>
        <v/>
      </c>
      <c r="M239">
        <v>5</v>
      </c>
      <c r="N239" t="str">
        <f t="shared" si="17"/>
        <v>يوجد رصيد كافى</v>
      </c>
    </row>
    <row r="240" spans="2:14" x14ac:dyDescent="0.3">
      <c r="B240" s="10"/>
      <c r="D240" s="10"/>
      <c r="G240" t="str">
        <f>IFERROR(IF(SUMIF(المشتريات!C:C, 'حركة المخزن'!B240, المشتريات!F:F)=0,"",SUMIF(المشتريات!C:C, 'حركة المخزن'!B240, المشتريات!F:F)),"")</f>
        <v/>
      </c>
      <c r="H240" s="10" t="str">
        <f>IFERROR(IF(SUMIF(المشتريات!C:C, 'حركة المخزن'!B240, المشتريات!I:I)=0,"",SUMIF(المشتريات!C:C, 'حركة المخزن'!B240, المشتريات!I:I)),"")</f>
        <v/>
      </c>
      <c r="I240" s="10" t="str">
        <f>IFERROR(IF(SUMIF('تحليل مبيعات'!C:C, 'حركة المخزن'!B240, 'تحليل مبيعات'!H:H)=0,"",SUMIF('تحليل مبيعات'!C:C, 'حركة المخزن'!B240, 'تحليل مبيعات'!H:H)),"")</f>
        <v/>
      </c>
      <c r="J240" s="10" t="str">
        <f>IFERROR(IF(SUMIF('تحليل مبيعات'!C:C, 'حركة المخزن'!B240, 'تحليل مبيعات'!L:L)=0,"",SUMIF('تحليل مبيعات'!C:C, 'حركة المخزن'!B240, 'تحليل مبيعات'!L:L)),"")</f>
        <v/>
      </c>
      <c r="K240" s="10" t="str">
        <f t="shared" si="15"/>
        <v/>
      </c>
      <c r="L240" s="10" t="str">
        <f t="shared" si="16"/>
        <v/>
      </c>
      <c r="M240">
        <v>5</v>
      </c>
      <c r="N240" t="str">
        <f t="shared" si="17"/>
        <v>يوجد رصيد كافى</v>
      </c>
    </row>
    <row r="241" spans="2:14" x14ac:dyDescent="0.3">
      <c r="B241" s="10"/>
      <c r="D241" s="10"/>
      <c r="G241" t="str">
        <f>IFERROR(IF(SUMIF(المشتريات!C:C, 'حركة المخزن'!B241, المشتريات!F:F)=0,"",SUMIF(المشتريات!C:C, 'حركة المخزن'!B241, المشتريات!F:F)),"")</f>
        <v/>
      </c>
      <c r="H241" s="10" t="str">
        <f>IFERROR(IF(SUMIF(المشتريات!C:C, 'حركة المخزن'!B241, المشتريات!I:I)=0,"",SUMIF(المشتريات!C:C, 'حركة المخزن'!B241, المشتريات!I:I)),"")</f>
        <v/>
      </c>
      <c r="I241" s="10" t="str">
        <f>IFERROR(IF(SUMIF('تحليل مبيعات'!C:C, 'حركة المخزن'!B241, 'تحليل مبيعات'!H:H)=0,"",SUMIF('تحليل مبيعات'!C:C, 'حركة المخزن'!B241, 'تحليل مبيعات'!H:H)),"")</f>
        <v/>
      </c>
      <c r="J241" s="10" t="str">
        <f>IFERROR(IF(SUMIF('تحليل مبيعات'!C:C, 'حركة المخزن'!B241, 'تحليل مبيعات'!L:L)=0,"",SUMIF('تحليل مبيعات'!C:C, 'حركة المخزن'!B241, 'تحليل مبيعات'!L:L)),"")</f>
        <v/>
      </c>
      <c r="K241" s="10" t="str">
        <f t="shared" si="15"/>
        <v/>
      </c>
      <c r="L241" s="10" t="str">
        <f t="shared" si="16"/>
        <v/>
      </c>
      <c r="M241">
        <v>5</v>
      </c>
      <c r="N241" t="str">
        <f t="shared" si="17"/>
        <v>يوجد رصيد كافى</v>
      </c>
    </row>
    <row r="242" spans="2:14" x14ac:dyDescent="0.3">
      <c r="B242" s="10"/>
      <c r="D242" s="10"/>
      <c r="G242" t="str">
        <f>IFERROR(IF(SUMIF(المشتريات!C:C, 'حركة المخزن'!B242, المشتريات!F:F)=0,"",SUMIF(المشتريات!C:C, 'حركة المخزن'!B242, المشتريات!F:F)),"")</f>
        <v/>
      </c>
      <c r="H242" s="10" t="str">
        <f>IFERROR(IF(SUMIF(المشتريات!C:C, 'حركة المخزن'!B242, المشتريات!I:I)=0,"",SUMIF(المشتريات!C:C, 'حركة المخزن'!B242, المشتريات!I:I)),"")</f>
        <v/>
      </c>
      <c r="I242" s="10" t="str">
        <f>IFERROR(IF(SUMIF('تحليل مبيعات'!C:C, 'حركة المخزن'!B242, 'تحليل مبيعات'!H:H)=0,"",SUMIF('تحليل مبيعات'!C:C, 'حركة المخزن'!B242, 'تحليل مبيعات'!H:H)),"")</f>
        <v/>
      </c>
      <c r="J242" s="10" t="str">
        <f>IFERROR(IF(SUMIF('تحليل مبيعات'!C:C, 'حركة المخزن'!B242, 'تحليل مبيعات'!L:L)=0,"",SUMIF('تحليل مبيعات'!C:C, 'حركة المخزن'!B242, 'تحليل مبيعات'!L:L)),"")</f>
        <v/>
      </c>
      <c r="K242" s="10" t="str">
        <f t="shared" si="15"/>
        <v/>
      </c>
      <c r="L242" s="10" t="str">
        <f t="shared" si="16"/>
        <v/>
      </c>
      <c r="M242">
        <v>5</v>
      </c>
      <c r="N242" t="str">
        <f t="shared" si="17"/>
        <v>يوجد رصيد كافى</v>
      </c>
    </row>
    <row r="243" spans="2:14" x14ac:dyDescent="0.3">
      <c r="B243" s="10"/>
      <c r="D243" s="10"/>
      <c r="G243" t="str">
        <f>IFERROR(IF(SUMIF(المشتريات!C:C, 'حركة المخزن'!B243, المشتريات!F:F)=0,"",SUMIF(المشتريات!C:C, 'حركة المخزن'!B243, المشتريات!F:F)),"")</f>
        <v/>
      </c>
      <c r="H243" s="10" t="str">
        <f>IFERROR(IF(SUMIF(المشتريات!C:C, 'حركة المخزن'!B243, المشتريات!I:I)=0,"",SUMIF(المشتريات!C:C, 'حركة المخزن'!B243, المشتريات!I:I)),"")</f>
        <v/>
      </c>
      <c r="I243" s="10" t="str">
        <f>IFERROR(IF(SUMIF('تحليل مبيعات'!C:C, 'حركة المخزن'!B243, 'تحليل مبيعات'!H:H)=0,"",SUMIF('تحليل مبيعات'!C:C, 'حركة المخزن'!B243, 'تحليل مبيعات'!H:H)),"")</f>
        <v/>
      </c>
      <c r="J243" s="10" t="str">
        <f>IFERROR(IF(SUMIF('تحليل مبيعات'!C:C, 'حركة المخزن'!B243, 'تحليل مبيعات'!L:L)=0,"",SUMIF('تحليل مبيعات'!C:C, 'حركة المخزن'!B243, 'تحليل مبيعات'!L:L)),"")</f>
        <v/>
      </c>
      <c r="K243" s="10" t="str">
        <f t="shared" si="15"/>
        <v/>
      </c>
      <c r="L243" s="10" t="str">
        <f t="shared" si="16"/>
        <v/>
      </c>
      <c r="M243">
        <v>5</v>
      </c>
      <c r="N243" t="str">
        <f t="shared" si="17"/>
        <v>يوجد رصيد كافى</v>
      </c>
    </row>
    <row r="244" spans="2:14" x14ac:dyDescent="0.3">
      <c r="B244" s="10"/>
      <c r="D244" s="10"/>
      <c r="G244" t="str">
        <f>IFERROR(IF(SUMIF(المشتريات!C:C, 'حركة المخزن'!B244, المشتريات!F:F)=0,"",SUMIF(المشتريات!C:C, 'حركة المخزن'!B244, المشتريات!F:F)),"")</f>
        <v/>
      </c>
      <c r="H244" s="10" t="str">
        <f>IFERROR(IF(SUMIF(المشتريات!C:C, 'حركة المخزن'!B244, المشتريات!I:I)=0,"",SUMIF(المشتريات!C:C, 'حركة المخزن'!B244, المشتريات!I:I)),"")</f>
        <v/>
      </c>
      <c r="I244" s="10" t="str">
        <f>IFERROR(IF(SUMIF('تحليل مبيعات'!C:C, 'حركة المخزن'!B244, 'تحليل مبيعات'!H:H)=0,"",SUMIF('تحليل مبيعات'!C:C, 'حركة المخزن'!B244, 'تحليل مبيعات'!H:H)),"")</f>
        <v/>
      </c>
      <c r="J244" s="10" t="str">
        <f>IFERROR(IF(SUMIF('تحليل مبيعات'!C:C, 'حركة المخزن'!B244, 'تحليل مبيعات'!L:L)=0,"",SUMIF('تحليل مبيعات'!C:C, 'حركة المخزن'!B244, 'تحليل مبيعات'!L:L)),"")</f>
        <v/>
      </c>
      <c r="K244" s="10" t="str">
        <f t="shared" si="15"/>
        <v/>
      </c>
      <c r="L244" s="10" t="str">
        <f t="shared" si="16"/>
        <v/>
      </c>
      <c r="M244">
        <v>5</v>
      </c>
      <c r="N244" t="str">
        <f t="shared" si="17"/>
        <v>يوجد رصيد كافى</v>
      </c>
    </row>
    <row r="245" spans="2:14" x14ac:dyDescent="0.3">
      <c r="B245" s="10"/>
      <c r="D245" s="10"/>
      <c r="G245" t="str">
        <f>IFERROR(IF(SUMIF(المشتريات!C:C, 'حركة المخزن'!B245, المشتريات!F:F)=0,"",SUMIF(المشتريات!C:C, 'حركة المخزن'!B245, المشتريات!F:F)),"")</f>
        <v/>
      </c>
      <c r="H245" s="10" t="str">
        <f>IFERROR(IF(SUMIF(المشتريات!C:C, 'حركة المخزن'!B245, المشتريات!I:I)=0,"",SUMIF(المشتريات!C:C, 'حركة المخزن'!B245, المشتريات!I:I)),"")</f>
        <v/>
      </c>
      <c r="I245" s="10" t="str">
        <f>IFERROR(IF(SUMIF('تحليل مبيعات'!C:C, 'حركة المخزن'!B245, 'تحليل مبيعات'!H:H)=0,"",SUMIF('تحليل مبيعات'!C:C, 'حركة المخزن'!B245, 'تحليل مبيعات'!H:H)),"")</f>
        <v/>
      </c>
      <c r="J245" s="10" t="str">
        <f>IFERROR(IF(SUMIF('تحليل مبيعات'!C:C, 'حركة المخزن'!B245, 'تحليل مبيعات'!L:L)=0,"",SUMIF('تحليل مبيعات'!C:C, 'حركة المخزن'!B245, 'تحليل مبيعات'!L:L)),"")</f>
        <v/>
      </c>
      <c r="K245" s="10" t="str">
        <f t="shared" si="15"/>
        <v/>
      </c>
      <c r="L245" s="10" t="str">
        <f t="shared" si="16"/>
        <v/>
      </c>
      <c r="M245">
        <v>5</v>
      </c>
      <c r="N245" t="str">
        <f t="shared" si="17"/>
        <v>يوجد رصيد كافى</v>
      </c>
    </row>
    <row r="246" spans="2:14" x14ac:dyDescent="0.3">
      <c r="B246" s="10"/>
      <c r="D246" s="10"/>
      <c r="G246" t="str">
        <f>IFERROR(IF(SUMIF(المشتريات!C:C, 'حركة المخزن'!B246, المشتريات!F:F)=0,"",SUMIF(المشتريات!C:C, 'حركة المخزن'!B246, المشتريات!F:F)),"")</f>
        <v/>
      </c>
      <c r="H246" s="10" t="str">
        <f>IFERROR(IF(SUMIF(المشتريات!C:C, 'حركة المخزن'!B246, المشتريات!I:I)=0,"",SUMIF(المشتريات!C:C, 'حركة المخزن'!B246, المشتريات!I:I)),"")</f>
        <v/>
      </c>
      <c r="I246" s="10" t="str">
        <f>IFERROR(IF(SUMIF('تحليل مبيعات'!C:C, 'حركة المخزن'!B246, 'تحليل مبيعات'!H:H)=0,"",SUMIF('تحليل مبيعات'!C:C, 'حركة المخزن'!B246, 'تحليل مبيعات'!H:H)),"")</f>
        <v/>
      </c>
      <c r="J246" s="10" t="str">
        <f>IFERROR(IF(SUMIF('تحليل مبيعات'!C:C, 'حركة المخزن'!B246, 'تحليل مبيعات'!L:L)=0,"",SUMIF('تحليل مبيعات'!C:C, 'حركة المخزن'!B246, 'تحليل مبيعات'!L:L)),"")</f>
        <v/>
      </c>
      <c r="K246" s="10" t="str">
        <f t="shared" si="15"/>
        <v/>
      </c>
      <c r="L246" s="10" t="str">
        <f t="shared" si="16"/>
        <v/>
      </c>
      <c r="M246">
        <v>5</v>
      </c>
      <c r="N246" t="str">
        <f t="shared" si="17"/>
        <v>يوجد رصيد كافى</v>
      </c>
    </row>
    <row r="247" spans="2:14" x14ac:dyDescent="0.3">
      <c r="B247" s="10"/>
      <c r="D247" s="10"/>
      <c r="G247" t="str">
        <f>IFERROR(IF(SUMIF(المشتريات!C:C, 'حركة المخزن'!B247, المشتريات!F:F)=0,"",SUMIF(المشتريات!C:C, 'حركة المخزن'!B247, المشتريات!F:F)),"")</f>
        <v/>
      </c>
      <c r="H247" s="10" t="str">
        <f>IFERROR(IF(SUMIF(المشتريات!C:C, 'حركة المخزن'!B247, المشتريات!I:I)=0,"",SUMIF(المشتريات!C:C, 'حركة المخزن'!B247, المشتريات!I:I)),"")</f>
        <v/>
      </c>
      <c r="I247" s="10" t="str">
        <f>IFERROR(IF(SUMIF('تحليل مبيعات'!C:C, 'حركة المخزن'!B247, 'تحليل مبيعات'!H:H)=0,"",SUMIF('تحليل مبيعات'!C:C, 'حركة المخزن'!B247, 'تحليل مبيعات'!H:H)),"")</f>
        <v/>
      </c>
      <c r="J247" s="10" t="str">
        <f>IFERROR(IF(SUMIF('تحليل مبيعات'!C:C, 'حركة المخزن'!B247, 'تحليل مبيعات'!L:L)=0,"",SUMIF('تحليل مبيعات'!C:C, 'حركة المخزن'!B247, 'تحليل مبيعات'!L:L)),"")</f>
        <v/>
      </c>
      <c r="K247" s="10" t="str">
        <f t="shared" si="15"/>
        <v/>
      </c>
      <c r="L247" s="10" t="str">
        <f t="shared" si="16"/>
        <v/>
      </c>
      <c r="M247">
        <v>5</v>
      </c>
      <c r="N247" t="str">
        <f t="shared" si="17"/>
        <v>يوجد رصيد كافى</v>
      </c>
    </row>
    <row r="248" spans="2:14" x14ac:dyDescent="0.3">
      <c r="B248" s="10"/>
      <c r="D248" s="10"/>
      <c r="G248" t="str">
        <f>IFERROR(IF(SUMIF(المشتريات!C:C, 'حركة المخزن'!B248, المشتريات!F:F)=0,"",SUMIF(المشتريات!C:C, 'حركة المخزن'!B248, المشتريات!F:F)),"")</f>
        <v/>
      </c>
      <c r="H248" s="10" t="str">
        <f>IFERROR(IF(SUMIF(المشتريات!C:C, 'حركة المخزن'!B248, المشتريات!I:I)=0,"",SUMIF(المشتريات!C:C, 'حركة المخزن'!B248, المشتريات!I:I)),"")</f>
        <v/>
      </c>
      <c r="I248" s="10" t="str">
        <f>IFERROR(IF(SUMIF('تحليل مبيعات'!C:C, 'حركة المخزن'!B248, 'تحليل مبيعات'!H:H)=0,"",SUMIF('تحليل مبيعات'!C:C, 'حركة المخزن'!B248, 'تحليل مبيعات'!H:H)),"")</f>
        <v/>
      </c>
      <c r="J248" s="10" t="str">
        <f>IFERROR(IF(SUMIF('تحليل مبيعات'!C:C, 'حركة المخزن'!B248, 'تحليل مبيعات'!L:L)=0,"",SUMIF('تحليل مبيعات'!C:C, 'حركة المخزن'!B248, 'تحليل مبيعات'!L:L)),"")</f>
        <v/>
      </c>
      <c r="K248" s="10" t="str">
        <f t="shared" si="15"/>
        <v/>
      </c>
      <c r="L248" s="10" t="str">
        <f t="shared" si="16"/>
        <v/>
      </c>
      <c r="M248">
        <v>5</v>
      </c>
      <c r="N248" t="str">
        <f t="shared" si="17"/>
        <v>يوجد رصيد كافى</v>
      </c>
    </row>
    <row r="249" spans="2:14" x14ac:dyDescent="0.3">
      <c r="B249" s="10"/>
      <c r="D249" s="10"/>
      <c r="G249" t="str">
        <f>IFERROR(IF(SUMIF(المشتريات!C:C, 'حركة المخزن'!B249, المشتريات!F:F)=0,"",SUMIF(المشتريات!C:C, 'حركة المخزن'!B249, المشتريات!F:F)),"")</f>
        <v/>
      </c>
      <c r="H249" s="10" t="str">
        <f>IFERROR(IF(SUMIF(المشتريات!C:C, 'حركة المخزن'!B249, المشتريات!I:I)=0,"",SUMIF(المشتريات!C:C, 'حركة المخزن'!B249, المشتريات!I:I)),"")</f>
        <v/>
      </c>
      <c r="I249" s="10" t="str">
        <f>IFERROR(IF(SUMIF('تحليل مبيعات'!C:C, 'حركة المخزن'!B249, 'تحليل مبيعات'!H:H)=0,"",SUMIF('تحليل مبيعات'!C:C, 'حركة المخزن'!B249, 'تحليل مبيعات'!H:H)),"")</f>
        <v/>
      </c>
      <c r="J249" s="10" t="str">
        <f>IFERROR(IF(SUMIF('تحليل مبيعات'!C:C, 'حركة المخزن'!B249, 'تحليل مبيعات'!L:L)=0,"",SUMIF('تحليل مبيعات'!C:C, 'حركة المخزن'!B249, 'تحليل مبيعات'!L:L)),"")</f>
        <v/>
      </c>
      <c r="K249" s="10" t="str">
        <f t="shared" si="15"/>
        <v/>
      </c>
      <c r="L249" s="10" t="str">
        <f t="shared" si="16"/>
        <v/>
      </c>
      <c r="M249">
        <v>5</v>
      </c>
      <c r="N249" t="str">
        <f t="shared" si="17"/>
        <v>يوجد رصيد كافى</v>
      </c>
    </row>
    <row r="250" spans="2:14" x14ac:dyDescent="0.3">
      <c r="B250" s="10"/>
      <c r="D250" s="10"/>
      <c r="G250" t="str">
        <f>IFERROR(IF(SUMIF(المشتريات!C:C, 'حركة المخزن'!B250, المشتريات!F:F)=0,"",SUMIF(المشتريات!C:C, 'حركة المخزن'!B250, المشتريات!F:F)),"")</f>
        <v/>
      </c>
      <c r="H250" s="10" t="str">
        <f>IFERROR(IF(SUMIF(المشتريات!C:C, 'حركة المخزن'!B250, المشتريات!I:I)=0,"",SUMIF(المشتريات!C:C, 'حركة المخزن'!B250, المشتريات!I:I)),"")</f>
        <v/>
      </c>
      <c r="I250" s="10" t="str">
        <f>IFERROR(IF(SUMIF('تحليل مبيعات'!C:C, 'حركة المخزن'!B250, 'تحليل مبيعات'!H:H)=0,"",SUMIF('تحليل مبيعات'!C:C, 'حركة المخزن'!B250, 'تحليل مبيعات'!H:H)),"")</f>
        <v/>
      </c>
      <c r="J250" s="10" t="str">
        <f>IFERROR(IF(SUMIF('تحليل مبيعات'!C:C, 'حركة المخزن'!B250, 'تحليل مبيعات'!L:L)=0,"",SUMIF('تحليل مبيعات'!C:C, 'حركة المخزن'!B250, 'تحليل مبيعات'!L:L)),"")</f>
        <v/>
      </c>
      <c r="K250" s="10" t="str">
        <f t="shared" si="15"/>
        <v/>
      </c>
      <c r="L250" s="10" t="str">
        <f t="shared" si="16"/>
        <v/>
      </c>
      <c r="M250">
        <v>5</v>
      </c>
      <c r="N250" t="str">
        <f t="shared" si="17"/>
        <v>يوجد رصيد كافى</v>
      </c>
    </row>
    <row r="251" spans="2:14" x14ac:dyDescent="0.3">
      <c r="B251" s="10"/>
      <c r="D251" s="10"/>
      <c r="G251" t="str">
        <f>IFERROR(IF(SUMIF(المشتريات!C:C, 'حركة المخزن'!B251, المشتريات!F:F)=0,"",SUMIF(المشتريات!C:C, 'حركة المخزن'!B251, المشتريات!F:F)),"")</f>
        <v/>
      </c>
      <c r="H251" s="10" t="str">
        <f>IFERROR(IF(SUMIF(المشتريات!C:C, 'حركة المخزن'!B251, المشتريات!I:I)=0,"",SUMIF(المشتريات!C:C, 'حركة المخزن'!B251, المشتريات!I:I)),"")</f>
        <v/>
      </c>
      <c r="I251" s="10" t="str">
        <f>IFERROR(IF(SUMIF('تحليل مبيعات'!C:C, 'حركة المخزن'!B251, 'تحليل مبيعات'!H:H)=0,"",SUMIF('تحليل مبيعات'!C:C, 'حركة المخزن'!B251, 'تحليل مبيعات'!H:H)),"")</f>
        <v/>
      </c>
      <c r="J251" s="10" t="str">
        <f>IFERROR(IF(SUMIF('تحليل مبيعات'!C:C, 'حركة المخزن'!B251, 'تحليل مبيعات'!L:L)=0,"",SUMIF('تحليل مبيعات'!C:C, 'حركة المخزن'!B251, 'تحليل مبيعات'!L:L)),"")</f>
        <v/>
      </c>
      <c r="K251" s="10" t="str">
        <f t="shared" si="15"/>
        <v/>
      </c>
      <c r="L251" s="10" t="str">
        <f t="shared" si="16"/>
        <v/>
      </c>
      <c r="M251">
        <v>5</v>
      </c>
      <c r="N251" t="str">
        <f t="shared" si="17"/>
        <v>يوجد رصيد كافى</v>
      </c>
    </row>
    <row r="252" spans="2:14" x14ac:dyDescent="0.3">
      <c r="B252" s="10"/>
      <c r="D252" s="10"/>
      <c r="G252" t="str">
        <f>IFERROR(IF(SUMIF(المشتريات!C:C, 'حركة المخزن'!B252, المشتريات!F:F)=0,"",SUMIF(المشتريات!C:C, 'حركة المخزن'!B252, المشتريات!F:F)),"")</f>
        <v/>
      </c>
      <c r="H252" s="10" t="str">
        <f>IFERROR(IF(SUMIF(المشتريات!C:C, 'حركة المخزن'!B252, المشتريات!I:I)=0,"",SUMIF(المشتريات!C:C, 'حركة المخزن'!B252, المشتريات!I:I)),"")</f>
        <v/>
      </c>
      <c r="I252" s="10" t="str">
        <f>IFERROR(IF(SUMIF('تحليل مبيعات'!C:C, 'حركة المخزن'!B252, 'تحليل مبيعات'!H:H)=0,"",SUMIF('تحليل مبيعات'!C:C, 'حركة المخزن'!B252, 'تحليل مبيعات'!H:H)),"")</f>
        <v/>
      </c>
      <c r="J252" s="10" t="str">
        <f>IFERROR(IF(SUMIF('تحليل مبيعات'!C:C, 'حركة المخزن'!B252, 'تحليل مبيعات'!L:L)=0,"",SUMIF('تحليل مبيعات'!C:C, 'حركة المخزن'!B252, 'تحليل مبيعات'!L:L)),"")</f>
        <v/>
      </c>
      <c r="K252" s="10" t="str">
        <f t="shared" si="15"/>
        <v/>
      </c>
      <c r="L252" s="10" t="str">
        <f t="shared" si="16"/>
        <v/>
      </c>
      <c r="M252">
        <v>5</v>
      </c>
      <c r="N252" t="str">
        <f t="shared" si="17"/>
        <v>يوجد رصيد كافى</v>
      </c>
    </row>
    <row r="253" spans="2:14" x14ac:dyDescent="0.3">
      <c r="B253" s="10"/>
      <c r="D253" s="10"/>
      <c r="G253" t="str">
        <f>IFERROR(IF(SUMIF(المشتريات!C:C, 'حركة المخزن'!B253, المشتريات!F:F)=0,"",SUMIF(المشتريات!C:C, 'حركة المخزن'!B253, المشتريات!F:F)),"")</f>
        <v/>
      </c>
      <c r="H253" s="10" t="str">
        <f>IFERROR(IF(SUMIF(المشتريات!C:C, 'حركة المخزن'!B253, المشتريات!I:I)=0,"",SUMIF(المشتريات!C:C, 'حركة المخزن'!B253, المشتريات!I:I)),"")</f>
        <v/>
      </c>
      <c r="I253" s="10" t="str">
        <f>IFERROR(IF(SUMIF('تحليل مبيعات'!C:C, 'حركة المخزن'!B253, 'تحليل مبيعات'!H:H)=0,"",SUMIF('تحليل مبيعات'!C:C, 'حركة المخزن'!B253, 'تحليل مبيعات'!H:H)),"")</f>
        <v/>
      </c>
      <c r="J253" s="10" t="str">
        <f>IFERROR(IF(SUMIF('تحليل مبيعات'!C:C, 'حركة المخزن'!B253, 'تحليل مبيعات'!L:L)=0,"",SUMIF('تحليل مبيعات'!C:C, 'حركة المخزن'!B253, 'تحليل مبيعات'!L:L)),"")</f>
        <v/>
      </c>
      <c r="K253" s="10" t="str">
        <f t="shared" si="15"/>
        <v/>
      </c>
      <c r="L253" s="10" t="str">
        <f t="shared" si="16"/>
        <v/>
      </c>
      <c r="M253">
        <v>5</v>
      </c>
      <c r="N253" t="str">
        <f t="shared" si="17"/>
        <v>يوجد رصيد كافى</v>
      </c>
    </row>
    <row r="254" spans="2:14" x14ac:dyDescent="0.3">
      <c r="B254" s="10"/>
      <c r="D254" s="10"/>
      <c r="G254" t="str">
        <f>IFERROR(IF(SUMIF(المشتريات!C:C, 'حركة المخزن'!B254, المشتريات!F:F)=0,"",SUMIF(المشتريات!C:C, 'حركة المخزن'!B254, المشتريات!F:F)),"")</f>
        <v/>
      </c>
      <c r="H254" s="10" t="str">
        <f>IFERROR(IF(SUMIF(المشتريات!C:C, 'حركة المخزن'!B254, المشتريات!I:I)=0,"",SUMIF(المشتريات!C:C, 'حركة المخزن'!B254, المشتريات!I:I)),"")</f>
        <v/>
      </c>
      <c r="I254" s="10" t="str">
        <f>IFERROR(IF(SUMIF('تحليل مبيعات'!C:C, 'حركة المخزن'!B254, 'تحليل مبيعات'!H:H)=0,"",SUMIF('تحليل مبيعات'!C:C, 'حركة المخزن'!B254, 'تحليل مبيعات'!H:H)),"")</f>
        <v/>
      </c>
      <c r="J254" s="10" t="str">
        <f>IFERROR(IF(SUMIF('تحليل مبيعات'!C:C, 'حركة المخزن'!B254, 'تحليل مبيعات'!L:L)=0,"",SUMIF('تحليل مبيعات'!C:C, 'حركة المخزن'!B254, 'تحليل مبيعات'!L:L)),"")</f>
        <v/>
      </c>
      <c r="K254" s="10" t="str">
        <f t="shared" si="15"/>
        <v/>
      </c>
      <c r="L254" s="10" t="str">
        <f t="shared" si="16"/>
        <v/>
      </c>
      <c r="M254">
        <v>5</v>
      </c>
      <c r="N254" t="str">
        <f t="shared" si="17"/>
        <v>يوجد رصيد كافى</v>
      </c>
    </row>
    <row r="255" spans="2:14" x14ac:dyDescent="0.3">
      <c r="B255" s="10"/>
      <c r="D255" s="10"/>
      <c r="G255" t="str">
        <f>IFERROR(IF(SUMIF(المشتريات!C:C, 'حركة المخزن'!B255, المشتريات!F:F)=0,"",SUMIF(المشتريات!C:C, 'حركة المخزن'!B255, المشتريات!F:F)),"")</f>
        <v/>
      </c>
      <c r="H255" s="10" t="str">
        <f>IFERROR(IF(SUMIF(المشتريات!C:C, 'حركة المخزن'!B255, المشتريات!I:I)=0,"",SUMIF(المشتريات!C:C, 'حركة المخزن'!B255, المشتريات!I:I)),"")</f>
        <v/>
      </c>
      <c r="I255" s="10" t="str">
        <f>IFERROR(IF(SUMIF('تحليل مبيعات'!C:C, 'حركة المخزن'!B255, 'تحليل مبيعات'!H:H)=0,"",SUMIF('تحليل مبيعات'!C:C, 'حركة المخزن'!B255, 'تحليل مبيعات'!H:H)),"")</f>
        <v/>
      </c>
      <c r="J255" s="10" t="str">
        <f>IFERROR(IF(SUMIF('تحليل مبيعات'!C:C, 'حركة المخزن'!B255, 'تحليل مبيعات'!L:L)=0,"",SUMIF('تحليل مبيعات'!C:C, 'حركة المخزن'!B255, 'تحليل مبيعات'!L:L)),"")</f>
        <v/>
      </c>
      <c r="K255" s="10" t="str">
        <f t="shared" si="15"/>
        <v/>
      </c>
      <c r="L255" s="10" t="str">
        <f t="shared" si="16"/>
        <v/>
      </c>
      <c r="M255">
        <v>5</v>
      </c>
      <c r="N255" t="str">
        <f t="shared" si="17"/>
        <v>يوجد رصيد كافى</v>
      </c>
    </row>
    <row r="256" spans="2:14" x14ac:dyDescent="0.3">
      <c r="B256" s="10"/>
      <c r="D256" s="10"/>
      <c r="G256" t="str">
        <f>IFERROR(IF(SUMIF(المشتريات!C:C, 'حركة المخزن'!B256, المشتريات!F:F)=0,"",SUMIF(المشتريات!C:C, 'حركة المخزن'!B256, المشتريات!F:F)),"")</f>
        <v/>
      </c>
      <c r="H256" s="10" t="str">
        <f>IFERROR(IF(SUMIF(المشتريات!C:C, 'حركة المخزن'!B256, المشتريات!I:I)=0,"",SUMIF(المشتريات!C:C, 'حركة المخزن'!B256, المشتريات!I:I)),"")</f>
        <v/>
      </c>
      <c r="I256" s="10" t="str">
        <f>IFERROR(IF(SUMIF('تحليل مبيعات'!C:C, 'حركة المخزن'!B256, 'تحليل مبيعات'!H:H)=0,"",SUMIF('تحليل مبيعات'!C:C, 'حركة المخزن'!B256, 'تحليل مبيعات'!H:H)),"")</f>
        <v/>
      </c>
      <c r="J256" s="10" t="str">
        <f>IFERROR(IF(SUMIF('تحليل مبيعات'!C:C, 'حركة المخزن'!B256, 'تحليل مبيعات'!L:L)=0,"",SUMIF('تحليل مبيعات'!C:C, 'حركة المخزن'!B256, 'تحليل مبيعات'!L:L)),"")</f>
        <v/>
      </c>
      <c r="K256" s="10" t="str">
        <f t="shared" si="15"/>
        <v/>
      </c>
      <c r="L256" s="10" t="str">
        <f t="shared" si="16"/>
        <v/>
      </c>
      <c r="M256">
        <v>5</v>
      </c>
      <c r="N256" t="str">
        <f t="shared" si="17"/>
        <v>يوجد رصيد كافى</v>
      </c>
    </row>
    <row r="257" spans="2:14" x14ac:dyDescent="0.3">
      <c r="B257" s="10"/>
      <c r="D257" s="10"/>
      <c r="G257" t="str">
        <f>IFERROR(IF(SUMIF(المشتريات!C:C, 'حركة المخزن'!B257, المشتريات!F:F)=0,"",SUMIF(المشتريات!C:C, 'حركة المخزن'!B257, المشتريات!F:F)),"")</f>
        <v/>
      </c>
      <c r="H257" s="10" t="str">
        <f>IFERROR(IF(SUMIF(المشتريات!C:C, 'حركة المخزن'!B257, المشتريات!I:I)=0,"",SUMIF(المشتريات!C:C, 'حركة المخزن'!B257, المشتريات!I:I)),"")</f>
        <v/>
      </c>
      <c r="I257" s="10" t="str">
        <f>IFERROR(IF(SUMIF('تحليل مبيعات'!C:C, 'حركة المخزن'!B257, 'تحليل مبيعات'!H:H)=0,"",SUMIF('تحليل مبيعات'!C:C, 'حركة المخزن'!B257, 'تحليل مبيعات'!H:H)),"")</f>
        <v/>
      </c>
      <c r="J257" s="10" t="str">
        <f>IFERROR(IF(SUMIF('تحليل مبيعات'!C:C, 'حركة المخزن'!B257, 'تحليل مبيعات'!L:L)=0,"",SUMIF('تحليل مبيعات'!C:C, 'حركة المخزن'!B257, 'تحليل مبيعات'!L:L)),"")</f>
        <v/>
      </c>
      <c r="K257" s="10" t="str">
        <f t="shared" si="15"/>
        <v/>
      </c>
      <c r="L257" s="10" t="str">
        <f t="shared" si="16"/>
        <v/>
      </c>
      <c r="M257">
        <v>5</v>
      </c>
      <c r="N257" t="str">
        <f t="shared" si="17"/>
        <v>يوجد رصيد كافى</v>
      </c>
    </row>
    <row r="258" spans="2:14" x14ac:dyDescent="0.3">
      <c r="B258" s="10"/>
      <c r="D258" s="10"/>
      <c r="G258" t="str">
        <f>IFERROR(IF(SUMIF(المشتريات!C:C, 'حركة المخزن'!B258, المشتريات!F:F)=0,"",SUMIF(المشتريات!C:C, 'حركة المخزن'!B258, المشتريات!F:F)),"")</f>
        <v/>
      </c>
      <c r="H258" s="10" t="str">
        <f>IFERROR(IF(SUMIF(المشتريات!C:C, 'حركة المخزن'!B258, المشتريات!I:I)=0,"",SUMIF(المشتريات!C:C, 'حركة المخزن'!B258, المشتريات!I:I)),"")</f>
        <v/>
      </c>
      <c r="I258" s="10" t="str">
        <f>IFERROR(IF(SUMIF('تحليل مبيعات'!C:C, 'حركة المخزن'!B258, 'تحليل مبيعات'!H:H)=0,"",SUMIF('تحليل مبيعات'!C:C, 'حركة المخزن'!B258, 'تحليل مبيعات'!H:H)),"")</f>
        <v/>
      </c>
      <c r="J258" s="10" t="str">
        <f>IFERROR(IF(SUMIF('تحليل مبيعات'!C:C, 'حركة المخزن'!B258, 'تحليل مبيعات'!L:L)=0,"",SUMIF('تحليل مبيعات'!C:C, 'حركة المخزن'!B258, 'تحليل مبيعات'!L:L)),"")</f>
        <v/>
      </c>
      <c r="K258" s="10" t="str">
        <f t="shared" si="15"/>
        <v/>
      </c>
      <c r="L258" s="10" t="str">
        <f t="shared" si="16"/>
        <v/>
      </c>
      <c r="M258">
        <v>5</v>
      </c>
      <c r="N258" t="str">
        <f t="shared" si="17"/>
        <v>يوجد رصيد كافى</v>
      </c>
    </row>
    <row r="259" spans="2:14" x14ac:dyDescent="0.3">
      <c r="B259" s="10"/>
      <c r="D259" s="10"/>
      <c r="G259" t="str">
        <f>IFERROR(IF(SUMIF(المشتريات!C:C, 'حركة المخزن'!B259, المشتريات!F:F)=0,"",SUMIF(المشتريات!C:C, 'حركة المخزن'!B259, المشتريات!F:F)),"")</f>
        <v/>
      </c>
      <c r="H259" s="10" t="str">
        <f>IFERROR(IF(SUMIF(المشتريات!C:C, 'حركة المخزن'!B259, المشتريات!I:I)=0,"",SUMIF(المشتريات!C:C, 'حركة المخزن'!B259, المشتريات!I:I)),"")</f>
        <v/>
      </c>
      <c r="I259" s="10" t="str">
        <f>IFERROR(IF(SUMIF('تحليل مبيعات'!C:C, 'حركة المخزن'!B259, 'تحليل مبيعات'!H:H)=0,"",SUMIF('تحليل مبيعات'!C:C, 'حركة المخزن'!B259, 'تحليل مبيعات'!H:H)),"")</f>
        <v/>
      </c>
      <c r="J259" s="10" t="str">
        <f>IFERROR(IF(SUMIF('تحليل مبيعات'!C:C, 'حركة المخزن'!B259, 'تحليل مبيعات'!L:L)=0,"",SUMIF('تحليل مبيعات'!C:C, 'حركة المخزن'!B259, 'تحليل مبيعات'!L:L)),"")</f>
        <v/>
      </c>
      <c r="K259" s="10" t="str">
        <f t="shared" si="15"/>
        <v/>
      </c>
      <c r="L259" s="10" t="str">
        <f t="shared" si="16"/>
        <v/>
      </c>
      <c r="M259">
        <v>5</v>
      </c>
      <c r="N259" t="str">
        <f t="shared" si="17"/>
        <v>يوجد رصيد كافى</v>
      </c>
    </row>
    <row r="260" spans="2:14" x14ac:dyDescent="0.3">
      <c r="B260" s="10"/>
      <c r="D260" s="10"/>
      <c r="G260" t="str">
        <f>IFERROR(IF(SUMIF(المشتريات!C:C, 'حركة المخزن'!B260, المشتريات!F:F)=0,"",SUMIF(المشتريات!C:C, 'حركة المخزن'!B260, المشتريات!F:F)),"")</f>
        <v/>
      </c>
      <c r="H260" s="10" t="str">
        <f>IFERROR(IF(SUMIF(المشتريات!C:C, 'حركة المخزن'!B260, المشتريات!I:I)=0,"",SUMIF(المشتريات!C:C, 'حركة المخزن'!B260, المشتريات!I:I)),"")</f>
        <v/>
      </c>
      <c r="I260" s="10" t="str">
        <f>IFERROR(IF(SUMIF('تحليل مبيعات'!C:C, 'حركة المخزن'!B260, 'تحليل مبيعات'!H:H)=0,"",SUMIF('تحليل مبيعات'!C:C, 'حركة المخزن'!B260, 'تحليل مبيعات'!H:H)),"")</f>
        <v/>
      </c>
      <c r="J260" s="10" t="str">
        <f>IFERROR(IF(SUMIF('تحليل مبيعات'!C:C, 'حركة المخزن'!B260, 'تحليل مبيعات'!L:L)=0,"",SUMIF('تحليل مبيعات'!C:C, 'حركة المخزن'!B260, 'تحليل مبيعات'!L:L)),"")</f>
        <v/>
      </c>
      <c r="K260" s="10" t="str">
        <f t="shared" si="15"/>
        <v/>
      </c>
      <c r="L260" s="10" t="str">
        <f t="shared" si="16"/>
        <v/>
      </c>
      <c r="M260">
        <v>5</v>
      </c>
      <c r="N260" t="str">
        <f t="shared" si="17"/>
        <v>يوجد رصيد كافى</v>
      </c>
    </row>
    <row r="261" spans="2:14" x14ac:dyDescent="0.3">
      <c r="B261" s="10"/>
      <c r="D261" s="10"/>
      <c r="G261" t="str">
        <f>IFERROR(IF(SUMIF(المشتريات!C:C, 'حركة المخزن'!B261, المشتريات!F:F)=0,"",SUMIF(المشتريات!C:C, 'حركة المخزن'!B261, المشتريات!F:F)),"")</f>
        <v/>
      </c>
      <c r="H261" s="10" t="str">
        <f>IFERROR(IF(SUMIF(المشتريات!C:C, 'حركة المخزن'!B261, المشتريات!I:I)=0,"",SUMIF(المشتريات!C:C, 'حركة المخزن'!B261, المشتريات!I:I)),"")</f>
        <v/>
      </c>
      <c r="I261" s="10" t="str">
        <f>IFERROR(IF(SUMIF('تحليل مبيعات'!C:C, 'حركة المخزن'!B261, 'تحليل مبيعات'!H:H)=0,"",SUMIF('تحليل مبيعات'!C:C, 'حركة المخزن'!B261, 'تحليل مبيعات'!H:H)),"")</f>
        <v/>
      </c>
      <c r="J261" s="10" t="str">
        <f>IFERROR(IF(SUMIF('تحليل مبيعات'!C:C, 'حركة المخزن'!B261, 'تحليل مبيعات'!L:L)=0,"",SUMIF('تحليل مبيعات'!C:C, 'حركة المخزن'!B261, 'تحليل مبيعات'!L:L)),"")</f>
        <v/>
      </c>
      <c r="K261" s="10" t="str">
        <f t="shared" si="15"/>
        <v/>
      </c>
      <c r="L261" s="10" t="str">
        <f t="shared" si="16"/>
        <v/>
      </c>
      <c r="M261">
        <v>5</v>
      </c>
      <c r="N261" t="str">
        <f t="shared" si="17"/>
        <v>يوجد رصيد كافى</v>
      </c>
    </row>
    <row r="262" spans="2:14" x14ac:dyDescent="0.3">
      <c r="B262" s="10"/>
      <c r="D262" s="10"/>
      <c r="G262" t="str">
        <f>IFERROR(IF(SUMIF(المشتريات!C:C, 'حركة المخزن'!B262, المشتريات!F:F)=0,"",SUMIF(المشتريات!C:C, 'حركة المخزن'!B262, المشتريات!F:F)),"")</f>
        <v/>
      </c>
      <c r="H262" s="10" t="str">
        <f>IFERROR(IF(SUMIF(المشتريات!C:C, 'حركة المخزن'!B262, المشتريات!I:I)=0,"",SUMIF(المشتريات!C:C, 'حركة المخزن'!B262, المشتريات!I:I)),"")</f>
        <v/>
      </c>
      <c r="I262" s="10" t="str">
        <f>IFERROR(IF(SUMIF('تحليل مبيعات'!C:C, 'حركة المخزن'!B262, 'تحليل مبيعات'!H:H)=0,"",SUMIF('تحليل مبيعات'!C:C, 'حركة المخزن'!B262, 'تحليل مبيعات'!H:H)),"")</f>
        <v/>
      </c>
      <c r="J262" s="10" t="str">
        <f>IFERROR(IF(SUMIF('تحليل مبيعات'!C:C, 'حركة المخزن'!B262, 'تحليل مبيعات'!L:L)=0,"",SUMIF('تحليل مبيعات'!C:C, 'حركة المخزن'!B262, 'تحليل مبيعات'!L:L)),"")</f>
        <v/>
      </c>
      <c r="K262" s="10" t="str">
        <f t="shared" si="15"/>
        <v/>
      </c>
      <c r="L262" s="10" t="str">
        <f t="shared" si="16"/>
        <v/>
      </c>
      <c r="M262">
        <v>5</v>
      </c>
      <c r="N262" t="str">
        <f t="shared" si="17"/>
        <v>يوجد رصيد كافى</v>
      </c>
    </row>
    <row r="263" spans="2:14" x14ac:dyDescent="0.3">
      <c r="B263" s="10"/>
      <c r="D263" s="10"/>
      <c r="G263" t="str">
        <f>IFERROR(IF(SUMIF(المشتريات!C:C, 'حركة المخزن'!B263, المشتريات!F:F)=0,"",SUMIF(المشتريات!C:C, 'حركة المخزن'!B263, المشتريات!F:F)),"")</f>
        <v/>
      </c>
      <c r="H263" s="10" t="str">
        <f>IFERROR(IF(SUMIF(المشتريات!C:C, 'حركة المخزن'!B263, المشتريات!I:I)=0,"",SUMIF(المشتريات!C:C, 'حركة المخزن'!B263, المشتريات!I:I)),"")</f>
        <v/>
      </c>
      <c r="I263" s="10" t="str">
        <f>IFERROR(IF(SUMIF('تحليل مبيعات'!C:C, 'حركة المخزن'!B263, 'تحليل مبيعات'!H:H)=0,"",SUMIF('تحليل مبيعات'!C:C, 'حركة المخزن'!B263, 'تحليل مبيعات'!H:H)),"")</f>
        <v/>
      </c>
      <c r="J263" s="10" t="str">
        <f>IFERROR(IF(SUMIF('تحليل مبيعات'!C:C, 'حركة المخزن'!B263, 'تحليل مبيعات'!L:L)=0,"",SUMIF('تحليل مبيعات'!C:C, 'حركة المخزن'!B263, 'تحليل مبيعات'!L:L)),"")</f>
        <v/>
      </c>
      <c r="K263" s="10" t="str">
        <f t="shared" si="15"/>
        <v/>
      </c>
      <c r="L263" s="10" t="str">
        <f t="shared" si="16"/>
        <v/>
      </c>
      <c r="M263">
        <v>5</v>
      </c>
      <c r="N263" t="str">
        <f t="shared" si="17"/>
        <v>يوجد رصيد كافى</v>
      </c>
    </row>
    <row r="264" spans="2:14" x14ac:dyDescent="0.3">
      <c r="B264" s="10"/>
      <c r="D264" s="10"/>
      <c r="G264" t="str">
        <f>IFERROR(IF(SUMIF(المشتريات!C:C, 'حركة المخزن'!B264, المشتريات!F:F)=0,"",SUMIF(المشتريات!C:C, 'حركة المخزن'!B264, المشتريات!F:F)),"")</f>
        <v/>
      </c>
      <c r="H264" s="10" t="str">
        <f>IFERROR(IF(SUMIF(المشتريات!C:C, 'حركة المخزن'!B264, المشتريات!I:I)=0,"",SUMIF(المشتريات!C:C, 'حركة المخزن'!B264, المشتريات!I:I)),"")</f>
        <v/>
      </c>
      <c r="I264" s="10" t="str">
        <f>IFERROR(IF(SUMIF('تحليل مبيعات'!C:C, 'حركة المخزن'!B264, 'تحليل مبيعات'!H:H)=0,"",SUMIF('تحليل مبيعات'!C:C, 'حركة المخزن'!B264, 'تحليل مبيعات'!H:H)),"")</f>
        <v/>
      </c>
      <c r="J264" s="10" t="str">
        <f>IFERROR(IF(SUMIF('تحليل مبيعات'!C:C, 'حركة المخزن'!B264, 'تحليل مبيعات'!L:L)=0,"",SUMIF('تحليل مبيعات'!C:C, 'حركة المخزن'!B264, 'تحليل مبيعات'!L:L)),"")</f>
        <v/>
      </c>
      <c r="K264" s="10" t="str">
        <f t="shared" si="15"/>
        <v/>
      </c>
      <c r="L264" s="10" t="str">
        <f t="shared" si="16"/>
        <v/>
      </c>
      <c r="M264">
        <v>5</v>
      </c>
      <c r="N264" t="str">
        <f t="shared" si="17"/>
        <v>يوجد رصيد كافى</v>
      </c>
    </row>
    <row r="265" spans="2:14" x14ac:dyDescent="0.3">
      <c r="B265" s="10"/>
      <c r="D265" s="10"/>
      <c r="G265" t="str">
        <f>IFERROR(IF(SUMIF(المشتريات!C:C, 'حركة المخزن'!B265, المشتريات!F:F)=0,"",SUMIF(المشتريات!C:C, 'حركة المخزن'!B265, المشتريات!F:F)),"")</f>
        <v/>
      </c>
      <c r="H265" s="10" t="str">
        <f>IFERROR(IF(SUMIF(المشتريات!C:C, 'حركة المخزن'!B265, المشتريات!I:I)=0,"",SUMIF(المشتريات!C:C, 'حركة المخزن'!B265, المشتريات!I:I)),"")</f>
        <v/>
      </c>
      <c r="I265" s="10" t="str">
        <f>IFERROR(IF(SUMIF('تحليل مبيعات'!C:C, 'حركة المخزن'!B265, 'تحليل مبيعات'!H:H)=0,"",SUMIF('تحليل مبيعات'!C:C, 'حركة المخزن'!B265, 'تحليل مبيعات'!H:H)),"")</f>
        <v/>
      </c>
      <c r="J265" s="10" t="str">
        <f>IFERROR(IF(SUMIF('تحليل مبيعات'!C:C, 'حركة المخزن'!B265, 'تحليل مبيعات'!L:L)=0,"",SUMIF('تحليل مبيعات'!C:C, 'حركة المخزن'!B265, 'تحليل مبيعات'!L:L)),"")</f>
        <v/>
      </c>
      <c r="K265" s="10" t="str">
        <f t="shared" ref="K265:K328" si="18">IFERROR(E265+G265-I265,"")</f>
        <v/>
      </c>
      <c r="L265" s="10" t="str">
        <f t="shared" ref="L265:L328" si="19">IFERROR(F265+H265-J265,"")</f>
        <v/>
      </c>
      <c r="M265">
        <v>5</v>
      </c>
      <c r="N265" t="str">
        <f t="shared" ref="N265:N328" si="20">IF(K265&lt;M265,"أعادة الطلب","يوجد رصيد كافى")</f>
        <v>يوجد رصيد كافى</v>
      </c>
    </row>
    <row r="266" spans="2:14" x14ac:dyDescent="0.3">
      <c r="B266" s="10"/>
      <c r="D266" s="10"/>
      <c r="G266" t="str">
        <f>IFERROR(IF(SUMIF(المشتريات!C:C, 'حركة المخزن'!B266, المشتريات!F:F)=0,"",SUMIF(المشتريات!C:C, 'حركة المخزن'!B266, المشتريات!F:F)),"")</f>
        <v/>
      </c>
      <c r="H266" s="10" t="str">
        <f>IFERROR(IF(SUMIF(المشتريات!C:C, 'حركة المخزن'!B266, المشتريات!I:I)=0,"",SUMIF(المشتريات!C:C, 'حركة المخزن'!B266, المشتريات!I:I)),"")</f>
        <v/>
      </c>
      <c r="I266" s="10" t="str">
        <f>IFERROR(IF(SUMIF('تحليل مبيعات'!C:C, 'حركة المخزن'!B266, 'تحليل مبيعات'!H:H)=0,"",SUMIF('تحليل مبيعات'!C:C, 'حركة المخزن'!B266, 'تحليل مبيعات'!H:H)),"")</f>
        <v/>
      </c>
      <c r="J266" s="10" t="str">
        <f>IFERROR(IF(SUMIF('تحليل مبيعات'!C:C, 'حركة المخزن'!B266, 'تحليل مبيعات'!L:L)=0,"",SUMIF('تحليل مبيعات'!C:C, 'حركة المخزن'!B266, 'تحليل مبيعات'!L:L)),"")</f>
        <v/>
      </c>
      <c r="K266" s="10" t="str">
        <f t="shared" si="18"/>
        <v/>
      </c>
      <c r="L266" s="10" t="str">
        <f t="shared" si="19"/>
        <v/>
      </c>
      <c r="M266">
        <v>5</v>
      </c>
      <c r="N266" t="str">
        <f t="shared" si="20"/>
        <v>يوجد رصيد كافى</v>
      </c>
    </row>
    <row r="267" spans="2:14" x14ac:dyDescent="0.3">
      <c r="B267" s="10"/>
      <c r="D267" s="10"/>
      <c r="G267" t="str">
        <f>IFERROR(IF(SUMIF(المشتريات!C:C, 'حركة المخزن'!B267, المشتريات!F:F)=0,"",SUMIF(المشتريات!C:C, 'حركة المخزن'!B267, المشتريات!F:F)),"")</f>
        <v/>
      </c>
      <c r="H267" s="10" t="str">
        <f>IFERROR(IF(SUMIF(المشتريات!C:C, 'حركة المخزن'!B267, المشتريات!I:I)=0,"",SUMIF(المشتريات!C:C, 'حركة المخزن'!B267, المشتريات!I:I)),"")</f>
        <v/>
      </c>
      <c r="I267" s="10" t="str">
        <f>IFERROR(IF(SUMIF('تحليل مبيعات'!C:C, 'حركة المخزن'!B267, 'تحليل مبيعات'!H:H)=0,"",SUMIF('تحليل مبيعات'!C:C, 'حركة المخزن'!B267, 'تحليل مبيعات'!H:H)),"")</f>
        <v/>
      </c>
      <c r="J267" s="10" t="str">
        <f>IFERROR(IF(SUMIF('تحليل مبيعات'!C:C, 'حركة المخزن'!B267, 'تحليل مبيعات'!L:L)=0,"",SUMIF('تحليل مبيعات'!C:C, 'حركة المخزن'!B267, 'تحليل مبيعات'!L:L)),"")</f>
        <v/>
      </c>
      <c r="K267" s="10" t="str">
        <f t="shared" si="18"/>
        <v/>
      </c>
      <c r="L267" s="10" t="str">
        <f t="shared" si="19"/>
        <v/>
      </c>
      <c r="M267">
        <v>5</v>
      </c>
      <c r="N267" t="str">
        <f t="shared" si="20"/>
        <v>يوجد رصيد كافى</v>
      </c>
    </row>
    <row r="268" spans="2:14" x14ac:dyDescent="0.3">
      <c r="B268" s="10"/>
      <c r="D268" s="10"/>
      <c r="G268" t="str">
        <f>IFERROR(IF(SUMIF(المشتريات!C:C, 'حركة المخزن'!B268, المشتريات!F:F)=0,"",SUMIF(المشتريات!C:C, 'حركة المخزن'!B268, المشتريات!F:F)),"")</f>
        <v/>
      </c>
      <c r="H268" s="10" t="str">
        <f>IFERROR(IF(SUMIF(المشتريات!C:C, 'حركة المخزن'!B268, المشتريات!I:I)=0,"",SUMIF(المشتريات!C:C, 'حركة المخزن'!B268, المشتريات!I:I)),"")</f>
        <v/>
      </c>
      <c r="I268" s="10" t="str">
        <f>IFERROR(IF(SUMIF('تحليل مبيعات'!C:C, 'حركة المخزن'!B268, 'تحليل مبيعات'!H:H)=0,"",SUMIF('تحليل مبيعات'!C:C, 'حركة المخزن'!B268, 'تحليل مبيعات'!H:H)),"")</f>
        <v/>
      </c>
      <c r="J268" s="10" t="str">
        <f>IFERROR(IF(SUMIF('تحليل مبيعات'!C:C, 'حركة المخزن'!B268, 'تحليل مبيعات'!L:L)=0,"",SUMIF('تحليل مبيعات'!C:C, 'حركة المخزن'!B268, 'تحليل مبيعات'!L:L)),"")</f>
        <v/>
      </c>
      <c r="K268" s="10" t="str">
        <f t="shared" si="18"/>
        <v/>
      </c>
      <c r="L268" s="10" t="str">
        <f t="shared" si="19"/>
        <v/>
      </c>
      <c r="M268">
        <v>5</v>
      </c>
      <c r="N268" t="str">
        <f t="shared" si="20"/>
        <v>يوجد رصيد كافى</v>
      </c>
    </row>
    <row r="269" spans="2:14" x14ac:dyDescent="0.3">
      <c r="B269" s="10"/>
      <c r="D269" s="10"/>
      <c r="G269" t="str">
        <f>IFERROR(IF(SUMIF(المشتريات!C:C, 'حركة المخزن'!B269, المشتريات!F:F)=0,"",SUMIF(المشتريات!C:C, 'حركة المخزن'!B269, المشتريات!F:F)),"")</f>
        <v/>
      </c>
      <c r="H269" s="10" t="str">
        <f>IFERROR(IF(SUMIF(المشتريات!C:C, 'حركة المخزن'!B269, المشتريات!I:I)=0,"",SUMIF(المشتريات!C:C, 'حركة المخزن'!B269, المشتريات!I:I)),"")</f>
        <v/>
      </c>
      <c r="I269" s="10" t="str">
        <f>IFERROR(IF(SUMIF('تحليل مبيعات'!C:C, 'حركة المخزن'!B269, 'تحليل مبيعات'!H:H)=0,"",SUMIF('تحليل مبيعات'!C:C, 'حركة المخزن'!B269, 'تحليل مبيعات'!H:H)),"")</f>
        <v/>
      </c>
      <c r="J269" s="10" t="str">
        <f>IFERROR(IF(SUMIF('تحليل مبيعات'!C:C, 'حركة المخزن'!B269, 'تحليل مبيعات'!L:L)=0,"",SUMIF('تحليل مبيعات'!C:C, 'حركة المخزن'!B269, 'تحليل مبيعات'!L:L)),"")</f>
        <v/>
      </c>
      <c r="K269" s="10" t="str">
        <f t="shared" si="18"/>
        <v/>
      </c>
      <c r="L269" s="10" t="str">
        <f t="shared" si="19"/>
        <v/>
      </c>
      <c r="M269">
        <v>5</v>
      </c>
      <c r="N269" t="str">
        <f t="shared" si="20"/>
        <v>يوجد رصيد كافى</v>
      </c>
    </row>
    <row r="270" spans="2:14" x14ac:dyDescent="0.3">
      <c r="B270" s="10"/>
      <c r="D270" s="10"/>
      <c r="G270" t="str">
        <f>IFERROR(IF(SUMIF(المشتريات!C:C, 'حركة المخزن'!B270, المشتريات!F:F)=0,"",SUMIF(المشتريات!C:C, 'حركة المخزن'!B270, المشتريات!F:F)),"")</f>
        <v/>
      </c>
      <c r="H270" s="10" t="str">
        <f>IFERROR(IF(SUMIF(المشتريات!C:C, 'حركة المخزن'!B270, المشتريات!I:I)=0,"",SUMIF(المشتريات!C:C, 'حركة المخزن'!B270, المشتريات!I:I)),"")</f>
        <v/>
      </c>
      <c r="I270" s="10" t="str">
        <f>IFERROR(IF(SUMIF('تحليل مبيعات'!C:C, 'حركة المخزن'!B270, 'تحليل مبيعات'!H:H)=0,"",SUMIF('تحليل مبيعات'!C:C, 'حركة المخزن'!B270, 'تحليل مبيعات'!H:H)),"")</f>
        <v/>
      </c>
      <c r="J270" s="10" t="str">
        <f>IFERROR(IF(SUMIF('تحليل مبيعات'!C:C, 'حركة المخزن'!B270, 'تحليل مبيعات'!L:L)=0,"",SUMIF('تحليل مبيعات'!C:C, 'حركة المخزن'!B270, 'تحليل مبيعات'!L:L)),"")</f>
        <v/>
      </c>
      <c r="K270" s="10" t="str">
        <f t="shared" si="18"/>
        <v/>
      </c>
      <c r="L270" s="10" t="str">
        <f t="shared" si="19"/>
        <v/>
      </c>
      <c r="M270">
        <v>5</v>
      </c>
      <c r="N270" t="str">
        <f t="shared" si="20"/>
        <v>يوجد رصيد كافى</v>
      </c>
    </row>
    <row r="271" spans="2:14" x14ac:dyDescent="0.3">
      <c r="B271" s="10"/>
      <c r="D271" s="10"/>
      <c r="G271" t="str">
        <f>IFERROR(IF(SUMIF(المشتريات!C:C, 'حركة المخزن'!B271, المشتريات!F:F)=0,"",SUMIF(المشتريات!C:C, 'حركة المخزن'!B271, المشتريات!F:F)),"")</f>
        <v/>
      </c>
      <c r="H271" s="10" t="str">
        <f>IFERROR(IF(SUMIF(المشتريات!C:C, 'حركة المخزن'!B271, المشتريات!I:I)=0,"",SUMIF(المشتريات!C:C, 'حركة المخزن'!B271, المشتريات!I:I)),"")</f>
        <v/>
      </c>
      <c r="I271" s="10" t="str">
        <f>IFERROR(IF(SUMIF('تحليل مبيعات'!C:C, 'حركة المخزن'!B271, 'تحليل مبيعات'!H:H)=0,"",SUMIF('تحليل مبيعات'!C:C, 'حركة المخزن'!B271, 'تحليل مبيعات'!H:H)),"")</f>
        <v/>
      </c>
      <c r="J271" s="10" t="str">
        <f>IFERROR(IF(SUMIF('تحليل مبيعات'!C:C, 'حركة المخزن'!B271, 'تحليل مبيعات'!L:L)=0,"",SUMIF('تحليل مبيعات'!C:C, 'حركة المخزن'!B271, 'تحليل مبيعات'!L:L)),"")</f>
        <v/>
      </c>
      <c r="K271" s="10" t="str">
        <f t="shared" si="18"/>
        <v/>
      </c>
      <c r="L271" s="10" t="str">
        <f t="shared" si="19"/>
        <v/>
      </c>
      <c r="M271">
        <v>5</v>
      </c>
      <c r="N271" t="str">
        <f t="shared" si="20"/>
        <v>يوجد رصيد كافى</v>
      </c>
    </row>
    <row r="272" spans="2:14" x14ac:dyDescent="0.3">
      <c r="B272" s="10"/>
      <c r="D272" s="10"/>
      <c r="G272" t="str">
        <f>IFERROR(IF(SUMIF(المشتريات!C:C, 'حركة المخزن'!B272, المشتريات!F:F)=0,"",SUMIF(المشتريات!C:C, 'حركة المخزن'!B272, المشتريات!F:F)),"")</f>
        <v/>
      </c>
      <c r="H272" s="10" t="str">
        <f>IFERROR(IF(SUMIF(المشتريات!C:C, 'حركة المخزن'!B272, المشتريات!I:I)=0,"",SUMIF(المشتريات!C:C, 'حركة المخزن'!B272, المشتريات!I:I)),"")</f>
        <v/>
      </c>
      <c r="I272" s="10" t="str">
        <f>IFERROR(IF(SUMIF('تحليل مبيعات'!C:C, 'حركة المخزن'!B272, 'تحليل مبيعات'!H:H)=0,"",SUMIF('تحليل مبيعات'!C:C, 'حركة المخزن'!B272, 'تحليل مبيعات'!H:H)),"")</f>
        <v/>
      </c>
      <c r="J272" s="10" t="str">
        <f>IFERROR(IF(SUMIF('تحليل مبيعات'!C:C, 'حركة المخزن'!B272, 'تحليل مبيعات'!L:L)=0,"",SUMIF('تحليل مبيعات'!C:C, 'حركة المخزن'!B272, 'تحليل مبيعات'!L:L)),"")</f>
        <v/>
      </c>
      <c r="K272" s="10" t="str">
        <f t="shared" si="18"/>
        <v/>
      </c>
      <c r="L272" s="10" t="str">
        <f t="shared" si="19"/>
        <v/>
      </c>
      <c r="M272">
        <v>5</v>
      </c>
      <c r="N272" t="str">
        <f t="shared" si="20"/>
        <v>يوجد رصيد كافى</v>
      </c>
    </row>
    <row r="273" spans="2:14" x14ac:dyDescent="0.3">
      <c r="B273" s="10"/>
      <c r="D273" s="10"/>
      <c r="G273" t="str">
        <f>IFERROR(IF(SUMIF(المشتريات!C:C, 'حركة المخزن'!B273, المشتريات!F:F)=0,"",SUMIF(المشتريات!C:C, 'حركة المخزن'!B273, المشتريات!F:F)),"")</f>
        <v/>
      </c>
      <c r="H273" s="10" t="str">
        <f>IFERROR(IF(SUMIF(المشتريات!C:C, 'حركة المخزن'!B273, المشتريات!I:I)=0,"",SUMIF(المشتريات!C:C, 'حركة المخزن'!B273, المشتريات!I:I)),"")</f>
        <v/>
      </c>
      <c r="I273" s="10" t="str">
        <f>IFERROR(IF(SUMIF('تحليل مبيعات'!C:C, 'حركة المخزن'!B273, 'تحليل مبيعات'!H:H)=0,"",SUMIF('تحليل مبيعات'!C:C, 'حركة المخزن'!B273, 'تحليل مبيعات'!H:H)),"")</f>
        <v/>
      </c>
      <c r="J273" s="10" t="str">
        <f>IFERROR(IF(SUMIF('تحليل مبيعات'!C:C, 'حركة المخزن'!B273, 'تحليل مبيعات'!L:L)=0,"",SUMIF('تحليل مبيعات'!C:C, 'حركة المخزن'!B273, 'تحليل مبيعات'!L:L)),"")</f>
        <v/>
      </c>
      <c r="K273" s="10" t="str">
        <f t="shared" si="18"/>
        <v/>
      </c>
      <c r="L273" s="10" t="str">
        <f t="shared" si="19"/>
        <v/>
      </c>
      <c r="M273">
        <v>5</v>
      </c>
      <c r="N273" t="str">
        <f t="shared" si="20"/>
        <v>يوجد رصيد كافى</v>
      </c>
    </row>
    <row r="274" spans="2:14" x14ac:dyDescent="0.3">
      <c r="B274" s="10"/>
      <c r="D274" s="10"/>
      <c r="G274" t="str">
        <f>IFERROR(IF(SUMIF(المشتريات!C:C, 'حركة المخزن'!B274, المشتريات!F:F)=0,"",SUMIF(المشتريات!C:C, 'حركة المخزن'!B274, المشتريات!F:F)),"")</f>
        <v/>
      </c>
      <c r="H274" s="10" t="str">
        <f>IFERROR(IF(SUMIF(المشتريات!C:C, 'حركة المخزن'!B274, المشتريات!I:I)=0,"",SUMIF(المشتريات!C:C, 'حركة المخزن'!B274, المشتريات!I:I)),"")</f>
        <v/>
      </c>
      <c r="I274" s="10" t="str">
        <f>IFERROR(IF(SUMIF('تحليل مبيعات'!C:C, 'حركة المخزن'!B274, 'تحليل مبيعات'!H:H)=0,"",SUMIF('تحليل مبيعات'!C:C, 'حركة المخزن'!B274, 'تحليل مبيعات'!H:H)),"")</f>
        <v/>
      </c>
      <c r="J274" s="10" t="str">
        <f>IFERROR(IF(SUMIF('تحليل مبيعات'!C:C, 'حركة المخزن'!B274, 'تحليل مبيعات'!L:L)=0,"",SUMIF('تحليل مبيعات'!C:C, 'حركة المخزن'!B274, 'تحليل مبيعات'!L:L)),"")</f>
        <v/>
      </c>
      <c r="K274" s="10" t="str">
        <f t="shared" si="18"/>
        <v/>
      </c>
      <c r="L274" s="10" t="str">
        <f t="shared" si="19"/>
        <v/>
      </c>
      <c r="M274">
        <v>5</v>
      </c>
      <c r="N274" t="str">
        <f t="shared" si="20"/>
        <v>يوجد رصيد كافى</v>
      </c>
    </row>
    <row r="275" spans="2:14" x14ac:dyDescent="0.3">
      <c r="B275" s="10"/>
      <c r="D275" s="10"/>
      <c r="G275" t="str">
        <f>IFERROR(IF(SUMIF(المشتريات!C:C, 'حركة المخزن'!B275, المشتريات!F:F)=0,"",SUMIF(المشتريات!C:C, 'حركة المخزن'!B275, المشتريات!F:F)),"")</f>
        <v/>
      </c>
      <c r="H275" s="10" t="str">
        <f>IFERROR(IF(SUMIF(المشتريات!C:C, 'حركة المخزن'!B275, المشتريات!I:I)=0,"",SUMIF(المشتريات!C:C, 'حركة المخزن'!B275, المشتريات!I:I)),"")</f>
        <v/>
      </c>
      <c r="I275" s="10" t="str">
        <f>IFERROR(IF(SUMIF('تحليل مبيعات'!C:C, 'حركة المخزن'!B275, 'تحليل مبيعات'!H:H)=0,"",SUMIF('تحليل مبيعات'!C:C, 'حركة المخزن'!B275, 'تحليل مبيعات'!H:H)),"")</f>
        <v/>
      </c>
      <c r="J275" s="10" t="str">
        <f>IFERROR(IF(SUMIF('تحليل مبيعات'!C:C, 'حركة المخزن'!B275, 'تحليل مبيعات'!L:L)=0,"",SUMIF('تحليل مبيعات'!C:C, 'حركة المخزن'!B275, 'تحليل مبيعات'!L:L)),"")</f>
        <v/>
      </c>
      <c r="K275" s="10" t="str">
        <f t="shared" si="18"/>
        <v/>
      </c>
      <c r="L275" s="10" t="str">
        <f t="shared" si="19"/>
        <v/>
      </c>
      <c r="M275">
        <v>5</v>
      </c>
      <c r="N275" t="str">
        <f t="shared" si="20"/>
        <v>يوجد رصيد كافى</v>
      </c>
    </row>
    <row r="276" spans="2:14" x14ac:dyDescent="0.3">
      <c r="B276" s="10"/>
      <c r="D276" s="10"/>
      <c r="G276" t="str">
        <f>IFERROR(IF(SUMIF(المشتريات!C:C, 'حركة المخزن'!B276, المشتريات!F:F)=0,"",SUMIF(المشتريات!C:C, 'حركة المخزن'!B276, المشتريات!F:F)),"")</f>
        <v/>
      </c>
      <c r="H276" s="10" t="str">
        <f>IFERROR(IF(SUMIF(المشتريات!C:C, 'حركة المخزن'!B276, المشتريات!I:I)=0,"",SUMIF(المشتريات!C:C, 'حركة المخزن'!B276, المشتريات!I:I)),"")</f>
        <v/>
      </c>
      <c r="I276" s="10" t="str">
        <f>IFERROR(IF(SUMIF('تحليل مبيعات'!C:C, 'حركة المخزن'!B276, 'تحليل مبيعات'!H:H)=0,"",SUMIF('تحليل مبيعات'!C:C, 'حركة المخزن'!B276, 'تحليل مبيعات'!H:H)),"")</f>
        <v/>
      </c>
      <c r="J276" s="10" t="str">
        <f>IFERROR(IF(SUMIF('تحليل مبيعات'!C:C, 'حركة المخزن'!B276, 'تحليل مبيعات'!L:L)=0,"",SUMIF('تحليل مبيعات'!C:C, 'حركة المخزن'!B276, 'تحليل مبيعات'!L:L)),"")</f>
        <v/>
      </c>
      <c r="K276" s="10" t="str">
        <f t="shared" si="18"/>
        <v/>
      </c>
      <c r="L276" s="10" t="str">
        <f t="shared" si="19"/>
        <v/>
      </c>
      <c r="M276">
        <v>5</v>
      </c>
      <c r="N276" t="str">
        <f t="shared" si="20"/>
        <v>يوجد رصيد كافى</v>
      </c>
    </row>
    <row r="277" spans="2:14" x14ac:dyDescent="0.3">
      <c r="B277" s="10"/>
      <c r="D277" s="10"/>
      <c r="G277" t="str">
        <f>IFERROR(IF(SUMIF(المشتريات!C:C, 'حركة المخزن'!B277, المشتريات!F:F)=0,"",SUMIF(المشتريات!C:C, 'حركة المخزن'!B277, المشتريات!F:F)),"")</f>
        <v/>
      </c>
      <c r="H277" s="10" t="str">
        <f>IFERROR(IF(SUMIF(المشتريات!C:C, 'حركة المخزن'!B277, المشتريات!I:I)=0,"",SUMIF(المشتريات!C:C, 'حركة المخزن'!B277, المشتريات!I:I)),"")</f>
        <v/>
      </c>
      <c r="I277" s="10" t="str">
        <f>IFERROR(IF(SUMIF('تحليل مبيعات'!C:C, 'حركة المخزن'!B277, 'تحليل مبيعات'!H:H)=0,"",SUMIF('تحليل مبيعات'!C:C, 'حركة المخزن'!B277, 'تحليل مبيعات'!H:H)),"")</f>
        <v/>
      </c>
      <c r="J277" s="10" t="str">
        <f>IFERROR(IF(SUMIF('تحليل مبيعات'!C:C, 'حركة المخزن'!B277, 'تحليل مبيعات'!L:L)=0,"",SUMIF('تحليل مبيعات'!C:C, 'حركة المخزن'!B277, 'تحليل مبيعات'!L:L)),"")</f>
        <v/>
      </c>
      <c r="K277" s="10" t="str">
        <f t="shared" si="18"/>
        <v/>
      </c>
      <c r="L277" s="10" t="str">
        <f t="shared" si="19"/>
        <v/>
      </c>
      <c r="M277">
        <v>5</v>
      </c>
      <c r="N277" t="str">
        <f t="shared" si="20"/>
        <v>يوجد رصيد كافى</v>
      </c>
    </row>
    <row r="278" spans="2:14" x14ac:dyDescent="0.3">
      <c r="B278" s="10"/>
      <c r="D278" s="10"/>
      <c r="G278" t="str">
        <f>IFERROR(IF(SUMIF(المشتريات!C:C, 'حركة المخزن'!B278, المشتريات!F:F)=0,"",SUMIF(المشتريات!C:C, 'حركة المخزن'!B278, المشتريات!F:F)),"")</f>
        <v/>
      </c>
      <c r="H278" s="10" t="str">
        <f>IFERROR(IF(SUMIF(المشتريات!C:C, 'حركة المخزن'!B278, المشتريات!I:I)=0,"",SUMIF(المشتريات!C:C, 'حركة المخزن'!B278, المشتريات!I:I)),"")</f>
        <v/>
      </c>
      <c r="I278" s="10" t="str">
        <f>IFERROR(IF(SUMIF('تحليل مبيعات'!C:C, 'حركة المخزن'!B278, 'تحليل مبيعات'!H:H)=0,"",SUMIF('تحليل مبيعات'!C:C, 'حركة المخزن'!B278, 'تحليل مبيعات'!H:H)),"")</f>
        <v/>
      </c>
      <c r="J278" s="10" t="str">
        <f>IFERROR(IF(SUMIF('تحليل مبيعات'!C:C, 'حركة المخزن'!B278, 'تحليل مبيعات'!L:L)=0,"",SUMIF('تحليل مبيعات'!C:C, 'حركة المخزن'!B278, 'تحليل مبيعات'!L:L)),"")</f>
        <v/>
      </c>
      <c r="K278" s="10" t="str">
        <f t="shared" si="18"/>
        <v/>
      </c>
      <c r="L278" s="10" t="str">
        <f t="shared" si="19"/>
        <v/>
      </c>
      <c r="M278">
        <v>5</v>
      </c>
      <c r="N278" t="str">
        <f t="shared" si="20"/>
        <v>يوجد رصيد كافى</v>
      </c>
    </row>
    <row r="279" spans="2:14" x14ac:dyDescent="0.3">
      <c r="B279" s="10"/>
      <c r="D279" s="10"/>
      <c r="G279" t="str">
        <f>IFERROR(IF(SUMIF(المشتريات!C:C, 'حركة المخزن'!B279, المشتريات!F:F)=0,"",SUMIF(المشتريات!C:C, 'حركة المخزن'!B279, المشتريات!F:F)),"")</f>
        <v/>
      </c>
      <c r="H279" s="10" t="str">
        <f>IFERROR(IF(SUMIF(المشتريات!C:C, 'حركة المخزن'!B279, المشتريات!I:I)=0,"",SUMIF(المشتريات!C:C, 'حركة المخزن'!B279, المشتريات!I:I)),"")</f>
        <v/>
      </c>
      <c r="I279" s="10" t="str">
        <f>IFERROR(IF(SUMIF('تحليل مبيعات'!C:C, 'حركة المخزن'!B279, 'تحليل مبيعات'!H:H)=0,"",SUMIF('تحليل مبيعات'!C:C, 'حركة المخزن'!B279, 'تحليل مبيعات'!H:H)),"")</f>
        <v/>
      </c>
      <c r="J279" s="10" t="str">
        <f>IFERROR(IF(SUMIF('تحليل مبيعات'!C:C, 'حركة المخزن'!B279, 'تحليل مبيعات'!L:L)=0,"",SUMIF('تحليل مبيعات'!C:C, 'حركة المخزن'!B279, 'تحليل مبيعات'!L:L)),"")</f>
        <v/>
      </c>
      <c r="K279" s="10" t="str">
        <f t="shared" si="18"/>
        <v/>
      </c>
      <c r="L279" s="10" t="str">
        <f t="shared" si="19"/>
        <v/>
      </c>
      <c r="M279">
        <v>5</v>
      </c>
      <c r="N279" t="str">
        <f t="shared" si="20"/>
        <v>يوجد رصيد كافى</v>
      </c>
    </row>
    <row r="280" spans="2:14" x14ac:dyDescent="0.3">
      <c r="B280" s="10"/>
      <c r="D280" s="10"/>
      <c r="G280" t="str">
        <f>IFERROR(IF(SUMIF(المشتريات!C:C, 'حركة المخزن'!B280, المشتريات!F:F)=0,"",SUMIF(المشتريات!C:C, 'حركة المخزن'!B280, المشتريات!F:F)),"")</f>
        <v/>
      </c>
      <c r="H280" s="10" t="str">
        <f>IFERROR(IF(SUMIF(المشتريات!C:C, 'حركة المخزن'!B280, المشتريات!I:I)=0,"",SUMIF(المشتريات!C:C, 'حركة المخزن'!B280, المشتريات!I:I)),"")</f>
        <v/>
      </c>
      <c r="I280" s="10" t="str">
        <f>IFERROR(IF(SUMIF('تحليل مبيعات'!C:C, 'حركة المخزن'!B280, 'تحليل مبيعات'!H:H)=0,"",SUMIF('تحليل مبيعات'!C:C, 'حركة المخزن'!B280, 'تحليل مبيعات'!H:H)),"")</f>
        <v/>
      </c>
      <c r="J280" s="10" t="str">
        <f>IFERROR(IF(SUMIF('تحليل مبيعات'!C:C, 'حركة المخزن'!B280, 'تحليل مبيعات'!L:L)=0,"",SUMIF('تحليل مبيعات'!C:C, 'حركة المخزن'!B280, 'تحليل مبيعات'!L:L)),"")</f>
        <v/>
      </c>
      <c r="K280" s="10" t="str">
        <f t="shared" si="18"/>
        <v/>
      </c>
      <c r="L280" s="10" t="str">
        <f t="shared" si="19"/>
        <v/>
      </c>
      <c r="M280">
        <v>5</v>
      </c>
      <c r="N280" t="str">
        <f t="shared" si="20"/>
        <v>يوجد رصيد كافى</v>
      </c>
    </row>
    <row r="281" spans="2:14" x14ac:dyDescent="0.3">
      <c r="B281" s="10"/>
      <c r="D281" s="10"/>
      <c r="G281" t="str">
        <f>IFERROR(IF(SUMIF(المشتريات!C:C, 'حركة المخزن'!B281, المشتريات!F:F)=0,"",SUMIF(المشتريات!C:C, 'حركة المخزن'!B281, المشتريات!F:F)),"")</f>
        <v/>
      </c>
      <c r="H281" s="10" t="str">
        <f>IFERROR(IF(SUMIF(المشتريات!C:C, 'حركة المخزن'!B281, المشتريات!I:I)=0,"",SUMIF(المشتريات!C:C, 'حركة المخزن'!B281, المشتريات!I:I)),"")</f>
        <v/>
      </c>
      <c r="I281" s="10" t="str">
        <f>IFERROR(IF(SUMIF('تحليل مبيعات'!C:C, 'حركة المخزن'!B281, 'تحليل مبيعات'!H:H)=0,"",SUMIF('تحليل مبيعات'!C:C, 'حركة المخزن'!B281, 'تحليل مبيعات'!H:H)),"")</f>
        <v/>
      </c>
      <c r="J281" s="10" t="str">
        <f>IFERROR(IF(SUMIF('تحليل مبيعات'!C:C, 'حركة المخزن'!B281, 'تحليل مبيعات'!L:L)=0,"",SUMIF('تحليل مبيعات'!C:C, 'حركة المخزن'!B281, 'تحليل مبيعات'!L:L)),"")</f>
        <v/>
      </c>
      <c r="K281" s="10" t="str">
        <f t="shared" si="18"/>
        <v/>
      </c>
      <c r="L281" s="10" t="str">
        <f t="shared" si="19"/>
        <v/>
      </c>
      <c r="M281">
        <v>5</v>
      </c>
      <c r="N281" t="str">
        <f t="shared" si="20"/>
        <v>يوجد رصيد كافى</v>
      </c>
    </row>
    <row r="282" spans="2:14" x14ac:dyDescent="0.3">
      <c r="B282" s="10"/>
      <c r="D282" s="10"/>
      <c r="G282" t="str">
        <f>IFERROR(IF(SUMIF(المشتريات!C:C, 'حركة المخزن'!B282, المشتريات!F:F)=0,"",SUMIF(المشتريات!C:C, 'حركة المخزن'!B282, المشتريات!F:F)),"")</f>
        <v/>
      </c>
      <c r="H282" s="10" t="str">
        <f>IFERROR(IF(SUMIF(المشتريات!C:C, 'حركة المخزن'!B282, المشتريات!I:I)=0,"",SUMIF(المشتريات!C:C, 'حركة المخزن'!B282, المشتريات!I:I)),"")</f>
        <v/>
      </c>
      <c r="I282" s="10" t="str">
        <f>IFERROR(IF(SUMIF('تحليل مبيعات'!C:C, 'حركة المخزن'!B282, 'تحليل مبيعات'!H:H)=0,"",SUMIF('تحليل مبيعات'!C:C, 'حركة المخزن'!B282, 'تحليل مبيعات'!H:H)),"")</f>
        <v/>
      </c>
      <c r="J282" s="10" t="str">
        <f>IFERROR(IF(SUMIF('تحليل مبيعات'!C:C, 'حركة المخزن'!B282, 'تحليل مبيعات'!L:L)=0,"",SUMIF('تحليل مبيعات'!C:C, 'حركة المخزن'!B282, 'تحليل مبيعات'!L:L)),"")</f>
        <v/>
      </c>
      <c r="K282" s="10" t="str">
        <f t="shared" si="18"/>
        <v/>
      </c>
      <c r="L282" s="10" t="str">
        <f t="shared" si="19"/>
        <v/>
      </c>
      <c r="M282">
        <v>5</v>
      </c>
      <c r="N282" t="str">
        <f t="shared" si="20"/>
        <v>يوجد رصيد كافى</v>
      </c>
    </row>
    <row r="283" spans="2:14" x14ac:dyDescent="0.3">
      <c r="B283" s="10"/>
      <c r="D283" s="10"/>
      <c r="G283" t="str">
        <f>IFERROR(IF(SUMIF(المشتريات!C:C, 'حركة المخزن'!B283, المشتريات!F:F)=0,"",SUMIF(المشتريات!C:C, 'حركة المخزن'!B283, المشتريات!F:F)),"")</f>
        <v/>
      </c>
      <c r="H283" s="10" t="str">
        <f>IFERROR(IF(SUMIF(المشتريات!C:C, 'حركة المخزن'!B283, المشتريات!I:I)=0,"",SUMIF(المشتريات!C:C, 'حركة المخزن'!B283, المشتريات!I:I)),"")</f>
        <v/>
      </c>
      <c r="I283" s="10" t="str">
        <f>IFERROR(IF(SUMIF('تحليل مبيعات'!C:C, 'حركة المخزن'!B283, 'تحليل مبيعات'!H:H)=0,"",SUMIF('تحليل مبيعات'!C:C, 'حركة المخزن'!B283, 'تحليل مبيعات'!H:H)),"")</f>
        <v/>
      </c>
      <c r="J283" s="10" t="str">
        <f>IFERROR(IF(SUMIF('تحليل مبيعات'!C:C, 'حركة المخزن'!B283, 'تحليل مبيعات'!L:L)=0,"",SUMIF('تحليل مبيعات'!C:C, 'حركة المخزن'!B283, 'تحليل مبيعات'!L:L)),"")</f>
        <v/>
      </c>
      <c r="K283" s="10" t="str">
        <f t="shared" si="18"/>
        <v/>
      </c>
      <c r="L283" s="10" t="str">
        <f t="shared" si="19"/>
        <v/>
      </c>
      <c r="M283">
        <v>5</v>
      </c>
      <c r="N283" t="str">
        <f t="shared" si="20"/>
        <v>يوجد رصيد كافى</v>
      </c>
    </row>
    <row r="284" spans="2:14" x14ac:dyDescent="0.3">
      <c r="B284" s="10"/>
      <c r="D284" s="10"/>
      <c r="G284" t="str">
        <f>IFERROR(IF(SUMIF(المشتريات!C:C, 'حركة المخزن'!B284, المشتريات!F:F)=0,"",SUMIF(المشتريات!C:C, 'حركة المخزن'!B284, المشتريات!F:F)),"")</f>
        <v/>
      </c>
      <c r="H284" s="10" t="str">
        <f>IFERROR(IF(SUMIF(المشتريات!C:C, 'حركة المخزن'!B284, المشتريات!I:I)=0,"",SUMIF(المشتريات!C:C, 'حركة المخزن'!B284, المشتريات!I:I)),"")</f>
        <v/>
      </c>
      <c r="I284" s="10" t="str">
        <f>IFERROR(IF(SUMIF('تحليل مبيعات'!C:C, 'حركة المخزن'!B284, 'تحليل مبيعات'!H:H)=0,"",SUMIF('تحليل مبيعات'!C:C, 'حركة المخزن'!B284, 'تحليل مبيعات'!H:H)),"")</f>
        <v/>
      </c>
      <c r="J284" s="10" t="str">
        <f>IFERROR(IF(SUMIF('تحليل مبيعات'!C:C, 'حركة المخزن'!B284, 'تحليل مبيعات'!L:L)=0,"",SUMIF('تحليل مبيعات'!C:C, 'حركة المخزن'!B284, 'تحليل مبيعات'!L:L)),"")</f>
        <v/>
      </c>
      <c r="K284" s="10" t="str">
        <f t="shared" si="18"/>
        <v/>
      </c>
      <c r="L284" s="10" t="str">
        <f t="shared" si="19"/>
        <v/>
      </c>
      <c r="M284">
        <v>5</v>
      </c>
      <c r="N284" t="str">
        <f t="shared" si="20"/>
        <v>يوجد رصيد كافى</v>
      </c>
    </row>
    <row r="285" spans="2:14" x14ac:dyDescent="0.3">
      <c r="B285" s="10"/>
      <c r="D285" s="10"/>
      <c r="G285" t="str">
        <f>IFERROR(IF(SUMIF(المشتريات!C:C, 'حركة المخزن'!B285, المشتريات!F:F)=0,"",SUMIF(المشتريات!C:C, 'حركة المخزن'!B285, المشتريات!F:F)),"")</f>
        <v/>
      </c>
      <c r="H285" s="10" t="str">
        <f>IFERROR(IF(SUMIF(المشتريات!C:C, 'حركة المخزن'!B285, المشتريات!I:I)=0,"",SUMIF(المشتريات!C:C, 'حركة المخزن'!B285, المشتريات!I:I)),"")</f>
        <v/>
      </c>
      <c r="I285" s="10" t="str">
        <f>IFERROR(IF(SUMIF('تحليل مبيعات'!C:C, 'حركة المخزن'!B285, 'تحليل مبيعات'!H:H)=0,"",SUMIF('تحليل مبيعات'!C:C, 'حركة المخزن'!B285, 'تحليل مبيعات'!H:H)),"")</f>
        <v/>
      </c>
      <c r="J285" s="10" t="str">
        <f>IFERROR(IF(SUMIF('تحليل مبيعات'!C:C, 'حركة المخزن'!B285, 'تحليل مبيعات'!L:L)=0,"",SUMIF('تحليل مبيعات'!C:C, 'حركة المخزن'!B285, 'تحليل مبيعات'!L:L)),"")</f>
        <v/>
      </c>
      <c r="K285" s="10" t="str">
        <f t="shared" si="18"/>
        <v/>
      </c>
      <c r="L285" s="10" t="str">
        <f t="shared" si="19"/>
        <v/>
      </c>
      <c r="M285">
        <v>5</v>
      </c>
      <c r="N285" t="str">
        <f t="shared" si="20"/>
        <v>يوجد رصيد كافى</v>
      </c>
    </row>
    <row r="286" spans="2:14" x14ac:dyDescent="0.3">
      <c r="B286" s="10"/>
      <c r="D286" s="10"/>
      <c r="G286" t="str">
        <f>IFERROR(IF(SUMIF(المشتريات!C:C, 'حركة المخزن'!B286, المشتريات!F:F)=0,"",SUMIF(المشتريات!C:C, 'حركة المخزن'!B286, المشتريات!F:F)),"")</f>
        <v/>
      </c>
      <c r="H286" s="10" t="str">
        <f>IFERROR(IF(SUMIF(المشتريات!C:C, 'حركة المخزن'!B286, المشتريات!I:I)=0,"",SUMIF(المشتريات!C:C, 'حركة المخزن'!B286, المشتريات!I:I)),"")</f>
        <v/>
      </c>
      <c r="I286" s="10" t="str">
        <f>IFERROR(IF(SUMIF('تحليل مبيعات'!C:C, 'حركة المخزن'!B286, 'تحليل مبيعات'!H:H)=0,"",SUMIF('تحليل مبيعات'!C:C, 'حركة المخزن'!B286, 'تحليل مبيعات'!H:H)),"")</f>
        <v/>
      </c>
      <c r="J286" s="10" t="str">
        <f>IFERROR(IF(SUMIF('تحليل مبيعات'!C:C, 'حركة المخزن'!B286, 'تحليل مبيعات'!L:L)=0,"",SUMIF('تحليل مبيعات'!C:C, 'حركة المخزن'!B286, 'تحليل مبيعات'!L:L)),"")</f>
        <v/>
      </c>
      <c r="K286" s="10" t="str">
        <f t="shared" si="18"/>
        <v/>
      </c>
      <c r="L286" s="10" t="str">
        <f t="shared" si="19"/>
        <v/>
      </c>
      <c r="M286">
        <v>5</v>
      </c>
      <c r="N286" t="str">
        <f t="shared" si="20"/>
        <v>يوجد رصيد كافى</v>
      </c>
    </row>
    <row r="287" spans="2:14" x14ac:dyDescent="0.3">
      <c r="B287" s="10"/>
      <c r="D287" s="10"/>
      <c r="G287" t="str">
        <f>IFERROR(IF(SUMIF(المشتريات!C:C, 'حركة المخزن'!B287, المشتريات!F:F)=0,"",SUMIF(المشتريات!C:C, 'حركة المخزن'!B287, المشتريات!F:F)),"")</f>
        <v/>
      </c>
      <c r="H287" s="10" t="str">
        <f>IFERROR(IF(SUMIF(المشتريات!C:C, 'حركة المخزن'!B287, المشتريات!I:I)=0,"",SUMIF(المشتريات!C:C, 'حركة المخزن'!B287, المشتريات!I:I)),"")</f>
        <v/>
      </c>
      <c r="I287" s="10" t="str">
        <f>IFERROR(IF(SUMIF('تحليل مبيعات'!C:C, 'حركة المخزن'!B287, 'تحليل مبيعات'!H:H)=0,"",SUMIF('تحليل مبيعات'!C:C, 'حركة المخزن'!B287, 'تحليل مبيعات'!H:H)),"")</f>
        <v/>
      </c>
      <c r="J287" s="10" t="str">
        <f>IFERROR(IF(SUMIF('تحليل مبيعات'!C:C, 'حركة المخزن'!B287, 'تحليل مبيعات'!L:L)=0,"",SUMIF('تحليل مبيعات'!C:C, 'حركة المخزن'!B287, 'تحليل مبيعات'!L:L)),"")</f>
        <v/>
      </c>
      <c r="K287" s="10" t="str">
        <f t="shared" si="18"/>
        <v/>
      </c>
      <c r="L287" s="10" t="str">
        <f t="shared" si="19"/>
        <v/>
      </c>
      <c r="M287">
        <v>5</v>
      </c>
      <c r="N287" t="str">
        <f t="shared" si="20"/>
        <v>يوجد رصيد كافى</v>
      </c>
    </row>
    <row r="288" spans="2:14" x14ac:dyDescent="0.3">
      <c r="B288" s="10"/>
      <c r="D288" s="10"/>
      <c r="G288" t="str">
        <f>IFERROR(IF(SUMIF(المشتريات!C:C, 'حركة المخزن'!B288, المشتريات!F:F)=0,"",SUMIF(المشتريات!C:C, 'حركة المخزن'!B288, المشتريات!F:F)),"")</f>
        <v/>
      </c>
      <c r="H288" s="10" t="str">
        <f>IFERROR(IF(SUMIF(المشتريات!C:C, 'حركة المخزن'!B288, المشتريات!I:I)=0,"",SUMIF(المشتريات!C:C, 'حركة المخزن'!B288, المشتريات!I:I)),"")</f>
        <v/>
      </c>
      <c r="I288" s="10" t="str">
        <f>IFERROR(IF(SUMIF('تحليل مبيعات'!C:C, 'حركة المخزن'!B288, 'تحليل مبيعات'!H:H)=0,"",SUMIF('تحليل مبيعات'!C:C, 'حركة المخزن'!B288, 'تحليل مبيعات'!H:H)),"")</f>
        <v/>
      </c>
      <c r="J288" s="10" t="str">
        <f>IFERROR(IF(SUMIF('تحليل مبيعات'!C:C, 'حركة المخزن'!B288, 'تحليل مبيعات'!L:L)=0,"",SUMIF('تحليل مبيعات'!C:C, 'حركة المخزن'!B288, 'تحليل مبيعات'!L:L)),"")</f>
        <v/>
      </c>
      <c r="K288" s="10" t="str">
        <f t="shared" si="18"/>
        <v/>
      </c>
      <c r="L288" s="10" t="str">
        <f t="shared" si="19"/>
        <v/>
      </c>
      <c r="M288">
        <v>5</v>
      </c>
      <c r="N288" t="str">
        <f t="shared" si="20"/>
        <v>يوجد رصيد كافى</v>
      </c>
    </row>
    <row r="289" spans="2:14" x14ac:dyDescent="0.3">
      <c r="B289" s="10"/>
      <c r="D289" s="10"/>
      <c r="G289" t="str">
        <f>IFERROR(IF(SUMIF(المشتريات!C:C, 'حركة المخزن'!B289, المشتريات!F:F)=0,"",SUMIF(المشتريات!C:C, 'حركة المخزن'!B289, المشتريات!F:F)),"")</f>
        <v/>
      </c>
      <c r="H289" s="10" t="str">
        <f>IFERROR(IF(SUMIF(المشتريات!C:C, 'حركة المخزن'!B289, المشتريات!I:I)=0,"",SUMIF(المشتريات!C:C, 'حركة المخزن'!B289, المشتريات!I:I)),"")</f>
        <v/>
      </c>
      <c r="I289" s="10" t="str">
        <f>IFERROR(IF(SUMIF('تحليل مبيعات'!C:C, 'حركة المخزن'!B289, 'تحليل مبيعات'!H:H)=0,"",SUMIF('تحليل مبيعات'!C:C, 'حركة المخزن'!B289, 'تحليل مبيعات'!H:H)),"")</f>
        <v/>
      </c>
      <c r="J289" s="10" t="str">
        <f>IFERROR(IF(SUMIF('تحليل مبيعات'!C:C, 'حركة المخزن'!B289, 'تحليل مبيعات'!L:L)=0,"",SUMIF('تحليل مبيعات'!C:C, 'حركة المخزن'!B289, 'تحليل مبيعات'!L:L)),"")</f>
        <v/>
      </c>
      <c r="K289" s="10" t="str">
        <f t="shared" si="18"/>
        <v/>
      </c>
      <c r="L289" s="10" t="str">
        <f t="shared" si="19"/>
        <v/>
      </c>
      <c r="M289">
        <v>5</v>
      </c>
      <c r="N289" t="str">
        <f t="shared" si="20"/>
        <v>يوجد رصيد كافى</v>
      </c>
    </row>
    <row r="290" spans="2:14" x14ac:dyDescent="0.3">
      <c r="B290" s="10"/>
      <c r="D290" s="10"/>
      <c r="G290" t="str">
        <f>IFERROR(IF(SUMIF(المشتريات!C:C, 'حركة المخزن'!B290, المشتريات!F:F)=0,"",SUMIF(المشتريات!C:C, 'حركة المخزن'!B290, المشتريات!F:F)),"")</f>
        <v/>
      </c>
      <c r="H290" s="10" t="str">
        <f>IFERROR(IF(SUMIF(المشتريات!C:C, 'حركة المخزن'!B290, المشتريات!I:I)=0,"",SUMIF(المشتريات!C:C, 'حركة المخزن'!B290, المشتريات!I:I)),"")</f>
        <v/>
      </c>
      <c r="I290" s="10" t="str">
        <f>IFERROR(IF(SUMIF('تحليل مبيعات'!C:C, 'حركة المخزن'!B290, 'تحليل مبيعات'!H:H)=0,"",SUMIF('تحليل مبيعات'!C:C, 'حركة المخزن'!B290, 'تحليل مبيعات'!H:H)),"")</f>
        <v/>
      </c>
      <c r="J290" s="10" t="str">
        <f>IFERROR(IF(SUMIF('تحليل مبيعات'!C:C, 'حركة المخزن'!B290, 'تحليل مبيعات'!L:L)=0,"",SUMIF('تحليل مبيعات'!C:C, 'حركة المخزن'!B290, 'تحليل مبيعات'!L:L)),"")</f>
        <v/>
      </c>
      <c r="K290" s="10" t="str">
        <f t="shared" si="18"/>
        <v/>
      </c>
      <c r="L290" s="10" t="str">
        <f t="shared" si="19"/>
        <v/>
      </c>
      <c r="M290">
        <v>5</v>
      </c>
      <c r="N290" t="str">
        <f t="shared" si="20"/>
        <v>يوجد رصيد كافى</v>
      </c>
    </row>
    <row r="291" spans="2:14" x14ac:dyDescent="0.3">
      <c r="B291" s="10"/>
      <c r="D291" s="10"/>
      <c r="G291" t="str">
        <f>IFERROR(IF(SUMIF(المشتريات!C:C, 'حركة المخزن'!B291, المشتريات!F:F)=0,"",SUMIF(المشتريات!C:C, 'حركة المخزن'!B291, المشتريات!F:F)),"")</f>
        <v/>
      </c>
      <c r="H291" s="10" t="str">
        <f>IFERROR(IF(SUMIF(المشتريات!C:C, 'حركة المخزن'!B291, المشتريات!I:I)=0,"",SUMIF(المشتريات!C:C, 'حركة المخزن'!B291, المشتريات!I:I)),"")</f>
        <v/>
      </c>
      <c r="I291" s="10" t="str">
        <f>IFERROR(IF(SUMIF('تحليل مبيعات'!C:C, 'حركة المخزن'!B291, 'تحليل مبيعات'!H:H)=0,"",SUMIF('تحليل مبيعات'!C:C, 'حركة المخزن'!B291, 'تحليل مبيعات'!H:H)),"")</f>
        <v/>
      </c>
      <c r="J291" s="10" t="str">
        <f>IFERROR(IF(SUMIF('تحليل مبيعات'!C:C, 'حركة المخزن'!B291, 'تحليل مبيعات'!L:L)=0,"",SUMIF('تحليل مبيعات'!C:C, 'حركة المخزن'!B291, 'تحليل مبيعات'!L:L)),"")</f>
        <v/>
      </c>
      <c r="K291" s="10" t="str">
        <f t="shared" si="18"/>
        <v/>
      </c>
      <c r="L291" s="10" t="str">
        <f t="shared" si="19"/>
        <v/>
      </c>
      <c r="M291">
        <v>5</v>
      </c>
      <c r="N291" t="str">
        <f t="shared" si="20"/>
        <v>يوجد رصيد كافى</v>
      </c>
    </row>
    <row r="292" spans="2:14" x14ac:dyDescent="0.3">
      <c r="B292" s="10"/>
      <c r="D292" s="10"/>
      <c r="G292" t="str">
        <f>IFERROR(IF(SUMIF(المشتريات!C:C, 'حركة المخزن'!B292, المشتريات!F:F)=0,"",SUMIF(المشتريات!C:C, 'حركة المخزن'!B292, المشتريات!F:F)),"")</f>
        <v/>
      </c>
      <c r="H292" s="10" t="str">
        <f>IFERROR(IF(SUMIF(المشتريات!C:C, 'حركة المخزن'!B292, المشتريات!I:I)=0,"",SUMIF(المشتريات!C:C, 'حركة المخزن'!B292, المشتريات!I:I)),"")</f>
        <v/>
      </c>
      <c r="I292" s="10" t="str">
        <f>IFERROR(IF(SUMIF('تحليل مبيعات'!C:C, 'حركة المخزن'!B292, 'تحليل مبيعات'!H:H)=0,"",SUMIF('تحليل مبيعات'!C:C, 'حركة المخزن'!B292, 'تحليل مبيعات'!H:H)),"")</f>
        <v/>
      </c>
      <c r="J292" s="10" t="str">
        <f>IFERROR(IF(SUMIF('تحليل مبيعات'!C:C, 'حركة المخزن'!B292, 'تحليل مبيعات'!L:L)=0,"",SUMIF('تحليل مبيعات'!C:C, 'حركة المخزن'!B292, 'تحليل مبيعات'!L:L)),"")</f>
        <v/>
      </c>
      <c r="K292" s="10" t="str">
        <f t="shared" si="18"/>
        <v/>
      </c>
      <c r="L292" s="10" t="str">
        <f t="shared" si="19"/>
        <v/>
      </c>
      <c r="M292">
        <v>5</v>
      </c>
      <c r="N292" t="str">
        <f t="shared" si="20"/>
        <v>يوجد رصيد كافى</v>
      </c>
    </row>
    <row r="293" spans="2:14" x14ac:dyDescent="0.3">
      <c r="B293" s="10"/>
      <c r="D293" s="10"/>
      <c r="G293" t="str">
        <f>IFERROR(IF(SUMIF(المشتريات!C:C, 'حركة المخزن'!B293, المشتريات!F:F)=0,"",SUMIF(المشتريات!C:C, 'حركة المخزن'!B293, المشتريات!F:F)),"")</f>
        <v/>
      </c>
      <c r="H293" s="10" t="str">
        <f>IFERROR(IF(SUMIF(المشتريات!C:C, 'حركة المخزن'!B293, المشتريات!I:I)=0,"",SUMIF(المشتريات!C:C, 'حركة المخزن'!B293, المشتريات!I:I)),"")</f>
        <v/>
      </c>
      <c r="I293" s="10" t="str">
        <f>IFERROR(IF(SUMIF('تحليل مبيعات'!C:C, 'حركة المخزن'!B293, 'تحليل مبيعات'!H:H)=0,"",SUMIF('تحليل مبيعات'!C:C, 'حركة المخزن'!B293, 'تحليل مبيعات'!H:H)),"")</f>
        <v/>
      </c>
      <c r="J293" s="10" t="str">
        <f>IFERROR(IF(SUMIF('تحليل مبيعات'!C:C, 'حركة المخزن'!B293, 'تحليل مبيعات'!L:L)=0,"",SUMIF('تحليل مبيعات'!C:C, 'حركة المخزن'!B293, 'تحليل مبيعات'!L:L)),"")</f>
        <v/>
      </c>
      <c r="K293" s="10" t="str">
        <f t="shared" si="18"/>
        <v/>
      </c>
      <c r="L293" s="10" t="str">
        <f t="shared" si="19"/>
        <v/>
      </c>
      <c r="M293">
        <v>5</v>
      </c>
      <c r="N293" t="str">
        <f t="shared" si="20"/>
        <v>يوجد رصيد كافى</v>
      </c>
    </row>
    <row r="294" spans="2:14" x14ac:dyDescent="0.3">
      <c r="B294" s="10"/>
      <c r="D294" s="10"/>
      <c r="G294" t="str">
        <f>IFERROR(IF(SUMIF(المشتريات!C:C, 'حركة المخزن'!B294, المشتريات!F:F)=0,"",SUMIF(المشتريات!C:C, 'حركة المخزن'!B294, المشتريات!F:F)),"")</f>
        <v/>
      </c>
      <c r="H294" s="10" t="str">
        <f>IFERROR(IF(SUMIF(المشتريات!C:C, 'حركة المخزن'!B294, المشتريات!I:I)=0,"",SUMIF(المشتريات!C:C, 'حركة المخزن'!B294, المشتريات!I:I)),"")</f>
        <v/>
      </c>
      <c r="I294" s="10" t="str">
        <f>IFERROR(IF(SUMIF('تحليل مبيعات'!C:C, 'حركة المخزن'!B294, 'تحليل مبيعات'!H:H)=0,"",SUMIF('تحليل مبيعات'!C:C, 'حركة المخزن'!B294, 'تحليل مبيعات'!H:H)),"")</f>
        <v/>
      </c>
      <c r="J294" s="10" t="str">
        <f>IFERROR(IF(SUMIF('تحليل مبيعات'!C:C, 'حركة المخزن'!B294, 'تحليل مبيعات'!L:L)=0,"",SUMIF('تحليل مبيعات'!C:C, 'حركة المخزن'!B294, 'تحليل مبيعات'!L:L)),"")</f>
        <v/>
      </c>
      <c r="K294" s="10" t="str">
        <f t="shared" si="18"/>
        <v/>
      </c>
      <c r="L294" s="10" t="str">
        <f t="shared" si="19"/>
        <v/>
      </c>
      <c r="M294">
        <v>5</v>
      </c>
      <c r="N294" t="str">
        <f t="shared" si="20"/>
        <v>يوجد رصيد كافى</v>
      </c>
    </row>
    <row r="295" spans="2:14" x14ac:dyDescent="0.3">
      <c r="B295" s="10"/>
      <c r="D295" s="10"/>
      <c r="G295" t="str">
        <f>IFERROR(IF(SUMIF(المشتريات!C:C, 'حركة المخزن'!B295, المشتريات!F:F)=0,"",SUMIF(المشتريات!C:C, 'حركة المخزن'!B295, المشتريات!F:F)),"")</f>
        <v/>
      </c>
      <c r="H295" s="10" t="str">
        <f>IFERROR(IF(SUMIF(المشتريات!C:C, 'حركة المخزن'!B295, المشتريات!I:I)=0,"",SUMIF(المشتريات!C:C, 'حركة المخزن'!B295, المشتريات!I:I)),"")</f>
        <v/>
      </c>
      <c r="I295" s="10" t="str">
        <f>IFERROR(IF(SUMIF('تحليل مبيعات'!C:C, 'حركة المخزن'!B295, 'تحليل مبيعات'!H:H)=0,"",SUMIF('تحليل مبيعات'!C:C, 'حركة المخزن'!B295, 'تحليل مبيعات'!H:H)),"")</f>
        <v/>
      </c>
      <c r="J295" s="10" t="str">
        <f>IFERROR(IF(SUMIF('تحليل مبيعات'!C:C, 'حركة المخزن'!B295, 'تحليل مبيعات'!L:L)=0,"",SUMIF('تحليل مبيعات'!C:C, 'حركة المخزن'!B295, 'تحليل مبيعات'!L:L)),"")</f>
        <v/>
      </c>
      <c r="K295" s="10" t="str">
        <f t="shared" si="18"/>
        <v/>
      </c>
      <c r="L295" s="10" t="str">
        <f t="shared" si="19"/>
        <v/>
      </c>
      <c r="M295">
        <v>5</v>
      </c>
      <c r="N295" t="str">
        <f t="shared" si="20"/>
        <v>يوجد رصيد كافى</v>
      </c>
    </row>
    <row r="296" spans="2:14" x14ac:dyDescent="0.3">
      <c r="B296" s="10"/>
      <c r="D296" s="10"/>
      <c r="G296" t="str">
        <f>IFERROR(IF(SUMIF(المشتريات!C:C, 'حركة المخزن'!B296, المشتريات!F:F)=0,"",SUMIF(المشتريات!C:C, 'حركة المخزن'!B296, المشتريات!F:F)),"")</f>
        <v/>
      </c>
      <c r="H296" s="10" t="str">
        <f>IFERROR(IF(SUMIF(المشتريات!C:C, 'حركة المخزن'!B296, المشتريات!I:I)=0,"",SUMIF(المشتريات!C:C, 'حركة المخزن'!B296, المشتريات!I:I)),"")</f>
        <v/>
      </c>
      <c r="I296" s="10" t="str">
        <f>IFERROR(IF(SUMIF('تحليل مبيعات'!C:C, 'حركة المخزن'!B296, 'تحليل مبيعات'!H:H)=0,"",SUMIF('تحليل مبيعات'!C:C, 'حركة المخزن'!B296, 'تحليل مبيعات'!H:H)),"")</f>
        <v/>
      </c>
      <c r="J296" s="10" t="str">
        <f>IFERROR(IF(SUMIF('تحليل مبيعات'!C:C, 'حركة المخزن'!B296, 'تحليل مبيعات'!L:L)=0,"",SUMIF('تحليل مبيعات'!C:C, 'حركة المخزن'!B296, 'تحليل مبيعات'!L:L)),"")</f>
        <v/>
      </c>
      <c r="K296" s="10" t="str">
        <f t="shared" si="18"/>
        <v/>
      </c>
      <c r="L296" s="10" t="str">
        <f t="shared" si="19"/>
        <v/>
      </c>
      <c r="M296">
        <v>5</v>
      </c>
      <c r="N296" t="str">
        <f t="shared" si="20"/>
        <v>يوجد رصيد كافى</v>
      </c>
    </row>
    <row r="297" spans="2:14" x14ac:dyDescent="0.3">
      <c r="B297" s="10"/>
      <c r="D297" s="10"/>
      <c r="G297" t="str">
        <f>IFERROR(IF(SUMIF(المشتريات!C:C, 'حركة المخزن'!B297, المشتريات!F:F)=0,"",SUMIF(المشتريات!C:C, 'حركة المخزن'!B297, المشتريات!F:F)),"")</f>
        <v/>
      </c>
      <c r="H297" s="10" t="str">
        <f>IFERROR(IF(SUMIF(المشتريات!C:C, 'حركة المخزن'!B297, المشتريات!I:I)=0,"",SUMIF(المشتريات!C:C, 'حركة المخزن'!B297, المشتريات!I:I)),"")</f>
        <v/>
      </c>
      <c r="I297" s="10" t="str">
        <f>IFERROR(IF(SUMIF('تحليل مبيعات'!C:C, 'حركة المخزن'!B297, 'تحليل مبيعات'!H:H)=0,"",SUMIF('تحليل مبيعات'!C:C, 'حركة المخزن'!B297, 'تحليل مبيعات'!H:H)),"")</f>
        <v/>
      </c>
      <c r="J297" s="10" t="str">
        <f>IFERROR(IF(SUMIF('تحليل مبيعات'!C:C, 'حركة المخزن'!B297, 'تحليل مبيعات'!L:L)=0,"",SUMIF('تحليل مبيعات'!C:C, 'حركة المخزن'!B297, 'تحليل مبيعات'!L:L)),"")</f>
        <v/>
      </c>
      <c r="K297" s="10" t="str">
        <f t="shared" si="18"/>
        <v/>
      </c>
      <c r="L297" s="10" t="str">
        <f t="shared" si="19"/>
        <v/>
      </c>
      <c r="M297">
        <v>5</v>
      </c>
      <c r="N297" t="str">
        <f t="shared" si="20"/>
        <v>يوجد رصيد كافى</v>
      </c>
    </row>
    <row r="298" spans="2:14" x14ac:dyDescent="0.3">
      <c r="B298" s="10"/>
      <c r="D298" s="10"/>
      <c r="G298" t="str">
        <f>IFERROR(IF(SUMIF(المشتريات!C:C, 'حركة المخزن'!B298, المشتريات!F:F)=0,"",SUMIF(المشتريات!C:C, 'حركة المخزن'!B298, المشتريات!F:F)),"")</f>
        <v/>
      </c>
      <c r="H298" s="10" t="str">
        <f>IFERROR(IF(SUMIF(المشتريات!C:C, 'حركة المخزن'!B298, المشتريات!I:I)=0,"",SUMIF(المشتريات!C:C, 'حركة المخزن'!B298, المشتريات!I:I)),"")</f>
        <v/>
      </c>
      <c r="I298" s="10" t="str">
        <f>IFERROR(IF(SUMIF('تحليل مبيعات'!C:C, 'حركة المخزن'!B298, 'تحليل مبيعات'!H:H)=0,"",SUMIF('تحليل مبيعات'!C:C, 'حركة المخزن'!B298, 'تحليل مبيعات'!H:H)),"")</f>
        <v/>
      </c>
      <c r="J298" s="10" t="str">
        <f>IFERROR(IF(SUMIF('تحليل مبيعات'!C:C, 'حركة المخزن'!B298, 'تحليل مبيعات'!L:L)=0,"",SUMIF('تحليل مبيعات'!C:C, 'حركة المخزن'!B298, 'تحليل مبيعات'!L:L)),"")</f>
        <v/>
      </c>
      <c r="K298" s="10" t="str">
        <f t="shared" si="18"/>
        <v/>
      </c>
      <c r="L298" s="10" t="str">
        <f t="shared" si="19"/>
        <v/>
      </c>
      <c r="M298">
        <v>5</v>
      </c>
      <c r="N298" t="str">
        <f t="shared" si="20"/>
        <v>يوجد رصيد كافى</v>
      </c>
    </row>
    <row r="299" spans="2:14" x14ac:dyDescent="0.3">
      <c r="B299" s="10"/>
      <c r="D299" s="10"/>
      <c r="G299" t="str">
        <f>IFERROR(IF(SUMIF(المشتريات!C:C, 'حركة المخزن'!B299, المشتريات!F:F)=0,"",SUMIF(المشتريات!C:C, 'حركة المخزن'!B299, المشتريات!F:F)),"")</f>
        <v/>
      </c>
      <c r="H299" s="10" t="str">
        <f>IFERROR(IF(SUMIF(المشتريات!C:C, 'حركة المخزن'!B299, المشتريات!I:I)=0,"",SUMIF(المشتريات!C:C, 'حركة المخزن'!B299, المشتريات!I:I)),"")</f>
        <v/>
      </c>
      <c r="I299" s="10" t="str">
        <f>IFERROR(IF(SUMIF('تحليل مبيعات'!C:C, 'حركة المخزن'!B299, 'تحليل مبيعات'!H:H)=0,"",SUMIF('تحليل مبيعات'!C:C, 'حركة المخزن'!B299, 'تحليل مبيعات'!H:H)),"")</f>
        <v/>
      </c>
      <c r="J299" s="10" t="str">
        <f>IFERROR(IF(SUMIF('تحليل مبيعات'!C:C, 'حركة المخزن'!B299, 'تحليل مبيعات'!L:L)=0,"",SUMIF('تحليل مبيعات'!C:C, 'حركة المخزن'!B299, 'تحليل مبيعات'!L:L)),"")</f>
        <v/>
      </c>
      <c r="K299" s="10" t="str">
        <f t="shared" si="18"/>
        <v/>
      </c>
      <c r="L299" s="10" t="str">
        <f t="shared" si="19"/>
        <v/>
      </c>
      <c r="M299">
        <v>5</v>
      </c>
      <c r="N299" t="str">
        <f t="shared" si="20"/>
        <v>يوجد رصيد كافى</v>
      </c>
    </row>
    <row r="300" spans="2:14" x14ac:dyDescent="0.3">
      <c r="B300" s="10"/>
      <c r="D300" s="10"/>
      <c r="G300" t="str">
        <f>IFERROR(IF(SUMIF(المشتريات!C:C, 'حركة المخزن'!B300, المشتريات!F:F)=0,"",SUMIF(المشتريات!C:C, 'حركة المخزن'!B300, المشتريات!F:F)),"")</f>
        <v/>
      </c>
      <c r="H300" s="10" t="str">
        <f>IFERROR(IF(SUMIF(المشتريات!C:C, 'حركة المخزن'!B300, المشتريات!I:I)=0,"",SUMIF(المشتريات!C:C, 'حركة المخزن'!B300, المشتريات!I:I)),"")</f>
        <v/>
      </c>
      <c r="I300" s="10" t="str">
        <f>IFERROR(IF(SUMIF('تحليل مبيعات'!C:C, 'حركة المخزن'!B300, 'تحليل مبيعات'!H:H)=0,"",SUMIF('تحليل مبيعات'!C:C, 'حركة المخزن'!B300, 'تحليل مبيعات'!H:H)),"")</f>
        <v/>
      </c>
      <c r="J300" s="10" t="str">
        <f>IFERROR(IF(SUMIF('تحليل مبيعات'!C:C, 'حركة المخزن'!B300, 'تحليل مبيعات'!L:L)=0,"",SUMIF('تحليل مبيعات'!C:C, 'حركة المخزن'!B300, 'تحليل مبيعات'!L:L)),"")</f>
        <v/>
      </c>
      <c r="K300" s="10" t="str">
        <f t="shared" si="18"/>
        <v/>
      </c>
      <c r="L300" s="10" t="str">
        <f t="shared" si="19"/>
        <v/>
      </c>
      <c r="M300">
        <v>5</v>
      </c>
      <c r="N300" t="str">
        <f t="shared" si="20"/>
        <v>يوجد رصيد كافى</v>
      </c>
    </row>
    <row r="301" spans="2:14" x14ac:dyDescent="0.3">
      <c r="B301" s="10"/>
      <c r="D301" s="10"/>
      <c r="G301" t="str">
        <f>IFERROR(IF(SUMIF(المشتريات!C:C, 'حركة المخزن'!B301, المشتريات!F:F)=0,"",SUMIF(المشتريات!C:C, 'حركة المخزن'!B301, المشتريات!F:F)),"")</f>
        <v/>
      </c>
      <c r="H301" s="10" t="str">
        <f>IFERROR(IF(SUMIF(المشتريات!C:C, 'حركة المخزن'!B301, المشتريات!I:I)=0,"",SUMIF(المشتريات!C:C, 'حركة المخزن'!B301, المشتريات!I:I)),"")</f>
        <v/>
      </c>
      <c r="I301" s="10" t="str">
        <f>IFERROR(IF(SUMIF('تحليل مبيعات'!C:C, 'حركة المخزن'!B301, 'تحليل مبيعات'!H:H)=0,"",SUMIF('تحليل مبيعات'!C:C, 'حركة المخزن'!B301, 'تحليل مبيعات'!H:H)),"")</f>
        <v/>
      </c>
      <c r="J301" s="10" t="str">
        <f>IFERROR(IF(SUMIF('تحليل مبيعات'!C:C, 'حركة المخزن'!B301, 'تحليل مبيعات'!L:L)=0,"",SUMIF('تحليل مبيعات'!C:C, 'حركة المخزن'!B301, 'تحليل مبيعات'!L:L)),"")</f>
        <v/>
      </c>
      <c r="K301" s="10" t="str">
        <f t="shared" si="18"/>
        <v/>
      </c>
      <c r="L301" s="10" t="str">
        <f t="shared" si="19"/>
        <v/>
      </c>
      <c r="M301">
        <v>5</v>
      </c>
      <c r="N301" t="str">
        <f t="shared" si="20"/>
        <v>يوجد رصيد كافى</v>
      </c>
    </row>
    <row r="302" spans="2:14" x14ac:dyDescent="0.3">
      <c r="B302" s="10"/>
      <c r="D302" s="10"/>
      <c r="G302" t="str">
        <f>IFERROR(IF(SUMIF(المشتريات!C:C, 'حركة المخزن'!B302, المشتريات!F:F)=0,"",SUMIF(المشتريات!C:C, 'حركة المخزن'!B302, المشتريات!F:F)),"")</f>
        <v/>
      </c>
      <c r="H302" s="10" t="str">
        <f>IFERROR(IF(SUMIF(المشتريات!C:C, 'حركة المخزن'!B302, المشتريات!I:I)=0,"",SUMIF(المشتريات!C:C, 'حركة المخزن'!B302, المشتريات!I:I)),"")</f>
        <v/>
      </c>
      <c r="I302" s="10" t="str">
        <f>IFERROR(IF(SUMIF('تحليل مبيعات'!C:C, 'حركة المخزن'!B302, 'تحليل مبيعات'!H:H)=0,"",SUMIF('تحليل مبيعات'!C:C, 'حركة المخزن'!B302, 'تحليل مبيعات'!H:H)),"")</f>
        <v/>
      </c>
      <c r="J302" s="10" t="str">
        <f>IFERROR(IF(SUMIF('تحليل مبيعات'!C:C, 'حركة المخزن'!B302, 'تحليل مبيعات'!L:L)=0,"",SUMIF('تحليل مبيعات'!C:C, 'حركة المخزن'!B302, 'تحليل مبيعات'!L:L)),"")</f>
        <v/>
      </c>
      <c r="K302" s="10" t="str">
        <f t="shared" si="18"/>
        <v/>
      </c>
      <c r="L302" s="10" t="str">
        <f t="shared" si="19"/>
        <v/>
      </c>
      <c r="M302">
        <v>5</v>
      </c>
      <c r="N302" t="str">
        <f t="shared" si="20"/>
        <v>يوجد رصيد كافى</v>
      </c>
    </row>
    <row r="303" spans="2:14" x14ac:dyDescent="0.3">
      <c r="B303" s="10"/>
      <c r="D303" s="10"/>
      <c r="G303" t="str">
        <f>IFERROR(IF(SUMIF(المشتريات!C:C, 'حركة المخزن'!B303, المشتريات!F:F)=0,"",SUMIF(المشتريات!C:C, 'حركة المخزن'!B303, المشتريات!F:F)),"")</f>
        <v/>
      </c>
      <c r="H303" s="10" t="str">
        <f>IFERROR(IF(SUMIF(المشتريات!C:C, 'حركة المخزن'!B303, المشتريات!I:I)=0,"",SUMIF(المشتريات!C:C, 'حركة المخزن'!B303, المشتريات!I:I)),"")</f>
        <v/>
      </c>
      <c r="I303" s="10" t="str">
        <f>IFERROR(IF(SUMIF('تحليل مبيعات'!C:C, 'حركة المخزن'!B303, 'تحليل مبيعات'!H:H)=0,"",SUMIF('تحليل مبيعات'!C:C, 'حركة المخزن'!B303, 'تحليل مبيعات'!H:H)),"")</f>
        <v/>
      </c>
      <c r="J303" s="10" t="str">
        <f>IFERROR(IF(SUMIF('تحليل مبيعات'!C:C, 'حركة المخزن'!B303, 'تحليل مبيعات'!L:L)=0,"",SUMIF('تحليل مبيعات'!C:C, 'حركة المخزن'!B303, 'تحليل مبيعات'!L:L)),"")</f>
        <v/>
      </c>
      <c r="K303" s="10" t="str">
        <f t="shared" si="18"/>
        <v/>
      </c>
      <c r="L303" s="10" t="str">
        <f t="shared" si="19"/>
        <v/>
      </c>
      <c r="M303">
        <v>5</v>
      </c>
      <c r="N303" t="str">
        <f t="shared" si="20"/>
        <v>يوجد رصيد كافى</v>
      </c>
    </row>
    <row r="304" spans="2:14" x14ac:dyDescent="0.3">
      <c r="B304" s="10"/>
      <c r="D304" s="10"/>
      <c r="G304" t="str">
        <f>IFERROR(IF(SUMIF(المشتريات!C:C, 'حركة المخزن'!B304, المشتريات!F:F)=0,"",SUMIF(المشتريات!C:C, 'حركة المخزن'!B304, المشتريات!F:F)),"")</f>
        <v/>
      </c>
      <c r="H304" s="10" t="str">
        <f>IFERROR(IF(SUMIF(المشتريات!C:C, 'حركة المخزن'!B304, المشتريات!I:I)=0,"",SUMIF(المشتريات!C:C, 'حركة المخزن'!B304, المشتريات!I:I)),"")</f>
        <v/>
      </c>
      <c r="I304" s="10" t="str">
        <f>IFERROR(IF(SUMIF('تحليل مبيعات'!C:C, 'حركة المخزن'!B304, 'تحليل مبيعات'!H:H)=0,"",SUMIF('تحليل مبيعات'!C:C, 'حركة المخزن'!B304, 'تحليل مبيعات'!H:H)),"")</f>
        <v/>
      </c>
      <c r="J304" s="10" t="str">
        <f>IFERROR(IF(SUMIF('تحليل مبيعات'!C:C, 'حركة المخزن'!B304, 'تحليل مبيعات'!L:L)=0,"",SUMIF('تحليل مبيعات'!C:C, 'حركة المخزن'!B304, 'تحليل مبيعات'!L:L)),"")</f>
        <v/>
      </c>
      <c r="K304" s="10" t="str">
        <f t="shared" si="18"/>
        <v/>
      </c>
      <c r="L304" s="10" t="str">
        <f t="shared" si="19"/>
        <v/>
      </c>
      <c r="M304">
        <v>5</v>
      </c>
      <c r="N304" t="str">
        <f t="shared" si="20"/>
        <v>يوجد رصيد كافى</v>
      </c>
    </row>
    <row r="305" spans="2:14" x14ac:dyDescent="0.3">
      <c r="B305" s="10"/>
      <c r="D305" s="10"/>
      <c r="G305" t="str">
        <f>IFERROR(IF(SUMIF(المشتريات!C:C, 'حركة المخزن'!B305, المشتريات!F:F)=0,"",SUMIF(المشتريات!C:C, 'حركة المخزن'!B305, المشتريات!F:F)),"")</f>
        <v/>
      </c>
      <c r="H305" s="10" t="str">
        <f>IFERROR(IF(SUMIF(المشتريات!C:C, 'حركة المخزن'!B305, المشتريات!I:I)=0,"",SUMIF(المشتريات!C:C, 'حركة المخزن'!B305, المشتريات!I:I)),"")</f>
        <v/>
      </c>
      <c r="I305" s="10" t="str">
        <f>IFERROR(IF(SUMIF('تحليل مبيعات'!C:C, 'حركة المخزن'!B305, 'تحليل مبيعات'!H:H)=0,"",SUMIF('تحليل مبيعات'!C:C, 'حركة المخزن'!B305, 'تحليل مبيعات'!H:H)),"")</f>
        <v/>
      </c>
      <c r="J305" s="10" t="str">
        <f>IFERROR(IF(SUMIF('تحليل مبيعات'!C:C, 'حركة المخزن'!B305, 'تحليل مبيعات'!L:L)=0,"",SUMIF('تحليل مبيعات'!C:C, 'حركة المخزن'!B305, 'تحليل مبيعات'!L:L)),"")</f>
        <v/>
      </c>
      <c r="K305" s="10" t="str">
        <f t="shared" si="18"/>
        <v/>
      </c>
      <c r="L305" s="10" t="str">
        <f t="shared" si="19"/>
        <v/>
      </c>
      <c r="M305">
        <v>5</v>
      </c>
      <c r="N305" t="str">
        <f t="shared" si="20"/>
        <v>يوجد رصيد كافى</v>
      </c>
    </row>
    <row r="306" spans="2:14" x14ac:dyDescent="0.3">
      <c r="B306" s="10"/>
      <c r="D306" s="10"/>
      <c r="G306" t="str">
        <f>IFERROR(IF(SUMIF(المشتريات!C:C, 'حركة المخزن'!B306, المشتريات!F:F)=0,"",SUMIF(المشتريات!C:C, 'حركة المخزن'!B306, المشتريات!F:F)),"")</f>
        <v/>
      </c>
      <c r="H306" s="10" t="str">
        <f>IFERROR(IF(SUMIF(المشتريات!C:C, 'حركة المخزن'!B306, المشتريات!I:I)=0,"",SUMIF(المشتريات!C:C, 'حركة المخزن'!B306, المشتريات!I:I)),"")</f>
        <v/>
      </c>
      <c r="I306" s="10" t="str">
        <f>IFERROR(IF(SUMIF('تحليل مبيعات'!C:C, 'حركة المخزن'!B306, 'تحليل مبيعات'!H:H)=0,"",SUMIF('تحليل مبيعات'!C:C, 'حركة المخزن'!B306, 'تحليل مبيعات'!H:H)),"")</f>
        <v/>
      </c>
      <c r="J306" s="10" t="str">
        <f>IFERROR(IF(SUMIF('تحليل مبيعات'!C:C, 'حركة المخزن'!B306, 'تحليل مبيعات'!L:L)=0,"",SUMIF('تحليل مبيعات'!C:C, 'حركة المخزن'!B306, 'تحليل مبيعات'!L:L)),"")</f>
        <v/>
      </c>
      <c r="K306" s="10" t="str">
        <f t="shared" si="18"/>
        <v/>
      </c>
      <c r="L306" s="10" t="str">
        <f t="shared" si="19"/>
        <v/>
      </c>
      <c r="M306">
        <v>5</v>
      </c>
      <c r="N306" t="str">
        <f t="shared" si="20"/>
        <v>يوجد رصيد كافى</v>
      </c>
    </row>
    <row r="307" spans="2:14" x14ac:dyDescent="0.3">
      <c r="B307" s="10"/>
      <c r="D307" s="10"/>
      <c r="G307" t="str">
        <f>IFERROR(IF(SUMIF(المشتريات!C:C, 'حركة المخزن'!B307, المشتريات!F:F)=0,"",SUMIF(المشتريات!C:C, 'حركة المخزن'!B307, المشتريات!F:F)),"")</f>
        <v/>
      </c>
      <c r="H307" s="10" t="str">
        <f>IFERROR(IF(SUMIF(المشتريات!C:C, 'حركة المخزن'!B307, المشتريات!I:I)=0,"",SUMIF(المشتريات!C:C, 'حركة المخزن'!B307, المشتريات!I:I)),"")</f>
        <v/>
      </c>
      <c r="I307" s="10" t="str">
        <f>IFERROR(IF(SUMIF('تحليل مبيعات'!C:C, 'حركة المخزن'!B307, 'تحليل مبيعات'!H:H)=0,"",SUMIF('تحليل مبيعات'!C:C, 'حركة المخزن'!B307, 'تحليل مبيعات'!H:H)),"")</f>
        <v/>
      </c>
      <c r="J307" s="10" t="str">
        <f>IFERROR(IF(SUMIF('تحليل مبيعات'!C:C, 'حركة المخزن'!B307, 'تحليل مبيعات'!L:L)=0,"",SUMIF('تحليل مبيعات'!C:C, 'حركة المخزن'!B307, 'تحليل مبيعات'!L:L)),"")</f>
        <v/>
      </c>
      <c r="K307" s="10" t="str">
        <f t="shared" si="18"/>
        <v/>
      </c>
      <c r="L307" s="10" t="str">
        <f t="shared" si="19"/>
        <v/>
      </c>
      <c r="M307">
        <v>5</v>
      </c>
      <c r="N307" t="str">
        <f t="shared" si="20"/>
        <v>يوجد رصيد كافى</v>
      </c>
    </row>
    <row r="308" spans="2:14" x14ac:dyDescent="0.3">
      <c r="B308" s="10"/>
      <c r="D308" s="10"/>
      <c r="G308" t="str">
        <f>IFERROR(IF(SUMIF(المشتريات!C:C, 'حركة المخزن'!B308, المشتريات!F:F)=0,"",SUMIF(المشتريات!C:C, 'حركة المخزن'!B308, المشتريات!F:F)),"")</f>
        <v/>
      </c>
      <c r="H308" s="10" t="str">
        <f>IFERROR(IF(SUMIF(المشتريات!C:C, 'حركة المخزن'!B308, المشتريات!I:I)=0,"",SUMIF(المشتريات!C:C, 'حركة المخزن'!B308, المشتريات!I:I)),"")</f>
        <v/>
      </c>
      <c r="I308" s="10" t="str">
        <f>IFERROR(IF(SUMIF('تحليل مبيعات'!C:C, 'حركة المخزن'!B308, 'تحليل مبيعات'!H:H)=0,"",SUMIF('تحليل مبيعات'!C:C, 'حركة المخزن'!B308, 'تحليل مبيعات'!H:H)),"")</f>
        <v/>
      </c>
      <c r="J308" s="10" t="str">
        <f>IFERROR(IF(SUMIF('تحليل مبيعات'!C:C, 'حركة المخزن'!B308, 'تحليل مبيعات'!L:L)=0,"",SUMIF('تحليل مبيعات'!C:C, 'حركة المخزن'!B308, 'تحليل مبيعات'!L:L)),"")</f>
        <v/>
      </c>
      <c r="K308" s="10" t="str">
        <f t="shared" si="18"/>
        <v/>
      </c>
      <c r="L308" s="10" t="str">
        <f t="shared" si="19"/>
        <v/>
      </c>
      <c r="M308">
        <v>5</v>
      </c>
      <c r="N308" t="str">
        <f t="shared" si="20"/>
        <v>يوجد رصيد كافى</v>
      </c>
    </row>
    <row r="309" spans="2:14" x14ac:dyDescent="0.3">
      <c r="B309" s="10"/>
      <c r="D309" s="10"/>
      <c r="G309" t="str">
        <f>IFERROR(IF(SUMIF(المشتريات!C:C, 'حركة المخزن'!B309, المشتريات!F:F)=0,"",SUMIF(المشتريات!C:C, 'حركة المخزن'!B309, المشتريات!F:F)),"")</f>
        <v/>
      </c>
      <c r="H309" s="10" t="str">
        <f>IFERROR(IF(SUMIF(المشتريات!C:C, 'حركة المخزن'!B309, المشتريات!I:I)=0,"",SUMIF(المشتريات!C:C, 'حركة المخزن'!B309, المشتريات!I:I)),"")</f>
        <v/>
      </c>
      <c r="I309" s="10" t="str">
        <f>IFERROR(IF(SUMIF('تحليل مبيعات'!C:C, 'حركة المخزن'!B309, 'تحليل مبيعات'!H:H)=0,"",SUMIF('تحليل مبيعات'!C:C, 'حركة المخزن'!B309, 'تحليل مبيعات'!H:H)),"")</f>
        <v/>
      </c>
      <c r="J309" s="10" t="str">
        <f>IFERROR(IF(SUMIF('تحليل مبيعات'!C:C, 'حركة المخزن'!B309, 'تحليل مبيعات'!L:L)=0,"",SUMIF('تحليل مبيعات'!C:C, 'حركة المخزن'!B309, 'تحليل مبيعات'!L:L)),"")</f>
        <v/>
      </c>
      <c r="K309" s="10" t="str">
        <f t="shared" si="18"/>
        <v/>
      </c>
      <c r="L309" s="10" t="str">
        <f t="shared" si="19"/>
        <v/>
      </c>
      <c r="M309">
        <v>5</v>
      </c>
      <c r="N309" t="str">
        <f t="shared" si="20"/>
        <v>يوجد رصيد كافى</v>
      </c>
    </row>
    <row r="310" spans="2:14" x14ac:dyDescent="0.3">
      <c r="B310" s="10"/>
      <c r="D310" s="10"/>
      <c r="G310" t="str">
        <f>IFERROR(IF(SUMIF(المشتريات!C:C, 'حركة المخزن'!B310, المشتريات!F:F)=0,"",SUMIF(المشتريات!C:C, 'حركة المخزن'!B310, المشتريات!F:F)),"")</f>
        <v/>
      </c>
      <c r="H310" s="10" t="str">
        <f>IFERROR(IF(SUMIF(المشتريات!C:C, 'حركة المخزن'!B310, المشتريات!I:I)=0,"",SUMIF(المشتريات!C:C, 'حركة المخزن'!B310, المشتريات!I:I)),"")</f>
        <v/>
      </c>
      <c r="I310" s="10" t="str">
        <f>IFERROR(IF(SUMIF('تحليل مبيعات'!C:C, 'حركة المخزن'!B310, 'تحليل مبيعات'!H:H)=0,"",SUMIF('تحليل مبيعات'!C:C, 'حركة المخزن'!B310, 'تحليل مبيعات'!H:H)),"")</f>
        <v/>
      </c>
      <c r="J310" s="10" t="str">
        <f>IFERROR(IF(SUMIF('تحليل مبيعات'!C:C, 'حركة المخزن'!B310, 'تحليل مبيعات'!L:L)=0,"",SUMIF('تحليل مبيعات'!C:C, 'حركة المخزن'!B310, 'تحليل مبيعات'!L:L)),"")</f>
        <v/>
      </c>
      <c r="K310" s="10" t="str">
        <f t="shared" si="18"/>
        <v/>
      </c>
      <c r="L310" s="10" t="str">
        <f t="shared" si="19"/>
        <v/>
      </c>
      <c r="M310">
        <v>5</v>
      </c>
      <c r="N310" t="str">
        <f t="shared" si="20"/>
        <v>يوجد رصيد كافى</v>
      </c>
    </row>
    <row r="311" spans="2:14" x14ac:dyDescent="0.3">
      <c r="B311" s="10"/>
      <c r="D311" s="10"/>
      <c r="G311" t="str">
        <f>IFERROR(IF(SUMIF(المشتريات!C:C, 'حركة المخزن'!B311, المشتريات!F:F)=0,"",SUMIF(المشتريات!C:C, 'حركة المخزن'!B311, المشتريات!F:F)),"")</f>
        <v/>
      </c>
      <c r="H311" s="10" t="str">
        <f>IFERROR(IF(SUMIF(المشتريات!C:C, 'حركة المخزن'!B311, المشتريات!I:I)=0,"",SUMIF(المشتريات!C:C, 'حركة المخزن'!B311, المشتريات!I:I)),"")</f>
        <v/>
      </c>
      <c r="I311" s="10" t="str">
        <f>IFERROR(IF(SUMIF('تحليل مبيعات'!C:C, 'حركة المخزن'!B311, 'تحليل مبيعات'!H:H)=0,"",SUMIF('تحليل مبيعات'!C:C, 'حركة المخزن'!B311, 'تحليل مبيعات'!H:H)),"")</f>
        <v/>
      </c>
      <c r="J311" s="10" t="str">
        <f>IFERROR(IF(SUMIF('تحليل مبيعات'!C:C, 'حركة المخزن'!B311, 'تحليل مبيعات'!L:L)=0,"",SUMIF('تحليل مبيعات'!C:C, 'حركة المخزن'!B311, 'تحليل مبيعات'!L:L)),"")</f>
        <v/>
      </c>
      <c r="K311" s="10" t="str">
        <f t="shared" si="18"/>
        <v/>
      </c>
      <c r="L311" s="10" t="str">
        <f t="shared" si="19"/>
        <v/>
      </c>
      <c r="M311">
        <v>5</v>
      </c>
      <c r="N311" t="str">
        <f t="shared" si="20"/>
        <v>يوجد رصيد كافى</v>
      </c>
    </row>
    <row r="312" spans="2:14" x14ac:dyDescent="0.3">
      <c r="B312" s="10"/>
      <c r="D312" s="10"/>
      <c r="G312" t="str">
        <f>IFERROR(IF(SUMIF(المشتريات!C:C, 'حركة المخزن'!B312, المشتريات!F:F)=0,"",SUMIF(المشتريات!C:C, 'حركة المخزن'!B312, المشتريات!F:F)),"")</f>
        <v/>
      </c>
      <c r="H312" s="10" t="str">
        <f>IFERROR(IF(SUMIF(المشتريات!C:C, 'حركة المخزن'!B312, المشتريات!I:I)=0,"",SUMIF(المشتريات!C:C, 'حركة المخزن'!B312, المشتريات!I:I)),"")</f>
        <v/>
      </c>
      <c r="I312" s="10" t="str">
        <f>IFERROR(IF(SUMIF('تحليل مبيعات'!C:C, 'حركة المخزن'!B312, 'تحليل مبيعات'!H:H)=0,"",SUMIF('تحليل مبيعات'!C:C, 'حركة المخزن'!B312, 'تحليل مبيعات'!H:H)),"")</f>
        <v/>
      </c>
      <c r="J312" s="10" t="str">
        <f>IFERROR(IF(SUMIF('تحليل مبيعات'!C:C, 'حركة المخزن'!B312, 'تحليل مبيعات'!L:L)=0,"",SUMIF('تحليل مبيعات'!C:C, 'حركة المخزن'!B312, 'تحليل مبيعات'!L:L)),"")</f>
        <v/>
      </c>
      <c r="K312" s="10" t="str">
        <f t="shared" si="18"/>
        <v/>
      </c>
      <c r="L312" s="10" t="str">
        <f t="shared" si="19"/>
        <v/>
      </c>
      <c r="M312">
        <v>5</v>
      </c>
      <c r="N312" t="str">
        <f t="shared" si="20"/>
        <v>يوجد رصيد كافى</v>
      </c>
    </row>
    <row r="313" spans="2:14" x14ac:dyDescent="0.3">
      <c r="B313" s="10"/>
      <c r="D313" s="10"/>
      <c r="G313" t="str">
        <f>IFERROR(IF(SUMIF(المشتريات!C:C, 'حركة المخزن'!B313, المشتريات!F:F)=0,"",SUMIF(المشتريات!C:C, 'حركة المخزن'!B313, المشتريات!F:F)),"")</f>
        <v/>
      </c>
      <c r="H313" s="10" t="str">
        <f>IFERROR(IF(SUMIF(المشتريات!C:C, 'حركة المخزن'!B313, المشتريات!I:I)=0,"",SUMIF(المشتريات!C:C, 'حركة المخزن'!B313, المشتريات!I:I)),"")</f>
        <v/>
      </c>
      <c r="I313" s="10" t="str">
        <f>IFERROR(IF(SUMIF('تحليل مبيعات'!C:C, 'حركة المخزن'!B313, 'تحليل مبيعات'!H:H)=0,"",SUMIF('تحليل مبيعات'!C:C, 'حركة المخزن'!B313, 'تحليل مبيعات'!H:H)),"")</f>
        <v/>
      </c>
      <c r="J313" s="10" t="str">
        <f>IFERROR(IF(SUMIF('تحليل مبيعات'!C:C, 'حركة المخزن'!B313, 'تحليل مبيعات'!L:L)=0,"",SUMIF('تحليل مبيعات'!C:C, 'حركة المخزن'!B313, 'تحليل مبيعات'!L:L)),"")</f>
        <v/>
      </c>
      <c r="K313" s="10" t="str">
        <f t="shared" si="18"/>
        <v/>
      </c>
      <c r="L313" s="10" t="str">
        <f t="shared" si="19"/>
        <v/>
      </c>
      <c r="M313">
        <v>5</v>
      </c>
      <c r="N313" t="str">
        <f t="shared" si="20"/>
        <v>يوجد رصيد كافى</v>
      </c>
    </row>
    <row r="314" spans="2:14" x14ac:dyDescent="0.3">
      <c r="B314" s="10"/>
      <c r="D314" s="10"/>
      <c r="G314" t="str">
        <f>IFERROR(IF(SUMIF(المشتريات!C:C, 'حركة المخزن'!B314, المشتريات!F:F)=0,"",SUMIF(المشتريات!C:C, 'حركة المخزن'!B314, المشتريات!F:F)),"")</f>
        <v/>
      </c>
      <c r="H314" s="10" t="str">
        <f>IFERROR(IF(SUMIF(المشتريات!C:C, 'حركة المخزن'!B314, المشتريات!I:I)=0,"",SUMIF(المشتريات!C:C, 'حركة المخزن'!B314, المشتريات!I:I)),"")</f>
        <v/>
      </c>
      <c r="I314" s="10" t="str">
        <f>IFERROR(IF(SUMIF('تحليل مبيعات'!C:C, 'حركة المخزن'!B314, 'تحليل مبيعات'!H:H)=0,"",SUMIF('تحليل مبيعات'!C:C, 'حركة المخزن'!B314, 'تحليل مبيعات'!H:H)),"")</f>
        <v/>
      </c>
      <c r="J314" s="10" t="str">
        <f>IFERROR(IF(SUMIF('تحليل مبيعات'!C:C, 'حركة المخزن'!B314, 'تحليل مبيعات'!L:L)=0,"",SUMIF('تحليل مبيعات'!C:C, 'حركة المخزن'!B314, 'تحليل مبيعات'!L:L)),"")</f>
        <v/>
      </c>
      <c r="K314" s="10" t="str">
        <f t="shared" si="18"/>
        <v/>
      </c>
      <c r="L314" s="10" t="str">
        <f t="shared" si="19"/>
        <v/>
      </c>
      <c r="M314">
        <v>5</v>
      </c>
      <c r="N314" t="str">
        <f t="shared" si="20"/>
        <v>يوجد رصيد كافى</v>
      </c>
    </row>
    <row r="315" spans="2:14" x14ac:dyDescent="0.3">
      <c r="B315" s="10"/>
      <c r="D315" s="10"/>
      <c r="G315" t="str">
        <f>IFERROR(IF(SUMIF(المشتريات!C:C, 'حركة المخزن'!B315, المشتريات!F:F)=0,"",SUMIF(المشتريات!C:C, 'حركة المخزن'!B315, المشتريات!F:F)),"")</f>
        <v/>
      </c>
      <c r="H315" s="10" t="str">
        <f>IFERROR(IF(SUMIF(المشتريات!C:C, 'حركة المخزن'!B315, المشتريات!I:I)=0,"",SUMIF(المشتريات!C:C, 'حركة المخزن'!B315, المشتريات!I:I)),"")</f>
        <v/>
      </c>
      <c r="I315" s="10" t="str">
        <f>IFERROR(IF(SUMIF('تحليل مبيعات'!C:C, 'حركة المخزن'!B315, 'تحليل مبيعات'!H:H)=0,"",SUMIF('تحليل مبيعات'!C:C, 'حركة المخزن'!B315, 'تحليل مبيعات'!H:H)),"")</f>
        <v/>
      </c>
      <c r="J315" s="10" t="str">
        <f>IFERROR(IF(SUMIF('تحليل مبيعات'!C:C, 'حركة المخزن'!B315, 'تحليل مبيعات'!L:L)=0,"",SUMIF('تحليل مبيعات'!C:C, 'حركة المخزن'!B315, 'تحليل مبيعات'!L:L)),"")</f>
        <v/>
      </c>
      <c r="K315" s="10" t="str">
        <f t="shared" si="18"/>
        <v/>
      </c>
      <c r="L315" s="10" t="str">
        <f t="shared" si="19"/>
        <v/>
      </c>
      <c r="M315">
        <v>5</v>
      </c>
      <c r="N315" t="str">
        <f t="shared" si="20"/>
        <v>يوجد رصيد كافى</v>
      </c>
    </row>
    <row r="316" spans="2:14" x14ac:dyDescent="0.3">
      <c r="B316" s="10"/>
      <c r="D316" s="10"/>
      <c r="G316" t="str">
        <f>IFERROR(IF(SUMIF(المشتريات!C:C, 'حركة المخزن'!B316, المشتريات!F:F)=0,"",SUMIF(المشتريات!C:C, 'حركة المخزن'!B316, المشتريات!F:F)),"")</f>
        <v/>
      </c>
      <c r="H316" s="10" t="str">
        <f>IFERROR(IF(SUMIF(المشتريات!C:C, 'حركة المخزن'!B316, المشتريات!I:I)=0,"",SUMIF(المشتريات!C:C, 'حركة المخزن'!B316, المشتريات!I:I)),"")</f>
        <v/>
      </c>
      <c r="I316" s="10" t="str">
        <f>IFERROR(IF(SUMIF('تحليل مبيعات'!C:C, 'حركة المخزن'!B316, 'تحليل مبيعات'!H:H)=0,"",SUMIF('تحليل مبيعات'!C:C, 'حركة المخزن'!B316, 'تحليل مبيعات'!H:H)),"")</f>
        <v/>
      </c>
      <c r="J316" s="10" t="str">
        <f>IFERROR(IF(SUMIF('تحليل مبيعات'!C:C, 'حركة المخزن'!B316, 'تحليل مبيعات'!L:L)=0,"",SUMIF('تحليل مبيعات'!C:C, 'حركة المخزن'!B316, 'تحليل مبيعات'!L:L)),"")</f>
        <v/>
      </c>
      <c r="K316" s="10" t="str">
        <f t="shared" si="18"/>
        <v/>
      </c>
      <c r="L316" s="10" t="str">
        <f t="shared" si="19"/>
        <v/>
      </c>
      <c r="M316">
        <v>5</v>
      </c>
      <c r="N316" t="str">
        <f t="shared" si="20"/>
        <v>يوجد رصيد كافى</v>
      </c>
    </row>
    <row r="317" spans="2:14" x14ac:dyDescent="0.3">
      <c r="B317" s="10"/>
      <c r="D317" s="10"/>
      <c r="G317" t="str">
        <f>IFERROR(IF(SUMIF(المشتريات!C:C, 'حركة المخزن'!B317, المشتريات!F:F)=0,"",SUMIF(المشتريات!C:C, 'حركة المخزن'!B317, المشتريات!F:F)),"")</f>
        <v/>
      </c>
      <c r="H317" s="10" t="str">
        <f>IFERROR(IF(SUMIF(المشتريات!C:C, 'حركة المخزن'!B317, المشتريات!I:I)=0,"",SUMIF(المشتريات!C:C, 'حركة المخزن'!B317, المشتريات!I:I)),"")</f>
        <v/>
      </c>
      <c r="I317" s="10" t="str">
        <f>IFERROR(IF(SUMIF('تحليل مبيعات'!C:C, 'حركة المخزن'!B317, 'تحليل مبيعات'!H:H)=0,"",SUMIF('تحليل مبيعات'!C:C, 'حركة المخزن'!B317, 'تحليل مبيعات'!H:H)),"")</f>
        <v/>
      </c>
      <c r="J317" s="10" t="str">
        <f>IFERROR(IF(SUMIF('تحليل مبيعات'!C:C, 'حركة المخزن'!B317, 'تحليل مبيعات'!L:L)=0,"",SUMIF('تحليل مبيعات'!C:C, 'حركة المخزن'!B317, 'تحليل مبيعات'!L:L)),"")</f>
        <v/>
      </c>
      <c r="K317" s="10" t="str">
        <f t="shared" si="18"/>
        <v/>
      </c>
      <c r="L317" s="10" t="str">
        <f t="shared" si="19"/>
        <v/>
      </c>
      <c r="M317">
        <v>5</v>
      </c>
      <c r="N317" t="str">
        <f t="shared" si="20"/>
        <v>يوجد رصيد كافى</v>
      </c>
    </row>
    <row r="318" spans="2:14" x14ac:dyDescent="0.3">
      <c r="B318" s="10"/>
      <c r="D318" s="10"/>
      <c r="G318" t="str">
        <f>IFERROR(IF(SUMIF(المشتريات!C:C, 'حركة المخزن'!B318, المشتريات!F:F)=0,"",SUMIF(المشتريات!C:C, 'حركة المخزن'!B318, المشتريات!F:F)),"")</f>
        <v/>
      </c>
      <c r="H318" s="10" t="str">
        <f>IFERROR(IF(SUMIF(المشتريات!C:C, 'حركة المخزن'!B318, المشتريات!I:I)=0,"",SUMIF(المشتريات!C:C, 'حركة المخزن'!B318, المشتريات!I:I)),"")</f>
        <v/>
      </c>
      <c r="I318" s="10" t="str">
        <f>IFERROR(IF(SUMIF('تحليل مبيعات'!C:C, 'حركة المخزن'!B318, 'تحليل مبيعات'!H:H)=0,"",SUMIF('تحليل مبيعات'!C:C, 'حركة المخزن'!B318, 'تحليل مبيعات'!H:H)),"")</f>
        <v/>
      </c>
      <c r="J318" s="10" t="str">
        <f>IFERROR(IF(SUMIF('تحليل مبيعات'!C:C, 'حركة المخزن'!B318, 'تحليل مبيعات'!L:L)=0,"",SUMIF('تحليل مبيعات'!C:C, 'حركة المخزن'!B318, 'تحليل مبيعات'!L:L)),"")</f>
        <v/>
      </c>
      <c r="K318" s="10" t="str">
        <f t="shared" si="18"/>
        <v/>
      </c>
      <c r="L318" s="10" t="str">
        <f t="shared" si="19"/>
        <v/>
      </c>
      <c r="M318">
        <v>5</v>
      </c>
      <c r="N318" t="str">
        <f t="shared" si="20"/>
        <v>يوجد رصيد كافى</v>
      </c>
    </row>
    <row r="319" spans="2:14" x14ac:dyDescent="0.3">
      <c r="B319" s="10"/>
      <c r="D319" s="10"/>
      <c r="G319" t="str">
        <f>IFERROR(IF(SUMIF(المشتريات!C:C, 'حركة المخزن'!B319, المشتريات!F:F)=0,"",SUMIF(المشتريات!C:C, 'حركة المخزن'!B319, المشتريات!F:F)),"")</f>
        <v/>
      </c>
      <c r="H319" s="10" t="str">
        <f>IFERROR(IF(SUMIF(المشتريات!C:C, 'حركة المخزن'!B319, المشتريات!I:I)=0,"",SUMIF(المشتريات!C:C, 'حركة المخزن'!B319, المشتريات!I:I)),"")</f>
        <v/>
      </c>
      <c r="I319" s="10" t="str">
        <f>IFERROR(IF(SUMIF('تحليل مبيعات'!C:C, 'حركة المخزن'!B319, 'تحليل مبيعات'!H:H)=0,"",SUMIF('تحليل مبيعات'!C:C, 'حركة المخزن'!B319, 'تحليل مبيعات'!H:H)),"")</f>
        <v/>
      </c>
      <c r="J319" s="10" t="str">
        <f>IFERROR(IF(SUMIF('تحليل مبيعات'!C:C, 'حركة المخزن'!B319, 'تحليل مبيعات'!L:L)=0,"",SUMIF('تحليل مبيعات'!C:C, 'حركة المخزن'!B319, 'تحليل مبيعات'!L:L)),"")</f>
        <v/>
      </c>
      <c r="K319" s="10" t="str">
        <f t="shared" si="18"/>
        <v/>
      </c>
      <c r="L319" s="10" t="str">
        <f t="shared" si="19"/>
        <v/>
      </c>
      <c r="M319">
        <v>5</v>
      </c>
      <c r="N319" t="str">
        <f t="shared" si="20"/>
        <v>يوجد رصيد كافى</v>
      </c>
    </row>
    <row r="320" spans="2:14" x14ac:dyDescent="0.3">
      <c r="B320" s="10"/>
      <c r="D320" s="10"/>
      <c r="G320" t="str">
        <f>IFERROR(IF(SUMIF(المشتريات!C:C, 'حركة المخزن'!B320, المشتريات!F:F)=0,"",SUMIF(المشتريات!C:C, 'حركة المخزن'!B320, المشتريات!F:F)),"")</f>
        <v/>
      </c>
      <c r="H320" s="10" t="str">
        <f>IFERROR(IF(SUMIF(المشتريات!C:C, 'حركة المخزن'!B320, المشتريات!I:I)=0,"",SUMIF(المشتريات!C:C, 'حركة المخزن'!B320, المشتريات!I:I)),"")</f>
        <v/>
      </c>
      <c r="I320" s="10" t="str">
        <f>IFERROR(IF(SUMIF('تحليل مبيعات'!C:C, 'حركة المخزن'!B320, 'تحليل مبيعات'!H:H)=0,"",SUMIF('تحليل مبيعات'!C:C, 'حركة المخزن'!B320, 'تحليل مبيعات'!H:H)),"")</f>
        <v/>
      </c>
      <c r="J320" s="10" t="str">
        <f>IFERROR(IF(SUMIF('تحليل مبيعات'!C:C, 'حركة المخزن'!B320, 'تحليل مبيعات'!L:L)=0,"",SUMIF('تحليل مبيعات'!C:C, 'حركة المخزن'!B320, 'تحليل مبيعات'!L:L)),"")</f>
        <v/>
      </c>
      <c r="K320" s="10" t="str">
        <f t="shared" si="18"/>
        <v/>
      </c>
      <c r="L320" s="10" t="str">
        <f t="shared" si="19"/>
        <v/>
      </c>
      <c r="M320">
        <v>5</v>
      </c>
      <c r="N320" t="str">
        <f t="shared" si="20"/>
        <v>يوجد رصيد كافى</v>
      </c>
    </row>
    <row r="321" spans="2:14" x14ac:dyDescent="0.3">
      <c r="B321" s="10"/>
      <c r="D321" s="10"/>
      <c r="G321" t="str">
        <f>IFERROR(IF(SUMIF(المشتريات!C:C, 'حركة المخزن'!B321, المشتريات!F:F)=0,"",SUMIF(المشتريات!C:C, 'حركة المخزن'!B321, المشتريات!F:F)),"")</f>
        <v/>
      </c>
      <c r="H321" s="10" t="str">
        <f>IFERROR(IF(SUMIF(المشتريات!C:C, 'حركة المخزن'!B321, المشتريات!I:I)=0,"",SUMIF(المشتريات!C:C, 'حركة المخزن'!B321, المشتريات!I:I)),"")</f>
        <v/>
      </c>
      <c r="I321" s="10" t="str">
        <f>IFERROR(IF(SUMIF('تحليل مبيعات'!C:C, 'حركة المخزن'!B321, 'تحليل مبيعات'!H:H)=0,"",SUMIF('تحليل مبيعات'!C:C, 'حركة المخزن'!B321, 'تحليل مبيعات'!H:H)),"")</f>
        <v/>
      </c>
      <c r="J321" s="10" t="str">
        <f>IFERROR(IF(SUMIF('تحليل مبيعات'!C:C, 'حركة المخزن'!B321, 'تحليل مبيعات'!L:L)=0,"",SUMIF('تحليل مبيعات'!C:C, 'حركة المخزن'!B321, 'تحليل مبيعات'!L:L)),"")</f>
        <v/>
      </c>
      <c r="K321" s="10" t="str">
        <f t="shared" si="18"/>
        <v/>
      </c>
      <c r="L321" s="10" t="str">
        <f t="shared" si="19"/>
        <v/>
      </c>
      <c r="M321">
        <v>5</v>
      </c>
      <c r="N321" t="str">
        <f t="shared" si="20"/>
        <v>يوجد رصيد كافى</v>
      </c>
    </row>
    <row r="322" spans="2:14" x14ac:dyDescent="0.3">
      <c r="B322" s="10"/>
      <c r="D322" s="10"/>
      <c r="G322" t="str">
        <f>IFERROR(IF(SUMIF(المشتريات!C:C, 'حركة المخزن'!B322, المشتريات!F:F)=0,"",SUMIF(المشتريات!C:C, 'حركة المخزن'!B322, المشتريات!F:F)),"")</f>
        <v/>
      </c>
      <c r="H322" s="10" t="str">
        <f>IFERROR(IF(SUMIF(المشتريات!C:C, 'حركة المخزن'!B322, المشتريات!I:I)=0,"",SUMIF(المشتريات!C:C, 'حركة المخزن'!B322, المشتريات!I:I)),"")</f>
        <v/>
      </c>
      <c r="I322" s="10" t="str">
        <f>IFERROR(IF(SUMIF('تحليل مبيعات'!C:C, 'حركة المخزن'!B322, 'تحليل مبيعات'!H:H)=0,"",SUMIF('تحليل مبيعات'!C:C, 'حركة المخزن'!B322, 'تحليل مبيعات'!H:H)),"")</f>
        <v/>
      </c>
      <c r="J322" s="10" t="str">
        <f>IFERROR(IF(SUMIF('تحليل مبيعات'!C:C, 'حركة المخزن'!B322, 'تحليل مبيعات'!L:L)=0,"",SUMIF('تحليل مبيعات'!C:C, 'حركة المخزن'!B322, 'تحليل مبيعات'!L:L)),"")</f>
        <v/>
      </c>
      <c r="K322" s="10" t="str">
        <f t="shared" si="18"/>
        <v/>
      </c>
      <c r="L322" s="10" t="str">
        <f t="shared" si="19"/>
        <v/>
      </c>
      <c r="M322">
        <v>5</v>
      </c>
      <c r="N322" t="str">
        <f t="shared" si="20"/>
        <v>يوجد رصيد كافى</v>
      </c>
    </row>
    <row r="323" spans="2:14" x14ac:dyDescent="0.3">
      <c r="B323" s="10"/>
      <c r="D323" s="10"/>
      <c r="G323" t="str">
        <f>IFERROR(IF(SUMIF(المشتريات!C:C, 'حركة المخزن'!B323, المشتريات!F:F)=0,"",SUMIF(المشتريات!C:C, 'حركة المخزن'!B323, المشتريات!F:F)),"")</f>
        <v/>
      </c>
      <c r="H323" s="10" t="str">
        <f>IFERROR(IF(SUMIF(المشتريات!C:C, 'حركة المخزن'!B323, المشتريات!I:I)=0,"",SUMIF(المشتريات!C:C, 'حركة المخزن'!B323, المشتريات!I:I)),"")</f>
        <v/>
      </c>
      <c r="I323" s="10" t="str">
        <f>IFERROR(IF(SUMIF('تحليل مبيعات'!C:C, 'حركة المخزن'!B323, 'تحليل مبيعات'!H:H)=0,"",SUMIF('تحليل مبيعات'!C:C, 'حركة المخزن'!B323, 'تحليل مبيعات'!H:H)),"")</f>
        <v/>
      </c>
      <c r="J323" s="10" t="str">
        <f>IFERROR(IF(SUMIF('تحليل مبيعات'!C:C, 'حركة المخزن'!B323, 'تحليل مبيعات'!L:L)=0,"",SUMIF('تحليل مبيعات'!C:C, 'حركة المخزن'!B323, 'تحليل مبيعات'!L:L)),"")</f>
        <v/>
      </c>
      <c r="K323" s="10" t="str">
        <f t="shared" si="18"/>
        <v/>
      </c>
      <c r="L323" s="10" t="str">
        <f t="shared" si="19"/>
        <v/>
      </c>
      <c r="M323">
        <v>5</v>
      </c>
      <c r="N323" t="str">
        <f t="shared" si="20"/>
        <v>يوجد رصيد كافى</v>
      </c>
    </row>
    <row r="324" spans="2:14" x14ac:dyDescent="0.3">
      <c r="B324" s="10"/>
      <c r="D324" s="10"/>
      <c r="G324" t="str">
        <f>IFERROR(IF(SUMIF(المشتريات!C:C, 'حركة المخزن'!B324, المشتريات!F:F)=0,"",SUMIF(المشتريات!C:C, 'حركة المخزن'!B324, المشتريات!F:F)),"")</f>
        <v/>
      </c>
      <c r="H324" s="10" t="str">
        <f>IFERROR(IF(SUMIF(المشتريات!C:C, 'حركة المخزن'!B324, المشتريات!I:I)=0,"",SUMIF(المشتريات!C:C, 'حركة المخزن'!B324, المشتريات!I:I)),"")</f>
        <v/>
      </c>
      <c r="I324" s="10" t="str">
        <f>IFERROR(IF(SUMIF('تحليل مبيعات'!C:C, 'حركة المخزن'!B324, 'تحليل مبيعات'!H:H)=0,"",SUMIF('تحليل مبيعات'!C:C, 'حركة المخزن'!B324, 'تحليل مبيعات'!H:H)),"")</f>
        <v/>
      </c>
      <c r="J324" s="10" t="str">
        <f>IFERROR(IF(SUMIF('تحليل مبيعات'!C:C, 'حركة المخزن'!B324, 'تحليل مبيعات'!L:L)=0,"",SUMIF('تحليل مبيعات'!C:C, 'حركة المخزن'!B324, 'تحليل مبيعات'!L:L)),"")</f>
        <v/>
      </c>
      <c r="K324" s="10" t="str">
        <f t="shared" si="18"/>
        <v/>
      </c>
      <c r="L324" s="10" t="str">
        <f t="shared" si="19"/>
        <v/>
      </c>
      <c r="M324">
        <v>5</v>
      </c>
      <c r="N324" t="str">
        <f t="shared" si="20"/>
        <v>يوجد رصيد كافى</v>
      </c>
    </row>
    <row r="325" spans="2:14" x14ac:dyDescent="0.3">
      <c r="B325" s="10"/>
      <c r="D325" s="10"/>
      <c r="G325" t="str">
        <f>IFERROR(IF(SUMIF(المشتريات!C:C, 'حركة المخزن'!B325, المشتريات!F:F)=0,"",SUMIF(المشتريات!C:C, 'حركة المخزن'!B325, المشتريات!F:F)),"")</f>
        <v/>
      </c>
      <c r="H325" s="10" t="str">
        <f>IFERROR(IF(SUMIF(المشتريات!C:C, 'حركة المخزن'!B325, المشتريات!I:I)=0,"",SUMIF(المشتريات!C:C, 'حركة المخزن'!B325, المشتريات!I:I)),"")</f>
        <v/>
      </c>
      <c r="I325" s="10" t="str">
        <f>IFERROR(IF(SUMIF('تحليل مبيعات'!C:C, 'حركة المخزن'!B325, 'تحليل مبيعات'!H:H)=0,"",SUMIF('تحليل مبيعات'!C:C, 'حركة المخزن'!B325, 'تحليل مبيعات'!H:H)),"")</f>
        <v/>
      </c>
      <c r="J325" s="10" t="str">
        <f>IFERROR(IF(SUMIF('تحليل مبيعات'!C:C, 'حركة المخزن'!B325, 'تحليل مبيعات'!L:L)=0,"",SUMIF('تحليل مبيعات'!C:C, 'حركة المخزن'!B325, 'تحليل مبيعات'!L:L)),"")</f>
        <v/>
      </c>
      <c r="K325" s="10" t="str">
        <f t="shared" si="18"/>
        <v/>
      </c>
      <c r="L325" s="10" t="str">
        <f t="shared" si="19"/>
        <v/>
      </c>
      <c r="M325">
        <v>5</v>
      </c>
      <c r="N325" t="str">
        <f t="shared" si="20"/>
        <v>يوجد رصيد كافى</v>
      </c>
    </row>
    <row r="326" spans="2:14" x14ac:dyDescent="0.3">
      <c r="B326" s="10"/>
      <c r="D326" s="10"/>
      <c r="G326" t="str">
        <f>IFERROR(IF(SUMIF(المشتريات!C:C, 'حركة المخزن'!B326, المشتريات!F:F)=0,"",SUMIF(المشتريات!C:C, 'حركة المخزن'!B326, المشتريات!F:F)),"")</f>
        <v/>
      </c>
      <c r="H326" s="10" t="str">
        <f>IFERROR(IF(SUMIF(المشتريات!C:C, 'حركة المخزن'!B326, المشتريات!I:I)=0,"",SUMIF(المشتريات!C:C, 'حركة المخزن'!B326, المشتريات!I:I)),"")</f>
        <v/>
      </c>
      <c r="I326" s="10" t="str">
        <f>IFERROR(IF(SUMIF('تحليل مبيعات'!C:C, 'حركة المخزن'!B326, 'تحليل مبيعات'!H:H)=0,"",SUMIF('تحليل مبيعات'!C:C, 'حركة المخزن'!B326, 'تحليل مبيعات'!H:H)),"")</f>
        <v/>
      </c>
      <c r="J326" s="10" t="str">
        <f>IFERROR(IF(SUMIF('تحليل مبيعات'!C:C, 'حركة المخزن'!B326, 'تحليل مبيعات'!L:L)=0,"",SUMIF('تحليل مبيعات'!C:C, 'حركة المخزن'!B326, 'تحليل مبيعات'!L:L)),"")</f>
        <v/>
      </c>
      <c r="K326" s="10" t="str">
        <f t="shared" si="18"/>
        <v/>
      </c>
      <c r="L326" s="10" t="str">
        <f t="shared" si="19"/>
        <v/>
      </c>
      <c r="M326">
        <v>5</v>
      </c>
      <c r="N326" t="str">
        <f t="shared" si="20"/>
        <v>يوجد رصيد كافى</v>
      </c>
    </row>
    <row r="327" spans="2:14" x14ac:dyDescent="0.3">
      <c r="B327" s="10"/>
      <c r="D327" s="10"/>
      <c r="G327" t="str">
        <f>IFERROR(IF(SUMIF(المشتريات!C:C, 'حركة المخزن'!B327, المشتريات!F:F)=0,"",SUMIF(المشتريات!C:C, 'حركة المخزن'!B327, المشتريات!F:F)),"")</f>
        <v/>
      </c>
      <c r="H327" s="10" t="str">
        <f>IFERROR(IF(SUMIF(المشتريات!C:C, 'حركة المخزن'!B327, المشتريات!I:I)=0,"",SUMIF(المشتريات!C:C, 'حركة المخزن'!B327, المشتريات!I:I)),"")</f>
        <v/>
      </c>
      <c r="I327" s="10" t="str">
        <f>IFERROR(IF(SUMIF('تحليل مبيعات'!C:C, 'حركة المخزن'!B327, 'تحليل مبيعات'!H:H)=0,"",SUMIF('تحليل مبيعات'!C:C, 'حركة المخزن'!B327, 'تحليل مبيعات'!H:H)),"")</f>
        <v/>
      </c>
      <c r="J327" s="10" t="str">
        <f>IFERROR(IF(SUMIF('تحليل مبيعات'!C:C, 'حركة المخزن'!B327, 'تحليل مبيعات'!L:L)=0,"",SUMIF('تحليل مبيعات'!C:C, 'حركة المخزن'!B327, 'تحليل مبيعات'!L:L)),"")</f>
        <v/>
      </c>
      <c r="K327" s="10" t="str">
        <f t="shared" si="18"/>
        <v/>
      </c>
      <c r="L327" s="10" t="str">
        <f t="shared" si="19"/>
        <v/>
      </c>
      <c r="M327">
        <v>5</v>
      </c>
      <c r="N327" t="str">
        <f t="shared" si="20"/>
        <v>يوجد رصيد كافى</v>
      </c>
    </row>
    <row r="328" spans="2:14" x14ac:dyDescent="0.3">
      <c r="B328" s="10"/>
      <c r="D328" s="10"/>
      <c r="G328" t="str">
        <f>IFERROR(IF(SUMIF(المشتريات!C:C, 'حركة المخزن'!B328, المشتريات!F:F)=0,"",SUMIF(المشتريات!C:C, 'حركة المخزن'!B328, المشتريات!F:F)),"")</f>
        <v/>
      </c>
      <c r="H328" s="10" t="str">
        <f>IFERROR(IF(SUMIF(المشتريات!C:C, 'حركة المخزن'!B328, المشتريات!I:I)=0,"",SUMIF(المشتريات!C:C, 'حركة المخزن'!B328, المشتريات!I:I)),"")</f>
        <v/>
      </c>
      <c r="I328" s="10" t="str">
        <f>IFERROR(IF(SUMIF('تحليل مبيعات'!C:C, 'حركة المخزن'!B328, 'تحليل مبيعات'!H:H)=0,"",SUMIF('تحليل مبيعات'!C:C, 'حركة المخزن'!B328, 'تحليل مبيعات'!H:H)),"")</f>
        <v/>
      </c>
      <c r="J328" s="10" t="str">
        <f>IFERROR(IF(SUMIF('تحليل مبيعات'!C:C, 'حركة المخزن'!B328, 'تحليل مبيعات'!L:L)=0,"",SUMIF('تحليل مبيعات'!C:C, 'حركة المخزن'!B328, 'تحليل مبيعات'!L:L)),"")</f>
        <v/>
      </c>
      <c r="K328" s="10" t="str">
        <f t="shared" si="18"/>
        <v/>
      </c>
      <c r="L328" s="10" t="str">
        <f t="shared" si="19"/>
        <v/>
      </c>
      <c r="M328">
        <v>5</v>
      </c>
      <c r="N328" t="str">
        <f t="shared" si="20"/>
        <v>يوجد رصيد كافى</v>
      </c>
    </row>
    <row r="329" spans="2:14" x14ac:dyDescent="0.3">
      <c r="B329" s="10"/>
      <c r="D329" s="10"/>
      <c r="G329" t="str">
        <f>IFERROR(IF(SUMIF(المشتريات!C:C, 'حركة المخزن'!B329, المشتريات!F:F)=0,"",SUMIF(المشتريات!C:C, 'حركة المخزن'!B329, المشتريات!F:F)),"")</f>
        <v/>
      </c>
      <c r="H329" s="10" t="str">
        <f>IFERROR(IF(SUMIF(المشتريات!C:C, 'حركة المخزن'!B329, المشتريات!I:I)=0,"",SUMIF(المشتريات!C:C, 'حركة المخزن'!B329, المشتريات!I:I)),"")</f>
        <v/>
      </c>
      <c r="I329" s="10" t="str">
        <f>IFERROR(IF(SUMIF('تحليل مبيعات'!C:C, 'حركة المخزن'!B329, 'تحليل مبيعات'!H:H)=0,"",SUMIF('تحليل مبيعات'!C:C, 'حركة المخزن'!B329, 'تحليل مبيعات'!H:H)),"")</f>
        <v/>
      </c>
      <c r="J329" s="10" t="str">
        <f>IFERROR(IF(SUMIF('تحليل مبيعات'!C:C, 'حركة المخزن'!B329, 'تحليل مبيعات'!L:L)=0,"",SUMIF('تحليل مبيعات'!C:C, 'حركة المخزن'!B329, 'تحليل مبيعات'!L:L)),"")</f>
        <v/>
      </c>
      <c r="K329" s="10" t="str">
        <f t="shared" ref="K329:K392" si="21">IFERROR(E329+G329-I329,"")</f>
        <v/>
      </c>
      <c r="L329" s="10" t="str">
        <f t="shared" ref="L329:L392" si="22">IFERROR(F329+H329-J329,"")</f>
        <v/>
      </c>
      <c r="M329">
        <v>5</v>
      </c>
      <c r="N329" t="str">
        <f t="shared" ref="N329:N392" si="23">IF(K329&lt;M329,"أعادة الطلب","يوجد رصيد كافى")</f>
        <v>يوجد رصيد كافى</v>
      </c>
    </row>
    <row r="330" spans="2:14" x14ac:dyDescent="0.3">
      <c r="B330" s="10"/>
      <c r="D330" s="10"/>
      <c r="G330" t="str">
        <f>IFERROR(IF(SUMIF(المشتريات!C:C, 'حركة المخزن'!B330, المشتريات!F:F)=0,"",SUMIF(المشتريات!C:C, 'حركة المخزن'!B330, المشتريات!F:F)),"")</f>
        <v/>
      </c>
      <c r="H330" s="10" t="str">
        <f>IFERROR(IF(SUMIF(المشتريات!C:C, 'حركة المخزن'!B330, المشتريات!I:I)=0,"",SUMIF(المشتريات!C:C, 'حركة المخزن'!B330, المشتريات!I:I)),"")</f>
        <v/>
      </c>
      <c r="I330" s="10" t="str">
        <f>IFERROR(IF(SUMIF('تحليل مبيعات'!C:C, 'حركة المخزن'!B330, 'تحليل مبيعات'!H:H)=0,"",SUMIF('تحليل مبيعات'!C:C, 'حركة المخزن'!B330, 'تحليل مبيعات'!H:H)),"")</f>
        <v/>
      </c>
      <c r="J330" s="10" t="str">
        <f>IFERROR(IF(SUMIF('تحليل مبيعات'!C:C, 'حركة المخزن'!B330, 'تحليل مبيعات'!L:L)=0,"",SUMIF('تحليل مبيعات'!C:C, 'حركة المخزن'!B330, 'تحليل مبيعات'!L:L)),"")</f>
        <v/>
      </c>
      <c r="K330" s="10" t="str">
        <f t="shared" si="21"/>
        <v/>
      </c>
      <c r="L330" s="10" t="str">
        <f t="shared" si="22"/>
        <v/>
      </c>
      <c r="M330">
        <v>5</v>
      </c>
      <c r="N330" t="str">
        <f t="shared" si="23"/>
        <v>يوجد رصيد كافى</v>
      </c>
    </row>
    <row r="331" spans="2:14" x14ac:dyDescent="0.3">
      <c r="B331" s="10"/>
      <c r="D331" s="10"/>
      <c r="G331" t="str">
        <f>IFERROR(IF(SUMIF(المشتريات!C:C, 'حركة المخزن'!B331, المشتريات!F:F)=0,"",SUMIF(المشتريات!C:C, 'حركة المخزن'!B331, المشتريات!F:F)),"")</f>
        <v/>
      </c>
      <c r="H331" s="10" t="str">
        <f>IFERROR(IF(SUMIF(المشتريات!C:C, 'حركة المخزن'!B331, المشتريات!I:I)=0,"",SUMIF(المشتريات!C:C, 'حركة المخزن'!B331, المشتريات!I:I)),"")</f>
        <v/>
      </c>
      <c r="I331" s="10" t="str">
        <f>IFERROR(IF(SUMIF('تحليل مبيعات'!C:C, 'حركة المخزن'!B331, 'تحليل مبيعات'!H:H)=0,"",SUMIF('تحليل مبيعات'!C:C, 'حركة المخزن'!B331, 'تحليل مبيعات'!H:H)),"")</f>
        <v/>
      </c>
      <c r="J331" s="10" t="str">
        <f>IFERROR(IF(SUMIF('تحليل مبيعات'!C:C, 'حركة المخزن'!B331, 'تحليل مبيعات'!L:L)=0,"",SUMIF('تحليل مبيعات'!C:C, 'حركة المخزن'!B331, 'تحليل مبيعات'!L:L)),"")</f>
        <v/>
      </c>
      <c r="K331" s="10" t="str">
        <f t="shared" si="21"/>
        <v/>
      </c>
      <c r="L331" s="10" t="str">
        <f t="shared" si="22"/>
        <v/>
      </c>
      <c r="M331">
        <v>5</v>
      </c>
      <c r="N331" t="str">
        <f t="shared" si="23"/>
        <v>يوجد رصيد كافى</v>
      </c>
    </row>
    <row r="332" spans="2:14" x14ac:dyDescent="0.3">
      <c r="B332" s="10"/>
      <c r="D332" s="10"/>
      <c r="G332" t="str">
        <f>IFERROR(IF(SUMIF(المشتريات!C:C, 'حركة المخزن'!B332, المشتريات!F:F)=0,"",SUMIF(المشتريات!C:C, 'حركة المخزن'!B332, المشتريات!F:F)),"")</f>
        <v/>
      </c>
      <c r="H332" s="10" t="str">
        <f>IFERROR(IF(SUMIF(المشتريات!C:C, 'حركة المخزن'!B332, المشتريات!I:I)=0,"",SUMIF(المشتريات!C:C, 'حركة المخزن'!B332, المشتريات!I:I)),"")</f>
        <v/>
      </c>
      <c r="I332" s="10" t="str">
        <f>IFERROR(IF(SUMIF('تحليل مبيعات'!C:C, 'حركة المخزن'!B332, 'تحليل مبيعات'!H:H)=0,"",SUMIF('تحليل مبيعات'!C:C, 'حركة المخزن'!B332, 'تحليل مبيعات'!H:H)),"")</f>
        <v/>
      </c>
      <c r="J332" s="10" t="str">
        <f>IFERROR(IF(SUMIF('تحليل مبيعات'!C:C, 'حركة المخزن'!B332, 'تحليل مبيعات'!L:L)=0,"",SUMIF('تحليل مبيعات'!C:C, 'حركة المخزن'!B332, 'تحليل مبيعات'!L:L)),"")</f>
        <v/>
      </c>
      <c r="K332" s="10" t="str">
        <f t="shared" si="21"/>
        <v/>
      </c>
      <c r="L332" s="10" t="str">
        <f t="shared" si="22"/>
        <v/>
      </c>
      <c r="M332">
        <v>5</v>
      </c>
      <c r="N332" t="str">
        <f t="shared" si="23"/>
        <v>يوجد رصيد كافى</v>
      </c>
    </row>
    <row r="333" spans="2:14" x14ac:dyDescent="0.3">
      <c r="B333" s="10"/>
      <c r="D333" s="10"/>
      <c r="G333" t="str">
        <f>IFERROR(IF(SUMIF(المشتريات!C:C, 'حركة المخزن'!B333, المشتريات!F:F)=0,"",SUMIF(المشتريات!C:C, 'حركة المخزن'!B333, المشتريات!F:F)),"")</f>
        <v/>
      </c>
      <c r="H333" s="10" t="str">
        <f>IFERROR(IF(SUMIF(المشتريات!C:C, 'حركة المخزن'!B333, المشتريات!I:I)=0,"",SUMIF(المشتريات!C:C, 'حركة المخزن'!B333, المشتريات!I:I)),"")</f>
        <v/>
      </c>
      <c r="I333" s="10" t="str">
        <f>IFERROR(IF(SUMIF('تحليل مبيعات'!C:C, 'حركة المخزن'!B333, 'تحليل مبيعات'!H:H)=0,"",SUMIF('تحليل مبيعات'!C:C, 'حركة المخزن'!B333, 'تحليل مبيعات'!H:H)),"")</f>
        <v/>
      </c>
      <c r="J333" s="10" t="str">
        <f>IFERROR(IF(SUMIF('تحليل مبيعات'!C:C, 'حركة المخزن'!B333, 'تحليل مبيعات'!L:L)=0,"",SUMIF('تحليل مبيعات'!C:C, 'حركة المخزن'!B333, 'تحليل مبيعات'!L:L)),"")</f>
        <v/>
      </c>
      <c r="K333" s="10" t="str">
        <f t="shared" si="21"/>
        <v/>
      </c>
      <c r="L333" s="10" t="str">
        <f t="shared" si="22"/>
        <v/>
      </c>
      <c r="M333">
        <v>5</v>
      </c>
      <c r="N333" t="str">
        <f t="shared" si="23"/>
        <v>يوجد رصيد كافى</v>
      </c>
    </row>
    <row r="334" spans="2:14" x14ac:dyDescent="0.3">
      <c r="B334" s="10"/>
      <c r="D334" s="10"/>
      <c r="G334" t="str">
        <f>IFERROR(IF(SUMIF(المشتريات!C:C, 'حركة المخزن'!B334, المشتريات!F:F)=0,"",SUMIF(المشتريات!C:C, 'حركة المخزن'!B334, المشتريات!F:F)),"")</f>
        <v/>
      </c>
      <c r="H334" s="10" t="str">
        <f>IFERROR(IF(SUMIF(المشتريات!C:C, 'حركة المخزن'!B334, المشتريات!I:I)=0,"",SUMIF(المشتريات!C:C, 'حركة المخزن'!B334, المشتريات!I:I)),"")</f>
        <v/>
      </c>
      <c r="I334" s="10" t="str">
        <f>IFERROR(IF(SUMIF('تحليل مبيعات'!C:C, 'حركة المخزن'!B334, 'تحليل مبيعات'!H:H)=0,"",SUMIF('تحليل مبيعات'!C:C, 'حركة المخزن'!B334, 'تحليل مبيعات'!H:H)),"")</f>
        <v/>
      </c>
      <c r="J334" s="10" t="str">
        <f>IFERROR(IF(SUMIF('تحليل مبيعات'!C:C, 'حركة المخزن'!B334, 'تحليل مبيعات'!L:L)=0,"",SUMIF('تحليل مبيعات'!C:C, 'حركة المخزن'!B334, 'تحليل مبيعات'!L:L)),"")</f>
        <v/>
      </c>
      <c r="K334" s="10" t="str">
        <f t="shared" si="21"/>
        <v/>
      </c>
      <c r="L334" s="10" t="str">
        <f t="shared" si="22"/>
        <v/>
      </c>
      <c r="M334">
        <v>5</v>
      </c>
      <c r="N334" t="str">
        <f t="shared" si="23"/>
        <v>يوجد رصيد كافى</v>
      </c>
    </row>
    <row r="335" spans="2:14" x14ac:dyDescent="0.3">
      <c r="B335" s="10"/>
      <c r="D335" s="10"/>
      <c r="G335" t="str">
        <f>IFERROR(IF(SUMIF(المشتريات!C:C, 'حركة المخزن'!B335, المشتريات!F:F)=0,"",SUMIF(المشتريات!C:C, 'حركة المخزن'!B335, المشتريات!F:F)),"")</f>
        <v/>
      </c>
      <c r="H335" s="10" t="str">
        <f>IFERROR(IF(SUMIF(المشتريات!C:C, 'حركة المخزن'!B335, المشتريات!I:I)=0,"",SUMIF(المشتريات!C:C, 'حركة المخزن'!B335, المشتريات!I:I)),"")</f>
        <v/>
      </c>
      <c r="I335" s="10" t="str">
        <f>IFERROR(IF(SUMIF('تحليل مبيعات'!C:C, 'حركة المخزن'!B335, 'تحليل مبيعات'!H:H)=0,"",SUMIF('تحليل مبيعات'!C:C, 'حركة المخزن'!B335, 'تحليل مبيعات'!H:H)),"")</f>
        <v/>
      </c>
      <c r="J335" s="10" t="str">
        <f>IFERROR(IF(SUMIF('تحليل مبيعات'!C:C, 'حركة المخزن'!B335, 'تحليل مبيعات'!L:L)=0,"",SUMIF('تحليل مبيعات'!C:C, 'حركة المخزن'!B335, 'تحليل مبيعات'!L:L)),"")</f>
        <v/>
      </c>
      <c r="K335" s="10" t="str">
        <f t="shared" si="21"/>
        <v/>
      </c>
      <c r="L335" s="10" t="str">
        <f t="shared" si="22"/>
        <v/>
      </c>
      <c r="M335">
        <v>5</v>
      </c>
      <c r="N335" t="str">
        <f t="shared" si="23"/>
        <v>يوجد رصيد كافى</v>
      </c>
    </row>
    <row r="336" spans="2:14" x14ac:dyDescent="0.3">
      <c r="B336" s="10"/>
      <c r="D336" s="10"/>
      <c r="G336" t="str">
        <f>IFERROR(IF(SUMIF(المشتريات!C:C, 'حركة المخزن'!B336, المشتريات!F:F)=0,"",SUMIF(المشتريات!C:C, 'حركة المخزن'!B336, المشتريات!F:F)),"")</f>
        <v/>
      </c>
      <c r="H336" s="10" t="str">
        <f>IFERROR(IF(SUMIF(المشتريات!C:C, 'حركة المخزن'!B336, المشتريات!I:I)=0,"",SUMIF(المشتريات!C:C, 'حركة المخزن'!B336, المشتريات!I:I)),"")</f>
        <v/>
      </c>
      <c r="I336" s="10" t="str">
        <f>IFERROR(IF(SUMIF('تحليل مبيعات'!C:C, 'حركة المخزن'!B336, 'تحليل مبيعات'!H:H)=0,"",SUMIF('تحليل مبيعات'!C:C, 'حركة المخزن'!B336, 'تحليل مبيعات'!H:H)),"")</f>
        <v/>
      </c>
      <c r="J336" s="10" t="str">
        <f>IFERROR(IF(SUMIF('تحليل مبيعات'!C:C, 'حركة المخزن'!B336, 'تحليل مبيعات'!L:L)=0,"",SUMIF('تحليل مبيعات'!C:C, 'حركة المخزن'!B336, 'تحليل مبيعات'!L:L)),"")</f>
        <v/>
      </c>
      <c r="K336" s="10" t="str">
        <f t="shared" si="21"/>
        <v/>
      </c>
      <c r="L336" s="10" t="str">
        <f t="shared" si="22"/>
        <v/>
      </c>
      <c r="M336">
        <v>5</v>
      </c>
      <c r="N336" t="str">
        <f t="shared" si="23"/>
        <v>يوجد رصيد كافى</v>
      </c>
    </row>
    <row r="337" spans="2:14" x14ac:dyDescent="0.3">
      <c r="B337" s="10"/>
      <c r="D337" s="10"/>
      <c r="G337" t="str">
        <f>IFERROR(IF(SUMIF(المشتريات!C:C, 'حركة المخزن'!B337, المشتريات!F:F)=0,"",SUMIF(المشتريات!C:C, 'حركة المخزن'!B337, المشتريات!F:F)),"")</f>
        <v/>
      </c>
      <c r="H337" s="10" t="str">
        <f>IFERROR(IF(SUMIF(المشتريات!C:C, 'حركة المخزن'!B337, المشتريات!I:I)=0,"",SUMIF(المشتريات!C:C, 'حركة المخزن'!B337, المشتريات!I:I)),"")</f>
        <v/>
      </c>
      <c r="I337" s="10" t="str">
        <f>IFERROR(IF(SUMIF('تحليل مبيعات'!C:C, 'حركة المخزن'!B337, 'تحليل مبيعات'!H:H)=0,"",SUMIF('تحليل مبيعات'!C:C, 'حركة المخزن'!B337, 'تحليل مبيعات'!H:H)),"")</f>
        <v/>
      </c>
      <c r="J337" s="10" t="str">
        <f>IFERROR(IF(SUMIF('تحليل مبيعات'!C:C, 'حركة المخزن'!B337, 'تحليل مبيعات'!L:L)=0,"",SUMIF('تحليل مبيعات'!C:C, 'حركة المخزن'!B337, 'تحليل مبيعات'!L:L)),"")</f>
        <v/>
      </c>
      <c r="K337" s="10" t="str">
        <f t="shared" si="21"/>
        <v/>
      </c>
      <c r="L337" s="10" t="str">
        <f t="shared" si="22"/>
        <v/>
      </c>
      <c r="M337">
        <v>5</v>
      </c>
      <c r="N337" t="str">
        <f t="shared" si="23"/>
        <v>يوجد رصيد كافى</v>
      </c>
    </row>
    <row r="338" spans="2:14" x14ac:dyDescent="0.3">
      <c r="B338" s="10"/>
      <c r="D338" s="10"/>
      <c r="G338" t="str">
        <f>IFERROR(IF(SUMIF(المشتريات!C:C, 'حركة المخزن'!B338, المشتريات!F:F)=0,"",SUMIF(المشتريات!C:C, 'حركة المخزن'!B338, المشتريات!F:F)),"")</f>
        <v/>
      </c>
      <c r="H338" s="10" t="str">
        <f>IFERROR(IF(SUMIF(المشتريات!C:C, 'حركة المخزن'!B338, المشتريات!I:I)=0,"",SUMIF(المشتريات!C:C, 'حركة المخزن'!B338, المشتريات!I:I)),"")</f>
        <v/>
      </c>
      <c r="I338" s="10" t="str">
        <f>IFERROR(IF(SUMIF('تحليل مبيعات'!C:C, 'حركة المخزن'!B338, 'تحليل مبيعات'!H:H)=0,"",SUMIF('تحليل مبيعات'!C:C, 'حركة المخزن'!B338, 'تحليل مبيعات'!H:H)),"")</f>
        <v/>
      </c>
      <c r="J338" s="10" t="str">
        <f>IFERROR(IF(SUMIF('تحليل مبيعات'!C:C, 'حركة المخزن'!B338, 'تحليل مبيعات'!L:L)=0,"",SUMIF('تحليل مبيعات'!C:C, 'حركة المخزن'!B338, 'تحليل مبيعات'!L:L)),"")</f>
        <v/>
      </c>
      <c r="K338" s="10" t="str">
        <f t="shared" si="21"/>
        <v/>
      </c>
      <c r="L338" s="10" t="str">
        <f t="shared" si="22"/>
        <v/>
      </c>
      <c r="M338">
        <v>5</v>
      </c>
      <c r="N338" t="str">
        <f t="shared" si="23"/>
        <v>يوجد رصيد كافى</v>
      </c>
    </row>
    <row r="339" spans="2:14" x14ac:dyDescent="0.3">
      <c r="B339" s="10"/>
      <c r="D339" s="10"/>
      <c r="G339" t="str">
        <f>IFERROR(IF(SUMIF(المشتريات!C:C, 'حركة المخزن'!B339, المشتريات!F:F)=0,"",SUMIF(المشتريات!C:C, 'حركة المخزن'!B339, المشتريات!F:F)),"")</f>
        <v/>
      </c>
      <c r="H339" s="10" t="str">
        <f>IFERROR(IF(SUMIF(المشتريات!C:C, 'حركة المخزن'!B339, المشتريات!I:I)=0,"",SUMIF(المشتريات!C:C, 'حركة المخزن'!B339, المشتريات!I:I)),"")</f>
        <v/>
      </c>
      <c r="I339" s="10" t="str">
        <f>IFERROR(IF(SUMIF('تحليل مبيعات'!C:C, 'حركة المخزن'!B339, 'تحليل مبيعات'!H:H)=0,"",SUMIF('تحليل مبيعات'!C:C, 'حركة المخزن'!B339, 'تحليل مبيعات'!H:H)),"")</f>
        <v/>
      </c>
      <c r="J339" s="10" t="str">
        <f>IFERROR(IF(SUMIF('تحليل مبيعات'!C:C, 'حركة المخزن'!B339, 'تحليل مبيعات'!L:L)=0,"",SUMIF('تحليل مبيعات'!C:C, 'حركة المخزن'!B339, 'تحليل مبيعات'!L:L)),"")</f>
        <v/>
      </c>
      <c r="K339" s="10" t="str">
        <f t="shared" si="21"/>
        <v/>
      </c>
      <c r="L339" s="10" t="str">
        <f t="shared" si="22"/>
        <v/>
      </c>
      <c r="M339">
        <v>5</v>
      </c>
      <c r="N339" t="str">
        <f t="shared" si="23"/>
        <v>يوجد رصيد كافى</v>
      </c>
    </row>
    <row r="340" spans="2:14" x14ac:dyDescent="0.3">
      <c r="B340" s="10"/>
      <c r="D340" s="10"/>
      <c r="G340" t="str">
        <f>IFERROR(IF(SUMIF(المشتريات!C:C, 'حركة المخزن'!B340, المشتريات!F:F)=0,"",SUMIF(المشتريات!C:C, 'حركة المخزن'!B340, المشتريات!F:F)),"")</f>
        <v/>
      </c>
      <c r="H340" s="10" t="str">
        <f>IFERROR(IF(SUMIF(المشتريات!C:C, 'حركة المخزن'!B340, المشتريات!I:I)=0,"",SUMIF(المشتريات!C:C, 'حركة المخزن'!B340, المشتريات!I:I)),"")</f>
        <v/>
      </c>
      <c r="I340" s="10" t="str">
        <f>IFERROR(IF(SUMIF('تحليل مبيعات'!C:C, 'حركة المخزن'!B340, 'تحليل مبيعات'!H:H)=0,"",SUMIF('تحليل مبيعات'!C:C, 'حركة المخزن'!B340, 'تحليل مبيعات'!H:H)),"")</f>
        <v/>
      </c>
      <c r="J340" s="10" t="str">
        <f>IFERROR(IF(SUMIF('تحليل مبيعات'!C:C, 'حركة المخزن'!B340, 'تحليل مبيعات'!L:L)=0,"",SUMIF('تحليل مبيعات'!C:C, 'حركة المخزن'!B340, 'تحليل مبيعات'!L:L)),"")</f>
        <v/>
      </c>
      <c r="K340" s="10" t="str">
        <f t="shared" si="21"/>
        <v/>
      </c>
      <c r="L340" s="10" t="str">
        <f t="shared" si="22"/>
        <v/>
      </c>
      <c r="M340">
        <v>5</v>
      </c>
      <c r="N340" t="str">
        <f t="shared" si="23"/>
        <v>يوجد رصيد كافى</v>
      </c>
    </row>
    <row r="341" spans="2:14" x14ac:dyDescent="0.3">
      <c r="B341" s="10"/>
      <c r="D341" s="10"/>
      <c r="G341" t="str">
        <f>IFERROR(IF(SUMIF(المشتريات!C:C, 'حركة المخزن'!B341, المشتريات!F:F)=0,"",SUMIF(المشتريات!C:C, 'حركة المخزن'!B341, المشتريات!F:F)),"")</f>
        <v/>
      </c>
      <c r="H341" s="10" t="str">
        <f>IFERROR(IF(SUMIF(المشتريات!C:C, 'حركة المخزن'!B341, المشتريات!I:I)=0,"",SUMIF(المشتريات!C:C, 'حركة المخزن'!B341, المشتريات!I:I)),"")</f>
        <v/>
      </c>
      <c r="I341" s="10" t="str">
        <f>IFERROR(IF(SUMIF('تحليل مبيعات'!C:C, 'حركة المخزن'!B341, 'تحليل مبيعات'!H:H)=0,"",SUMIF('تحليل مبيعات'!C:C, 'حركة المخزن'!B341, 'تحليل مبيعات'!H:H)),"")</f>
        <v/>
      </c>
      <c r="J341" s="10" t="str">
        <f>IFERROR(IF(SUMIF('تحليل مبيعات'!C:C, 'حركة المخزن'!B341, 'تحليل مبيعات'!L:L)=0,"",SUMIF('تحليل مبيعات'!C:C, 'حركة المخزن'!B341, 'تحليل مبيعات'!L:L)),"")</f>
        <v/>
      </c>
      <c r="K341" s="10" t="str">
        <f t="shared" si="21"/>
        <v/>
      </c>
      <c r="L341" s="10" t="str">
        <f t="shared" si="22"/>
        <v/>
      </c>
      <c r="M341">
        <v>5</v>
      </c>
      <c r="N341" t="str">
        <f t="shared" si="23"/>
        <v>يوجد رصيد كافى</v>
      </c>
    </row>
    <row r="342" spans="2:14" x14ac:dyDescent="0.3">
      <c r="B342" s="10"/>
      <c r="D342" s="10"/>
      <c r="G342" t="str">
        <f>IFERROR(IF(SUMIF(المشتريات!C:C, 'حركة المخزن'!B342, المشتريات!F:F)=0,"",SUMIF(المشتريات!C:C, 'حركة المخزن'!B342, المشتريات!F:F)),"")</f>
        <v/>
      </c>
      <c r="H342" s="10" t="str">
        <f>IFERROR(IF(SUMIF(المشتريات!C:C, 'حركة المخزن'!B342, المشتريات!I:I)=0,"",SUMIF(المشتريات!C:C, 'حركة المخزن'!B342, المشتريات!I:I)),"")</f>
        <v/>
      </c>
      <c r="I342" s="10" t="str">
        <f>IFERROR(IF(SUMIF('تحليل مبيعات'!C:C, 'حركة المخزن'!B342, 'تحليل مبيعات'!H:H)=0,"",SUMIF('تحليل مبيعات'!C:C, 'حركة المخزن'!B342, 'تحليل مبيعات'!H:H)),"")</f>
        <v/>
      </c>
      <c r="J342" s="10" t="str">
        <f>IFERROR(IF(SUMIF('تحليل مبيعات'!C:C, 'حركة المخزن'!B342, 'تحليل مبيعات'!L:L)=0,"",SUMIF('تحليل مبيعات'!C:C, 'حركة المخزن'!B342, 'تحليل مبيعات'!L:L)),"")</f>
        <v/>
      </c>
      <c r="K342" s="10" t="str">
        <f t="shared" si="21"/>
        <v/>
      </c>
      <c r="L342" s="10" t="str">
        <f t="shared" si="22"/>
        <v/>
      </c>
      <c r="M342">
        <v>5</v>
      </c>
      <c r="N342" t="str">
        <f t="shared" si="23"/>
        <v>يوجد رصيد كافى</v>
      </c>
    </row>
    <row r="343" spans="2:14" x14ac:dyDescent="0.3">
      <c r="B343" s="10"/>
      <c r="D343" s="10"/>
      <c r="G343" t="str">
        <f>IFERROR(IF(SUMIF(المشتريات!C:C, 'حركة المخزن'!B343, المشتريات!F:F)=0,"",SUMIF(المشتريات!C:C, 'حركة المخزن'!B343, المشتريات!F:F)),"")</f>
        <v/>
      </c>
      <c r="H343" s="10" t="str">
        <f>IFERROR(IF(SUMIF(المشتريات!C:C, 'حركة المخزن'!B343, المشتريات!I:I)=0,"",SUMIF(المشتريات!C:C, 'حركة المخزن'!B343, المشتريات!I:I)),"")</f>
        <v/>
      </c>
      <c r="I343" s="10" t="str">
        <f>IFERROR(IF(SUMIF('تحليل مبيعات'!C:C, 'حركة المخزن'!B343, 'تحليل مبيعات'!H:H)=0,"",SUMIF('تحليل مبيعات'!C:C, 'حركة المخزن'!B343, 'تحليل مبيعات'!H:H)),"")</f>
        <v/>
      </c>
      <c r="J343" s="10" t="str">
        <f>IFERROR(IF(SUMIF('تحليل مبيعات'!C:C, 'حركة المخزن'!B343, 'تحليل مبيعات'!L:L)=0,"",SUMIF('تحليل مبيعات'!C:C, 'حركة المخزن'!B343, 'تحليل مبيعات'!L:L)),"")</f>
        <v/>
      </c>
      <c r="K343" s="10" t="str">
        <f t="shared" si="21"/>
        <v/>
      </c>
      <c r="L343" s="10" t="str">
        <f t="shared" si="22"/>
        <v/>
      </c>
      <c r="M343">
        <v>5</v>
      </c>
      <c r="N343" t="str">
        <f t="shared" si="23"/>
        <v>يوجد رصيد كافى</v>
      </c>
    </row>
    <row r="344" spans="2:14" x14ac:dyDescent="0.3">
      <c r="B344" s="10"/>
      <c r="D344" s="10"/>
      <c r="G344" t="str">
        <f>IFERROR(IF(SUMIF(المشتريات!C:C, 'حركة المخزن'!B344, المشتريات!F:F)=0,"",SUMIF(المشتريات!C:C, 'حركة المخزن'!B344, المشتريات!F:F)),"")</f>
        <v/>
      </c>
      <c r="H344" s="10" t="str">
        <f>IFERROR(IF(SUMIF(المشتريات!C:C, 'حركة المخزن'!B344, المشتريات!I:I)=0,"",SUMIF(المشتريات!C:C, 'حركة المخزن'!B344, المشتريات!I:I)),"")</f>
        <v/>
      </c>
      <c r="I344" s="10" t="str">
        <f>IFERROR(IF(SUMIF('تحليل مبيعات'!C:C, 'حركة المخزن'!B344, 'تحليل مبيعات'!H:H)=0,"",SUMIF('تحليل مبيعات'!C:C, 'حركة المخزن'!B344, 'تحليل مبيعات'!H:H)),"")</f>
        <v/>
      </c>
      <c r="J344" s="10" t="str">
        <f>IFERROR(IF(SUMIF('تحليل مبيعات'!C:C, 'حركة المخزن'!B344, 'تحليل مبيعات'!L:L)=0,"",SUMIF('تحليل مبيعات'!C:C, 'حركة المخزن'!B344, 'تحليل مبيعات'!L:L)),"")</f>
        <v/>
      </c>
      <c r="K344" s="10" t="str">
        <f t="shared" si="21"/>
        <v/>
      </c>
      <c r="L344" s="10" t="str">
        <f t="shared" si="22"/>
        <v/>
      </c>
      <c r="M344">
        <v>5</v>
      </c>
      <c r="N344" t="str">
        <f t="shared" si="23"/>
        <v>يوجد رصيد كافى</v>
      </c>
    </row>
    <row r="345" spans="2:14" x14ac:dyDescent="0.3">
      <c r="B345" s="10"/>
      <c r="D345" s="10"/>
      <c r="G345" t="str">
        <f>IFERROR(IF(SUMIF(المشتريات!C:C, 'حركة المخزن'!B345, المشتريات!F:F)=0,"",SUMIF(المشتريات!C:C, 'حركة المخزن'!B345, المشتريات!F:F)),"")</f>
        <v/>
      </c>
      <c r="H345" s="10" t="str">
        <f>IFERROR(IF(SUMIF(المشتريات!C:C, 'حركة المخزن'!B345, المشتريات!I:I)=0,"",SUMIF(المشتريات!C:C, 'حركة المخزن'!B345, المشتريات!I:I)),"")</f>
        <v/>
      </c>
      <c r="I345" s="10" t="str">
        <f>IFERROR(IF(SUMIF('تحليل مبيعات'!C:C, 'حركة المخزن'!B345, 'تحليل مبيعات'!H:H)=0,"",SUMIF('تحليل مبيعات'!C:C, 'حركة المخزن'!B345, 'تحليل مبيعات'!H:H)),"")</f>
        <v/>
      </c>
      <c r="J345" s="10" t="str">
        <f>IFERROR(IF(SUMIF('تحليل مبيعات'!C:C, 'حركة المخزن'!B345, 'تحليل مبيعات'!L:L)=0,"",SUMIF('تحليل مبيعات'!C:C, 'حركة المخزن'!B345, 'تحليل مبيعات'!L:L)),"")</f>
        <v/>
      </c>
      <c r="K345" s="10" t="str">
        <f t="shared" si="21"/>
        <v/>
      </c>
      <c r="L345" s="10" t="str">
        <f t="shared" si="22"/>
        <v/>
      </c>
      <c r="M345">
        <v>5</v>
      </c>
      <c r="N345" t="str">
        <f t="shared" si="23"/>
        <v>يوجد رصيد كافى</v>
      </c>
    </row>
    <row r="346" spans="2:14" x14ac:dyDescent="0.3">
      <c r="B346" s="10"/>
      <c r="D346" s="10"/>
      <c r="G346" t="str">
        <f>IFERROR(IF(SUMIF(المشتريات!C:C, 'حركة المخزن'!B346, المشتريات!F:F)=0,"",SUMIF(المشتريات!C:C, 'حركة المخزن'!B346, المشتريات!F:F)),"")</f>
        <v/>
      </c>
      <c r="H346" s="10" t="str">
        <f>IFERROR(IF(SUMIF(المشتريات!C:C, 'حركة المخزن'!B346, المشتريات!I:I)=0,"",SUMIF(المشتريات!C:C, 'حركة المخزن'!B346, المشتريات!I:I)),"")</f>
        <v/>
      </c>
      <c r="I346" s="10" t="str">
        <f>IFERROR(IF(SUMIF('تحليل مبيعات'!C:C, 'حركة المخزن'!B346, 'تحليل مبيعات'!H:H)=0,"",SUMIF('تحليل مبيعات'!C:C, 'حركة المخزن'!B346, 'تحليل مبيعات'!H:H)),"")</f>
        <v/>
      </c>
      <c r="J346" s="10" t="str">
        <f>IFERROR(IF(SUMIF('تحليل مبيعات'!C:C, 'حركة المخزن'!B346, 'تحليل مبيعات'!L:L)=0,"",SUMIF('تحليل مبيعات'!C:C, 'حركة المخزن'!B346, 'تحليل مبيعات'!L:L)),"")</f>
        <v/>
      </c>
      <c r="K346" s="10" t="str">
        <f t="shared" si="21"/>
        <v/>
      </c>
      <c r="L346" s="10" t="str">
        <f t="shared" si="22"/>
        <v/>
      </c>
      <c r="M346">
        <v>5</v>
      </c>
      <c r="N346" t="str">
        <f t="shared" si="23"/>
        <v>يوجد رصيد كافى</v>
      </c>
    </row>
    <row r="347" spans="2:14" x14ac:dyDescent="0.3">
      <c r="B347" s="10"/>
      <c r="D347" s="10"/>
      <c r="G347" t="str">
        <f>IFERROR(IF(SUMIF(المشتريات!C:C, 'حركة المخزن'!B347, المشتريات!F:F)=0,"",SUMIF(المشتريات!C:C, 'حركة المخزن'!B347, المشتريات!F:F)),"")</f>
        <v/>
      </c>
      <c r="H347" s="10" t="str">
        <f>IFERROR(IF(SUMIF(المشتريات!C:C, 'حركة المخزن'!B347, المشتريات!I:I)=0,"",SUMIF(المشتريات!C:C, 'حركة المخزن'!B347, المشتريات!I:I)),"")</f>
        <v/>
      </c>
      <c r="I347" s="10" t="str">
        <f>IFERROR(IF(SUMIF('تحليل مبيعات'!C:C, 'حركة المخزن'!B347, 'تحليل مبيعات'!H:H)=0,"",SUMIF('تحليل مبيعات'!C:C, 'حركة المخزن'!B347, 'تحليل مبيعات'!H:H)),"")</f>
        <v/>
      </c>
      <c r="J347" s="10" t="str">
        <f>IFERROR(IF(SUMIF('تحليل مبيعات'!C:C, 'حركة المخزن'!B347, 'تحليل مبيعات'!L:L)=0,"",SUMIF('تحليل مبيعات'!C:C, 'حركة المخزن'!B347, 'تحليل مبيعات'!L:L)),"")</f>
        <v/>
      </c>
      <c r="K347" s="10" t="str">
        <f t="shared" si="21"/>
        <v/>
      </c>
      <c r="L347" s="10" t="str">
        <f t="shared" si="22"/>
        <v/>
      </c>
      <c r="M347">
        <v>5</v>
      </c>
      <c r="N347" t="str">
        <f t="shared" si="23"/>
        <v>يوجد رصيد كافى</v>
      </c>
    </row>
    <row r="348" spans="2:14" x14ac:dyDescent="0.3">
      <c r="B348" s="10"/>
      <c r="D348" s="10"/>
      <c r="G348" t="str">
        <f>IFERROR(IF(SUMIF(المشتريات!C:C, 'حركة المخزن'!B348, المشتريات!F:F)=0,"",SUMIF(المشتريات!C:C, 'حركة المخزن'!B348, المشتريات!F:F)),"")</f>
        <v/>
      </c>
      <c r="H348" s="10" t="str">
        <f>IFERROR(IF(SUMIF(المشتريات!C:C, 'حركة المخزن'!B348, المشتريات!I:I)=0,"",SUMIF(المشتريات!C:C, 'حركة المخزن'!B348, المشتريات!I:I)),"")</f>
        <v/>
      </c>
      <c r="I348" s="10" t="str">
        <f>IFERROR(IF(SUMIF('تحليل مبيعات'!C:C, 'حركة المخزن'!B348, 'تحليل مبيعات'!H:H)=0,"",SUMIF('تحليل مبيعات'!C:C, 'حركة المخزن'!B348, 'تحليل مبيعات'!H:H)),"")</f>
        <v/>
      </c>
      <c r="J348" s="10" t="str">
        <f>IFERROR(IF(SUMIF('تحليل مبيعات'!C:C, 'حركة المخزن'!B348, 'تحليل مبيعات'!L:L)=0,"",SUMIF('تحليل مبيعات'!C:C, 'حركة المخزن'!B348, 'تحليل مبيعات'!L:L)),"")</f>
        <v/>
      </c>
      <c r="K348" s="10" t="str">
        <f t="shared" si="21"/>
        <v/>
      </c>
      <c r="L348" s="10" t="str">
        <f t="shared" si="22"/>
        <v/>
      </c>
      <c r="M348">
        <v>5</v>
      </c>
      <c r="N348" t="str">
        <f t="shared" si="23"/>
        <v>يوجد رصيد كافى</v>
      </c>
    </row>
    <row r="349" spans="2:14" x14ac:dyDescent="0.3">
      <c r="B349" s="10"/>
      <c r="D349" s="10"/>
      <c r="G349" t="str">
        <f>IFERROR(IF(SUMIF(المشتريات!C:C, 'حركة المخزن'!B349, المشتريات!F:F)=0,"",SUMIF(المشتريات!C:C, 'حركة المخزن'!B349, المشتريات!F:F)),"")</f>
        <v/>
      </c>
      <c r="H349" s="10" t="str">
        <f>IFERROR(IF(SUMIF(المشتريات!C:C, 'حركة المخزن'!B349, المشتريات!I:I)=0,"",SUMIF(المشتريات!C:C, 'حركة المخزن'!B349, المشتريات!I:I)),"")</f>
        <v/>
      </c>
      <c r="I349" s="10" t="str">
        <f>IFERROR(IF(SUMIF('تحليل مبيعات'!C:C, 'حركة المخزن'!B349, 'تحليل مبيعات'!H:H)=0,"",SUMIF('تحليل مبيعات'!C:C, 'حركة المخزن'!B349, 'تحليل مبيعات'!H:H)),"")</f>
        <v/>
      </c>
      <c r="J349" s="10" t="str">
        <f>IFERROR(IF(SUMIF('تحليل مبيعات'!C:C, 'حركة المخزن'!B349, 'تحليل مبيعات'!L:L)=0,"",SUMIF('تحليل مبيعات'!C:C, 'حركة المخزن'!B349, 'تحليل مبيعات'!L:L)),"")</f>
        <v/>
      </c>
      <c r="K349" s="10" t="str">
        <f t="shared" si="21"/>
        <v/>
      </c>
      <c r="L349" s="10" t="str">
        <f t="shared" si="22"/>
        <v/>
      </c>
      <c r="M349">
        <v>5</v>
      </c>
      <c r="N349" t="str">
        <f t="shared" si="23"/>
        <v>يوجد رصيد كافى</v>
      </c>
    </row>
    <row r="350" spans="2:14" x14ac:dyDescent="0.3">
      <c r="B350" s="10"/>
      <c r="D350" s="10"/>
      <c r="G350" t="str">
        <f>IFERROR(IF(SUMIF(المشتريات!C:C, 'حركة المخزن'!B350, المشتريات!F:F)=0,"",SUMIF(المشتريات!C:C, 'حركة المخزن'!B350, المشتريات!F:F)),"")</f>
        <v/>
      </c>
      <c r="H350" s="10" t="str">
        <f>IFERROR(IF(SUMIF(المشتريات!C:C, 'حركة المخزن'!B350, المشتريات!I:I)=0,"",SUMIF(المشتريات!C:C, 'حركة المخزن'!B350, المشتريات!I:I)),"")</f>
        <v/>
      </c>
      <c r="I350" s="10" t="str">
        <f>IFERROR(IF(SUMIF('تحليل مبيعات'!C:C, 'حركة المخزن'!B350, 'تحليل مبيعات'!H:H)=0,"",SUMIF('تحليل مبيعات'!C:C, 'حركة المخزن'!B350, 'تحليل مبيعات'!H:H)),"")</f>
        <v/>
      </c>
      <c r="J350" s="10" t="str">
        <f>IFERROR(IF(SUMIF('تحليل مبيعات'!C:C, 'حركة المخزن'!B350, 'تحليل مبيعات'!L:L)=0,"",SUMIF('تحليل مبيعات'!C:C, 'حركة المخزن'!B350, 'تحليل مبيعات'!L:L)),"")</f>
        <v/>
      </c>
      <c r="K350" s="10" t="str">
        <f t="shared" si="21"/>
        <v/>
      </c>
      <c r="L350" s="10" t="str">
        <f t="shared" si="22"/>
        <v/>
      </c>
      <c r="M350">
        <v>5</v>
      </c>
      <c r="N350" t="str">
        <f t="shared" si="23"/>
        <v>يوجد رصيد كافى</v>
      </c>
    </row>
    <row r="351" spans="2:14" x14ac:dyDescent="0.3">
      <c r="B351" s="10"/>
      <c r="D351" s="10"/>
      <c r="G351" t="str">
        <f>IFERROR(IF(SUMIF(المشتريات!C:C, 'حركة المخزن'!B351, المشتريات!F:F)=0,"",SUMIF(المشتريات!C:C, 'حركة المخزن'!B351, المشتريات!F:F)),"")</f>
        <v/>
      </c>
      <c r="H351" s="10" t="str">
        <f>IFERROR(IF(SUMIF(المشتريات!C:C, 'حركة المخزن'!B351, المشتريات!I:I)=0,"",SUMIF(المشتريات!C:C, 'حركة المخزن'!B351, المشتريات!I:I)),"")</f>
        <v/>
      </c>
      <c r="I351" s="10" t="str">
        <f>IFERROR(IF(SUMIF('تحليل مبيعات'!C:C, 'حركة المخزن'!B351, 'تحليل مبيعات'!H:H)=0,"",SUMIF('تحليل مبيعات'!C:C, 'حركة المخزن'!B351, 'تحليل مبيعات'!H:H)),"")</f>
        <v/>
      </c>
      <c r="J351" s="10" t="str">
        <f>IFERROR(IF(SUMIF('تحليل مبيعات'!C:C, 'حركة المخزن'!B351, 'تحليل مبيعات'!L:L)=0,"",SUMIF('تحليل مبيعات'!C:C, 'حركة المخزن'!B351, 'تحليل مبيعات'!L:L)),"")</f>
        <v/>
      </c>
      <c r="K351" s="10" t="str">
        <f t="shared" si="21"/>
        <v/>
      </c>
      <c r="L351" s="10" t="str">
        <f t="shared" si="22"/>
        <v/>
      </c>
      <c r="M351">
        <v>5</v>
      </c>
      <c r="N351" t="str">
        <f t="shared" si="23"/>
        <v>يوجد رصيد كافى</v>
      </c>
    </row>
    <row r="352" spans="2:14" x14ac:dyDescent="0.3">
      <c r="B352" s="10"/>
      <c r="D352" s="10"/>
      <c r="G352" t="str">
        <f>IFERROR(IF(SUMIF(المشتريات!C:C, 'حركة المخزن'!B352, المشتريات!F:F)=0,"",SUMIF(المشتريات!C:C, 'حركة المخزن'!B352, المشتريات!F:F)),"")</f>
        <v/>
      </c>
      <c r="H352" s="10" t="str">
        <f>IFERROR(IF(SUMIF(المشتريات!C:C, 'حركة المخزن'!B352, المشتريات!I:I)=0,"",SUMIF(المشتريات!C:C, 'حركة المخزن'!B352, المشتريات!I:I)),"")</f>
        <v/>
      </c>
      <c r="I352" s="10" t="str">
        <f>IFERROR(IF(SUMIF('تحليل مبيعات'!C:C, 'حركة المخزن'!B352, 'تحليل مبيعات'!H:H)=0,"",SUMIF('تحليل مبيعات'!C:C, 'حركة المخزن'!B352, 'تحليل مبيعات'!H:H)),"")</f>
        <v/>
      </c>
      <c r="J352" s="10" t="str">
        <f>IFERROR(IF(SUMIF('تحليل مبيعات'!C:C, 'حركة المخزن'!B352, 'تحليل مبيعات'!L:L)=0,"",SUMIF('تحليل مبيعات'!C:C, 'حركة المخزن'!B352, 'تحليل مبيعات'!L:L)),"")</f>
        <v/>
      </c>
      <c r="K352" s="10" t="str">
        <f t="shared" si="21"/>
        <v/>
      </c>
      <c r="L352" s="10" t="str">
        <f t="shared" si="22"/>
        <v/>
      </c>
      <c r="M352">
        <v>5</v>
      </c>
      <c r="N352" t="str">
        <f t="shared" si="23"/>
        <v>يوجد رصيد كافى</v>
      </c>
    </row>
    <row r="353" spans="2:14" x14ac:dyDescent="0.3">
      <c r="B353" s="10"/>
      <c r="D353" s="10"/>
      <c r="G353" t="str">
        <f>IFERROR(IF(SUMIF(المشتريات!C:C, 'حركة المخزن'!B353, المشتريات!F:F)=0,"",SUMIF(المشتريات!C:C, 'حركة المخزن'!B353, المشتريات!F:F)),"")</f>
        <v/>
      </c>
      <c r="H353" s="10" t="str">
        <f>IFERROR(IF(SUMIF(المشتريات!C:C, 'حركة المخزن'!B353, المشتريات!I:I)=0,"",SUMIF(المشتريات!C:C, 'حركة المخزن'!B353, المشتريات!I:I)),"")</f>
        <v/>
      </c>
      <c r="I353" s="10" t="str">
        <f>IFERROR(IF(SUMIF('تحليل مبيعات'!C:C, 'حركة المخزن'!B353, 'تحليل مبيعات'!H:H)=0,"",SUMIF('تحليل مبيعات'!C:C, 'حركة المخزن'!B353, 'تحليل مبيعات'!H:H)),"")</f>
        <v/>
      </c>
      <c r="J353" s="10" t="str">
        <f>IFERROR(IF(SUMIF('تحليل مبيعات'!C:C, 'حركة المخزن'!B353, 'تحليل مبيعات'!L:L)=0,"",SUMIF('تحليل مبيعات'!C:C, 'حركة المخزن'!B353, 'تحليل مبيعات'!L:L)),"")</f>
        <v/>
      </c>
      <c r="K353" s="10" t="str">
        <f t="shared" si="21"/>
        <v/>
      </c>
      <c r="L353" s="10" t="str">
        <f t="shared" si="22"/>
        <v/>
      </c>
      <c r="M353">
        <v>5</v>
      </c>
      <c r="N353" t="str">
        <f t="shared" si="23"/>
        <v>يوجد رصيد كافى</v>
      </c>
    </row>
    <row r="354" spans="2:14" x14ac:dyDescent="0.3">
      <c r="B354" s="10"/>
      <c r="D354" s="10"/>
      <c r="G354" t="str">
        <f>IFERROR(IF(SUMIF(المشتريات!C:C, 'حركة المخزن'!B354, المشتريات!F:F)=0,"",SUMIF(المشتريات!C:C, 'حركة المخزن'!B354, المشتريات!F:F)),"")</f>
        <v/>
      </c>
      <c r="H354" s="10" t="str">
        <f>IFERROR(IF(SUMIF(المشتريات!C:C, 'حركة المخزن'!B354, المشتريات!I:I)=0,"",SUMIF(المشتريات!C:C, 'حركة المخزن'!B354, المشتريات!I:I)),"")</f>
        <v/>
      </c>
      <c r="I354" s="10" t="str">
        <f>IFERROR(IF(SUMIF('تحليل مبيعات'!C:C, 'حركة المخزن'!B354, 'تحليل مبيعات'!H:H)=0,"",SUMIF('تحليل مبيعات'!C:C, 'حركة المخزن'!B354, 'تحليل مبيعات'!H:H)),"")</f>
        <v/>
      </c>
      <c r="J354" s="10" t="str">
        <f>IFERROR(IF(SUMIF('تحليل مبيعات'!C:C, 'حركة المخزن'!B354, 'تحليل مبيعات'!L:L)=0,"",SUMIF('تحليل مبيعات'!C:C, 'حركة المخزن'!B354, 'تحليل مبيعات'!L:L)),"")</f>
        <v/>
      </c>
      <c r="K354" s="10" t="str">
        <f t="shared" si="21"/>
        <v/>
      </c>
      <c r="L354" s="10" t="str">
        <f t="shared" si="22"/>
        <v/>
      </c>
      <c r="M354">
        <v>5</v>
      </c>
      <c r="N354" t="str">
        <f t="shared" si="23"/>
        <v>يوجد رصيد كافى</v>
      </c>
    </row>
    <row r="355" spans="2:14" x14ac:dyDescent="0.3">
      <c r="B355" s="10"/>
      <c r="D355" s="10"/>
      <c r="G355" t="str">
        <f>IFERROR(IF(SUMIF(المشتريات!C:C, 'حركة المخزن'!B355, المشتريات!F:F)=0,"",SUMIF(المشتريات!C:C, 'حركة المخزن'!B355, المشتريات!F:F)),"")</f>
        <v/>
      </c>
      <c r="H355" s="10" t="str">
        <f>IFERROR(IF(SUMIF(المشتريات!C:C, 'حركة المخزن'!B355, المشتريات!I:I)=0,"",SUMIF(المشتريات!C:C, 'حركة المخزن'!B355, المشتريات!I:I)),"")</f>
        <v/>
      </c>
      <c r="I355" s="10" t="str">
        <f>IFERROR(IF(SUMIF('تحليل مبيعات'!C:C, 'حركة المخزن'!B355, 'تحليل مبيعات'!H:H)=0,"",SUMIF('تحليل مبيعات'!C:C, 'حركة المخزن'!B355, 'تحليل مبيعات'!H:H)),"")</f>
        <v/>
      </c>
      <c r="J355" s="10" t="str">
        <f>IFERROR(IF(SUMIF('تحليل مبيعات'!C:C, 'حركة المخزن'!B355, 'تحليل مبيعات'!L:L)=0,"",SUMIF('تحليل مبيعات'!C:C, 'حركة المخزن'!B355, 'تحليل مبيعات'!L:L)),"")</f>
        <v/>
      </c>
      <c r="K355" s="10" t="str">
        <f t="shared" si="21"/>
        <v/>
      </c>
      <c r="L355" s="10" t="str">
        <f t="shared" si="22"/>
        <v/>
      </c>
      <c r="M355">
        <v>5</v>
      </c>
      <c r="N355" t="str">
        <f t="shared" si="23"/>
        <v>يوجد رصيد كافى</v>
      </c>
    </row>
    <row r="356" spans="2:14" x14ac:dyDescent="0.3">
      <c r="B356" s="10"/>
      <c r="D356" s="10"/>
      <c r="G356" t="str">
        <f>IFERROR(IF(SUMIF(المشتريات!C:C, 'حركة المخزن'!B356, المشتريات!F:F)=0,"",SUMIF(المشتريات!C:C, 'حركة المخزن'!B356, المشتريات!F:F)),"")</f>
        <v/>
      </c>
      <c r="H356" s="10" t="str">
        <f>IFERROR(IF(SUMIF(المشتريات!C:C, 'حركة المخزن'!B356, المشتريات!I:I)=0,"",SUMIF(المشتريات!C:C, 'حركة المخزن'!B356, المشتريات!I:I)),"")</f>
        <v/>
      </c>
      <c r="I356" s="10" t="str">
        <f>IFERROR(IF(SUMIF('تحليل مبيعات'!C:C, 'حركة المخزن'!B356, 'تحليل مبيعات'!H:H)=0,"",SUMIF('تحليل مبيعات'!C:C, 'حركة المخزن'!B356, 'تحليل مبيعات'!H:H)),"")</f>
        <v/>
      </c>
      <c r="J356" s="10" t="str">
        <f>IFERROR(IF(SUMIF('تحليل مبيعات'!C:C, 'حركة المخزن'!B356, 'تحليل مبيعات'!L:L)=0,"",SUMIF('تحليل مبيعات'!C:C, 'حركة المخزن'!B356, 'تحليل مبيعات'!L:L)),"")</f>
        <v/>
      </c>
      <c r="K356" s="10" t="str">
        <f t="shared" si="21"/>
        <v/>
      </c>
      <c r="L356" s="10" t="str">
        <f t="shared" si="22"/>
        <v/>
      </c>
      <c r="M356">
        <v>5</v>
      </c>
      <c r="N356" t="str">
        <f t="shared" si="23"/>
        <v>يوجد رصيد كافى</v>
      </c>
    </row>
    <row r="357" spans="2:14" x14ac:dyDescent="0.3">
      <c r="B357" s="10"/>
      <c r="D357" s="10"/>
      <c r="G357" t="str">
        <f>IFERROR(IF(SUMIF(المشتريات!C:C, 'حركة المخزن'!B357, المشتريات!F:F)=0,"",SUMIF(المشتريات!C:C, 'حركة المخزن'!B357, المشتريات!F:F)),"")</f>
        <v/>
      </c>
      <c r="H357" s="10" t="str">
        <f>IFERROR(IF(SUMIF(المشتريات!C:C, 'حركة المخزن'!B357, المشتريات!I:I)=0,"",SUMIF(المشتريات!C:C, 'حركة المخزن'!B357, المشتريات!I:I)),"")</f>
        <v/>
      </c>
      <c r="I357" s="10" t="str">
        <f>IFERROR(IF(SUMIF('تحليل مبيعات'!C:C, 'حركة المخزن'!B357, 'تحليل مبيعات'!H:H)=0,"",SUMIF('تحليل مبيعات'!C:C, 'حركة المخزن'!B357, 'تحليل مبيعات'!H:H)),"")</f>
        <v/>
      </c>
      <c r="J357" s="10" t="str">
        <f>IFERROR(IF(SUMIF('تحليل مبيعات'!C:C, 'حركة المخزن'!B357, 'تحليل مبيعات'!L:L)=0,"",SUMIF('تحليل مبيعات'!C:C, 'حركة المخزن'!B357, 'تحليل مبيعات'!L:L)),"")</f>
        <v/>
      </c>
      <c r="K357" s="10" t="str">
        <f t="shared" si="21"/>
        <v/>
      </c>
      <c r="L357" s="10" t="str">
        <f t="shared" si="22"/>
        <v/>
      </c>
      <c r="M357">
        <v>5</v>
      </c>
      <c r="N357" t="str">
        <f t="shared" si="23"/>
        <v>يوجد رصيد كافى</v>
      </c>
    </row>
    <row r="358" spans="2:14" x14ac:dyDescent="0.3">
      <c r="B358" s="10"/>
      <c r="D358" s="10"/>
      <c r="G358" t="str">
        <f>IFERROR(IF(SUMIF(المشتريات!C:C, 'حركة المخزن'!B358, المشتريات!F:F)=0,"",SUMIF(المشتريات!C:C, 'حركة المخزن'!B358, المشتريات!F:F)),"")</f>
        <v/>
      </c>
      <c r="H358" s="10" t="str">
        <f>IFERROR(IF(SUMIF(المشتريات!C:C, 'حركة المخزن'!B358, المشتريات!I:I)=0,"",SUMIF(المشتريات!C:C, 'حركة المخزن'!B358, المشتريات!I:I)),"")</f>
        <v/>
      </c>
      <c r="I358" s="10" t="str">
        <f>IFERROR(IF(SUMIF('تحليل مبيعات'!C:C, 'حركة المخزن'!B358, 'تحليل مبيعات'!H:H)=0,"",SUMIF('تحليل مبيعات'!C:C, 'حركة المخزن'!B358, 'تحليل مبيعات'!H:H)),"")</f>
        <v/>
      </c>
      <c r="J358" s="10" t="str">
        <f>IFERROR(IF(SUMIF('تحليل مبيعات'!C:C, 'حركة المخزن'!B358, 'تحليل مبيعات'!L:L)=0,"",SUMIF('تحليل مبيعات'!C:C, 'حركة المخزن'!B358, 'تحليل مبيعات'!L:L)),"")</f>
        <v/>
      </c>
      <c r="K358" s="10" t="str">
        <f t="shared" si="21"/>
        <v/>
      </c>
      <c r="L358" s="10" t="str">
        <f t="shared" si="22"/>
        <v/>
      </c>
      <c r="M358">
        <v>5</v>
      </c>
      <c r="N358" t="str">
        <f t="shared" si="23"/>
        <v>يوجد رصيد كافى</v>
      </c>
    </row>
    <row r="359" spans="2:14" x14ac:dyDescent="0.3">
      <c r="B359" s="10"/>
      <c r="D359" s="10"/>
      <c r="G359" t="str">
        <f>IFERROR(IF(SUMIF(المشتريات!C:C, 'حركة المخزن'!B359, المشتريات!F:F)=0,"",SUMIF(المشتريات!C:C, 'حركة المخزن'!B359, المشتريات!F:F)),"")</f>
        <v/>
      </c>
      <c r="H359" s="10" t="str">
        <f>IFERROR(IF(SUMIF(المشتريات!C:C, 'حركة المخزن'!B359, المشتريات!I:I)=0,"",SUMIF(المشتريات!C:C, 'حركة المخزن'!B359, المشتريات!I:I)),"")</f>
        <v/>
      </c>
      <c r="I359" s="10" t="str">
        <f>IFERROR(IF(SUMIF('تحليل مبيعات'!C:C, 'حركة المخزن'!B359, 'تحليل مبيعات'!H:H)=0,"",SUMIF('تحليل مبيعات'!C:C, 'حركة المخزن'!B359, 'تحليل مبيعات'!H:H)),"")</f>
        <v/>
      </c>
      <c r="J359" s="10" t="str">
        <f>IFERROR(IF(SUMIF('تحليل مبيعات'!C:C, 'حركة المخزن'!B359, 'تحليل مبيعات'!L:L)=0,"",SUMIF('تحليل مبيعات'!C:C, 'حركة المخزن'!B359, 'تحليل مبيعات'!L:L)),"")</f>
        <v/>
      </c>
      <c r="K359" s="10" t="str">
        <f t="shared" si="21"/>
        <v/>
      </c>
      <c r="L359" s="10" t="str">
        <f t="shared" si="22"/>
        <v/>
      </c>
      <c r="M359">
        <v>5</v>
      </c>
      <c r="N359" t="str">
        <f t="shared" si="23"/>
        <v>يوجد رصيد كافى</v>
      </c>
    </row>
    <row r="360" spans="2:14" x14ac:dyDescent="0.3">
      <c r="B360" s="10"/>
      <c r="D360" s="10"/>
      <c r="G360" t="str">
        <f>IFERROR(IF(SUMIF(المشتريات!C:C, 'حركة المخزن'!B360, المشتريات!F:F)=0,"",SUMIF(المشتريات!C:C, 'حركة المخزن'!B360, المشتريات!F:F)),"")</f>
        <v/>
      </c>
      <c r="H360" s="10" t="str">
        <f>IFERROR(IF(SUMIF(المشتريات!C:C, 'حركة المخزن'!B360, المشتريات!I:I)=0,"",SUMIF(المشتريات!C:C, 'حركة المخزن'!B360, المشتريات!I:I)),"")</f>
        <v/>
      </c>
      <c r="I360" s="10" t="str">
        <f>IFERROR(IF(SUMIF('تحليل مبيعات'!C:C, 'حركة المخزن'!B360, 'تحليل مبيعات'!H:H)=0,"",SUMIF('تحليل مبيعات'!C:C, 'حركة المخزن'!B360, 'تحليل مبيعات'!H:H)),"")</f>
        <v/>
      </c>
      <c r="J360" s="10" t="str">
        <f>IFERROR(IF(SUMIF('تحليل مبيعات'!C:C, 'حركة المخزن'!B360, 'تحليل مبيعات'!L:L)=0,"",SUMIF('تحليل مبيعات'!C:C, 'حركة المخزن'!B360, 'تحليل مبيعات'!L:L)),"")</f>
        <v/>
      </c>
      <c r="K360" s="10" t="str">
        <f t="shared" si="21"/>
        <v/>
      </c>
      <c r="L360" s="10" t="str">
        <f t="shared" si="22"/>
        <v/>
      </c>
      <c r="M360">
        <v>5</v>
      </c>
      <c r="N360" t="str">
        <f t="shared" si="23"/>
        <v>يوجد رصيد كافى</v>
      </c>
    </row>
    <row r="361" spans="2:14" x14ac:dyDescent="0.3">
      <c r="B361" s="10"/>
      <c r="D361" s="10"/>
      <c r="G361" t="str">
        <f>IFERROR(IF(SUMIF(المشتريات!C:C, 'حركة المخزن'!B361, المشتريات!F:F)=0,"",SUMIF(المشتريات!C:C, 'حركة المخزن'!B361, المشتريات!F:F)),"")</f>
        <v/>
      </c>
      <c r="H361" s="10" t="str">
        <f>IFERROR(IF(SUMIF(المشتريات!C:C, 'حركة المخزن'!B361, المشتريات!I:I)=0,"",SUMIF(المشتريات!C:C, 'حركة المخزن'!B361, المشتريات!I:I)),"")</f>
        <v/>
      </c>
      <c r="I361" s="10" t="str">
        <f>IFERROR(IF(SUMIF('تحليل مبيعات'!C:C, 'حركة المخزن'!B361, 'تحليل مبيعات'!H:H)=0,"",SUMIF('تحليل مبيعات'!C:C, 'حركة المخزن'!B361, 'تحليل مبيعات'!H:H)),"")</f>
        <v/>
      </c>
      <c r="J361" s="10" t="str">
        <f>IFERROR(IF(SUMIF('تحليل مبيعات'!C:C, 'حركة المخزن'!B361, 'تحليل مبيعات'!L:L)=0,"",SUMIF('تحليل مبيعات'!C:C, 'حركة المخزن'!B361, 'تحليل مبيعات'!L:L)),"")</f>
        <v/>
      </c>
      <c r="K361" s="10" t="str">
        <f t="shared" si="21"/>
        <v/>
      </c>
      <c r="L361" s="10" t="str">
        <f t="shared" si="22"/>
        <v/>
      </c>
      <c r="M361">
        <v>5</v>
      </c>
      <c r="N361" t="str">
        <f t="shared" si="23"/>
        <v>يوجد رصيد كافى</v>
      </c>
    </row>
    <row r="362" spans="2:14" x14ac:dyDescent="0.3">
      <c r="B362" s="10"/>
      <c r="D362" s="10"/>
      <c r="G362" t="str">
        <f>IFERROR(IF(SUMIF(المشتريات!C:C, 'حركة المخزن'!B362, المشتريات!F:F)=0,"",SUMIF(المشتريات!C:C, 'حركة المخزن'!B362, المشتريات!F:F)),"")</f>
        <v/>
      </c>
      <c r="H362" s="10" t="str">
        <f>IFERROR(IF(SUMIF(المشتريات!C:C, 'حركة المخزن'!B362, المشتريات!I:I)=0,"",SUMIF(المشتريات!C:C, 'حركة المخزن'!B362, المشتريات!I:I)),"")</f>
        <v/>
      </c>
      <c r="I362" s="10" t="str">
        <f>IFERROR(IF(SUMIF('تحليل مبيعات'!C:C, 'حركة المخزن'!B362, 'تحليل مبيعات'!H:H)=0,"",SUMIF('تحليل مبيعات'!C:C, 'حركة المخزن'!B362, 'تحليل مبيعات'!H:H)),"")</f>
        <v/>
      </c>
      <c r="J362" s="10" t="str">
        <f>IFERROR(IF(SUMIF('تحليل مبيعات'!C:C, 'حركة المخزن'!B362, 'تحليل مبيعات'!L:L)=0,"",SUMIF('تحليل مبيعات'!C:C, 'حركة المخزن'!B362, 'تحليل مبيعات'!L:L)),"")</f>
        <v/>
      </c>
      <c r="K362" s="10" t="str">
        <f t="shared" si="21"/>
        <v/>
      </c>
      <c r="L362" s="10" t="str">
        <f t="shared" si="22"/>
        <v/>
      </c>
      <c r="M362">
        <v>5</v>
      </c>
      <c r="N362" t="str">
        <f t="shared" si="23"/>
        <v>يوجد رصيد كافى</v>
      </c>
    </row>
    <row r="363" spans="2:14" x14ac:dyDescent="0.3">
      <c r="B363" s="10"/>
      <c r="D363" s="10"/>
      <c r="G363" t="str">
        <f>IFERROR(IF(SUMIF(المشتريات!C:C, 'حركة المخزن'!B363, المشتريات!F:F)=0,"",SUMIF(المشتريات!C:C, 'حركة المخزن'!B363, المشتريات!F:F)),"")</f>
        <v/>
      </c>
      <c r="H363" s="10" t="str">
        <f>IFERROR(IF(SUMIF(المشتريات!C:C, 'حركة المخزن'!B363, المشتريات!I:I)=0,"",SUMIF(المشتريات!C:C, 'حركة المخزن'!B363, المشتريات!I:I)),"")</f>
        <v/>
      </c>
      <c r="I363" s="10" t="str">
        <f>IFERROR(IF(SUMIF('تحليل مبيعات'!C:C, 'حركة المخزن'!B363, 'تحليل مبيعات'!H:H)=0,"",SUMIF('تحليل مبيعات'!C:C, 'حركة المخزن'!B363, 'تحليل مبيعات'!H:H)),"")</f>
        <v/>
      </c>
      <c r="J363" s="10" t="str">
        <f>IFERROR(IF(SUMIF('تحليل مبيعات'!C:C, 'حركة المخزن'!B363, 'تحليل مبيعات'!L:L)=0,"",SUMIF('تحليل مبيعات'!C:C, 'حركة المخزن'!B363, 'تحليل مبيعات'!L:L)),"")</f>
        <v/>
      </c>
      <c r="K363" s="10" t="str">
        <f t="shared" si="21"/>
        <v/>
      </c>
      <c r="L363" s="10" t="str">
        <f t="shared" si="22"/>
        <v/>
      </c>
      <c r="M363">
        <v>5</v>
      </c>
      <c r="N363" t="str">
        <f t="shared" si="23"/>
        <v>يوجد رصيد كافى</v>
      </c>
    </row>
    <row r="364" spans="2:14" x14ac:dyDescent="0.3">
      <c r="B364" s="10"/>
      <c r="D364" s="10"/>
      <c r="G364" t="str">
        <f>IFERROR(IF(SUMIF(المشتريات!C:C, 'حركة المخزن'!B364, المشتريات!F:F)=0,"",SUMIF(المشتريات!C:C, 'حركة المخزن'!B364, المشتريات!F:F)),"")</f>
        <v/>
      </c>
      <c r="H364" s="10" t="str">
        <f>IFERROR(IF(SUMIF(المشتريات!C:C, 'حركة المخزن'!B364, المشتريات!I:I)=0,"",SUMIF(المشتريات!C:C, 'حركة المخزن'!B364, المشتريات!I:I)),"")</f>
        <v/>
      </c>
      <c r="I364" s="10" t="str">
        <f>IFERROR(IF(SUMIF('تحليل مبيعات'!C:C, 'حركة المخزن'!B364, 'تحليل مبيعات'!H:H)=0,"",SUMIF('تحليل مبيعات'!C:C, 'حركة المخزن'!B364, 'تحليل مبيعات'!H:H)),"")</f>
        <v/>
      </c>
      <c r="J364" s="10" t="str">
        <f>IFERROR(IF(SUMIF('تحليل مبيعات'!C:C, 'حركة المخزن'!B364, 'تحليل مبيعات'!L:L)=0,"",SUMIF('تحليل مبيعات'!C:C, 'حركة المخزن'!B364, 'تحليل مبيعات'!L:L)),"")</f>
        <v/>
      </c>
      <c r="K364" s="10" t="str">
        <f t="shared" si="21"/>
        <v/>
      </c>
      <c r="L364" s="10" t="str">
        <f t="shared" si="22"/>
        <v/>
      </c>
      <c r="M364">
        <v>5</v>
      </c>
      <c r="N364" t="str">
        <f t="shared" si="23"/>
        <v>يوجد رصيد كافى</v>
      </c>
    </row>
    <row r="365" spans="2:14" x14ac:dyDescent="0.3">
      <c r="B365" s="10"/>
      <c r="D365" s="10"/>
      <c r="G365" t="str">
        <f>IFERROR(IF(SUMIF(المشتريات!C:C, 'حركة المخزن'!B365, المشتريات!F:F)=0,"",SUMIF(المشتريات!C:C, 'حركة المخزن'!B365, المشتريات!F:F)),"")</f>
        <v/>
      </c>
      <c r="H365" s="10" t="str">
        <f>IFERROR(IF(SUMIF(المشتريات!C:C, 'حركة المخزن'!B365, المشتريات!I:I)=0,"",SUMIF(المشتريات!C:C, 'حركة المخزن'!B365, المشتريات!I:I)),"")</f>
        <v/>
      </c>
      <c r="I365" s="10" t="str">
        <f>IFERROR(IF(SUMIF('تحليل مبيعات'!C:C, 'حركة المخزن'!B365, 'تحليل مبيعات'!H:H)=0,"",SUMIF('تحليل مبيعات'!C:C, 'حركة المخزن'!B365, 'تحليل مبيعات'!H:H)),"")</f>
        <v/>
      </c>
      <c r="J365" s="10" t="str">
        <f>IFERROR(IF(SUMIF('تحليل مبيعات'!C:C, 'حركة المخزن'!B365, 'تحليل مبيعات'!L:L)=0,"",SUMIF('تحليل مبيعات'!C:C, 'حركة المخزن'!B365, 'تحليل مبيعات'!L:L)),"")</f>
        <v/>
      </c>
      <c r="K365" s="10" t="str">
        <f t="shared" si="21"/>
        <v/>
      </c>
      <c r="L365" s="10" t="str">
        <f t="shared" si="22"/>
        <v/>
      </c>
      <c r="M365">
        <v>5</v>
      </c>
      <c r="N365" t="str">
        <f t="shared" si="23"/>
        <v>يوجد رصيد كافى</v>
      </c>
    </row>
    <row r="366" spans="2:14" x14ac:dyDescent="0.3">
      <c r="B366" s="10"/>
      <c r="D366" s="10"/>
      <c r="G366" t="str">
        <f>IFERROR(IF(SUMIF(المشتريات!C:C, 'حركة المخزن'!B366, المشتريات!F:F)=0,"",SUMIF(المشتريات!C:C, 'حركة المخزن'!B366, المشتريات!F:F)),"")</f>
        <v/>
      </c>
      <c r="H366" s="10" t="str">
        <f>IFERROR(IF(SUMIF(المشتريات!C:C, 'حركة المخزن'!B366, المشتريات!I:I)=0,"",SUMIF(المشتريات!C:C, 'حركة المخزن'!B366, المشتريات!I:I)),"")</f>
        <v/>
      </c>
      <c r="I366" s="10" t="str">
        <f>IFERROR(IF(SUMIF('تحليل مبيعات'!C:C, 'حركة المخزن'!B366, 'تحليل مبيعات'!H:H)=0,"",SUMIF('تحليل مبيعات'!C:C, 'حركة المخزن'!B366, 'تحليل مبيعات'!H:H)),"")</f>
        <v/>
      </c>
      <c r="J366" s="10" t="str">
        <f>IFERROR(IF(SUMIF('تحليل مبيعات'!C:C, 'حركة المخزن'!B366, 'تحليل مبيعات'!L:L)=0,"",SUMIF('تحليل مبيعات'!C:C, 'حركة المخزن'!B366, 'تحليل مبيعات'!L:L)),"")</f>
        <v/>
      </c>
      <c r="K366" s="10" t="str">
        <f t="shared" si="21"/>
        <v/>
      </c>
      <c r="L366" s="10" t="str">
        <f t="shared" si="22"/>
        <v/>
      </c>
      <c r="M366">
        <v>5</v>
      </c>
      <c r="N366" t="str">
        <f t="shared" si="23"/>
        <v>يوجد رصيد كافى</v>
      </c>
    </row>
    <row r="367" spans="2:14" x14ac:dyDescent="0.3">
      <c r="B367" s="10"/>
      <c r="D367" s="10"/>
      <c r="G367" t="str">
        <f>IFERROR(IF(SUMIF(المشتريات!C:C, 'حركة المخزن'!B367, المشتريات!F:F)=0,"",SUMIF(المشتريات!C:C, 'حركة المخزن'!B367, المشتريات!F:F)),"")</f>
        <v/>
      </c>
      <c r="H367" s="10" t="str">
        <f>IFERROR(IF(SUMIF(المشتريات!C:C, 'حركة المخزن'!B367, المشتريات!I:I)=0,"",SUMIF(المشتريات!C:C, 'حركة المخزن'!B367, المشتريات!I:I)),"")</f>
        <v/>
      </c>
      <c r="I367" s="10" t="str">
        <f>IFERROR(IF(SUMIF('تحليل مبيعات'!C:C, 'حركة المخزن'!B367, 'تحليل مبيعات'!H:H)=0,"",SUMIF('تحليل مبيعات'!C:C, 'حركة المخزن'!B367, 'تحليل مبيعات'!H:H)),"")</f>
        <v/>
      </c>
      <c r="J367" s="10" t="str">
        <f>IFERROR(IF(SUMIF('تحليل مبيعات'!C:C, 'حركة المخزن'!B367, 'تحليل مبيعات'!L:L)=0,"",SUMIF('تحليل مبيعات'!C:C, 'حركة المخزن'!B367, 'تحليل مبيعات'!L:L)),"")</f>
        <v/>
      </c>
      <c r="K367" s="10" t="str">
        <f t="shared" si="21"/>
        <v/>
      </c>
      <c r="L367" s="10" t="str">
        <f t="shared" si="22"/>
        <v/>
      </c>
      <c r="M367">
        <v>5</v>
      </c>
      <c r="N367" t="str">
        <f t="shared" si="23"/>
        <v>يوجد رصيد كافى</v>
      </c>
    </row>
    <row r="368" spans="2:14" x14ac:dyDescent="0.3">
      <c r="B368" s="10"/>
      <c r="D368" s="10"/>
      <c r="G368" t="str">
        <f>IFERROR(IF(SUMIF(المشتريات!C:C, 'حركة المخزن'!B368, المشتريات!F:F)=0,"",SUMIF(المشتريات!C:C, 'حركة المخزن'!B368, المشتريات!F:F)),"")</f>
        <v/>
      </c>
      <c r="H368" s="10" t="str">
        <f>IFERROR(IF(SUMIF(المشتريات!C:C, 'حركة المخزن'!B368, المشتريات!I:I)=0,"",SUMIF(المشتريات!C:C, 'حركة المخزن'!B368, المشتريات!I:I)),"")</f>
        <v/>
      </c>
      <c r="I368" s="10" t="str">
        <f>IFERROR(IF(SUMIF('تحليل مبيعات'!C:C, 'حركة المخزن'!B368, 'تحليل مبيعات'!H:H)=0,"",SUMIF('تحليل مبيعات'!C:C, 'حركة المخزن'!B368, 'تحليل مبيعات'!H:H)),"")</f>
        <v/>
      </c>
      <c r="J368" s="10" t="str">
        <f>IFERROR(IF(SUMIF('تحليل مبيعات'!C:C, 'حركة المخزن'!B368, 'تحليل مبيعات'!L:L)=0,"",SUMIF('تحليل مبيعات'!C:C, 'حركة المخزن'!B368, 'تحليل مبيعات'!L:L)),"")</f>
        <v/>
      </c>
      <c r="K368" s="10" t="str">
        <f t="shared" si="21"/>
        <v/>
      </c>
      <c r="L368" s="10" t="str">
        <f t="shared" si="22"/>
        <v/>
      </c>
      <c r="M368">
        <v>5</v>
      </c>
      <c r="N368" t="str">
        <f t="shared" si="23"/>
        <v>يوجد رصيد كافى</v>
      </c>
    </row>
    <row r="369" spans="2:14" x14ac:dyDescent="0.3">
      <c r="B369" s="10"/>
      <c r="D369" s="10"/>
      <c r="G369" t="str">
        <f>IFERROR(IF(SUMIF(المشتريات!C:C, 'حركة المخزن'!B369, المشتريات!F:F)=0,"",SUMIF(المشتريات!C:C, 'حركة المخزن'!B369, المشتريات!F:F)),"")</f>
        <v/>
      </c>
      <c r="H369" s="10" t="str">
        <f>IFERROR(IF(SUMIF(المشتريات!C:C, 'حركة المخزن'!B369, المشتريات!I:I)=0,"",SUMIF(المشتريات!C:C, 'حركة المخزن'!B369, المشتريات!I:I)),"")</f>
        <v/>
      </c>
      <c r="I369" s="10" t="str">
        <f>IFERROR(IF(SUMIF('تحليل مبيعات'!C:C, 'حركة المخزن'!B369, 'تحليل مبيعات'!H:H)=0,"",SUMIF('تحليل مبيعات'!C:C, 'حركة المخزن'!B369, 'تحليل مبيعات'!H:H)),"")</f>
        <v/>
      </c>
      <c r="J369" s="10" t="str">
        <f>IFERROR(IF(SUMIF('تحليل مبيعات'!C:C, 'حركة المخزن'!B369, 'تحليل مبيعات'!L:L)=0,"",SUMIF('تحليل مبيعات'!C:C, 'حركة المخزن'!B369, 'تحليل مبيعات'!L:L)),"")</f>
        <v/>
      </c>
      <c r="K369" s="10" t="str">
        <f t="shared" si="21"/>
        <v/>
      </c>
      <c r="L369" s="10" t="str">
        <f t="shared" si="22"/>
        <v/>
      </c>
      <c r="M369">
        <v>5</v>
      </c>
      <c r="N369" t="str">
        <f t="shared" si="23"/>
        <v>يوجد رصيد كافى</v>
      </c>
    </row>
    <row r="370" spans="2:14" x14ac:dyDescent="0.3">
      <c r="B370" s="10"/>
      <c r="D370" s="10"/>
      <c r="G370" t="str">
        <f>IFERROR(IF(SUMIF(المشتريات!C:C, 'حركة المخزن'!B370, المشتريات!F:F)=0,"",SUMIF(المشتريات!C:C, 'حركة المخزن'!B370, المشتريات!F:F)),"")</f>
        <v/>
      </c>
      <c r="H370" s="10" t="str">
        <f>IFERROR(IF(SUMIF(المشتريات!C:C, 'حركة المخزن'!B370, المشتريات!I:I)=0,"",SUMIF(المشتريات!C:C, 'حركة المخزن'!B370, المشتريات!I:I)),"")</f>
        <v/>
      </c>
      <c r="I370" s="10" t="str">
        <f>IFERROR(IF(SUMIF('تحليل مبيعات'!C:C, 'حركة المخزن'!B370, 'تحليل مبيعات'!H:H)=0,"",SUMIF('تحليل مبيعات'!C:C, 'حركة المخزن'!B370, 'تحليل مبيعات'!H:H)),"")</f>
        <v/>
      </c>
      <c r="J370" s="10" t="str">
        <f>IFERROR(IF(SUMIF('تحليل مبيعات'!C:C, 'حركة المخزن'!B370, 'تحليل مبيعات'!L:L)=0,"",SUMIF('تحليل مبيعات'!C:C, 'حركة المخزن'!B370, 'تحليل مبيعات'!L:L)),"")</f>
        <v/>
      </c>
      <c r="K370" s="10" t="str">
        <f t="shared" si="21"/>
        <v/>
      </c>
      <c r="L370" s="10" t="str">
        <f t="shared" si="22"/>
        <v/>
      </c>
      <c r="M370">
        <v>5</v>
      </c>
      <c r="N370" t="str">
        <f t="shared" si="23"/>
        <v>يوجد رصيد كافى</v>
      </c>
    </row>
    <row r="371" spans="2:14" x14ac:dyDescent="0.3">
      <c r="B371" s="10"/>
      <c r="D371" s="10"/>
      <c r="G371" t="str">
        <f>IFERROR(IF(SUMIF(المشتريات!C:C, 'حركة المخزن'!B371, المشتريات!F:F)=0,"",SUMIF(المشتريات!C:C, 'حركة المخزن'!B371, المشتريات!F:F)),"")</f>
        <v/>
      </c>
      <c r="H371" s="10" t="str">
        <f>IFERROR(IF(SUMIF(المشتريات!C:C, 'حركة المخزن'!B371, المشتريات!I:I)=0,"",SUMIF(المشتريات!C:C, 'حركة المخزن'!B371, المشتريات!I:I)),"")</f>
        <v/>
      </c>
      <c r="I371" s="10" t="str">
        <f>IFERROR(IF(SUMIF('تحليل مبيعات'!C:C, 'حركة المخزن'!B371, 'تحليل مبيعات'!H:H)=0,"",SUMIF('تحليل مبيعات'!C:C, 'حركة المخزن'!B371, 'تحليل مبيعات'!H:H)),"")</f>
        <v/>
      </c>
      <c r="J371" s="10" t="str">
        <f>IFERROR(IF(SUMIF('تحليل مبيعات'!C:C, 'حركة المخزن'!B371, 'تحليل مبيعات'!L:L)=0,"",SUMIF('تحليل مبيعات'!C:C, 'حركة المخزن'!B371, 'تحليل مبيعات'!L:L)),"")</f>
        <v/>
      </c>
      <c r="K371" s="10" t="str">
        <f t="shared" si="21"/>
        <v/>
      </c>
      <c r="L371" s="10" t="str">
        <f t="shared" si="22"/>
        <v/>
      </c>
      <c r="M371">
        <v>5</v>
      </c>
      <c r="N371" t="str">
        <f t="shared" si="23"/>
        <v>يوجد رصيد كافى</v>
      </c>
    </row>
    <row r="372" spans="2:14" x14ac:dyDescent="0.3">
      <c r="B372" s="10"/>
      <c r="D372" s="10"/>
      <c r="G372" t="str">
        <f>IFERROR(IF(SUMIF(المشتريات!C:C, 'حركة المخزن'!B372, المشتريات!F:F)=0,"",SUMIF(المشتريات!C:C, 'حركة المخزن'!B372, المشتريات!F:F)),"")</f>
        <v/>
      </c>
      <c r="H372" s="10" t="str">
        <f>IFERROR(IF(SUMIF(المشتريات!C:C, 'حركة المخزن'!B372, المشتريات!I:I)=0,"",SUMIF(المشتريات!C:C, 'حركة المخزن'!B372, المشتريات!I:I)),"")</f>
        <v/>
      </c>
      <c r="I372" s="10" t="str">
        <f>IFERROR(IF(SUMIF('تحليل مبيعات'!C:C, 'حركة المخزن'!B372, 'تحليل مبيعات'!H:H)=0,"",SUMIF('تحليل مبيعات'!C:C, 'حركة المخزن'!B372, 'تحليل مبيعات'!H:H)),"")</f>
        <v/>
      </c>
      <c r="J372" s="10" t="str">
        <f>IFERROR(IF(SUMIF('تحليل مبيعات'!C:C, 'حركة المخزن'!B372, 'تحليل مبيعات'!L:L)=0,"",SUMIF('تحليل مبيعات'!C:C, 'حركة المخزن'!B372, 'تحليل مبيعات'!L:L)),"")</f>
        <v/>
      </c>
      <c r="K372" s="10" t="str">
        <f t="shared" si="21"/>
        <v/>
      </c>
      <c r="L372" s="10" t="str">
        <f t="shared" si="22"/>
        <v/>
      </c>
      <c r="M372">
        <v>5</v>
      </c>
      <c r="N372" t="str">
        <f t="shared" si="23"/>
        <v>يوجد رصيد كافى</v>
      </c>
    </row>
    <row r="373" spans="2:14" x14ac:dyDescent="0.3">
      <c r="B373" s="10"/>
      <c r="D373" s="10"/>
      <c r="G373" t="str">
        <f>IFERROR(IF(SUMIF(المشتريات!C:C, 'حركة المخزن'!B373, المشتريات!F:F)=0,"",SUMIF(المشتريات!C:C, 'حركة المخزن'!B373, المشتريات!F:F)),"")</f>
        <v/>
      </c>
      <c r="H373" s="10" t="str">
        <f>IFERROR(IF(SUMIF(المشتريات!C:C, 'حركة المخزن'!B373, المشتريات!I:I)=0,"",SUMIF(المشتريات!C:C, 'حركة المخزن'!B373, المشتريات!I:I)),"")</f>
        <v/>
      </c>
      <c r="I373" s="10" t="str">
        <f>IFERROR(IF(SUMIF('تحليل مبيعات'!C:C, 'حركة المخزن'!B373, 'تحليل مبيعات'!H:H)=0,"",SUMIF('تحليل مبيعات'!C:C, 'حركة المخزن'!B373, 'تحليل مبيعات'!H:H)),"")</f>
        <v/>
      </c>
      <c r="J373" s="10" t="str">
        <f>IFERROR(IF(SUMIF('تحليل مبيعات'!C:C, 'حركة المخزن'!B373, 'تحليل مبيعات'!L:L)=0,"",SUMIF('تحليل مبيعات'!C:C, 'حركة المخزن'!B373, 'تحليل مبيعات'!L:L)),"")</f>
        <v/>
      </c>
      <c r="K373" s="10" t="str">
        <f t="shared" si="21"/>
        <v/>
      </c>
      <c r="L373" s="10" t="str">
        <f t="shared" si="22"/>
        <v/>
      </c>
      <c r="M373">
        <v>5</v>
      </c>
      <c r="N373" t="str">
        <f t="shared" si="23"/>
        <v>يوجد رصيد كافى</v>
      </c>
    </row>
    <row r="374" spans="2:14" x14ac:dyDescent="0.3">
      <c r="B374" s="10"/>
      <c r="D374" s="10"/>
      <c r="G374" t="str">
        <f>IFERROR(IF(SUMIF(المشتريات!C:C, 'حركة المخزن'!B374, المشتريات!F:F)=0,"",SUMIF(المشتريات!C:C, 'حركة المخزن'!B374, المشتريات!F:F)),"")</f>
        <v/>
      </c>
      <c r="H374" s="10" t="str">
        <f>IFERROR(IF(SUMIF(المشتريات!C:C, 'حركة المخزن'!B374, المشتريات!I:I)=0,"",SUMIF(المشتريات!C:C, 'حركة المخزن'!B374, المشتريات!I:I)),"")</f>
        <v/>
      </c>
      <c r="I374" s="10" t="str">
        <f>IFERROR(IF(SUMIF('تحليل مبيعات'!C:C, 'حركة المخزن'!B374, 'تحليل مبيعات'!H:H)=0,"",SUMIF('تحليل مبيعات'!C:C, 'حركة المخزن'!B374, 'تحليل مبيعات'!H:H)),"")</f>
        <v/>
      </c>
      <c r="J374" s="10" t="str">
        <f>IFERROR(IF(SUMIF('تحليل مبيعات'!C:C, 'حركة المخزن'!B374, 'تحليل مبيعات'!L:L)=0,"",SUMIF('تحليل مبيعات'!C:C, 'حركة المخزن'!B374, 'تحليل مبيعات'!L:L)),"")</f>
        <v/>
      </c>
      <c r="K374" s="10" t="str">
        <f t="shared" si="21"/>
        <v/>
      </c>
      <c r="L374" s="10" t="str">
        <f t="shared" si="22"/>
        <v/>
      </c>
      <c r="M374">
        <v>5</v>
      </c>
      <c r="N374" t="str">
        <f t="shared" si="23"/>
        <v>يوجد رصيد كافى</v>
      </c>
    </row>
    <row r="375" spans="2:14" x14ac:dyDescent="0.3">
      <c r="B375" s="10"/>
      <c r="D375" s="10"/>
      <c r="G375" t="str">
        <f>IFERROR(IF(SUMIF(المشتريات!C:C, 'حركة المخزن'!B375, المشتريات!F:F)=0,"",SUMIF(المشتريات!C:C, 'حركة المخزن'!B375, المشتريات!F:F)),"")</f>
        <v/>
      </c>
      <c r="H375" s="10" t="str">
        <f>IFERROR(IF(SUMIF(المشتريات!C:C, 'حركة المخزن'!B375, المشتريات!I:I)=0,"",SUMIF(المشتريات!C:C, 'حركة المخزن'!B375, المشتريات!I:I)),"")</f>
        <v/>
      </c>
      <c r="I375" s="10" t="str">
        <f>IFERROR(IF(SUMIF('تحليل مبيعات'!C:C, 'حركة المخزن'!B375, 'تحليل مبيعات'!H:H)=0,"",SUMIF('تحليل مبيعات'!C:C, 'حركة المخزن'!B375, 'تحليل مبيعات'!H:H)),"")</f>
        <v/>
      </c>
      <c r="J375" s="10" t="str">
        <f>IFERROR(IF(SUMIF('تحليل مبيعات'!C:C, 'حركة المخزن'!B375, 'تحليل مبيعات'!L:L)=0,"",SUMIF('تحليل مبيعات'!C:C, 'حركة المخزن'!B375, 'تحليل مبيعات'!L:L)),"")</f>
        <v/>
      </c>
      <c r="K375" s="10" t="str">
        <f t="shared" si="21"/>
        <v/>
      </c>
      <c r="L375" s="10" t="str">
        <f t="shared" si="22"/>
        <v/>
      </c>
      <c r="M375">
        <v>5</v>
      </c>
      <c r="N375" t="str">
        <f t="shared" si="23"/>
        <v>يوجد رصيد كافى</v>
      </c>
    </row>
    <row r="376" spans="2:14" x14ac:dyDescent="0.3">
      <c r="B376" s="10"/>
      <c r="D376" s="10"/>
      <c r="G376" t="str">
        <f>IFERROR(IF(SUMIF(المشتريات!C:C, 'حركة المخزن'!B376, المشتريات!F:F)=0,"",SUMIF(المشتريات!C:C, 'حركة المخزن'!B376, المشتريات!F:F)),"")</f>
        <v/>
      </c>
      <c r="H376" s="10" t="str">
        <f>IFERROR(IF(SUMIF(المشتريات!C:C, 'حركة المخزن'!B376, المشتريات!I:I)=0,"",SUMIF(المشتريات!C:C, 'حركة المخزن'!B376, المشتريات!I:I)),"")</f>
        <v/>
      </c>
      <c r="I376" s="10" t="str">
        <f>IFERROR(IF(SUMIF('تحليل مبيعات'!C:C, 'حركة المخزن'!B376, 'تحليل مبيعات'!H:H)=0,"",SUMIF('تحليل مبيعات'!C:C, 'حركة المخزن'!B376, 'تحليل مبيعات'!H:H)),"")</f>
        <v/>
      </c>
      <c r="J376" s="10" t="str">
        <f>IFERROR(IF(SUMIF('تحليل مبيعات'!C:C, 'حركة المخزن'!B376, 'تحليل مبيعات'!L:L)=0,"",SUMIF('تحليل مبيعات'!C:C, 'حركة المخزن'!B376, 'تحليل مبيعات'!L:L)),"")</f>
        <v/>
      </c>
      <c r="K376" s="10" t="str">
        <f t="shared" si="21"/>
        <v/>
      </c>
      <c r="L376" s="10" t="str">
        <f t="shared" si="22"/>
        <v/>
      </c>
      <c r="M376">
        <v>5</v>
      </c>
      <c r="N376" t="str">
        <f t="shared" si="23"/>
        <v>يوجد رصيد كافى</v>
      </c>
    </row>
    <row r="377" spans="2:14" x14ac:dyDescent="0.3">
      <c r="B377" s="10"/>
      <c r="D377" s="10"/>
      <c r="G377" t="str">
        <f>IFERROR(IF(SUMIF(المشتريات!C:C, 'حركة المخزن'!B377, المشتريات!F:F)=0,"",SUMIF(المشتريات!C:C, 'حركة المخزن'!B377, المشتريات!F:F)),"")</f>
        <v/>
      </c>
      <c r="H377" s="10" t="str">
        <f>IFERROR(IF(SUMIF(المشتريات!C:C, 'حركة المخزن'!B377, المشتريات!I:I)=0,"",SUMIF(المشتريات!C:C, 'حركة المخزن'!B377, المشتريات!I:I)),"")</f>
        <v/>
      </c>
      <c r="I377" s="10" t="str">
        <f>IFERROR(IF(SUMIF('تحليل مبيعات'!C:C, 'حركة المخزن'!B377, 'تحليل مبيعات'!H:H)=0,"",SUMIF('تحليل مبيعات'!C:C, 'حركة المخزن'!B377, 'تحليل مبيعات'!H:H)),"")</f>
        <v/>
      </c>
      <c r="J377" s="10" t="str">
        <f>IFERROR(IF(SUMIF('تحليل مبيعات'!C:C, 'حركة المخزن'!B377, 'تحليل مبيعات'!L:L)=0,"",SUMIF('تحليل مبيعات'!C:C, 'حركة المخزن'!B377, 'تحليل مبيعات'!L:L)),"")</f>
        <v/>
      </c>
      <c r="K377" s="10" t="str">
        <f t="shared" si="21"/>
        <v/>
      </c>
      <c r="L377" s="10" t="str">
        <f t="shared" si="22"/>
        <v/>
      </c>
      <c r="M377">
        <v>5</v>
      </c>
      <c r="N377" t="str">
        <f t="shared" si="23"/>
        <v>يوجد رصيد كافى</v>
      </c>
    </row>
    <row r="378" spans="2:14" x14ac:dyDescent="0.3">
      <c r="B378" s="10"/>
      <c r="D378" s="10"/>
      <c r="G378" t="str">
        <f>IFERROR(IF(SUMIF(المشتريات!C:C, 'حركة المخزن'!B378, المشتريات!F:F)=0,"",SUMIF(المشتريات!C:C, 'حركة المخزن'!B378, المشتريات!F:F)),"")</f>
        <v/>
      </c>
      <c r="H378" s="10" t="str">
        <f>IFERROR(IF(SUMIF(المشتريات!C:C, 'حركة المخزن'!B378, المشتريات!I:I)=0,"",SUMIF(المشتريات!C:C, 'حركة المخزن'!B378, المشتريات!I:I)),"")</f>
        <v/>
      </c>
      <c r="I378" s="10" t="str">
        <f>IFERROR(IF(SUMIF('تحليل مبيعات'!C:C, 'حركة المخزن'!B378, 'تحليل مبيعات'!H:H)=0,"",SUMIF('تحليل مبيعات'!C:C, 'حركة المخزن'!B378, 'تحليل مبيعات'!H:H)),"")</f>
        <v/>
      </c>
      <c r="J378" s="10" t="str">
        <f>IFERROR(IF(SUMIF('تحليل مبيعات'!C:C, 'حركة المخزن'!B378, 'تحليل مبيعات'!L:L)=0,"",SUMIF('تحليل مبيعات'!C:C, 'حركة المخزن'!B378, 'تحليل مبيعات'!L:L)),"")</f>
        <v/>
      </c>
      <c r="K378" s="10" t="str">
        <f t="shared" si="21"/>
        <v/>
      </c>
      <c r="L378" s="10" t="str">
        <f t="shared" si="22"/>
        <v/>
      </c>
      <c r="M378">
        <v>5</v>
      </c>
      <c r="N378" t="str">
        <f t="shared" si="23"/>
        <v>يوجد رصيد كافى</v>
      </c>
    </row>
    <row r="379" spans="2:14" x14ac:dyDescent="0.3">
      <c r="B379" s="10"/>
      <c r="D379" s="10"/>
      <c r="G379" t="str">
        <f>IFERROR(IF(SUMIF(المشتريات!C:C, 'حركة المخزن'!B379, المشتريات!F:F)=0,"",SUMIF(المشتريات!C:C, 'حركة المخزن'!B379, المشتريات!F:F)),"")</f>
        <v/>
      </c>
      <c r="H379" s="10" t="str">
        <f>IFERROR(IF(SUMIF(المشتريات!C:C, 'حركة المخزن'!B379, المشتريات!I:I)=0,"",SUMIF(المشتريات!C:C, 'حركة المخزن'!B379, المشتريات!I:I)),"")</f>
        <v/>
      </c>
      <c r="I379" s="10" t="str">
        <f>IFERROR(IF(SUMIF('تحليل مبيعات'!C:C, 'حركة المخزن'!B379, 'تحليل مبيعات'!H:H)=0,"",SUMIF('تحليل مبيعات'!C:C, 'حركة المخزن'!B379, 'تحليل مبيعات'!H:H)),"")</f>
        <v/>
      </c>
      <c r="J379" s="10" t="str">
        <f>IFERROR(IF(SUMIF('تحليل مبيعات'!C:C, 'حركة المخزن'!B379, 'تحليل مبيعات'!L:L)=0,"",SUMIF('تحليل مبيعات'!C:C, 'حركة المخزن'!B379, 'تحليل مبيعات'!L:L)),"")</f>
        <v/>
      </c>
      <c r="K379" s="10" t="str">
        <f t="shared" si="21"/>
        <v/>
      </c>
      <c r="L379" s="10" t="str">
        <f t="shared" si="22"/>
        <v/>
      </c>
      <c r="M379">
        <v>5</v>
      </c>
      <c r="N379" t="str">
        <f t="shared" si="23"/>
        <v>يوجد رصيد كافى</v>
      </c>
    </row>
    <row r="380" spans="2:14" x14ac:dyDescent="0.3">
      <c r="B380" s="10"/>
      <c r="D380" s="10"/>
      <c r="G380" t="str">
        <f>IFERROR(IF(SUMIF(المشتريات!C:C, 'حركة المخزن'!B380, المشتريات!F:F)=0,"",SUMIF(المشتريات!C:C, 'حركة المخزن'!B380, المشتريات!F:F)),"")</f>
        <v/>
      </c>
      <c r="H380" s="10" t="str">
        <f>IFERROR(IF(SUMIF(المشتريات!C:C, 'حركة المخزن'!B380, المشتريات!I:I)=0,"",SUMIF(المشتريات!C:C, 'حركة المخزن'!B380, المشتريات!I:I)),"")</f>
        <v/>
      </c>
      <c r="I380" s="10" t="str">
        <f>IFERROR(IF(SUMIF('تحليل مبيعات'!C:C, 'حركة المخزن'!B380, 'تحليل مبيعات'!H:H)=0,"",SUMIF('تحليل مبيعات'!C:C, 'حركة المخزن'!B380, 'تحليل مبيعات'!H:H)),"")</f>
        <v/>
      </c>
      <c r="J380" s="10" t="str">
        <f>IFERROR(IF(SUMIF('تحليل مبيعات'!C:C, 'حركة المخزن'!B380, 'تحليل مبيعات'!L:L)=0,"",SUMIF('تحليل مبيعات'!C:C, 'حركة المخزن'!B380, 'تحليل مبيعات'!L:L)),"")</f>
        <v/>
      </c>
      <c r="K380" s="10" t="str">
        <f t="shared" si="21"/>
        <v/>
      </c>
      <c r="L380" s="10" t="str">
        <f t="shared" si="22"/>
        <v/>
      </c>
      <c r="M380">
        <v>5</v>
      </c>
      <c r="N380" t="str">
        <f t="shared" si="23"/>
        <v>يوجد رصيد كافى</v>
      </c>
    </row>
    <row r="381" spans="2:14" x14ac:dyDescent="0.3">
      <c r="B381" s="10"/>
      <c r="D381" s="10"/>
      <c r="G381" t="str">
        <f>IFERROR(IF(SUMIF(المشتريات!C:C, 'حركة المخزن'!B381, المشتريات!F:F)=0,"",SUMIF(المشتريات!C:C, 'حركة المخزن'!B381, المشتريات!F:F)),"")</f>
        <v/>
      </c>
      <c r="H381" s="10" t="str">
        <f>IFERROR(IF(SUMIF(المشتريات!C:C, 'حركة المخزن'!B381, المشتريات!I:I)=0,"",SUMIF(المشتريات!C:C, 'حركة المخزن'!B381, المشتريات!I:I)),"")</f>
        <v/>
      </c>
      <c r="I381" s="10" t="str">
        <f>IFERROR(IF(SUMIF('تحليل مبيعات'!C:C, 'حركة المخزن'!B381, 'تحليل مبيعات'!H:H)=0,"",SUMIF('تحليل مبيعات'!C:C, 'حركة المخزن'!B381, 'تحليل مبيعات'!H:H)),"")</f>
        <v/>
      </c>
      <c r="J381" s="10" t="str">
        <f>IFERROR(IF(SUMIF('تحليل مبيعات'!C:C, 'حركة المخزن'!B381, 'تحليل مبيعات'!L:L)=0,"",SUMIF('تحليل مبيعات'!C:C, 'حركة المخزن'!B381, 'تحليل مبيعات'!L:L)),"")</f>
        <v/>
      </c>
      <c r="K381" s="10" t="str">
        <f t="shared" si="21"/>
        <v/>
      </c>
      <c r="L381" s="10" t="str">
        <f t="shared" si="22"/>
        <v/>
      </c>
      <c r="M381">
        <v>5</v>
      </c>
      <c r="N381" t="str">
        <f t="shared" si="23"/>
        <v>يوجد رصيد كافى</v>
      </c>
    </row>
    <row r="382" spans="2:14" x14ac:dyDescent="0.3">
      <c r="B382" s="10"/>
      <c r="D382" s="10"/>
      <c r="G382" t="str">
        <f>IFERROR(IF(SUMIF(المشتريات!C:C, 'حركة المخزن'!B382, المشتريات!F:F)=0,"",SUMIF(المشتريات!C:C, 'حركة المخزن'!B382, المشتريات!F:F)),"")</f>
        <v/>
      </c>
      <c r="H382" s="10" t="str">
        <f>IFERROR(IF(SUMIF(المشتريات!C:C, 'حركة المخزن'!B382, المشتريات!I:I)=0,"",SUMIF(المشتريات!C:C, 'حركة المخزن'!B382, المشتريات!I:I)),"")</f>
        <v/>
      </c>
      <c r="I382" s="10" t="str">
        <f>IFERROR(IF(SUMIF('تحليل مبيعات'!C:C, 'حركة المخزن'!B382, 'تحليل مبيعات'!H:H)=0,"",SUMIF('تحليل مبيعات'!C:C, 'حركة المخزن'!B382, 'تحليل مبيعات'!H:H)),"")</f>
        <v/>
      </c>
      <c r="J382" s="10" t="str">
        <f>IFERROR(IF(SUMIF('تحليل مبيعات'!C:C, 'حركة المخزن'!B382, 'تحليل مبيعات'!L:L)=0,"",SUMIF('تحليل مبيعات'!C:C, 'حركة المخزن'!B382, 'تحليل مبيعات'!L:L)),"")</f>
        <v/>
      </c>
      <c r="K382" s="10" t="str">
        <f t="shared" si="21"/>
        <v/>
      </c>
      <c r="L382" s="10" t="str">
        <f t="shared" si="22"/>
        <v/>
      </c>
      <c r="M382">
        <v>5</v>
      </c>
      <c r="N382" t="str">
        <f t="shared" si="23"/>
        <v>يوجد رصيد كافى</v>
      </c>
    </row>
    <row r="383" spans="2:14" x14ac:dyDescent="0.3">
      <c r="B383" s="10"/>
      <c r="D383" s="10"/>
      <c r="G383" t="str">
        <f>IFERROR(IF(SUMIF(المشتريات!C:C, 'حركة المخزن'!B383, المشتريات!F:F)=0,"",SUMIF(المشتريات!C:C, 'حركة المخزن'!B383, المشتريات!F:F)),"")</f>
        <v/>
      </c>
      <c r="H383" s="10" t="str">
        <f>IFERROR(IF(SUMIF(المشتريات!C:C, 'حركة المخزن'!B383, المشتريات!I:I)=0,"",SUMIF(المشتريات!C:C, 'حركة المخزن'!B383, المشتريات!I:I)),"")</f>
        <v/>
      </c>
      <c r="I383" s="10" t="str">
        <f>IFERROR(IF(SUMIF('تحليل مبيعات'!C:C, 'حركة المخزن'!B383, 'تحليل مبيعات'!H:H)=0,"",SUMIF('تحليل مبيعات'!C:C, 'حركة المخزن'!B383, 'تحليل مبيعات'!H:H)),"")</f>
        <v/>
      </c>
      <c r="J383" s="10" t="str">
        <f>IFERROR(IF(SUMIF('تحليل مبيعات'!C:C, 'حركة المخزن'!B383, 'تحليل مبيعات'!L:L)=0,"",SUMIF('تحليل مبيعات'!C:C, 'حركة المخزن'!B383, 'تحليل مبيعات'!L:L)),"")</f>
        <v/>
      </c>
      <c r="K383" s="10" t="str">
        <f t="shared" si="21"/>
        <v/>
      </c>
      <c r="L383" s="10" t="str">
        <f t="shared" si="22"/>
        <v/>
      </c>
      <c r="M383">
        <v>5</v>
      </c>
      <c r="N383" t="str">
        <f t="shared" si="23"/>
        <v>يوجد رصيد كافى</v>
      </c>
    </row>
    <row r="384" spans="2:14" x14ac:dyDescent="0.3">
      <c r="B384" s="10"/>
      <c r="D384" s="10"/>
      <c r="G384" t="str">
        <f>IFERROR(IF(SUMIF(المشتريات!C:C, 'حركة المخزن'!B384, المشتريات!F:F)=0,"",SUMIF(المشتريات!C:C, 'حركة المخزن'!B384, المشتريات!F:F)),"")</f>
        <v/>
      </c>
      <c r="H384" s="10" t="str">
        <f>IFERROR(IF(SUMIF(المشتريات!C:C, 'حركة المخزن'!B384, المشتريات!I:I)=0,"",SUMIF(المشتريات!C:C, 'حركة المخزن'!B384, المشتريات!I:I)),"")</f>
        <v/>
      </c>
      <c r="I384" s="10" t="str">
        <f>IFERROR(IF(SUMIF('تحليل مبيعات'!C:C, 'حركة المخزن'!B384, 'تحليل مبيعات'!H:H)=0,"",SUMIF('تحليل مبيعات'!C:C, 'حركة المخزن'!B384, 'تحليل مبيعات'!H:H)),"")</f>
        <v/>
      </c>
      <c r="J384" s="10" t="str">
        <f>IFERROR(IF(SUMIF('تحليل مبيعات'!C:C, 'حركة المخزن'!B384, 'تحليل مبيعات'!L:L)=0,"",SUMIF('تحليل مبيعات'!C:C, 'حركة المخزن'!B384, 'تحليل مبيعات'!L:L)),"")</f>
        <v/>
      </c>
      <c r="K384" s="10" t="str">
        <f t="shared" si="21"/>
        <v/>
      </c>
      <c r="L384" s="10" t="str">
        <f t="shared" si="22"/>
        <v/>
      </c>
      <c r="M384">
        <v>5</v>
      </c>
      <c r="N384" t="str">
        <f t="shared" si="23"/>
        <v>يوجد رصيد كافى</v>
      </c>
    </row>
    <row r="385" spans="2:14" x14ac:dyDescent="0.3">
      <c r="B385" s="10"/>
      <c r="D385" s="10"/>
      <c r="G385" t="str">
        <f>IFERROR(IF(SUMIF(المشتريات!C:C, 'حركة المخزن'!B385, المشتريات!F:F)=0,"",SUMIF(المشتريات!C:C, 'حركة المخزن'!B385, المشتريات!F:F)),"")</f>
        <v/>
      </c>
      <c r="H385" s="10" t="str">
        <f>IFERROR(IF(SUMIF(المشتريات!C:C, 'حركة المخزن'!B385, المشتريات!I:I)=0,"",SUMIF(المشتريات!C:C, 'حركة المخزن'!B385, المشتريات!I:I)),"")</f>
        <v/>
      </c>
      <c r="I385" s="10" t="str">
        <f>IFERROR(IF(SUMIF('تحليل مبيعات'!C:C, 'حركة المخزن'!B385, 'تحليل مبيعات'!H:H)=0,"",SUMIF('تحليل مبيعات'!C:C, 'حركة المخزن'!B385, 'تحليل مبيعات'!H:H)),"")</f>
        <v/>
      </c>
      <c r="J385" s="10" t="str">
        <f>IFERROR(IF(SUMIF('تحليل مبيعات'!C:C, 'حركة المخزن'!B385, 'تحليل مبيعات'!L:L)=0,"",SUMIF('تحليل مبيعات'!C:C, 'حركة المخزن'!B385, 'تحليل مبيعات'!L:L)),"")</f>
        <v/>
      </c>
      <c r="K385" s="10" t="str">
        <f t="shared" si="21"/>
        <v/>
      </c>
      <c r="L385" s="10" t="str">
        <f t="shared" si="22"/>
        <v/>
      </c>
      <c r="M385">
        <v>5</v>
      </c>
      <c r="N385" t="str">
        <f t="shared" si="23"/>
        <v>يوجد رصيد كافى</v>
      </c>
    </row>
    <row r="386" spans="2:14" x14ac:dyDescent="0.3">
      <c r="B386" s="10"/>
      <c r="D386" s="10"/>
      <c r="G386" t="str">
        <f>IFERROR(IF(SUMIF(المشتريات!C:C, 'حركة المخزن'!B386, المشتريات!F:F)=0,"",SUMIF(المشتريات!C:C, 'حركة المخزن'!B386, المشتريات!F:F)),"")</f>
        <v/>
      </c>
      <c r="H386" s="10" t="str">
        <f>IFERROR(IF(SUMIF(المشتريات!C:C, 'حركة المخزن'!B386, المشتريات!I:I)=0,"",SUMIF(المشتريات!C:C, 'حركة المخزن'!B386, المشتريات!I:I)),"")</f>
        <v/>
      </c>
      <c r="I386" s="10" t="str">
        <f>IFERROR(IF(SUMIF('تحليل مبيعات'!C:C, 'حركة المخزن'!B386, 'تحليل مبيعات'!H:H)=0,"",SUMIF('تحليل مبيعات'!C:C, 'حركة المخزن'!B386, 'تحليل مبيعات'!H:H)),"")</f>
        <v/>
      </c>
      <c r="J386" s="10" t="str">
        <f>IFERROR(IF(SUMIF('تحليل مبيعات'!C:C, 'حركة المخزن'!B386, 'تحليل مبيعات'!L:L)=0,"",SUMIF('تحليل مبيعات'!C:C, 'حركة المخزن'!B386, 'تحليل مبيعات'!L:L)),"")</f>
        <v/>
      </c>
      <c r="K386" s="10" t="str">
        <f t="shared" si="21"/>
        <v/>
      </c>
      <c r="L386" s="10" t="str">
        <f t="shared" si="22"/>
        <v/>
      </c>
      <c r="M386">
        <v>5</v>
      </c>
      <c r="N386" t="str">
        <f t="shared" si="23"/>
        <v>يوجد رصيد كافى</v>
      </c>
    </row>
    <row r="387" spans="2:14" x14ac:dyDescent="0.3">
      <c r="B387" s="10"/>
      <c r="D387" s="10"/>
      <c r="G387" t="str">
        <f>IFERROR(IF(SUMIF(المشتريات!C:C, 'حركة المخزن'!B387, المشتريات!F:F)=0,"",SUMIF(المشتريات!C:C, 'حركة المخزن'!B387, المشتريات!F:F)),"")</f>
        <v/>
      </c>
      <c r="H387" s="10" t="str">
        <f>IFERROR(IF(SUMIF(المشتريات!C:C, 'حركة المخزن'!B387, المشتريات!I:I)=0,"",SUMIF(المشتريات!C:C, 'حركة المخزن'!B387, المشتريات!I:I)),"")</f>
        <v/>
      </c>
      <c r="I387" s="10" t="str">
        <f>IFERROR(IF(SUMIF('تحليل مبيعات'!C:C, 'حركة المخزن'!B387, 'تحليل مبيعات'!H:H)=0,"",SUMIF('تحليل مبيعات'!C:C, 'حركة المخزن'!B387, 'تحليل مبيعات'!H:H)),"")</f>
        <v/>
      </c>
      <c r="J387" s="10" t="str">
        <f>IFERROR(IF(SUMIF('تحليل مبيعات'!C:C, 'حركة المخزن'!B387, 'تحليل مبيعات'!L:L)=0,"",SUMIF('تحليل مبيعات'!C:C, 'حركة المخزن'!B387, 'تحليل مبيعات'!L:L)),"")</f>
        <v/>
      </c>
      <c r="K387" s="10" t="str">
        <f t="shared" si="21"/>
        <v/>
      </c>
      <c r="L387" s="10" t="str">
        <f t="shared" si="22"/>
        <v/>
      </c>
      <c r="M387">
        <v>5</v>
      </c>
      <c r="N387" t="str">
        <f t="shared" si="23"/>
        <v>يوجد رصيد كافى</v>
      </c>
    </row>
    <row r="388" spans="2:14" x14ac:dyDescent="0.3">
      <c r="B388" s="10"/>
      <c r="D388" s="10"/>
      <c r="G388" t="str">
        <f>IFERROR(IF(SUMIF(المشتريات!C:C, 'حركة المخزن'!B388, المشتريات!F:F)=0,"",SUMIF(المشتريات!C:C, 'حركة المخزن'!B388, المشتريات!F:F)),"")</f>
        <v/>
      </c>
      <c r="H388" s="10" t="str">
        <f>IFERROR(IF(SUMIF(المشتريات!C:C, 'حركة المخزن'!B388, المشتريات!I:I)=0,"",SUMIF(المشتريات!C:C, 'حركة المخزن'!B388, المشتريات!I:I)),"")</f>
        <v/>
      </c>
      <c r="I388" s="10" t="str">
        <f>IFERROR(IF(SUMIF('تحليل مبيعات'!C:C, 'حركة المخزن'!B388, 'تحليل مبيعات'!H:H)=0,"",SUMIF('تحليل مبيعات'!C:C, 'حركة المخزن'!B388, 'تحليل مبيعات'!H:H)),"")</f>
        <v/>
      </c>
      <c r="J388" s="10" t="str">
        <f>IFERROR(IF(SUMIF('تحليل مبيعات'!C:C, 'حركة المخزن'!B388, 'تحليل مبيعات'!L:L)=0,"",SUMIF('تحليل مبيعات'!C:C, 'حركة المخزن'!B388, 'تحليل مبيعات'!L:L)),"")</f>
        <v/>
      </c>
      <c r="K388" s="10" t="str">
        <f t="shared" si="21"/>
        <v/>
      </c>
      <c r="L388" s="10" t="str">
        <f t="shared" si="22"/>
        <v/>
      </c>
      <c r="M388">
        <v>5</v>
      </c>
      <c r="N388" t="str">
        <f t="shared" si="23"/>
        <v>يوجد رصيد كافى</v>
      </c>
    </row>
    <row r="389" spans="2:14" x14ac:dyDescent="0.3">
      <c r="B389" s="10"/>
      <c r="D389" s="10"/>
      <c r="G389" t="str">
        <f>IFERROR(IF(SUMIF(المشتريات!C:C, 'حركة المخزن'!B389, المشتريات!F:F)=0,"",SUMIF(المشتريات!C:C, 'حركة المخزن'!B389, المشتريات!F:F)),"")</f>
        <v/>
      </c>
      <c r="H389" s="10" t="str">
        <f>IFERROR(IF(SUMIF(المشتريات!C:C, 'حركة المخزن'!B389, المشتريات!I:I)=0,"",SUMIF(المشتريات!C:C, 'حركة المخزن'!B389, المشتريات!I:I)),"")</f>
        <v/>
      </c>
      <c r="I389" s="10" t="str">
        <f>IFERROR(IF(SUMIF('تحليل مبيعات'!C:C, 'حركة المخزن'!B389, 'تحليل مبيعات'!H:H)=0,"",SUMIF('تحليل مبيعات'!C:C, 'حركة المخزن'!B389, 'تحليل مبيعات'!H:H)),"")</f>
        <v/>
      </c>
      <c r="J389" s="10" t="str">
        <f>IFERROR(IF(SUMIF('تحليل مبيعات'!C:C, 'حركة المخزن'!B389, 'تحليل مبيعات'!L:L)=0,"",SUMIF('تحليل مبيعات'!C:C, 'حركة المخزن'!B389, 'تحليل مبيعات'!L:L)),"")</f>
        <v/>
      </c>
      <c r="K389" s="10" t="str">
        <f t="shared" si="21"/>
        <v/>
      </c>
      <c r="L389" s="10" t="str">
        <f t="shared" si="22"/>
        <v/>
      </c>
      <c r="M389">
        <v>5</v>
      </c>
      <c r="N389" t="str">
        <f t="shared" si="23"/>
        <v>يوجد رصيد كافى</v>
      </c>
    </row>
    <row r="390" spans="2:14" x14ac:dyDescent="0.3">
      <c r="B390" s="10"/>
      <c r="D390" s="10"/>
      <c r="G390" t="str">
        <f>IFERROR(IF(SUMIF(المشتريات!C:C, 'حركة المخزن'!B390, المشتريات!F:F)=0,"",SUMIF(المشتريات!C:C, 'حركة المخزن'!B390, المشتريات!F:F)),"")</f>
        <v/>
      </c>
      <c r="H390" s="10" t="str">
        <f>IFERROR(IF(SUMIF(المشتريات!C:C, 'حركة المخزن'!B390, المشتريات!I:I)=0,"",SUMIF(المشتريات!C:C, 'حركة المخزن'!B390, المشتريات!I:I)),"")</f>
        <v/>
      </c>
      <c r="I390" s="10" t="str">
        <f>IFERROR(IF(SUMIF('تحليل مبيعات'!C:C, 'حركة المخزن'!B390, 'تحليل مبيعات'!H:H)=0,"",SUMIF('تحليل مبيعات'!C:C, 'حركة المخزن'!B390, 'تحليل مبيعات'!H:H)),"")</f>
        <v/>
      </c>
      <c r="J390" s="10" t="str">
        <f>IFERROR(IF(SUMIF('تحليل مبيعات'!C:C, 'حركة المخزن'!B390, 'تحليل مبيعات'!L:L)=0,"",SUMIF('تحليل مبيعات'!C:C, 'حركة المخزن'!B390, 'تحليل مبيعات'!L:L)),"")</f>
        <v/>
      </c>
      <c r="K390" s="10" t="str">
        <f t="shared" si="21"/>
        <v/>
      </c>
      <c r="L390" s="10" t="str">
        <f t="shared" si="22"/>
        <v/>
      </c>
      <c r="M390">
        <v>5</v>
      </c>
      <c r="N390" t="str">
        <f t="shared" si="23"/>
        <v>يوجد رصيد كافى</v>
      </c>
    </row>
    <row r="391" spans="2:14" x14ac:dyDescent="0.3">
      <c r="B391" s="10"/>
      <c r="D391" s="10"/>
      <c r="G391" t="str">
        <f>IFERROR(IF(SUMIF(المشتريات!C:C, 'حركة المخزن'!B391, المشتريات!F:F)=0,"",SUMIF(المشتريات!C:C, 'حركة المخزن'!B391, المشتريات!F:F)),"")</f>
        <v/>
      </c>
      <c r="H391" s="10" t="str">
        <f>IFERROR(IF(SUMIF(المشتريات!C:C, 'حركة المخزن'!B391, المشتريات!I:I)=0,"",SUMIF(المشتريات!C:C, 'حركة المخزن'!B391, المشتريات!I:I)),"")</f>
        <v/>
      </c>
      <c r="I391" s="10" t="str">
        <f>IFERROR(IF(SUMIF('تحليل مبيعات'!C:C, 'حركة المخزن'!B391, 'تحليل مبيعات'!H:H)=0,"",SUMIF('تحليل مبيعات'!C:C, 'حركة المخزن'!B391, 'تحليل مبيعات'!H:H)),"")</f>
        <v/>
      </c>
      <c r="J391" s="10" t="str">
        <f>IFERROR(IF(SUMIF('تحليل مبيعات'!C:C, 'حركة المخزن'!B391, 'تحليل مبيعات'!L:L)=0,"",SUMIF('تحليل مبيعات'!C:C, 'حركة المخزن'!B391, 'تحليل مبيعات'!L:L)),"")</f>
        <v/>
      </c>
      <c r="K391" s="10" t="str">
        <f t="shared" si="21"/>
        <v/>
      </c>
      <c r="L391" s="10" t="str">
        <f t="shared" si="22"/>
        <v/>
      </c>
      <c r="M391">
        <v>5</v>
      </c>
      <c r="N391" t="str">
        <f t="shared" si="23"/>
        <v>يوجد رصيد كافى</v>
      </c>
    </row>
    <row r="392" spans="2:14" x14ac:dyDescent="0.3">
      <c r="B392" s="10"/>
      <c r="D392" s="10"/>
      <c r="G392" t="str">
        <f>IFERROR(IF(SUMIF(المشتريات!C:C, 'حركة المخزن'!B392, المشتريات!F:F)=0,"",SUMIF(المشتريات!C:C, 'حركة المخزن'!B392, المشتريات!F:F)),"")</f>
        <v/>
      </c>
      <c r="H392" s="10" t="str">
        <f>IFERROR(IF(SUMIF(المشتريات!C:C, 'حركة المخزن'!B392, المشتريات!I:I)=0,"",SUMIF(المشتريات!C:C, 'حركة المخزن'!B392, المشتريات!I:I)),"")</f>
        <v/>
      </c>
      <c r="I392" s="10" t="str">
        <f>IFERROR(IF(SUMIF('تحليل مبيعات'!C:C, 'حركة المخزن'!B392, 'تحليل مبيعات'!H:H)=0,"",SUMIF('تحليل مبيعات'!C:C, 'حركة المخزن'!B392, 'تحليل مبيعات'!H:H)),"")</f>
        <v/>
      </c>
      <c r="J392" s="10" t="str">
        <f>IFERROR(IF(SUMIF('تحليل مبيعات'!C:C, 'حركة المخزن'!B392, 'تحليل مبيعات'!L:L)=0,"",SUMIF('تحليل مبيعات'!C:C, 'حركة المخزن'!B392, 'تحليل مبيعات'!L:L)),"")</f>
        <v/>
      </c>
      <c r="K392" s="10" t="str">
        <f t="shared" si="21"/>
        <v/>
      </c>
      <c r="L392" s="10" t="str">
        <f t="shared" si="22"/>
        <v/>
      </c>
      <c r="M392">
        <v>5</v>
      </c>
      <c r="N392" t="str">
        <f t="shared" si="23"/>
        <v>يوجد رصيد كافى</v>
      </c>
    </row>
    <row r="393" spans="2:14" x14ac:dyDescent="0.3">
      <c r="B393" s="10"/>
      <c r="D393" s="10"/>
      <c r="G393" t="str">
        <f>IFERROR(IF(SUMIF(المشتريات!C:C, 'حركة المخزن'!B393, المشتريات!F:F)=0,"",SUMIF(المشتريات!C:C, 'حركة المخزن'!B393, المشتريات!F:F)),"")</f>
        <v/>
      </c>
      <c r="H393" s="10" t="str">
        <f>IFERROR(IF(SUMIF(المشتريات!C:C, 'حركة المخزن'!B393, المشتريات!I:I)=0,"",SUMIF(المشتريات!C:C, 'حركة المخزن'!B393, المشتريات!I:I)),"")</f>
        <v/>
      </c>
      <c r="I393" s="10" t="str">
        <f>IFERROR(IF(SUMIF('تحليل مبيعات'!C:C, 'حركة المخزن'!B393, 'تحليل مبيعات'!H:H)=0,"",SUMIF('تحليل مبيعات'!C:C, 'حركة المخزن'!B393, 'تحليل مبيعات'!H:H)),"")</f>
        <v/>
      </c>
      <c r="J393" s="10" t="str">
        <f>IFERROR(IF(SUMIF('تحليل مبيعات'!C:C, 'حركة المخزن'!B393, 'تحليل مبيعات'!L:L)=0,"",SUMIF('تحليل مبيعات'!C:C, 'حركة المخزن'!B393, 'تحليل مبيعات'!L:L)),"")</f>
        <v/>
      </c>
      <c r="K393" s="10" t="str">
        <f t="shared" ref="K393:K456" si="24">IFERROR(E393+G393-I393,"")</f>
        <v/>
      </c>
      <c r="L393" s="10" t="str">
        <f t="shared" ref="L393:L456" si="25">IFERROR(F393+H393-J393,"")</f>
        <v/>
      </c>
      <c r="M393">
        <v>5</v>
      </c>
      <c r="N393" t="str">
        <f t="shared" ref="N393:N456" si="26">IF(K393&lt;M393,"أعادة الطلب","يوجد رصيد كافى")</f>
        <v>يوجد رصيد كافى</v>
      </c>
    </row>
    <row r="394" spans="2:14" x14ac:dyDescent="0.3">
      <c r="B394" s="10"/>
      <c r="D394" s="10"/>
      <c r="G394" t="str">
        <f>IFERROR(IF(SUMIF(المشتريات!C:C, 'حركة المخزن'!B394, المشتريات!F:F)=0,"",SUMIF(المشتريات!C:C, 'حركة المخزن'!B394, المشتريات!F:F)),"")</f>
        <v/>
      </c>
      <c r="H394" s="10" t="str">
        <f>IFERROR(IF(SUMIF(المشتريات!C:C, 'حركة المخزن'!B394, المشتريات!I:I)=0,"",SUMIF(المشتريات!C:C, 'حركة المخزن'!B394, المشتريات!I:I)),"")</f>
        <v/>
      </c>
      <c r="I394" s="10" t="str">
        <f>IFERROR(IF(SUMIF('تحليل مبيعات'!C:C, 'حركة المخزن'!B394, 'تحليل مبيعات'!H:H)=0,"",SUMIF('تحليل مبيعات'!C:C, 'حركة المخزن'!B394, 'تحليل مبيعات'!H:H)),"")</f>
        <v/>
      </c>
      <c r="J394" s="10" t="str">
        <f>IFERROR(IF(SUMIF('تحليل مبيعات'!C:C, 'حركة المخزن'!B394, 'تحليل مبيعات'!L:L)=0,"",SUMIF('تحليل مبيعات'!C:C, 'حركة المخزن'!B394, 'تحليل مبيعات'!L:L)),"")</f>
        <v/>
      </c>
      <c r="K394" s="10" t="str">
        <f t="shared" si="24"/>
        <v/>
      </c>
      <c r="L394" s="10" t="str">
        <f t="shared" si="25"/>
        <v/>
      </c>
      <c r="M394">
        <v>5</v>
      </c>
      <c r="N394" t="str">
        <f t="shared" si="26"/>
        <v>يوجد رصيد كافى</v>
      </c>
    </row>
    <row r="395" spans="2:14" x14ac:dyDescent="0.3">
      <c r="B395" s="10"/>
      <c r="D395" s="10"/>
      <c r="G395" t="str">
        <f>IFERROR(IF(SUMIF(المشتريات!C:C, 'حركة المخزن'!B395, المشتريات!F:F)=0,"",SUMIF(المشتريات!C:C, 'حركة المخزن'!B395, المشتريات!F:F)),"")</f>
        <v/>
      </c>
      <c r="H395" s="10" t="str">
        <f>IFERROR(IF(SUMIF(المشتريات!C:C, 'حركة المخزن'!B395, المشتريات!I:I)=0,"",SUMIF(المشتريات!C:C, 'حركة المخزن'!B395, المشتريات!I:I)),"")</f>
        <v/>
      </c>
      <c r="I395" s="10" t="str">
        <f>IFERROR(IF(SUMIF('تحليل مبيعات'!C:C, 'حركة المخزن'!B395, 'تحليل مبيعات'!H:H)=0,"",SUMIF('تحليل مبيعات'!C:C, 'حركة المخزن'!B395, 'تحليل مبيعات'!H:H)),"")</f>
        <v/>
      </c>
      <c r="J395" s="10" t="str">
        <f>IFERROR(IF(SUMIF('تحليل مبيعات'!C:C, 'حركة المخزن'!B395, 'تحليل مبيعات'!L:L)=0,"",SUMIF('تحليل مبيعات'!C:C, 'حركة المخزن'!B395, 'تحليل مبيعات'!L:L)),"")</f>
        <v/>
      </c>
      <c r="K395" s="10" t="str">
        <f t="shared" si="24"/>
        <v/>
      </c>
      <c r="L395" s="10" t="str">
        <f t="shared" si="25"/>
        <v/>
      </c>
      <c r="M395">
        <v>5</v>
      </c>
      <c r="N395" t="str">
        <f t="shared" si="26"/>
        <v>يوجد رصيد كافى</v>
      </c>
    </row>
    <row r="396" spans="2:14" x14ac:dyDescent="0.3">
      <c r="B396" s="10"/>
      <c r="D396" s="10"/>
      <c r="G396" t="str">
        <f>IFERROR(IF(SUMIF(المشتريات!C:C, 'حركة المخزن'!B396, المشتريات!F:F)=0,"",SUMIF(المشتريات!C:C, 'حركة المخزن'!B396, المشتريات!F:F)),"")</f>
        <v/>
      </c>
      <c r="H396" s="10" t="str">
        <f>IFERROR(IF(SUMIF(المشتريات!C:C, 'حركة المخزن'!B396, المشتريات!I:I)=0,"",SUMIF(المشتريات!C:C, 'حركة المخزن'!B396, المشتريات!I:I)),"")</f>
        <v/>
      </c>
      <c r="I396" s="10" t="str">
        <f>IFERROR(IF(SUMIF('تحليل مبيعات'!C:C, 'حركة المخزن'!B396, 'تحليل مبيعات'!H:H)=0,"",SUMIF('تحليل مبيعات'!C:C, 'حركة المخزن'!B396, 'تحليل مبيعات'!H:H)),"")</f>
        <v/>
      </c>
      <c r="J396" s="10" t="str">
        <f>IFERROR(IF(SUMIF('تحليل مبيعات'!C:C, 'حركة المخزن'!B396, 'تحليل مبيعات'!L:L)=0,"",SUMIF('تحليل مبيعات'!C:C, 'حركة المخزن'!B396, 'تحليل مبيعات'!L:L)),"")</f>
        <v/>
      </c>
      <c r="K396" s="10" t="str">
        <f t="shared" si="24"/>
        <v/>
      </c>
      <c r="L396" s="10" t="str">
        <f t="shared" si="25"/>
        <v/>
      </c>
      <c r="M396">
        <v>5</v>
      </c>
      <c r="N396" t="str">
        <f t="shared" si="26"/>
        <v>يوجد رصيد كافى</v>
      </c>
    </row>
    <row r="397" spans="2:14" x14ac:dyDescent="0.3">
      <c r="B397" s="10"/>
      <c r="D397" s="10"/>
      <c r="G397" t="str">
        <f>IFERROR(IF(SUMIF(المشتريات!C:C, 'حركة المخزن'!B397, المشتريات!F:F)=0,"",SUMIF(المشتريات!C:C, 'حركة المخزن'!B397, المشتريات!F:F)),"")</f>
        <v/>
      </c>
      <c r="H397" s="10" t="str">
        <f>IFERROR(IF(SUMIF(المشتريات!C:C, 'حركة المخزن'!B397, المشتريات!I:I)=0,"",SUMIF(المشتريات!C:C, 'حركة المخزن'!B397, المشتريات!I:I)),"")</f>
        <v/>
      </c>
      <c r="I397" s="10" t="str">
        <f>IFERROR(IF(SUMIF('تحليل مبيعات'!C:C, 'حركة المخزن'!B397, 'تحليل مبيعات'!H:H)=0,"",SUMIF('تحليل مبيعات'!C:C, 'حركة المخزن'!B397, 'تحليل مبيعات'!H:H)),"")</f>
        <v/>
      </c>
      <c r="J397" s="10" t="str">
        <f>IFERROR(IF(SUMIF('تحليل مبيعات'!C:C, 'حركة المخزن'!B397, 'تحليل مبيعات'!L:L)=0,"",SUMIF('تحليل مبيعات'!C:C, 'حركة المخزن'!B397, 'تحليل مبيعات'!L:L)),"")</f>
        <v/>
      </c>
      <c r="K397" s="10" t="str">
        <f t="shared" si="24"/>
        <v/>
      </c>
      <c r="L397" s="10" t="str">
        <f t="shared" si="25"/>
        <v/>
      </c>
      <c r="M397">
        <v>5</v>
      </c>
      <c r="N397" t="str">
        <f t="shared" si="26"/>
        <v>يوجد رصيد كافى</v>
      </c>
    </row>
    <row r="398" spans="2:14" x14ac:dyDescent="0.3">
      <c r="B398" s="10"/>
      <c r="D398" s="10"/>
      <c r="G398" t="str">
        <f>IFERROR(IF(SUMIF(المشتريات!C:C, 'حركة المخزن'!B398, المشتريات!F:F)=0,"",SUMIF(المشتريات!C:C, 'حركة المخزن'!B398, المشتريات!F:F)),"")</f>
        <v/>
      </c>
      <c r="H398" s="10" t="str">
        <f>IFERROR(IF(SUMIF(المشتريات!C:C, 'حركة المخزن'!B398, المشتريات!I:I)=0,"",SUMIF(المشتريات!C:C, 'حركة المخزن'!B398, المشتريات!I:I)),"")</f>
        <v/>
      </c>
      <c r="I398" s="10" t="str">
        <f>IFERROR(IF(SUMIF('تحليل مبيعات'!C:C, 'حركة المخزن'!B398, 'تحليل مبيعات'!H:H)=0,"",SUMIF('تحليل مبيعات'!C:C, 'حركة المخزن'!B398, 'تحليل مبيعات'!H:H)),"")</f>
        <v/>
      </c>
      <c r="J398" s="10" t="str">
        <f>IFERROR(IF(SUMIF('تحليل مبيعات'!C:C, 'حركة المخزن'!B398, 'تحليل مبيعات'!L:L)=0,"",SUMIF('تحليل مبيعات'!C:C, 'حركة المخزن'!B398, 'تحليل مبيعات'!L:L)),"")</f>
        <v/>
      </c>
      <c r="K398" s="10" t="str">
        <f t="shared" si="24"/>
        <v/>
      </c>
      <c r="L398" s="10" t="str">
        <f t="shared" si="25"/>
        <v/>
      </c>
      <c r="M398">
        <v>5</v>
      </c>
      <c r="N398" t="str">
        <f t="shared" si="26"/>
        <v>يوجد رصيد كافى</v>
      </c>
    </row>
    <row r="399" spans="2:14" x14ac:dyDescent="0.3">
      <c r="B399" s="10"/>
      <c r="D399" s="10"/>
      <c r="G399" t="str">
        <f>IFERROR(IF(SUMIF(المشتريات!C:C, 'حركة المخزن'!B399, المشتريات!F:F)=0,"",SUMIF(المشتريات!C:C, 'حركة المخزن'!B399, المشتريات!F:F)),"")</f>
        <v/>
      </c>
      <c r="H399" s="10" t="str">
        <f>IFERROR(IF(SUMIF(المشتريات!C:C, 'حركة المخزن'!B399, المشتريات!I:I)=0,"",SUMIF(المشتريات!C:C, 'حركة المخزن'!B399, المشتريات!I:I)),"")</f>
        <v/>
      </c>
      <c r="I399" s="10" t="str">
        <f>IFERROR(IF(SUMIF('تحليل مبيعات'!C:C, 'حركة المخزن'!B399, 'تحليل مبيعات'!H:H)=0,"",SUMIF('تحليل مبيعات'!C:C, 'حركة المخزن'!B399, 'تحليل مبيعات'!H:H)),"")</f>
        <v/>
      </c>
      <c r="J399" s="10" t="str">
        <f>IFERROR(IF(SUMIF('تحليل مبيعات'!C:C, 'حركة المخزن'!B399, 'تحليل مبيعات'!L:L)=0,"",SUMIF('تحليل مبيعات'!C:C, 'حركة المخزن'!B399, 'تحليل مبيعات'!L:L)),"")</f>
        <v/>
      </c>
      <c r="K399" s="10" t="str">
        <f t="shared" si="24"/>
        <v/>
      </c>
      <c r="L399" s="10" t="str">
        <f t="shared" si="25"/>
        <v/>
      </c>
      <c r="M399">
        <v>5</v>
      </c>
      <c r="N399" t="str">
        <f t="shared" si="26"/>
        <v>يوجد رصيد كافى</v>
      </c>
    </row>
    <row r="400" spans="2:14" x14ac:dyDescent="0.3">
      <c r="B400" s="10"/>
      <c r="D400" s="10"/>
      <c r="G400" t="str">
        <f>IFERROR(IF(SUMIF(المشتريات!C:C, 'حركة المخزن'!B400, المشتريات!F:F)=0,"",SUMIF(المشتريات!C:C, 'حركة المخزن'!B400, المشتريات!F:F)),"")</f>
        <v/>
      </c>
      <c r="H400" s="10" t="str">
        <f>IFERROR(IF(SUMIF(المشتريات!C:C, 'حركة المخزن'!B400, المشتريات!I:I)=0,"",SUMIF(المشتريات!C:C, 'حركة المخزن'!B400, المشتريات!I:I)),"")</f>
        <v/>
      </c>
      <c r="I400" s="10" t="str">
        <f>IFERROR(IF(SUMIF('تحليل مبيعات'!C:C, 'حركة المخزن'!B400, 'تحليل مبيعات'!H:H)=0,"",SUMIF('تحليل مبيعات'!C:C, 'حركة المخزن'!B400, 'تحليل مبيعات'!H:H)),"")</f>
        <v/>
      </c>
      <c r="J400" s="10" t="str">
        <f>IFERROR(IF(SUMIF('تحليل مبيعات'!C:C, 'حركة المخزن'!B400, 'تحليل مبيعات'!L:L)=0,"",SUMIF('تحليل مبيعات'!C:C, 'حركة المخزن'!B400, 'تحليل مبيعات'!L:L)),"")</f>
        <v/>
      </c>
      <c r="K400" s="10" t="str">
        <f t="shared" si="24"/>
        <v/>
      </c>
      <c r="L400" s="10" t="str">
        <f t="shared" si="25"/>
        <v/>
      </c>
      <c r="M400">
        <v>5</v>
      </c>
      <c r="N400" t="str">
        <f t="shared" si="26"/>
        <v>يوجد رصيد كافى</v>
      </c>
    </row>
    <row r="401" spans="2:14" x14ac:dyDescent="0.3">
      <c r="B401" s="10"/>
      <c r="D401" s="10"/>
      <c r="G401" t="str">
        <f>IFERROR(IF(SUMIF(المشتريات!C:C, 'حركة المخزن'!B401, المشتريات!F:F)=0,"",SUMIF(المشتريات!C:C, 'حركة المخزن'!B401, المشتريات!F:F)),"")</f>
        <v/>
      </c>
      <c r="H401" s="10" t="str">
        <f>IFERROR(IF(SUMIF(المشتريات!C:C, 'حركة المخزن'!B401, المشتريات!I:I)=0,"",SUMIF(المشتريات!C:C, 'حركة المخزن'!B401, المشتريات!I:I)),"")</f>
        <v/>
      </c>
      <c r="I401" s="10" t="str">
        <f>IFERROR(IF(SUMIF('تحليل مبيعات'!C:C, 'حركة المخزن'!B401, 'تحليل مبيعات'!H:H)=0,"",SUMIF('تحليل مبيعات'!C:C, 'حركة المخزن'!B401, 'تحليل مبيعات'!H:H)),"")</f>
        <v/>
      </c>
      <c r="J401" s="10" t="str">
        <f>IFERROR(IF(SUMIF('تحليل مبيعات'!C:C, 'حركة المخزن'!B401, 'تحليل مبيعات'!L:L)=0,"",SUMIF('تحليل مبيعات'!C:C, 'حركة المخزن'!B401, 'تحليل مبيعات'!L:L)),"")</f>
        <v/>
      </c>
      <c r="K401" s="10" t="str">
        <f t="shared" si="24"/>
        <v/>
      </c>
      <c r="L401" s="10" t="str">
        <f t="shared" si="25"/>
        <v/>
      </c>
      <c r="M401">
        <v>5</v>
      </c>
      <c r="N401" t="str">
        <f t="shared" si="26"/>
        <v>يوجد رصيد كافى</v>
      </c>
    </row>
    <row r="402" spans="2:14" x14ac:dyDescent="0.3">
      <c r="B402" s="10"/>
      <c r="D402" s="10"/>
      <c r="G402" t="str">
        <f>IFERROR(IF(SUMIF(المشتريات!C:C, 'حركة المخزن'!B402, المشتريات!F:F)=0,"",SUMIF(المشتريات!C:C, 'حركة المخزن'!B402, المشتريات!F:F)),"")</f>
        <v/>
      </c>
      <c r="H402" s="10" t="str">
        <f>IFERROR(IF(SUMIF(المشتريات!C:C, 'حركة المخزن'!B402, المشتريات!I:I)=0,"",SUMIF(المشتريات!C:C, 'حركة المخزن'!B402, المشتريات!I:I)),"")</f>
        <v/>
      </c>
      <c r="I402" s="10" t="str">
        <f>IFERROR(IF(SUMIF('تحليل مبيعات'!C:C, 'حركة المخزن'!B402, 'تحليل مبيعات'!H:H)=0,"",SUMIF('تحليل مبيعات'!C:C, 'حركة المخزن'!B402, 'تحليل مبيعات'!H:H)),"")</f>
        <v/>
      </c>
      <c r="J402" s="10" t="str">
        <f>IFERROR(IF(SUMIF('تحليل مبيعات'!C:C, 'حركة المخزن'!B402, 'تحليل مبيعات'!L:L)=0,"",SUMIF('تحليل مبيعات'!C:C, 'حركة المخزن'!B402, 'تحليل مبيعات'!L:L)),"")</f>
        <v/>
      </c>
      <c r="K402" s="10" t="str">
        <f t="shared" si="24"/>
        <v/>
      </c>
      <c r="L402" s="10" t="str">
        <f t="shared" si="25"/>
        <v/>
      </c>
      <c r="M402">
        <v>5</v>
      </c>
      <c r="N402" t="str">
        <f t="shared" si="26"/>
        <v>يوجد رصيد كافى</v>
      </c>
    </row>
    <row r="403" spans="2:14" x14ac:dyDescent="0.3">
      <c r="B403" s="10"/>
      <c r="D403" s="10"/>
      <c r="G403" t="str">
        <f>IFERROR(IF(SUMIF(المشتريات!C:C, 'حركة المخزن'!B403, المشتريات!F:F)=0,"",SUMIF(المشتريات!C:C, 'حركة المخزن'!B403, المشتريات!F:F)),"")</f>
        <v/>
      </c>
      <c r="H403" s="10" t="str">
        <f>IFERROR(IF(SUMIF(المشتريات!C:C, 'حركة المخزن'!B403, المشتريات!I:I)=0,"",SUMIF(المشتريات!C:C, 'حركة المخزن'!B403, المشتريات!I:I)),"")</f>
        <v/>
      </c>
      <c r="I403" s="10" t="str">
        <f>IFERROR(IF(SUMIF('تحليل مبيعات'!C:C, 'حركة المخزن'!B403, 'تحليل مبيعات'!H:H)=0,"",SUMIF('تحليل مبيعات'!C:C, 'حركة المخزن'!B403, 'تحليل مبيعات'!H:H)),"")</f>
        <v/>
      </c>
      <c r="J403" s="10" t="str">
        <f>IFERROR(IF(SUMIF('تحليل مبيعات'!C:C, 'حركة المخزن'!B403, 'تحليل مبيعات'!L:L)=0,"",SUMIF('تحليل مبيعات'!C:C, 'حركة المخزن'!B403, 'تحليل مبيعات'!L:L)),"")</f>
        <v/>
      </c>
      <c r="K403" s="10" t="str">
        <f t="shared" si="24"/>
        <v/>
      </c>
      <c r="L403" s="10" t="str">
        <f t="shared" si="25"/>
        <v/>
      </c>
      <c r="M403">
        <v>5</v>
      </c>
      <c r="N403" t="str">
        <f t="shared" si="26"/>
        <v>يوجد رصيد كافى</v>
      </c>
    </row>
    <row r="404" spans="2:14" x14ac:dyDescent="0.3">
      <c r="B404" s="10"/>
      <c r="D404" s="10"/>
      <c r="G404" t="str">
        <f>IFERROR(IF(SUMIF(المشتريات!C:C, 'حركة المخزن'!B404, المشتريات!F:F)=0,"",SUMIF(المشتريات!C:C, 'حركة المخزن'!B404, المشتريات!F:F)),"")</f>
        <v/>
      </c>
      <c r="H404" s="10" t="str">
        <f>IFERROR(IF(SUMIF(المشتريات!C:C, 'حركة المخزن'!B404, المشتريات!I:I)=0,"",SUMIF(المشتريات!C:C, 'حركة المخزن'!B404, المشتريات!I:I)),"")</f>
        <v/>
      </c>
      <c r="I404" s="10" t="str">
        <f>IFERROR(IF(SUMIF('تحليل مبيعات'!C:C, 'حركة المخزن'!B404, 'تحليل مبيعات'!H:H)=0,"",SUMIF('تحليل مبيعات'!C:C, 'حركة المخزن'!B404, 'تحليل مبيعات'!H:H)),"")</f>
        <v/>
      </c>
      <c r="J404" s="10" t="str">
        <f>IFERROR(IF(SUMIF('تحليل مبيعات'!C:C, 'حركة المخزن'!B404, 'تحليل مبيعات'!L:L)=0,"",SUMIF('تحليل مبيعات'!C:C, 'حركة المخزن'!B404, 'تحليل مبيعات'!L:L)),"")</f>
        <v/>
      </c>
      <c r="K404" s="10" t="str">
        <f t="shared" si="24"/>
        <v/>
      </c>
      <c r="L404" s="10" t="str">
        <f t="shared" si="25"/>
        <v/>
      </c>
      <c r="M404">
        <v>5</v>
      </c>
      <c r="N404" t="str">
        <f t="shared" si="26"/>
        <v>يوجد رصيد كافى</v>
      </c>
    </row>
    <row r="405" spans="2:14" x14ac:dyDescent="0.3">
      <c r="B405" s="10"/>
      <c r="D405" s="10"/>
      <c r="G405" t="str">
        <f>IFERROR(IF(SUMIF(المشتريات!C:C, 'حركة المخزن'!B405, المشتريات!F:F)=0,"",SUMIF(المشتريات!C:C, 'حركة المخزن'!B405, المشتريات!F:F)),"")</f>
        <v/>
      </c>
      <c r="H405" s="10" t="str">
        <f>IFERROR(IF(SUMIF(المشتريات!C:C, 'حركة المخزن'!B405, المشتريات!I:I)=0,"",SUMIF(المشتريات!C:C, 'حركة المخزن'!B405, المشتريات!I:I)),"")</f>
        <v/>
      </c>
      <c r="I405" s="10" t="str">
        <f>IFERROR(IF(SUMIF('تحليل مبيعات'!C:C, 'حركة المخزن'!B405, 'تحليل مبيعات'!H:H)=0,"",SUMIF('تحليل مبيعات'!C:C, 'حركة المخزن'!B405, 'تحليل مبيعات'!H:H)),"")</f>
        <v/>
      </c>
      <c r="J405" s="10" t="str">
        <f>IFERROR(IF(SUMIF('تحليل مبيعات'!C:C, 'حركة المخزن'!B405, 'تحليل مبيعات'!L:L)=0,"",SUMIF('تحليل مبيعات'!C:C, 'حركة المخزن'!B405, 'تحليل مبيعات'!L:L)),"")</f>
        <v/>
      </c>
      <c r="K405" s="10" t="str">
        <f t="shared" si="24"/>
        <v/>
      </c>
      <c r="L405" s="10" t="str">
        <f t="shared" si="25"/>
        <v/>
      </c>
      <c r="M405">
        <v>5</v>
      </c>
      <c r="N405" t="str">
        <f t="shared" si="26"/>
        <v>يوجد رصيد كافى</v>
      </c>
    </row>
    <row r="406" spans="2:14" x14ac:dyDescent="0.3">
      <c r="B406" s="10"/>
      <c r="D406" s="10"/>
      <c r="G406" t="str">
        <f>IFERROR(IF(SUMIF(المشتريات!C:C, 'حركة المخزن'!B406, المشتريات!F:F)=0,"",SUMIF(المشتريات!C:C, 'حركة المخزن'!B406, المشتريات!F:F)),"")</f>
        <v/>
      </c>
      <c r="H406" s="10" t="str">
        <f>IFERROR(IF(SUMIF(المشتريات!C:C, 'حركة المخزن'!B406, المشتريات!I:I)=0,"",SUMIF(المشتريات!C:C, 'حركة المخزن'!B406, المشتريات!I:I)),"")</f>
        <v/>
      </c>
      <c r="I406" s="10" t="str">
        <f>IFERROR(IF(SUMIF('تحليل مبيعات'!C:C, 'حركة المخزن'!B406, 'تحليل مبيعات'!H:H)=0,"",SUMIF('تحليل مبيعات'!C:C, 'حركة المخزن'!B406, 'تحليل مبيعات'!H:H)),"")</f>
        <v/>
      </c>
      <c r="J406" s="10" t="str">
        <f>IFERROR(IF(SUMIF('تحليل مبيعات'!C:C, 'حركة المخزن'!B406, 'تحليل مبيعات'!L:L)=0,"",SUMIF('تحليل مبيعات'!C:C, 'حركة المخزن'!B406, 'تحليل مبيعات'!L:L)),"")</f>
        <v/>
      </c>
      <c r="K406" s="10" t="str">
        <f t="shared" si="24"/>
        <v/>
      </c>
      <c r="L406" s="10" t="str">
        <f t="shared" si="25"/>
        <v/>
      </c>
      <c r="M406">
        <v>5</v>
      </c>
      <c r="N406" t="str">
        <f t="shared" si="26"/>
        <v>يوجد رصيد كافى</v>
      </c>
    </row>
    <row r="407" spans="2:14" x14ac:dyDescent="0.3">
      <c r="B407" s="10"/>
      <c r="D407" s="10"/>
      <c r="G407" t="str">
        <f>IFERROR(IF(SUMIF(المشتريات!C:C, 'حركة المخزن'!B407, المشتريات!F:F)=0,"",SUMIF(المشتريات!C:C, 'حركة المخزن'!B407, المشتريات!F:F)),"")</f>
        <v/>
      </c>
      <c r="H407" s="10" t="str">
        <f>IFERROR(IF(SUMIF(المشتريات!C:C, 'حركة المخزن'!B407, المشتريات!I:I)=0,"",SUMIF(المشتريات!C:C, 'حركة المخزن'!B407, المشتريات!I:I)),"")</f>
        <v/>
      </c>
      <c r="I407" s="10" t="str">
        <f>IFERROR(IF(SUMIF('تحليل مبيعات'!C:C, 'حركة المخزن'!B407, 'تحليل مبيعات'!H:H)=0,"",SUMIF('تحليل مبيعات'!C:C, 'حركة المخزن'!B407, 'تحليل مبيعات'!H:H)),"")</f>
        <v/>
      </c>
      <c r="J407" s="10" t="str">
        <f>IFERROR(IF(SUMIF('تحليل مبيعات'!C:C, 'حركة المخزن'!B407, 'تحليل مبيعات'!L:L)=0,"",SUMIF('تحليل مبيعات'!C:C, 'حركة المخزن'!B407, 'تحليل مبيعات'!L:L)),"")</f>
        <v/>
      </c>
      <c r="K407" s="10" t="str">
        <f t="shared" si="24"/>
        <v/>
      </c>
      <c r="L407" s="10" t="str">
        <f t="shared" si="25"/>
        <v/>
      </c>
      <c r="M407">
        <v>5</v>
      </c>
      <c r="N407" t="str">
        <f t="shared" si="26"/>
        <v>يوجد رصيد كافى</v>
      </c>
    </row>
    <row r="408" spans="2:14" x14ac:dyDescent="0.3">
      <c r="B408" s="10"/>
      <c r="D408" s="10"/>
      <c r="G408" t="str">
        <f>IFERROR(IF(SUMIF(المشتريات!C:C, 'حركة المخزن'!B408, المشتريات!F:F)=0,"",SUMIF(المشتريات!C:C, 'حركة المخزن'!B408, المشتريات!F:F)),"")</f>
        <v/>
      </c>
      <c r="H408" s="10" t="str">
        <f>IFERROR(IF(SUMIF(المشتريات!C:C, 'حركة المخزن'!B408, المشتريات!I:I)=0,"",SUMIF(المشتريات!C:C, 'حركة المخزن'!B408, المشتريات!I:I)),"")</f>
        <v/>
      </c>
      <c r="I408" s="10" t="str">
        <f>IFERROR(IF(SUMIF('تحليل مبيعات'!C:C, 'حركة المخزن'!B408, 'تحليل مبيعات'!H:H)=0,"",SUMIF('تحليل مبيعات'!C:C, 'حركة المخزن'!B408, 'تحليل مبيعات'!H:H)),"")</f>
        <v/>
      </c>
      <c r="J408" s="10" t="str">
        <f>IFERROR(IF(SUMIF('تحليل مبيعات'!C:C, 'حركة المخزن'!B408, 'تحليل مبيعات'!L:L)=0,"",SUMIF('تحليل مبيعات'!C:C, 'حركة المخزن'!B408, 'تحليل مبيعات'!L:L)),"")</f>
        <v/>
      </c>
      <c r="K408" s="10" t="str">
        <f t="shared" si="24"/>
        <v/>
      </c>
      <c r="L408" s="10" t="str">
        <f t="shared" si="25"/>
        <v/>
      </c>
      <c r="M408">
        <v>5</v>
      </c>
      <c r="N408" t="str">
        <f t="shared" si="26"/>
        <v>يوجد رصيد كافى</v>
      </c>
    </row>
    <row r="409" spans="2:14" x14ac:dyDescent="0.3">
      <c r="B409" s="10"/>
      <c r="D409" s="10"/>
      <c r="G409" t="str">
        <f>IFERROR(IF(SUMIF(المشتريات!C:C, 'حركة المخزن'!B409, المشتريات!F:F)=0,"",SUMIF(المشتريات!C:C, 'حركة المخزن'!B409, المشتريات!F:F)),"")</f>
        <v/>
      </c>
      <c r="H409" s="10" t="str">
        <f>IFERROR(IF(SUMIF(المشتريات!C:C, 'حركة المخزن'!B409, المشتريات!I:I)=0,"",SUMIF(المشتريات!C:C, 'حركة المخزن'!B409, المشتريات!I:I)),"")</f>
        <v/>
      </c>
      <c r="I409" s="10" t="str">
        <f>IFERROR(IF(SUMIF('تحليل مبيعات'!C:C, 'حركة المخزن'!B409, 'تحليل مبيعات'!H:H)=0,"",SUMIF('تحليل مبيعات'!C:C, 'حركة المخزن'!B409, 'تحليل مبيعات'!H:H)),"")</f>
        <v/>
      </c>
      <c r="J409" s="10" t="str">
        <f>IFERROR(IF(SUMIF('تحليل مبيعات'!C:C, 'حركة المخزن'!B409, 'تحليل مبيعات'!L:L)=0,"",SUMIF('تحليل مبيعات'!C:C, 'حركة المخزن'!B409, 'تحليل مبيعات'!L:L)),"")</f>
        <v/>
      </c>
      <c r="K409" s="10" t="str">
        <f t="shared" si="24"/>
        <v/>
      </c>
      <c r="L409" s="10" t="str">
        <f t="shared" si="25"/>
        <v/>
      </c>
      <c r="M409">
        <v>5</v>
      </c>
      <c r="N409" t="str">
        <f t="shared" si="26"/>
        <v>يوجد رصيد كافى</v>
      </c>
    </row>
    <row r="410" spans="2:14" x14ac:dyDescent="0.3">
      <c r="B410" s="10"/>
      <c r="D410" s="10"/>
      <c r="G410" t="str">
        <f>IFERROR(IF(SUMIF(المشتريات!C:C, 'حركة المخزن'!B410, المشتريات!F:F)=0,"",SUMIF(المشتريات!C:C, 'حركة المخزن'!B410, المشتريات!F:F)),"")</f>
        <v/>
      </c>
      <c r="H410" s="10" t="str">
        <f>IFERROR(IF(SUMIF(المشتريات!C:C, 'حركة المخزن'!B410, المشتريات!I:I)=0,"",SUMIF(المشتريات!C:C, 'حركة المخزن'!B410, المشتريات!I:I)),"")</f>
        <v/>
      </c>
      <c r="I410" s="10" t="str">
        <f>IFERROR(IF(SUMIF('تحليل مبيعات'!C:C, 'حركة المخزن'!B410, 'تحليل مبيعات'!H:H)=0,"",SUMIF('تحليل مبيعات'!C:C, 'حركة المخزن'!B410, 'تحليل مبيعات'!H:H)),"")</f>
        <v/>
      </c>
      <c r="J410" s="10" t="str">
        <f>IFERROR(IF(SUMIF('تحليل مبيعات'!C:C, 'حركة المخزن'!B410, 'تحليل مبيعات'!L:L)=0,"",SUMIF('تحليل مبيعات'!C:C, 'حركة المخزن'!B410, 'تحليل مبيعات'!L:L)),"")</f>
        <v/>
      </c>
      <c r="K410" s="10" t="str">
        <f t="shared" si="24"/>
        <v/>
      </c>
      <c r="L410" s="10" t="str">
        <f t="shared" si="25"/>
        <v/>
      </c>
      <c r="M410">
        <v>5</v>
      </c>
      <c r="N410" t="str">
        <f t="shared" si="26"/>
        <v>يوجد رصيد كافى</v>
      </c>
    </row>
    <row r="411" spans="2:14" x14ac:dyDescent="0.3">
      <c r="B411" s="10"/>
      <c r="D411" s="10"/>
      <c r="G411" t="str">
        <f>IFERROR(IF(SUMIF(المشتريات!C:C, 'حركة المخزن'!B411, المشتريات!F:F)=0,"",SUMIF(المشتريات!C:C, 'حركة المخزن'!B411, المشتريات!F:F)),"")</f>
        <v/>
      </c>
      <c r="H411" s="10" t="str">
        <f>IFERROR(IF(SUMIF(المشتريات!C:C, 'حركة المخزن'!B411, المشتريات!I:I)=0,"",SUMIF(المشتريات!C:C, 'حركة المخزن'!B411, المشتريات!I:I)),"")</f>
        <v/>
      </c>
      <c r="I411" s="10" t="str">
        <f>IFERROR(IF(SUMIF('تحليل مبيعات'!C:C, 'حركة المخزن'!B411, 'تحليل مبيعات'!H:H)=0,"",SUMIF('تحليل مبيعات'!C:C, 'حركة المخزن'!B411, 'تحليل مبيعات'!H:H)),"")</f>
        <v/>
      </c>
      <c r="J411" s="10" t="str">
        <f>IFERROR(IF(SUMIF('تحليل مبيعات'!C:C, 'حركة المخزن'!B411, 'تحليل مبيعات'!L:L)=0,"",SUMIF('تحليل مبيعات'!C:C, 'حركة المخزن'!B411, 'تحليل مبيعات'!L:L)),"")</f>
        <v/>
      </c>
      <c r="K411" s="10" t="str">
        <f t="shared" si="24"/>
        <v/>
      </c>
      <c r="L411" s="10" t="str">
        <f t="shared" si="25"/>
        <v/>
      </c>
      <c r="M411">
        <v>5</v>
      </c>
      <c r="N411" t="str">
        <f t="shared" si="26"/>
        <v>يوجد رصيد كافى</v>
      </c>
    </row>
    <row r="412" spans="2:14" x14ac:dyDescent="0.3">
      <c r="B412" s="10"/>
      <c r="D412" s="10"/>
      <c r="G412" t="str">
        <f>IFERROR(IF(SUMIF(المشتريات!C:C, 'حركة المخزن'!B412, المشتريات!F:F)=0,"",SUMIF(المشتريات!C:C, 'حركة المخزن'!B412, المشتريات!F:F)),"")</f>
        <v/>
      </c>
      <c r="H412" s="10" t="str">
        <f>IFERROR(IF(SUMIF(المشتريات!C:C, 'حركة المخزن'!B412, المشتريات!I:I)=0,"",SUMIF(المشتريات!C:C, 'حركة المخزن'!B412, المشتريات!I:I)),"")</f>
        <v/>
      </c>
      <c r="I412" s="10" t="str">
        <f>IFERROR(IF(SUMIF('تحليل مبيعات'!C:C, 'حركة المخزن'!B412, 'تحليل مبيعات'!H:H)=0,"",SUMIF('تحليل مبيعات'!C:C, 'حركة المخزن'!B412, 'تحليل مبيعات'!H:H)),"")</f>
        <v/>
      </c>
      <c r="J412" s="10" t="str">
        <f>IFERROR(IF(SUMIF('تحليل مبيعات'!C:C, 'حركة المخزن'!B412, 'تحليل مبيعات'!L:L)=0,"",SUMIF('تحليل مبيعات'!C:C, 'حركة المخزن'!B412, 'تحليل مبيعات'!L:L)),"")</f>
        <v/>
      </c>
      <c r="K412" s="10" t="str">
        <f t="shared" si="24"/>
        <v/>
      </c>
      <c r="L412" s="10" t="str">
        <f t="shared" si="25"/>
        <v/>
      </c>
      <c r="M412">
        <v>5</v>
      </c>
      <c r="N412" t="str">
        <f t="shared" si="26"/>
        <v>يوجد رصيد كافى</v>
      </c>
    </row>
    <row r="413" spans="2:14" x14ac:dyDescent="0.3">
      <c r="B413" s="10"/>
      <c r="D413" s="10"/>
      <c r="G413" t="str">
        <f>IFERROR(IF(SUMIF(المشتريات!C:C, 'حركة المخزن'!B413, المشتريات!F:F)=0,"",SUMIF(المشتريات!C:C, 'حركة المخزن'!B413, المشتريات!F:F)),"")</f>
        <v/>
      </c>
      <c r="H413" s="10" t="str">
        <f>IFERROR(IF(SUMIF(المشتريات!C:C, 'حركة المخزن'!B413, المشتريات!I:I)=0,"",SUMIF(المشتريات!C:C, 'حركة المخزن'!B413, المشتريات!I:I)),"")</f>
        <v/>
      </c>
      <c r="I413" s="10" t="str">
        <f>IFERROR(IF(SUMIF('تحليل مبيعات'!C:C, 'حركة المخزن'!B413, 'تحليل مبيعات'!H:H)=0,"",SUMIF('تحليل مبيعات'!C:C, 'حركة المخزن'!B413, 'تحليل مبيعات'!H:H)),"")</f>
        <v/>
      </c>
      <c r="J413" s="10" t="str">
        <f>IFERROR(IF(SUMIF('تحليل مبيعات'!C:C, 'حركة المخزن'!B413, 'تحليل مبيعات'!L:L)=0,"",SUMIF('تحليل مبيعات'!C:C, 'حركة المخزن'!B413, 'تحليل مبيعات'!L:L)),"")</f>
        <v/>
      </c>
      <c r="K413" s="10" t="str">
        <f t="shared" si="24"/>
        <v/>
      </c>
      <c r="L413" s="10" t="str">
        <f t="shared" si="25"/>
        <v/>
      </c>
      <c r="M413">
        <v>5</v>
      </c>
      <c r="N413" t="str">
        <f t="shared" si="26"/>
        <v>يوجد رصيد كافى</v>
      </c>
    </row>
    <row r="414" spans="2:14" x14ac:dyDescent="0.3">
      <c r="B414" s="10"/>
      <c r="D414" s="10"/>
      <c r="G414" t="str">
        <f>IFERROR(IF(SUMIF(المشتريات!C:C, 'حركة المخزن'!B414, المشتريات!F:F)=0,"",SUMIF(المشتريات!C:C, 'حركة المخزن'!B414, المشتريات!F:F)),"")</f>
        <v/>
      </c>
      <c r="H414" s="10" t="str">
        <f>IFERROR(IF(SUMIF(المشتريات!C:C, 'حركة المخزن'!B414, المشتريات!I:I)=0,"",SUMIF(المشتريات!C:C, 'حركة المخزن'!B414, المشتريات!I:I)),"")</f>
        <v/>
      </c>
      <c r="I414" s="10" t="str">
        <f>IFERROR(IF(SUMIF('تحليل مبيعات'!C:C, 'حركة المخزن'!B414, 'تحليل مبيعات'!H:H)=0,"",SUMIF('تحليل مبيعات'!C:C, 'حركة المخزن'!B414, 'تحليل مبيعات'!H:H)),"")</f>
        <v/>
      </c>
      <c r="J414" s="10" t="str">
        <f>IFERROR(IF(SUMIF('تحليل مبيعات'!C:C, 'حركة المخزن'!B414, 'تحليل مبيعات'!L:L)=0,"",SUMIF('تحليل مبيعات'!C:C, 'حركة المخزن'!B414, 'تحليل مبيعات'!L:L)),"")</f>
        <v/>
      </c>
      <c r="K414" s="10" t="str">
        <f t="shared" si="24"/>
        <v/>
      </c>
      <c r="L414" s="10" t="str">
        <f t="shared" si="25"/>
        <v/>
      </c>
      <c r="M414">
        <v>5</v>
      </c>
      <c r="N414" t="str">
        <f t="shared" si="26"/>
        <v>يوجد رصيد كافى</v>
      </c>
    </row>
    <row r="415" spans="2:14" x14ac:dyDescent="0.3">
      <c r="B415" s="10"/>
      <c r="D415" s="10"/>
      <c r="G415" t="str">
        <f>IFERROR(IF(SUMIF(المشتريات!C:C, 'حركة المخزن'!B415, المشتريات!F:F)=0,"",SUMIF(المشتريات!C:C, 'حركة المخزن'!B415, المشتريات!F:F)),"")</f>
        <v/>
      </c>
      <c r="H415" s="10" t="str">
        <f>IFERROR(IF(SUMIF(المشتريات!C:C, 'حركة المخزن'!B415, المشتريات!I:I)=0,"",SUMIF(المشتريات!C:C, 'حركة المخزن'!B415, المشتريات!I:I)),"")</f>
        <v/>
      </c>
      <c r="I415" s="10" t="str">
        <f>IFERROR(IF(SUMIF('تحليل مبيعات'!C:C, 'حركة المخزن'!B415, 'تحليل مبيعات'!H:H)=0,"",SUMIF('تحليل مبيعات'!C:C, 'حركة المخزن'!B415, 'تحليل مبيعات'!H:H)),"")</f>
        <v/>
      </c>
      <c r="J415" s="10" t="str">
        <f>IFERROR(IF(SUMIF('تحليل مبيعات'!C:C, 'حركة المخزن'!B415, 'تحليل مبيعات'!L:L)=0,"",SUMIF('تحليل مبيعات'!C:C, 'حركة المخزن'!B415, 'تحليل مبيعات'!L:L)),"")</f>
        <v/>
      </c>
      <c r="K415" s="10" t="str">
        <f t="shared" si="24"/>
        <v/>
      </c>
      <c r="L415" s="10" t="str">
        <f t="shared" si="25"/>
        <v/>
      </c>
      <c r="M415">
        <v>5</v>
      </c>
      <c r="N415" t="str">
        <f t="shared" si="26"/>
        <v>يوجد رصيد كافى</v>
      </c>
    </row>
    <row r="416" spans="2:14" x14ac:dyDescent="0.3">
      <c r="B416" s="10"/>
      <c r="D416" s="10"/>
      <c r="G416" t="str">
        <f>IFERROR(IF(SUMIF(المشتريات!C:C, 'حركة المخزن'!B416, المشتريات!F:F)=0,"",SUMIF(المشتريات!C:C, 'حركة المخزن'!B416, المشتريات!F:F)),"")</f>
        <v/>
      </c>
      <c r="H416" s="10" t="str">
        <f>IFERROR(IF(SUMIF(المشتريات!C:C, 'حركة المخزن'!B416, المشتريات!I:I)=0,"",SUMIF(المشتريات!C:C, 'حركة المخزن'!B416, المشتريات!I:I)),"")</f>
        <v/>
      </c>
      <c r="I416" s="10" t="str">
        <f>IFERROR(IF(SUMIF('تحليل مبيعات'!C:C, 'حركة المخزن'!B416, 'تحليل مبيعات'!H:H)=0,"",SUMIF('تحليل مبيعات'!C:C, 'حركة المخزن'!B416, 'تحليل مبيعات'!H:H)),"")</f>
        <v/>
      </c>
      <c r="J416" s="10" t="str">
        <f>IFERROR(IF(SUMIF('تحليل مبيعات'!C:C, 'حركة المخزن'!B416, 'تحليل مبيعات'!L:L)=0,"",SUMIF('تحليل مبيعات'!C:C, 'حركة المخزن'!B416, 'تحليل مبيعات'!L:L)),"")</f>
        <v/>
      </c>
      <c r="K416" s="10" t="str">
        <f t="shared" si="24"/>
        <v/>
      </c>
      <c r="L416" s="10" t="str">
        <f t="shared" si="25"/>
        <v/>
      </c>
      <c r="M416">
        <v>5</v>
      </c>
      <c r="N416" t="str">
        <f t="shared" si="26"/>
        <v>يوجد رصيد كافى</v>
      </c>
    </row>
    <row r="417" spans="2:14" x14ac:dyDescent="0.3">
      <c r="B417" s="10"/>
      <c r="D417" s="10"/>
      <c r="G417" t="str">
        <f>IFERROR(IF(SUMIF(المشتريات!C:C, 'حركة المخزن'!B417, المشتريات!F:F)=0,"",SUMIF(المشتريات!C:C, 'حركة المخزن'!B417, المشتريات!F:F)),"")</f>
        <v/>
      </c>
      <c r="H417" s="10" t="str">
        <f>IFERROR(IF(SUMIF(المشتريات!C:C, 'حركة المخزن'!B417, المشتريات!I:I)=0,"",SUMIF(المشتريات!C:C, 'حركة المخزن'!B417, المشتريات!I:I)),"")</f>
        <v/>
      </c>
      <c r="I417" s="10" t="str">
        <f>IFERROR(IF(SUMIF('تحليل مبيعات'!C:C, 'حركة المخزن'!B417, 'تحليل مبيعات'!H:H)=0,"",SUMIF('تحليل مبيعات'!C:C, 'حركة المخزن'!B417, 'تحليل مبيعات'!H:H)),"")</f>
        <v/>
      </c>
      <c r="J417" s="10" t="str">
        <f>IFERROR(IF(SUMIF('تحليل مبيعات'!C:C, 'حركة المخزن'!B417, 'تحليل مبيعات'!L:L)=0,"",SUMIF('تحليل مبيعات'!C:C, 'حركة المخزن'!B417, 'تحليل مبيعات'!L:L)),"")</f>
        <v/>
      </c>
      <c r="K417" s="10" t="str">
        <f t="shared" si="24"/>
        <v/>
      </c>
      <c r="L417" s="10" t="str">
        <f t="shared" si="25"/>
        <v/>
      </c>
      <c r="M417">
        <v>5</v>
      </c>
      <c r="N417" t="str">
        <f t="shared" si="26"/>
        <v>يوجد رصيد كافى</v>
      </c>
    </row>
    <row r="418" spans="2:14" x14ac:dyDescent="0.3">
      <c r="B418" s="10"/>
      <c r="D418" s="10"/>
      <c r="G418" t="str">
        <f>IFERROR(IF(SUMIF(المشتريات!C:C, 'حركة المخزن'!B418, المشتريات!F:F)=0,"",SUMIF(المشتريات!C:C, 'حركة المخزن'!B418, المشتريات!F:F)),"")</f>
        <v/>
      </c>
      <c r="H418" s="10" t="str">
        <f>IFERROR(IF(SUMIF(المشتريات!C:C, 'حركة المخزن'!B418, المشتريات!I:I)=0,"",SUMIF(المشتريات!C:C, 'حركة المخزن'!B418, المشتريات!I:I)),"")</f>
        <v/>
      </c>
      <c r="I418" s="10" t="str">
        <f>IFERROR(IF(SUMIF('تحليل مبيعات'!C:C, 'حركة المخزن'!B418, 'تحليل مبيعات'!H:H)=0,"",SUMIF('تحليل مبيعات'!C:C, 'حركة المخزن'!B418, 'تحليل مبيعات'!H:H)),"")</f>
        <v/>
      </c>
      <c r="J418" s="10" t="str">
        <f>IFERROR(IF(SUMIF('تحليل مبيعات'!C:C, 'حركة المخزن'!B418, 'تحليل مبيعات'!L:L)=0,"",SUMIF('تحليل مبيعات'!C:C, 'حركة المخزن'!B418, 'تحليل مبيعات'!L:L)),"")</f>
        <v/>
      </c>
      <c r="K418" s="10" t="str">
        <f t="shared" si="24"/>
        <v/>
      </c>
      <c r="L418" s="10" t="str">
        <f t="shared" si="25"/>
        <v/>
      </c>
      <c r="M418">
        <v>5</v>
      </c>
      <c r="N418" t="str">
        <f t="shared" si="26"/>
        <v>يوجد رصيد كافى</v>
      </c>
    </row>
    <row r="419" spans="2:14" x14ac:dyDescent="0.3">
      <c r="B419" s="10"/>
      <c r="D419" s="10"/>
      <c r="G419" t="str">
        <f>IFERROR(IF(SUMIF(المشتريات!C:C, 'حركة المخزن'!B419, المشتريات!F:F)=0,"",SUMIF(المشتريات!C:C, 'حركة المخزن'!B419, المشتريات!F:F)),"")</f>
        <v/>
      </c>
      <c r="H419" s="10" t="str">
        <f>IFERROR(IF(SUMIF(المشتريات!C:C, 'حركة المخزن'!B419, المشتريات!I:I)=0,"",SUMIF(المشتريات!C:C, 'حركة المخزن'!B419, المشتريات!I:I)),"")</f>
        <v/>
      </c>
      <c r="I419" s="10" t="str">
        <f>IFERROR(IF(SUMIF('تحليل مبيعات'!C:C, 'حركة المخزن'!B419, 'تحليل مبيعات'!H:H)=0,"",SUMIF('تحليل مبيعات'!C:C, 'حركة المخزن'!B419, 'تحليل مبيعات'!H:H)),"")</f>
        <v/>
      </c>
      <c r="J419" s="10" t="str">
        <f>IFERROR(IF(SUMIF('تحليل مبيعات'!C:C, 'حركة المخزن'!B419, 'تحليل مبيعات'!L:L)=0,"",SUMIF('تحليل مبيعات'!C:C, 'حركة المخزن'!B419, 'تحليل مبيعات'!L:L)),"")</f>
        <v/>
      </c>
      <c r="K419" s="10" t="str">
        <f t="shared" si="24"/>
        <v/>
      </c>
      <c r="L419" s="10" t="str">
        <f t="shared" si="25"/>
        <v/>
      </c>
      <c r="M419">
        <v>5</v>
      </c>
      <c r="N419" t="str">
        <f t="shared" si="26"/>
        <v>يوجد رصيد كافى</v>
      </c>
    </row>
    <row r="420" spans="2:14" x14ac:dyDescent="0.3">
      <c r="B420" s="10"/>
      <c r="D420" s="10"/>
      <c r="G420" t="str">
        <f>IFERROR(IF(SUMIF(المشتريات!C:C, 'حركة المخزن'!B420, المشتريات!F:F)=0,"",SUMIF(المشتريات!C:C, 'حركة المخزن'!B420, المشتريات!F:F)),"")</f>
        <v/>
      </c>
      <c r="H420" s="10" t="str">
        <f>IFERROR(IF(SUMIF(المشتريات!C:C, 'حركة المخزن'!B420, المشتريات!I:I)=0,"",SUMIF(المشتريات!C:C, 'حركة المخزن'!B420, المشتريات!I:I)),"")</f>
        <v/>
      </c>
      <c r="I420" s="10" t="str">
        <f>IFERROR(IF(SUMIF('تحليل مبيعات'!C:C, 'حركة المخزن'!B420, 'تحليل مبيعات'!H:H)=0,"",SUMIF('تحليل مبيعات'!C:C, 'حركة المخزن'!B420, 'تحليل مبيعات'!H:H)),"")</f>
        <v/>
      </c>
      <c r="J420" s="10" t="str">
        <f>IFERROR(IF(SUMIF('تحليل مبيعات'!C:C, 'حركة المخزن'!B420, 'تحليل مبيعات'!L:L)=0,"",SUMIF('تحليل مبيعات'!C:C, 'حركة المخزن'!B420, 'تحليل مبيعات'!L:L)),"")</f>
        <v/>
      </c>
      <c r="K420" s="10" t="str">
        <f t="shared" si="24"/>
        <v/>
      </c>
      <c r="L420" s="10" t="str">
        <f t="shared" si="25"/>
        <v/>
      </c>
      <c r="M420">
        <v>5</v>
      </c>
      <c r="N420" t="str">
        <f t="shared" si="26"/>
        <v>يوجد رصيد كافى</v>
      </c>
    </row>
    <row r="421" spans="2:14" x14ac:dyDescent="0.3">
      <c r="B421" s="10"/>
      <c r="D421" s="10"/>
      <c r="G421" t="str">
        <f>IFERROR(IF(SUMIF(المشتريات!C:C, 'حركة المخزن'!B421, المشتريات!F:F)=0,"",SUMIF(المشتريات!C:C, 'حركة المخزن'!B421, المشتريات!F:F)),"")</f>
        <v/>
      </c>
      <c r="H421" s="10" t="str">
        <f>IFERROR(IF(SUMIF(المشتريات!C:C, 'حركة المخزن'!B421, المشتريات!I:I)=0,"",SUMIF(المشتريات!C:C, 'حركة المخزن'!B421, المشتريات!I:I)),"")</f>
        <v/>
      </c>
      <c r="I421" s="10" t="str">
        <f>IFERROR(IF(SUMIF('تحليل مبيعات'!C:C, 'حركة المخزن'!B421, 'تحليل مبيعات'!H:H)=0,"",SUMIF('تحليل مبيعات'!C:C, 'حركة المخزن'!B421, 'تحليل مبيعات'!H:H)),"")</f>
        <v/>
      </c>
      <c r="J421" s="10" t="str">
        <f>IFERROR(IF(SUMIF('تحليل مبيعات'!C:C, 'حركة المخزن'!B421, 'تحليل مبيعات'!L:L)=0,"",SUMIF('تحليل مبيعات'!C:C, 'حركة المخزن'!B421, 'تحليل مبيعات'!L:L)),"")</f>
        <v/>
      </c>
      <c r="K421" s="10" t="str">
        <f t="shared" si="24"/>
        <v/>
      </c>
      <c r="L421" s="10" t="str">
        <f t="shared" si="25"/>
        <v/>
      </c>
      <c r="M421">
        <v>5</v>
      </c>
      <c r="N421" t="str">
        <f t="shared" si="26"/>
        <v>يوجد رصيد كافى</v>
      </c>
    </row>
    <row r="422" spans="2:14" x14ac:dyDescent="0.3">
      <c r="B422" s="10"/>
      <c r="D422" s="10"/>
      <c r="G422" t="str">
        <f>IFERROR(IF(SUMIF(المشتريات!C:C, 'حركة المخزن'!B422, المشتريات!F:F)=0,"",SUMIF(المشتريات!C:C, 'حركة المخزن'!B422, المشتريات!F:F)),"")</f>
        <v/>
      </c>
      <c r="H422" s="10" t="str">
        <f>IFERROR(IF(SUMIF(المشتريات!C:C, 'حركة المخزن'!B422, المشتريات!I:I)=0,"",SUMIF(المشتريات!C:C, 'حركة المخزن'!B422, المشتريات!I:I)),"")</f>
        <v/>
      </c>
      <c r="I422" s="10" t="str">
        <f>IFERROR(IF(SUMIF('تحليل مبيعات'!C:C, 'حركة المخزن'!B422, 'تحليل مبيعات'!H:H)=0,"",SUMIF('تحليل مبيعات'!C:C, 'حركة المخزن'!B422, 'تحليل مبيعات'!H:H)),"")</f>
        <v/>
      </c>
      <c r="J422" s="10" t="str">
        <f>IFERROR(IF(SUMIF('تحليل مبيعات'!C:C, 'حركة المخزن'!B422, 'تحليل مبيعات'!L:L)=0,"",SUMIF('تحليل مبيعات'!C:C, 'حركة المخزن'!B422, 'تحليل مبيعات'!L:L)),"")</f>
        <v/>
      </c>
      <c r="K422" s="10" t="str">
        <f t="shared" si="24"/>
        <v/>
      </c>
      <c r="L422" s="10" t="str">
        <f t="shared" si="25"/>
        <v/>
      </c>
      <c r="M422">
        <v>5</v>
      </c>
      <c r="N422" t="str">
        <f t="shared" si="26"/>
        <v>يوجد رصيد كافى</v>
      </c>
    </row>
    <row r="423" spans="2:14" x14ac:dyDescent="0.3">
      <c r="B423" s="10"/>
      <c r="D423" s="10"/>
      <c r="G423" t="str">
        <f>IFERROR(IF(SUMIF(المشتريات!C:C, 'حركة المخزن'!B423, المشتريات!F:F)=0,"",SUMIF(المشتريات!C:C, 'حركة المخزن'!B423, المشتريات!F:F)),"")</f>
        <v/>
      </c>
      <c r="H423" s="10" t="str">
        <f>IFERROR(IF(SUMIF(المشتريات!C:C, 'حركة المخزن'!B423, المشتريات!I:I)=0,"",SUMIF(المشتريات!C:C, 'حركة المخزن'!B423, المشتريات!I:I)),"")</f>
        <v/>
      </c>
      <c r="I423" s="10" t="str">
        <f>IFERROR(IF(SUMIF('تحليل مبيعات'!C:C, 'حركة المخزن'!B423, 'تحليل مبيعات'!H:H)=0,"",SUMIF('تحليل مبيعات'!C:C, 'حركة المخزن'!B423, 'تحليل مبيعات'!H:H)),"")</f>
        <v/>
      </c>
      <c r="J423" s="10" t="str">
        <f>IFERROR(IF(SUMIF('تحليل مبيعات'!C:C, 'حركة المخزن'!B423, 'تحليل مبيعات'!L:L)=0,"",SUMIF('تحليل مبيعات'!C:C, 'حركة المخزن'!B423, 'تحليل مبيعات'!L:L)),"")</f>
        <v/>
      </c>
      <c r="K423" s="10" t="str">
        <f t="shared" si="24"/>
        <v/>
      </c>
      <c r="L423" s="10" t="str">
        <f t="shared" si="25"/>
        <v/>
      </c>
      <c r="M423">
        <v>5</v>
      </c>
      <c r="N423" t="str">
        <f t="shared" si="26"/>
        <v>يوجد رصيد كافى</v>
      </c>
    </row>
    <row r="424" spans="2:14" x14ac:dyDescent="0.3">
      <c r="B424" s="10"/>
      <c r="D424" s="10"/>
      <c r="G424" t="str">
        <f>IFERROR(IF(SUMIF(المشتريات!C:C, 'حركة المخزن'!B424, المشتريات!F:F)=0,"",SUMIF(المشتريات!C:C, 'حركة المخزن'!B424, المشتريات!F:F)),"")</f>
        <v/>
      </c>
      <c r="H424" s="10" t="str">
        <f>IFERROR(IF(SUMIF(المشتريات!C:C, 'حركة المخزن'!B424, المشتريات!I:I)=0,"",SUMIF(المشتريات!C:C, 'حركة المخزن'!B424, المشتريات!I:I)),"")</f>
        <v/>
      </c>
      <c r="I424" s="10" t="str">
        <f>IFERROR(IF(SUMIF('تحليل مبيعات'!C:C, 'حركة المخزن'!B424, 'تحليل مبيعات'!H:H)=0,"",SUMIF('تحليل مبيعات'!C:C, 'حركة المخزن'!B424, 'تحليل مبيعات'!H:H)),"")</f>
        <v/>
      </c>
      <c r="J424" s="10" t="str">
        <f>IFERROR(IF(SUMIF('تحليل مبيعات'!C:C, 'حركة المخزن'!B424, 'تحليل مبيعات'!L:L)=0,"",SUMIF('تحليل مبيعات'!C:C, 'حركة المخزن'!B424, 'تحليل مبيعات'!L:L)),"")</f>
        <v/>
      </c>
      <c r="K424" s="10" t="str">
        <f t="shared" si="24"/>
        <v/>
      </c>
      <c r="L424" s="10" t="str">
        <f t="shared" si="25"/>
        <v/>
      </c>
      <c r="M424">
        <v>5</v>
      </c>
      <c r="N424" t="str">
        <f t="shared" si="26"/>
        <v>يوجد رصيد كافى</v>
      </c>
    </row>
    <row r="425" spans="2:14" x14ac:dyDescent="0.3">
      <c r="B425" s="10"/>
      <c r="D425" s="10"/>
      <c r="G425" t="str">
        <f>IFERROR(IF(SUMIF(المشتريات!C:C, 'حركة المخزن'!B425, المشتريات!F:F)=0,"",SUMIF(المشتريات!C:C, 'حركة المخزن'!B425, المشتريات!F:F)),"")</f>
        <v/>
      </c>
      <c r="H425" s="10" t="str">
        <f>IFERROR(IF(SUMIF(المشتريات!C:C, 'حركة المخزن'!B425, المشتريات!I:I)=0,"",SUMIF(المشتريات!C:C, 'حركة المخزن'!B425, المشتريات!I:I)),"")</f>
        <v/>
      </c>
      <c r="I425" s="10" t="str">
        <f>IFERROR(IF(SUMIF('تحليل مبيعات'!C:C, 'حركة المخزن'!B425, 'تحليل مبيعات'!H:H)=0,"",SUMIF('تحليل مبيعات'!C:C, 'حركة المخزن'!B425, 'تحليل مبيعات'!H:H)),"")</f>
        <v/>
      </c>
      <c r="J425" s="10" t="str">
        <f>IFERROR(IF(SUMIF('تحليل مبيعات'!C:C, 'حركة المخزن'!B425, 'تحليل مبيعات'!L:L)=0,"",SUMIF('تحليل مبيعات'!C:C, 'حركة المخزن'!B425, 'تحليل مبيعات'!L:L)),"")</f>
        <v/>
      </c>
      <c r="K425" s="10" t="str">
        <f t="shared" si="24"/>
        <v/>
      </c>
      <c r="L425" s="10" t="str">
        <f t="shared" si="25"/>
        <v/>
      </c>
      <c r="M425">
        <v>5</v>
      </c>
      <c r="N425" t="str">
        <f t="shared" si="26"/>
        <v>يوجد رصيد كافى</v>
      </c>
    </row>
    <row r="426" spans="2:14" x14ac:dyDescent="0.3">
      <c r="B426" s="10"/>
      <c r="D426" s="10"/>
      <c r="G426" t="str">
        <f>IFERROR(IF(SUMIF(المشتريات!C:C, 'حركة المخزن'!B426, المشتريات!F:F)=0,"",SUMIF(المشتريات!C:C, 'حركة المخزن'!B426, المشتريات!F:F)),"")</f>
        <v/>
      </c>
      <c r="H426" s="10" t="str">
        <f>IFERROR(IF(SUMIF(المشتريات!C:C, 'حركة المخزن'!B426, المشتريات!I:I)=0,"",SUMIF(المشتريات!C:C, 'حركة المخزن'!B426, المشتريات!I:I)),"")</f>
        <v/>
      </c>
      <c r="I426" s="10" t="str">
        <f>IFERROR(IF(SUMIF('تحليل مبيعات'!C:C, 'حركة المخزن'!B426, 'تحليل مبيعات'!H:H)=0,"",SUMIF('تحليل مبيعات'!C:C, 'حركة المخزن'!B426, 'تحليل مبيعات'!H:H)),"")</f>
        <v/>
      </c>
      <c r="J426" s="10" t="str">
        <f>IFERROR(IF(SUMIF('تحليل مبيعات'!C:C, 'حركة المخزن'!B426, 'تحليل مبيعات'!L:L)=0,"",SUMIF('تحليل مبيعات'!C:C, 'حركة المخزن'!B426, 'تحليل مبيعات'!L:L)),"")</f>
        <v/>
      </c>
      <c r="K426" s="10" t="str">
        <f t="shared" si="24"/>
        <v/>
      </c>
      <c r="L426" s="10" t="str">
        <f t="shared" si="25"/>
        <v/>
      </c>
      <c r="M426">
        <v>5</v>
      </c>
      <c r="N426" t="str">
        <f t="shared" si="26"/>
        <v>يوجد رصيد كافى</v>
      </c>
    </row>
    <row r="427" spans="2:14" x14ac:dyDescent="0.3">
      <c r="B427" s="10"/>
      <c r="D427" s="10"/>
      <c r="G427" t="str">
        <f>IFERROR(IF(SUMIF(المشتريات!C:C, 'حركة المخزن'!B427, المشتريات!F:F)=0,"",SUMIF(المشتريات!C:C, 'حركة المخزن'!B427, المشتريات!F:F)),"")</f>
        <v/>
      </c>
      <c r="H427" s="10" t="str">
        <f>IFERROR(IF(SUMIF(المشتريات!C:C, 'حركة المخزن'!B427, المشتريات!I:I)=0,"",SUMIF(المشتريات!C:C, 'حركة المخزن'!B427, المشتريات!I:I)),"")</f>
        <v/>
      </c>
      <c r="I427" s="10" t="str">
        <f>IFERROR(IF(SUMIF('تحليل مبيعات'!C:C, 'حركة المخزن'!B427, 'تحليل مبيعات'!H:H)=0,"",SUMIF('تحليل مبيعات'!C:C, 'حركة المخزن'!B427, 'تحليل مبيعات'!H:H)),"")</f>
        <v/>
      </c>
      <c r="J427" s="10" t="str">
        <f>IFERROR(IF(SUMIF('تحليل مبيعات'!C:C, 'حركة المخزن'!B427, 'تحليل مبيعات'!L:L)=0,"",SUMIF('تحليل مبيعات'!C:C, 'حركة المخزن'!B427, 'تحليل مبيعات'!L:L)),"")</f>
        <v/>
      </c>
      <c r="K427" s="10" t="str">
        <f t="shared" si="24"/>
        <v/>
      </c>
      <c r="L427" s="10" t="str">
        <f t="shared" si="25"/>
        <v/>
      </c>
      <c r="M427">
        <v>5</v>
      </c>
      <c r="N427" t="str">
        <f t="shared" si="26"/>
        <v>يوجد رصيد كافى</v>
      </c>
    </row>
    <row r="428" spans="2:14" x14ac:dyDescent="0.3">
      <c r="B428" s="10"/>
      <c r="D428" s="10"/>
      <c r="G428" t="str">
        <f>IFERROR(IF(SUMIF(المشتريات!C:C, 'حركة المخزن'!B428, المشتريات!F:F)=0,"",SUMIF(المشتريات!C:C, 'حركة المخزن'!B428, المشتريات!F:F)),"")</f>
        <v/>
      </c>
      <c r="H428" s="10" t="str">
        <f>IFERROR(IF(SUMIF(المشتريات!C:C, 'حركة المخزن'!B428, المشتريات!I:I)=0,"",SUMIF(المشتريات!C:C, 'حركة المخزن'!B428, المشتريات!I:I)),"")</f>
        <v/>
      </c>
      <c r="I428" s="10" t="str">
        <f>IFERROR(IF(SUMIF('تحليل مبيعات'!C:C, 'حركة المخزن'!B428, 'تحليل مبيعات'!H:H)=0,"",SUMIF('تحليل مبيعات'!C:C, 'حركة المخزن'!B428, 'تحليل مبيعات'!H:H)),"")</f>
        <v/>
      </c>
      <c r="J428" s="10" t="str">
        <f>IFERROR(IF(SUMIF('تحليل مبيعات'!C:C, 'حركة المخزن'!B428, 'تحليل مبيعات'!L:L)=0,"",SUMIF('تحليل مبيعات'!C:C, 'حركة المخزن'!B428, 'تحليل مبيعات'!L:L)),"")</f>
        <v/>
      </c>
      <c r="K428" s="10" t="str">
        <f t="shared" si="24"/>
        <v/>
      </c>
      <c r="L428" s="10" t="str">
        <f t="shared" si="25"/>
        <v/>
      </c>
      <c r="M428">
        <v>5</v>
      </c>
      <c r="N428" t="str">
        <f t="shared" si="26"/>
        <v>يوجد رصيد كافى</v>
      </c>
    </row>
    <row r="429" spans="2:14" x14ac:dyDescent="0.3">
      <c r="B429" s="10"/>
      <c r="D429" s="10"/>
      <c r="G429" t="str">
        <f>IFERROR(IF(SUMIF(المشتريات!C:C, 'حركة المخزن'!B429, المشتريات!F:F)=0,"",SUMIF(المشتريات!C:C, 'حركة المخزن'!B429, المشتريات!F:F)),"")</f>
        <v/>
      </c>
      <c r="H429" s="10" t="str">
        <f>IFERROR(IF(SUMIF(المشتريات!C:C, 'حركة المخزن'!B429, المشتريات!I:I)=0,"",SUMIF(المشتريات!C:C, 'حركة المخزن'!B429, المشتريات!I:I)),"")</f>
        <v/>
      </c>
      <c r="I429" s="10" t="str">
        <f>IFERROR(IF(SUMIF('تحليل مبيعات'!C:C, 'حركة المخزن'!B429, 'تحليل مبيعات'!H:H)=0,"",SUMIF('تحليل مبيعات'!C:C, 'حركة المخزن'!B429, 'تحليل مبيعات'!H:H)),"")</f>
        <v/>
      </c>
      <c r="J429" s="10" t="str">
        <f>IFERROR(IF(SUMIF('تحليل مبيعات'!C:C, 'حركة المخزن'!B429, 'تحليل مبيعات'!L:L)=0,"",SUMIF('تحليل مبيعات'!C:C, 'حركة المخزن'!B429, 'تحليل مبيعات'!L:L)),"")</f>
        <v/>
      </c>
      <c r="K429" s="10" t="str">
        <f t="shared" si="24"/>
        <v/>
      </c>
      <c r="L429" s="10" t="str">
        <f t="shared" si="25"/>
        <v/>
      </c>
      <c r="M429">
        <v>5</v>
      </c>
      <c r="N429" t="str">
        <f t="shared" si="26"/>
        <v>يوجد رصيد كافى</v>
      </c>
    </row>
    <row r="430" spans="2:14" x14ac:dyDescent="0.3">
      <c r="G430" t="str">
        <f>IFERROR(IF(SUMIF(المشتريات!C:C, 'حركة المخزن'!B430, المشتريات!F:F)=0,"",SUMIF(المشتريات!C:C, 'حركة المخزن'!B430, المشتريات!F:F)),"")</f>
        <v/>
      </c>
      <c r="H430" s="10" t="str">
        <f>IFERROR(IF(SUMIF(المشتريات!C:C, 'حركة المخزن'!B430, المشتريات!I:I)=0,"",SUMIF(المشتريات!C:C, 'حركة المخزن'!B430, المشتريات!I:I)),"")</f>
        <v/>
      </c>
      <c r="I430" s="10" t="str">
        <f>IFERROR(IF(SUMIF('تحليل مبيعات'!C:C, 'حركة المخزن'!B430, 'تحليل مبيعات'!H:H)=0,"",SUMIF('تحليل مبيعات'!C:C, 'حركة المخزن'!B430, 'تحليل مبيعات'!H:H)),"")</f>
        <v/>
      </c>
      <c r="J430" s="10" t="str">
        <f>IFERROR(IF(SUMIF('تحليل مبيعات'!C:C, 'حركة المخزن'!B430, 'تحليل مبيعات'!L:L)=0,"",SUMIF('تحليل مبيعات'!C:C, 'حركة المخزن'!B430, 'تحليل مبيعات'!L:L)),"")</f>
        <v/>
      </c>
      <c r="K430" s="10" t="str">
        <f t="shared" si="24"/>
        <v/>
      </c>
      <c r="L430" s="10" t="str">
        <f t="shared" si="25"/>
        <v/>
      </c>
      <c r="M430">
        <v>5</v>
      </c>
      <c r="N430" t="str">
        <f t="shared" si="26"/>
        <v>يوجد رصيد كافى</v>
      </c>
    </row>
    <row r="431" spans="2:14" x14ac:dyDescent="0.3">
      <c r="G431" t="str">
        <f>IFERROR(IF(SUMIF(المشتريات!C:C, 'حركة المخزن'!B431, المشتريات!F:F)=0,"",SUMIF(المشتريات!C:C, 'حركة المخزن'!B431, المشتريات!F:F)),"")</f>
        <v/>
      </c>
      <c r="H431" s="10" t="str">
        <f>IFERROR(IF(SUMIF(المشتريات!C:C, 'حركة المخزن'!B431, المشتريات!I:I)=0,"",SUMIF(المشتريات!C:C, 'حركة المخزن'!B431, المشتريات!I:I)),"")</f>
        <v/>
      </c>
      <c r="I431" s="10" t="str">
        <f>IFERROR(IF(SUMIF('تحليل مبيعات'!C:C, 'حركة المخزن'!B431, 'تحليل مبيعات'!H:H)=0,"",SUMIF('تحليل مبيعات'!C:C, 'حركة المخزن'!B431, 'تحليل مبيعات'!H:H)),"")</f>
        <v/>
      </c>
      <c r="J431" s="10" t="str">
        <f>IFERROR(IF(SUMIF('تحليل مبيعات'!C:C, 'حركة المخزن'!B431, 'تحليل مبيعات'!L:L)=0,"",SUMIF('تحليل مبيعات'!C:C, 'حركة المخزن'!B431, 'تحليل مبيعات'!L:L)),"")</f>
        <v/>
      </c>
      <c r="K431" s="10" t="str">
        <f t="shared" si="24"/>
        <v/>
      </c>
      <c r="L431" s="10" t="str">
        <f t="shared" si="25"/>
        <v/>
      </c>
      <c r="M431">
        <v>5</v>
      </c>
      <c r="N431" t="str">
        <f t="shared" si="26"/>
        <v>يوجد رصيد كافى</v>
      </c>
    </row>
    <row r="432" spans="2:14" x14ac:dyDescent="0.3">
      <c r="G432" t="str">
        <f>IFERROR(IF(SUMIF(المشتريات!C:C, 'حركة المخزن'!B432, المشتريات!F:F)=0,"",SUMIF(المشتريات!C:C, 'حركة المخزن'!B432, المشتريات!F:F)),"")</f>
        <v/>
      </c>
      <c r="H432" s="10" t="str">
        <f>IFERROR(IF(SUMIF(المشتريات!C:C, 'حركة المخزن'!B432, المشتريات!I:I)=0,"",SUMIF(المشتريات!C:C, 'حركة المخزن'!B432, المشتريات!I:I)),"")</f>
        <v/>
      </c>
      <c r="I432" s="10" t="str">
        <f>IFERROR(IF(SUMIF('تحليل مبيعات'!C:C, 'حركة المخزن'!B432, 'تحليل مبيعات'!H:H)=0,"",SUMIF('تحليل مبيعات'!C:C, 'حركة المخزن'!B432, 'تحليل مبيعات'!H:H)),"")</f>
        <v/>
      </c>
      <c r="J432" s="10" t="str">
        <f>IFERROR(IF(SUMIF('تحليل مبيعات'!C:C, 'حركة المخزن'!B432, 'تحليل مبيعات'!L:L)=0,"",SUMIF('تحليل مبيعات'!C:C, 'حركة المخزن'!B432, 'تحليل مبيعات'!L:L)),"")</f>
        <v/>
      </c>
      <c r="K432" s="10" t="str">
        <f t="shared" si="24"/>
        <v/>
      </c>
      <c r="L432" s="10" t="str">
        <f t="shared" si="25"/>
        <v/>
      </c>
      <c r="M432">
        <v>5</v>
      </c>
      <c r="N432" t="str">
        <f t="shared" si="26"/>
        <v>يوجد رصيد كافى</v>
      </c>
    </row>
    <row r="433" spans="7:14" x14ac:dyDescent="0.3">
      <c r="G433" t="str">
        <f>IFERROR(IF(SUMIF(المشتريات!C:C, 'حركة المخزن'!B433, المشتريات!F:F)=0,"",SUMIF(المشتريات!C:C, 'حركة المخزن'!B433, المشتريات!F:F)),"")</f>
        <v/>
      </c>
      <c r="H433" s="10" t="str">
        <f>IFERROR(IF(SUMIF(المشتريات!C:C, 'حركة المخزن'!B433, المشتريات!I:I)=0,"",SUMIF(المشتريات!C:C, 'حركة المخزن'!B433, المشتريات!I:I)),"")</f>
        <v/>
      </c>
      <c r="I433" s="10" t="str">
        <f>IFERROR(IF(SUMIF('تحليل مبيعات'!C:C, 'حركة المخزن'!B433, 'تحليل مبيعات'!H:H)=0,"",SUMIF('تحليل مبيعات'!C:C, 'حركة المخزن'!B433, 'تحليل مبيعات'!H:H)),"")</f>
        <v/>
      </c>
      <c r="J433" s="10" t="str">
        <f>IFERROR(IF(SUMIF('تحليل مبيعات'!C:C, 'حركة المخزن'!B433, 'تحليل مبيعات'!L:L)=0,"",SUMIF('تحليل مبيعات'!C:C, 'حركة المخزن'!B433, 'تحليل مبيعات'!L:L)),"")</f>
        <v/>
      </c>
      <c r="K433" s="10" t="str">
        <f t="shared" si="24"/>
        <v/>
      </c>
      <c r="L433" s="10" t="str">
        <f t="shared" si="25"/>
        <v/>
      </c>
      <c r="M433">
        <v>5</v>
      </c>
      <c r="N433" t="str">
        <f t="shared" si="26"/>
        <v>يوجد رصيد كافى</v>
      </c>
    </row>
    <row r="434" spans="7:14" x14ac:dyDescent="0.3">
      <c r="G434" t="str">
        <f>IFERROR(IF(SUMIF(المشتريات!C:C, 'حركة المخزن'!B434, المشتريات!F:F)=0,"",SUMIF(المشتريات!C:C, 'حركة المخزن'!B434, المشتريات!F:F)),"")</f>
        <v/>
      </c>
      <c r="H434" s="10" t="str">
        <f>IFERROR(IF(SUMIF(المشتريات!C:C, 'حركة المخزن'!B434, المشتريات!I:I)=0,"",SUMIF(المشتريات!C:C, 'حركة المخزن'!B434, المشتريات!I:I)),"")</f>
        <v/>
      </c>
      <c r="I434" s="10" t="str">
        <f>IFERROR(IF(SUMIF('تحليل مبيعات'!C:C, 'حركة المخزن'!B434, 'تحليل مبيعات'!H:H)=0,"",SUMIF('تحليل مبيعات'!C:C, 'حركة المخزن'!B434, 'تحليل مبيعات'!H:H)),"")</f>
        <v/>
      </c>
      <c r="J434" s="10" t="str">
        <f>IFERROR(IF(SUMIF('تحليل مبيعات'!C:C, 'حركة المخزن'!B434, 'تحليل مبيعات'!L:L)=0,"",SUMIF('تحليل مبيعات'!C:C, 'حركة المخزن'!B434, 'تحليل مبيعات'!L:L)),"")</f>
        <v/>
      </c>
      <c r="K434" s="10" t="str">
        <f t="shared" si="24"/>
        <v/>
      </c>
      <c r="L434" s="10" t="str">
        <f t="shared" si="25"/>
        <v/>
      </c>
      <c r="M434">
        <v>5</v>
      </c>
      <c r="N434" t="str">
        <f t="shared" si="26"/>
        <v>يوجد رصيد كافى</v>
      </c>
    </row>
    <row r="435" spans="7:14" x14ac:dyDescent="0.3">
      <c r="G435" t="str">
        <f>IFERROR(IF(SUMIF(المشتريات!C:C, 'حركة المخزن'!B435, المشتريات!F:F)=0,"",SUMIF(المشتريات!C:C, 'حركة المخزن'!B435, المشتريات!F:F)),"")</f>
        <v/>
      </c>
      <c r="H435" s="10" t="str">
        <f>IFERROR(IF(SUMIF(المشتريات!C:C, 'حركة المخزن'!B435, المشتريات!I:I)=0,"",SUMIF(المشتريات!C:C, 'حركة المخزن'!B435, المشتريات!I:I)),"")</f>
        <v/>
      </c>
      <c r="I435" s="10" t="str">
        <f>IFERROR(IF(SUMIF('تحليل مبيعات'!C:C, 'حركة المخزن'!B435, 'تحليل مبيعات'!H:H)=0,"",SUMIF('تحليل مبيعات'!C:C, 'حركة المخزن'!B435, 'تحليل مبيعات'!H:H)),"")</f>
        <v/>
      </c>
      <c r="J435" s="10" t="str">
        <f>IFERROR(IF(SUMIF('تحليل مبيعات'!C:C, 'حركة المخزن'!B435, 'تحليل مبيعات'!L:L)=0,"",SUMIF('تحليل مبيعات'!C:C, 'حركة المخزن'!B435, 'تحليل مبيعات'!L:L)),"")</f>
        <v/>
      </c>
      <c r="K435" s="10" t="str">
        <f t="shared" si="24"/>
        <v/>
      </c>
      <c r="L435" s="10" t="str">
        <f t="shared" si="25"/>
        <v/>
      </c>
      <c r="M435">
        <v>5</v>
      </c>
      <c r="N435" t="str">
        <f t="shared" si="26"/>
        <v>يوجد رصيد كافى</v>
      </c>
    </row>
    <row r="436" spans="7:14" x14ac:dyDescent="0.3">
      <c r="G436" t="str">
        <f>IFERROR(IF(SUMIF(المشتريات!C:C, 'حركة المخزن'!B436, المشتريات!F:F)=0,"",SUMIF(المشتريات!C:C, 'حركة المخزن'!B436, المشتريات!F:F)),"")</f>
        <v/>
      </c>
      <c r="H436" s="10" t="str">
        <f>IFERROR(IF(SUMIF(المشتريات!C:C, 'حركة المخزن'!B436, المشتريات!I:I)=0,"",SUMIF(المشتريات!C:C, 'حركة المخزن'!B436, المشتريات!I:I)),"")</f>
        <v/>
      </c>
      <c r="I436" s="10" t="str">
        <f>IFERROR(IF(SUMIF('تحليل مبيعات'!C:C, 'حركة المخزن'!B436, 'تحليل مبيعات'!H:H)=0,"",SUMIF('تحليل مبيعات'!C:C, 'حركة المخزن'!B436, 'تحليل مبيعات'!H:H)),"")</f>
        <v/>
      </c>
      <c r="J436" s="10" t="str">
        <f>IFERROR(IF(SUMIF('تحليل مبيعات'!C:C, 'حركة المخزن'!B436, 'تحليل مبيعات'!L:L)=0,"",SUMIF('تحليل مبيعات'!C:C, 'حركة المخزن'!B436, 'تحليل مبيعات'!L:L)),"")</f>
        <v/>
      </c>
      <c r="K436" s="10" t="str">
        <f t="shared" si="24"/>
        <v/>
      </c>
      <c r="L436" s="10" t="str">
        <f t="shared" si="25"/>
        <v/>
      </c>
      <c r="M436">
        <v>5</v>
      </c>
      <c r="N436" t="str">
        <f t="shared" si="26"/>
        <v>يوجد رصيد كافى</v>
      </c>
    </row>
    <row r="437" spans="7:14" x14ac:dyDescent="0.3">
      <c r="G437" t="str">
        <f>IFERROR(IF(SUMIF(المشتريات!C:C, 'حركة المخزن'!B437, المشتريات!F:F)=0,"",SUMIF(المشتريات!C:C, 'حركة المخزن'!B437, المشتريات!F:F)),"")</f>
        <v/>
      </c>
      <c r="H437" s="10" t="str">
        <f>IFERROR(IF(SUMIF(المشتريات!C:C, 'حركة المخزن'!B437, المشتريات!I:I)=0,"",SUMIF(المشتريات!C:C, 'حركة المخزن'!B437, المشتريات!I:I)),"")</f>
        <v/>
      </c>
      <c r="I437" s="10" t="str">
        <f>IFERROR(IF(SUMIF('تحليل مبيعات'!C:C, 'حركة المخزن'!B437, 'تحليل مبيعات'!H:H)=0,"",SUMIF('تحليل مبيعات'!C:C, 'حركة المخزن'!B437, 'تحليل مبيعات'!H:H)),"")</f>
        <v/>
      </c>
      <c r="J437" s="10" t="str">
        <f>IFERROR(IF(SUMIF('تحليل مبيعات'!C:C, 'حركة المخزن'!B437, 'تحليل مبيعات'!L:L)=0,"",SUMIF('تحليل مبيعات'!C:C, 'حركة المخزن'!B437, 'تحليل مبيعات'!L:L)),"")</f>
        <v/>
      </c>
      <c r="K437" s="10" t="str">
        <f t="shared" si="24"/>
        <v/>
      </c>
      <c r="L437" s="10" t="str">
        <f t="shared" si="25"/>
        <v/>
      </c>
      <c r="M437">
        <v>5</v>
      </c>
      <c r="N437" t="str">
        <f t="shared" si="26"/>
        <v>يوجد رصيد كافى</v>
      </c>
    </row>
    <row r="438" spans="7:14" x14ac:dyDescent="0.3">
      <c r="G438" t="str">
        <f>IFERROR(IF(SUMIF(المشتريات!C:C, 'حركة المخزن'!B438, المشتريات!F:F)=0,"",SUMIF(المشتريات!C:C, 'حركة المخزن'!B438, المشتريات!F:F)),"")</f>
        <v/>
      </c>
      <c r="H438" s="10" t="str">
        <f>IFERROR(IF(SUMIF(المشتريات!C:C, 'حركة المخزن'!B438, المشتريات!I:I)=0,"",SUMIF(المشتريات!C:C, 'حركة المخزن'!B438, المشتريات!I:I)),"")</f>
        <v/>
      </c>
      <c r="I438" s="10" t="str">
        <f>IFERROR(IF(SUMIF('تحليل مبيعات'!C:C, 'حركة المخزن'!B438, 'تحليل مبيعات'!H:H)=0,"",SUMIF('تحليل مبيعات'!C:C, 'حركة المخزن'!B438, 'تحليل مبيعات'!H:H)),"")</f>
        <v/>
      </c>
      <c r="J438" s="10" t="str">
        <f>IFERROR(IF(SUMIF('تحليل مبيعات'!C:C, 'حركة المخزن'!B438, 'تحليل مبيعات'!L:L)=0,"",SUMIF('تحليل مبيعات'!C:C, 'حركة المخزن'!B438, 'تحليل مبيعات'!L:L)),"")</f>
        <v/>
      </c>
      <c r="K438" s="10" t="str">
        <f t="shared" si="24"/>
        <v/>
      </c>
      <c r="L438" s="10" t="str">
        <f t="shared" si="25"/>
        <v/>
      </c>
      <c r="M438">
        <v>5</v>
      </c>
      <c r="N438" t="str">
        <f t="shared" si="26"/>
        <v>يوجد رصيد كافى</v>
      </c>
    </row>
    <row r="439" spans="7:14" x14ac:dyDescent="0.3">
      <c r="G439" t="str">
        <f>IFERROR(IF(SUMIF(المشتريات!C:C, 'حركة المخزن'!B439, المشتريات!F:F)=0,"",SUMIF(المشتريات!C:C, 'حركة المخزن'!B439, المشتريات!F:F)),"")</f>
        <v/>
      </c>
      <c r="H439" s="10" t="str">
        <f>IFERROR(IF(SUMIF(المشتريات!C:C, 'حركة المخزن'!B439, المشتريات!I:I)=0,"",SUMIF(المشتريات!C:C, 'حركة المخزن'!B439, المشتريات!I:I)),"")</f>
        <v/>
      </c>
      <c r="I439" s="10" t="str">
        <f>IFERROR(IF(SUMIF('تحليل مبيعات'!C:C, 'حركة المخزن'!B439, 'تحليل مبيعات'!H:H)=0,"",SUMIF('تحليل مبيعات'!C:C, 'حركة المخزن'!B439, 'تحليل مبيعات'!H:H)),"")</f>
        <v/>
      </c>
      <c r="J439" s="10" t="str">
        <f>IFERROR(IF(SUMIF('تحليل مبيعات'!C:C, 'حركة المخزن'!B439, 'تحليل مبيعات'!L:L)=0,"",SUMIF('تحليل مبيعات'!C:C, 'حركة المخزن'!B439, 'تحليل مبيعات'!L:L)),"")</f>
        <v/>
      </c>
      <c r="K439" s="10" t="str">
        <f t="shared" si="24"/>
        <v/>
      </c>
      <c r="L439" s="10" t="str">
        <f t="shared" si="25"/>
        <v/>
      </c>
      <c r="M439">
        <v>5</v>
      </c>
      <c r="N439" t="str">
        <f t="shared" si="26"/>
        <v>يوجد رصيد كافى</v>
      </c>
    </row>
    <row r="440" spans="7:14" x14ac:dyDescent="0.3">
      <c r="G440" t="str">
        <f>IFERROR(IF(SUMIF(المشتريات!C:C, 'حركة المخزن'!B440, المشتريات!F:F)=0,"",SUMIF(المشتريات!C:C, 'حركة المخزن'!B440, المشتريات!F:F)),"")</f>
        <v/>
      </c>
      <c r="H440" s="10" t="str">
        <f>IFERROR(IF(SUMIF(المشتريات!C:C, 'حركة المخزن'!B440, المشتريات!I:I)=0,"",SUMIF(المشتريات!C:C, 'حركة المخزن'!B440, المشتريات!I:I)),"")</f>
        <v/>
      </c>
      <c r="I440" s="10" t="str">
        <f>IFERROR(IF(SUMIF('تحليل مبيعات'!C:C, 'حركة المخزن'!B440, 'تحليل مبيعات'!H:H)=0,"",SUMIF('تحليل مبيعات'!C:C, 'حركة المخزن'!B440, 'تحليل مبيعات'!H:H)),"")</f>
        <v/>
      </c>
      <c r="J440" s="10" t="str">
        <f>IFERROR(IF(SUMIF('تحليل مبيعات'!C:C, 'حركة المخزن'!B440, 'تحليل مبيعات'!L:L)=0,"",SUMIF('تحليل مبيعات'!C:C, 'حركة المخزن'!B440, 'تحليل مبيعات'!L:L)),"")</f>
        <v/>
      </c>
      <c r="K440" s="10" t="str">
        <f t="shared" si="24"/>
        <v/>
      </c>
      <c r="L440" s="10" t="str">
        <f t="shared" si="25"/>
        <v/>
      </c>
      <c r="M440">
        <v>5</v>
      </c>
      <c r="N440" t="str">
        <f t="shared" si="26"/>
        <v>يوجد رصيد كافى</v>
      </c>
    </row>
    <row r="441" spans="7:14" x14ac:dyDescent="0.3">
      <c r="G441" t="str">
        <f>IFERROR(IF(SUMIF(المشتريات!C:C, 'حركة المخزن'!B441, المشتريات!F:F)=0,"",SUMIF(المشتريات!C:C, 'حركة المخزن'!B441, المشتريات!F:F)),"")</f>
        <v/>
      </c>
      <c r="H441" s="10" t="str">
        <f>IFERROR(IF(SUMIF(المشتريات!C:C, 'حركة المخزن'!B441, المشتريات!I:I)=0,"",SUMIF(المشتريات!C:C, 'حركة المخزن'!B441, المشتريات!I:I)),"")</f>
        <v/>
      </c>
      <c r="I441" s="10" t="str">
        <f>IFERROR(IF(SUMIF('تحليل مبيعات'!C:C, 'حركة المخزن'!B441, 'تحليل مبيعات'!H:H)=0,"",SUMIF('تحليل مبيعات'!C:C, 'حركة المخزن'!B441, 'تحليل مبيعات'!H:H)),"")</f>
        <v/>
      </c>
      <c r="J441" s="10" t="str">
        <f>IFERROR(IF(SUMIF('تحليل مبيعات'!C:C, 'حركة المخزن'!B441, 'تحليل مبيعات'!L:L)=0,"",SUMIF('تحليل مبيعات'!C:C, 'حركة المخزن'!B441, 'تحليل مبيعات'!L:L)),"")</f>
        <v/>
      </c>
      <c r="K441" s="10" t="str">
        <f t="shared" si="24"/>
        <v/>
      </c>
      <c r="L441" s="10" t="str">
        <f t="shared" si="25"/>
        <v/>
      </c>
      <c r="M441">
        <v>5</v>
      </c>
      <c r="N441" t="str">
        <f t="shared" si="26"/>
        <v>يوجد رصيد كافى</v>
      </c>
    </row>
    <row r="442" spans="7:14" x14ac:dyDescent="0.3">
      <c r="G442" t="str">
        <f>IFERROR(IF(SUMIF(المشتريات!C:C, 'حركة المخزن'!B442, المشتريات!F:F)=0,"",SUMIF(المشتريات!C:C, 'حركة المخزن'!B442, المشتريات!F:F)),"")</f>
        <v/>
      </c>
      <c r="H442" s="10" t="str">
        <f>IFERROR(IF(SUMIF(المشتريات!C:C, 'حركة المخزن'!B442, المشتريات!I:I)=0,"",SUMIF(المشتريات!C:C, 'حركة المخزن'!B442, المشتريات!I:I)),"")</f>
        <v/>
      </c>
      <c r="I442" s="10" t="str">
        <f>IFERROR(IF(SUMIF('تحليل مبيعات'!C:C, 'حركة المخزن'!B442, 'تحليل مبيعات'!H:H)=0,"",SUMIF('تحليل مبيعات'!C:C, 'حركة المخزن'!B442, 'تحليل مبيعات'!H:H)),"")</f>
        <v/>
      </c>
      <c r="J442" s="10" t="str">
        <f>IFERROR(IF(SUMIF('تحليل مبيعات'!C:C, 'حركة المخزن'!B442, 'تحليل مبيعات'!L:L)=0,"",SUMIF('تحليل مبيعات'!C:C, 'حركة المخزن'!B442, 'تحليل مبيعات'!L:L)),"")</f>
        <v/>
      </c>
      <c r="K442" s="10" t="str">
        <f t="shared" si="24"/>
        <v/>
      </c>
      <c r="L442" s="10" t="str">
        <f t="shared" si="25"/>
        <v/>
      </c>
      <c r="M442">
        <v>5</v>
      </c>
      <c r="N442" t="str">
        <f t="shared" si="26"/>
        <v>يوجد رصيد كافى</v>
      </c>
    </row>
    <row r="443" spans="7:14" x14ac:dyDescent="0.3">
      <c r="G443" t="str">
        <f>IFERROR(IF(SUMIF(المشتريات!C:C, 'حركة المخزن'!B443, المشتريات!F:F)=0,"",SUMIF(المشتريات!C:C, 'حركة المخزن'!B443, المشتريات!F:F)),"")</f>
        <v/>
      </c>
      <c r="H443" s="10" t="str">
        <f>IFERROR(IF(SUMIF(المشتريات!C:C, 'حركة المخزن'!B443, المشتريات!I:I)=0,"",SUMIF(المشتريات!C:C, 'حركة المخزن'!B443, المشتريات!I:I)),"")</f>
        <v/>
      </c>
      <c r="I443" s="10" t="str">
        <f>IFERROR(IF(SUMIF('تحليل مبيعات'!C:C, 'حركة المخزن'!B443, 'تحليل مبيعات'!H:H)=0,"",SUMIF('تحليل مبيعات'!C:C, 'حركة المخزن'!B443, 'تحليل مبيعات'!H:H)),"")</f>
        <v/>
      </c>
      <c r="J443" s="10" t="str">
        <f>IFERROR(IF(SUMIF('تحليل مبيعات'!C:C, 'حركة المخزن'!B443, 'تحليل مبيعات'!L:L)=0,"",SUMIF('تحليل مبيعات'!C:C, 'حركة المخزن'!B443, 'تحليل مبيعات'!L:L)),"")</f>
        <v/>
      </c>
      <c r="K443" s="10" t="str">
        <f t="shared" si="24"/>
        <v/>
      </c>
      <c r="L443" s="10" t="str">
        <f t="shared" si="25"/>
        <v/>
      </c>
      <c r="M443">
        <v>5</v>
      </c>
      <c r="N443" t="str">
        <f t="shared" si="26"/>
        <v>يوجد رصيد كافى</v>
      </c>
    </row>
    <row r="444" spans="7:14" x14ac:dyDescent="0.3">
      <c r="G444" t="str">
        <f>IFERROR(IF(SUMIF(المشتريات!C:C, 'حركة المخزن'!B444, المشتريات!F:F)=0,"",SUMIF(المشتريات!C:C, 'حركة المخزن'!B444, المشتريات!F:F)),"")</f>
        <v/>
      </c>
      <c r="H444" s="10" t="str">
        <f>IFERROR(IF(SUMIF(المشتريات!C:C, 'حركة المخزن'!B444, المشتريات!I:I)=0,"",SUMIF(المشتريات!C:C, 'حركة المخزن'!B444, المشتريات!I:I)),"")</f>
        <v/>
      </c>
      <c r="I444" s="10" t="str">
        <f>IFERROR(IF(SUMIF('تحليل مبيعات'!C:C, 'حركة المخزن'!B444, 'تحليل مبيعات'!H:H)=0,"",SUMIF('تحليل مبيعات'!C:C, 'حركة المخزن'!B444, 'تحليل مبيعات'!H:H)),"")</f>
        <v/>
      </c>
      <c r="J444" s="10" t="str">
        <f>IFERROR(IF(SUMIF('تحليل مبيعات'!C:C, 'حركة المخزن'!B444, 'تحليل مبيعات'!L:L)=0,"",SUMIF('تحليل مبيعات'!C:C, 'حركة المخزن'!B444, 'تحليل مبيعات'!L:L)),"")</f>
        <v/>
      </c>
      <c r="K444" s="10" t="str">
        <f t="shared" si="24"/>
        <v/>
      </c>
      <c r="L444" s="10" t="str">
        <f t="shared" si="25"/>
        <v/>
      </c>
      <c r="M444">
        <v>5</v>
      </c>
      <c r="N444" t="str">
        <f t="shared" si="26"/>
        <v>يوجد رصيد كافى</v>
      </c>
    </row>
    <row r="445" spans="7:14" x14ac:dyDescent="0.3">
      <c r="G445" t="str">
        <f>IFERROR(IF(SUMIF(المشتريات!C:C, 'حركة المخزن'!B445, المشتريات!F:F)=0,"",SUMIF(المشتريات!C:C, 'حركة المخزن'!B445, المشتريات!F:F)),"")</f>
        <v/>
      </c>
      <c r="H445" s="10" t="str">
        <f>IFERROR(IF(SUMIF(المشتريات!C:C, 'حركة المخزن'!B445, المشتريات!I:I)=0,"",SUMIF(المشتريات!C:C, 'حركة المخزن'!B445, المشتريات!I:I)),"")</f>
        <v/>
      </c>
      <c r="I445" s="10" t="str">
        <f>IFERROR(IF(SUMIF('تحليل مبيعات'!C:C, 'حركة المخزن'!B445, 'تحليل مبيعات'!H:H)=0,"",SUMIF('تحليل مبيعات'!C:C, 'حركة المخزن'!B445, 'تحليل مبيعات'!H:H)),"")</f>
        <v/>
      </c>
      <c r="J445" s="10" t="str">
        <f>IFERROR(IF(SUMIF('تحليل مبيعات'!C:C, 'حركة المخزن'!B445, 'تحليل مبيعات'!L:L)=0,"",SUMIF('تحليل مبيعات'!C:C, 'حركة المخزن'!B445, 'تحليل مبيعات'!L:L)),"")</f>
        <v/>
      </c>
      <c r="K445" s="10" t="str">
        <f t="shared" si="24"/>
        <v/>
      </c>
      <c r="L445" s="10" t="str">
        <f t="shared" si="25"/>
        <v/>
      </c>
      <c r="M445">
        <v>5</v>
      </c>
      <c r="N445" t="str">
        <f t="shared" si="26"/>
        <v>يوجد رصيد كافى</v>
      </c>
    </row>
    <row r="446" spans="7:14" x14ac:dyDescent="0.3">
      <c r="G446" t="str">
        <f>IFERROR(IF(SUMIF(المشتريات!C:C, 'حركة المخزن'!B446, المشتريات!F:F)=0,"",SUMIF(المشتريات!C:C, 'حركة المخزن'!B446, المشتريات!F:F)),"")</f>
        <v/>
      </c>
      <c r="H446" s="10" t="str">
        <f>IFERROR(IF(SUMIF(المشتريات!C:C, 'حركة المخزن'!B446, المشتريات!I:I)=0,"",SUMIF(المشتريات!C:C, 'حركة المخزن'!B446, المشتريات!I:I)),"")</f>
        <v/>
      </c>
      <c r="I446" s="10" t="str">
        <f>IFERROR(IF(SUMIF('تحليل مبيعات'!C:C, 'حركة المخزن'!B446, 'تحليل مبيعات'!H:H)=0,"",SUMIF('تحليل مبيعات'!C:C, 'حركة المخزن'!B446, 'تحليل مبيعات'!H:H)),"")</f>
        <v/>
      </c>
      <c r="J446" s="10" t="str">
        <f>IFERROR(IF(SUMIF('تحليل مبيعات'!C:C, 'حركة المخزن'!B446, 'تحليل مبيعات'!L:L)=0,"",SUMIF('تحليل مبيعات'!C:C, 'حركة المخزن'!B446, 'تحليل مبيعات'!L:L)),"")</f>
        <v/>
      </c>
      <c r="K446" s="10" t="str">
        <f t="shared" si="24"/>
        <v/>
      </c>
      <c r="L446" s="10" t="str">
        <f t="shared" si="25"/>
        <v/>
      </c>
      <c r="M446">
        <v>5</v>
      </c>
      <c r="N446" t="str">
        <f t="shared" si="26"/>
        <v>يوجد رصيد كافى</v>
      </c>
    </row>
    <row r="447" spans="7:14" x14ac:dyDescent="0.3">
      <c r="G447" t="str">
        <f>IFERROR(IF(SUMIF(المشتريات!C:C, 'حركة المخزن'!B447, المشتريات!F:F)=0,"",SUMIF(المشتريات!C:C, 'حركة المخزن'!B447, المشتريات!F:F)),"")</f>
        <v/>
      </c>
      <c r="H447" s="10" t="str">
        <f>IFERROR(IF(SUMIF(المشتريات!C:C, 'حركة المخزن'!B447, المشتريات!I:I)=0,"",SUMIF(المشتريات!C:C, 'حركة المخزن'!B447, المشتريات!I:I)),"")</f>
        <v/>
      </c>
      <c r="I447" s="10" t="str">
        <f>IFERROR(IF(SUMIF('تحليل مبيعات'!C:C, 'حركة المخزن'!B447, 'تحليل مبيعات'!H:H)=0,"",SUMIF('تحليل مبيعات'!C:C, 'حركة المخزن'!B447, 'تحليل مبيعات'!H:H)),"")</f>
        <v/>
      </c>
      <c r="J447" s="10" t="str">
        <f>IFERROR(IF(SUMIF('تحليل مبيعات'!C:C, 'حركة المخزن'!B447, 'تحليل مبيعات'!L:L)=0,"",SUMIF('تحليل مبيعات'!C:C, 'حركة المخزن'!B447, 'تحليل مبيعات'!L:L)),"")</f>
        <v/>
      </c>
      <c r="K447" s="10" t="str">
        <f t="shared" si="24"/>
        <v/>
      </c>
      <c r="L447" s="10" t="str">
        <f t="shared" si="25"/>
        <v/>
      </c>
      <c r="M447">
        <v>5</v>
      </c>
      <c r="N447" t="str">
        <f t="shared" si="26"/>
        <v>يوجد رصيد كافى</v>
      </c>
    </row>
    <row r="448" spans="7:14" x14ac:dyDescent="0.3">
      <c r="G448" t="str">
        <f>IFERROR(IF(SUMIF(المشتريات!C:C, 'حركة المخزن'!B448, المشتريات!F:F)=0,"",SUMIF(المشتريات!C:C, 'حركة المخزن'!B448, المشتريات!F:F)),"")</f>
        <v/>
      </c>
      <c r="H448" s="10" t="str">
        <f>IFERROR(IF(SUMIF(المشتريات!C:C, 'حركة المخزن'!B448, المشتريات!I:I)=0,"",SUMIF(المشتريات!C:C, 'حركة المخزن'!B448, المشتريات!I:I)),"")</f>
        <v/>
      </c>
      <c r="I448" s="10" t="str">
        <f>IFERROR(IF(SUMIF('تحليل مبيعات'!C:C, 'حركة المخزن'!B448, 'تحليل مبيعات'!H:H)=0,"",SUMIF('تحليل مبيعات'!C:C, 'حركة المخزن'!B448, 'تحليل مبيعات'!H:H)),"")</f>
        <v/>
      </c>
      <c r="J448" s="10" t="str">
        <f>IFERROR(IF(SUMIF('تحليل مبيعات'!C:C, 'حركة المخزن'!B448, 'تحليل مبيعات'!L:L)=0,"",SUMIF('تحليل مبيعات'!C:C, 'حركة المخزن'!B448, 'تحليل مبيعات'!L:L)),"")</f>
        <v/>
      </c>
      <c r="K448" s="10" t="str">
        <f t="shared" si="24"/>
        <v/>
      </c>
      <c r="L448" s="10" t="str">
        <f t="shared" si="25"/>
        <v/>
      </c>
      <c r="M448">
        <v>5</v>
      </c>
      <c r="N448" t="str">
        <f t="shared" si="26"/>
        <v>يوجد رصيد كافى</v>
      </c>
    </row>
    <row r="449" spans="7:14" x14ac:dyDescent="0.3">
      <c r="G449" t="str">
        <f>IFERROR(IF(SUMIF(المشتريات!C:C, 'حركة المخزن'!B449, المشتريات!F:F)=0,"",SUMIF(المشتريات!C:C, 'حركة المخزن'!B449, المشتريات!F:F)),"")</f>
        <v/>
      </c>
      <c r="H449" s="10" t="str">
        <f>IFERROR(IF(SUMIF(المشتريات!C:C, 'حركة المخزن'!B449, المشتريات!I:I)=0,"",SUMIF(المشتريات!C:C, 'حركة المخزن'!B449, المشتريات!I:I)),"")</f>
        <v/>
      </c>
      <c r="I449" s="10" t="str">
        <f>IFERROR(IF(SUMIF('تحليل مبيعات'!C:C, 'حركة المخزن'!B449, 'تحليل مبيعات'!H:H)=0,"",SUMIF('تحليل مبيعات'!C:C, 'حركة المخزن'!B449, 'تحليل مبيعات'!H:H)),"")</f>
        <v/>
      </c>
      <c r="J449" s="10" t="str">
        <f>IFERROR(IF(SUMIF('تحليل مبيعات'!C:C, 'حركة المخزن'!B449, 'تحليل مبيعات'!L:L)=0,"",SUMIF('تحليل مبيعات'!C:C, 'حركة المخزن'!B449, 'تحليل مبيعات'!L:L)),"")</f>
        <v/>
      </c>
      <c r="K449" s="10" t="str">
        <f t="shared" si="24"/>
        <v/>
      </c>
      <c r="L449" s="10" t="str">
        <f t="shared" si="25"/>
        <v/>
      </c>
      <c r="M449">
        <v>5</v>
      </c>
      <c r="N449" t="str">
        <f t="shared" si="26"/>
        <v>يوجد رصيد كافى</v>
      </c>
    </row>
    <row r="450" spans="7:14" x14ac:dyDescent="0.3">
      <c r="G450" t="str">
        <f>IFERROR(IF(SUMIF(المشتريات!C:C, 'حركة المخزن'!B450, المشتريات!F:F)=0,"",SUMIF(المشتريات!C:C, 'حركة المخزن'!B450, المشتريات!F:F)),"")</f>
        <v/>
      </c>
      <c r="H450" s="10" t="str">
        <f>IFERROR(IF(SUMIF(المشتريات!C:C, 'حركة المخزن'!B450, المشتريات!I:I)=0,"",SUMIF(المشتريات!C:C, 'حركة المخزن'!B450, المشتريات!I:I)),"")</f>
        <v/>
      </c>
      <c r="I450" s="10" t="str">
        <f>IFERROR(IF(SUMIF('تحليل مبيعات'!C:C, 'حركة المخزن'!B450, 'تحليل مبيعات'!H:H)=0,"",SUMIF('تحليل مبيعات'!C:C, 'حركة المخزن'!B450, 'تحليل مبيعات'!H:H)),"")</f>
        <v/>
      </c>
      <c r="J450" s="10" t="str">
        <f>IFERROR(IF(SUMIF('تحليل مبيعات'!C:C, 'حركة المخزن'!B450, 'تحليل مبيعات'!L:L)=0,"",SUMIF('تحليل مبيعات'!C:C, 'حركة المخزن'!B450, 'تحليل مبيعات'!L:L)),"")</f>
        <v/>
      </c>
      <c r="K450" s="10" t="str">
        <f t="shared" si="24"/>
        <v/>
      </c>
      <c r="L450" s="10" t="str">
        <f t="shared" si="25"/>
        <v/>
      </c>
      <c r="M450">
        <v>5</v>
      </c>
      <c r="N450" t="str">
        <f t="shared" si="26"/>
        <v>يوجد رصيد كافى</v>
      </c>
    </row>
    <row r="451" spans="7:14" x14ac:dyDescent="0.3">
      <c r="G451" t="str">
        <f>IFERROR(IF(SUMIF(المشتريات!C:C, 'حركة المخزن'!B451, المشتريات!F:F)=0,"",SUMIF(المشتريات!C:C, 'حركة المخزن'!B451, المشتريات!F:F)),"")</f>
        <v/>
      </c>
      <c r="H451" s="10" t="str">
        <f>IFERROR(IF(SUMIF(المشتريات!C:C, 'حركة المخزن'!B451, المشتريات!I:I)=0,"",SUMIF(المشتريات!C:C, 'حركة المخزن'!B451, المشتريات!I:I)),"")</f>
        <v/>
      </c>
      <c r="I451" s="10" t="str">
        <f>IFERROR(IF(SUMIF('تحليل مبيعات'!C:C, 'حركة المخزن'!B451, 'تحليل مبيعات'!H:H)=0,"",SUMIF('تحليل مبيعات'!C:C, 'حركة المخزن'!B451, 'تحليل مبيعات'!H:H)),"")</f>
        <v/>
      </c>
      <c r="J451" s="10" t="str">
        <f>IFERROR(IF(SUMIF('تحليل مبيعات'!C:C, 'حركة المخزن'!B451, 'تحليل مبيعات'!L:L)=0,"",SUMIF('تحليل مبيعات'!C:C, 'حركة المخزن'!B451, 'تحليل مبيعات'!L:L)),"")</f>
        <v/>
      </c>
      <c r="K451" s="10" t="str">
        <f t="shared" si="24"/>
        <v/>
      </c>
      <c r="L451" s="10" t="str">
        <f t="shared" si="25"/>
        <v/>
      </c>
      <c r="M451">
        <v>5</v>
      </c>
      <c r="N451" t="str">
        <f t="shared" si="26"/>
        <v>يوجد رصيد كافى</v>
      </c>
    </row>
    <row r="452" spans="7:14" x14ac:dyDescent="0.3">
      <c r="G452" t="str">
        <f>IFERROR(IF(SUMIF(المشتريات!C:C, 'حركة المخزن'!B452, المشتريات!F:F)=0,"",SUMIF(المشتريات!C:C, 'حركة المخزن'!B452, المشتريات!F:F)),"")</f>
        <v/>
      </c>
      <c r="H452" s="10" t="str">
        <f>IFERROR(IF(SUMIF(المشتريات!C:C, 'حركة المخزن'!B452, المشتريات!I:I)=0,"",SUMIF(المشتريات!C:C, 'حركة المخزن'!B452, المشتريات!I:I)),"")</f>
        <v/>
      </c>
      <c r="I452" s="10" t="str">
        <f>IFERROR(IF(SUMIF('تحليل مبيعات'!C:C, 'حركة المخزن'!B452, 'تحليل مبيعات'!H:H)=0,"",SUMIF('تحليل مبيعات'!C:C, 'حركة المخزن'!B452, 'تحليل مبيعات'!H:H)),"")</f>
        <v/>
      </c>
      <c r="J452" s="10" t="str">
        <f>IFERROR(IF(SUMIF('تحليل مبيعات'!C:C, 'حركة المخزن'!B452, 'تحليل مبيعات'!L:L)=0,"",SUMIF('تحليل مبيعات'!C:C, 'حركة المخزن'!B452, 'تحليل مبيعات'!L:L)),"")</f>
        <v/>
      </c>
      <c r="K452" s="10" t="str">
        <f t="shared" si="24"/>
        <v/>
      </c>
      <c r="L452" s="10" t="str">
        <f t="shared" si="25"/>
        <v/>
      </c>
      <c r="M452">
        <v>5</v>
      </c>
      <c r="N452" t="str">
        <f t="shared" si="26"/>
        <v>يوجد رصيد كافى</v>
      </c>
    </row>
    <row r="453" spans="7:14" x14ac:dyDescent="0.3">
      <c r="G453" t="str">
        <f>IFERROR(IF(SUMIF(المشتريات!C:C, 'حركة المخزن'!B453, المشتريات!F:F)=0,"",SUMIF(المشتريات!C:C, 'حركة المخزن'!B453, المشتريات!F:F)),"")</f>
        <v/>
      </c>
      <c r="H453" s="10" t="str">
        <f>IFERROR(IF(SUMIF(المشتريات!C:C, 'حركة المخزن'!B453, المشتريات!I:I)=0,"",SUMIF(المشتريات!C:C, 'حركة المخزن'!B453, المشتريات!I:I)),"")</f>
        <v/>
      </c>
      <c r="I453" s="10" t="str">
        <f>IFERROR(IF(SUMIF('تحليل مبيعات'!C:C, 'حركة المخزن'!B453, 'تحليل مبيعات'!H:H)=0,"",SUMIF('تحليل مبيعات'!C:C, 'حركة المخزن'!B453, 'تحليل مبيعات'!H:H)),"")</f>
        <v/>
      </c>
      <c r="J453" s="10" t="str">
        <f>IFERROR(IF(SUMIF('تحليل مبيعات'!C:C, 'حركة المخزن'!B453, 'تحليل مبيعات'!L:L)=0,"",SUMIF('تحليل مبيعات'!C:C, 'حركة المخزن'!B453, 'تحليل مبيعات'!L:L)),"")</f>
        <v/>
      </c>
      <c r="K453" s="10" t="str">
        <f t="shared" si="24"/>
        <v/>
      </c>
      <c r="L453" s="10" t="str">
        <f t="shared" si="25"/>
        <v/>
      </c>
      <c r="M453">
        <v>5</v>
      </c>
      <c r="N453" t="str">
        <f t="shared" si="26"/>
        <v>يوجد رصيد كافى</v>
      </c>
    </row>
    <row r="454" spans="7:14" x14ac:dyDescent="0.3">
      <c r="G454" t="str">
        <f>IFERROR(IF(SUMIF(المشتريات!C:C, 'حركة المخزن'!B454, المشتريات!F:F)=0,"",SUMIF(المشتريات!C:C, 'حركة المخزن'!B454, المشتريات!F:F)),"")</f>
        <v/>
      </c>
      <c r="H454" s="10" t="str">
        <f>IFERROR(IF(SUMIF(المشتريات!C:C, 'حركة المخزن'!B454, المشتريات!I:I)=0,"",SUMIF(المشتريات!C:C, 'حركة المخزن'!B454, المشتريات!I:I)),"")</f>
        <v/>
      </c>
      <c r="I454" s="10" t="str">
        <f>IFERROR(IF(SUMIF('تحليل مبيعات'!C:C, 'حركة المخزن'!B454, 'تحليل مبيعات'!H:H)=0,"",SUMIF('تحليل مبيعات'!C:C, 'حركة المخزن'!B454, 'تحليل مبيعات'!H:H)),"")</f>
        <v/>
      </c>
      <c r="J454" s="10" t="str">
        <f>IFERROR(IF(SUMIF('تحليل مبيعات'!C:C, 'حركة المخزن'!B454, 'تحليل مبيعات'!L:L)=0,"",SUMIF('تحليل مبيعات'!C:C, 'حركة المخزن'!B454, 'تحليل مبيعات'!L:L)),"")</f>
        <v/>
      </c>
      <c r="K454" s="10" t="str">
        <f t="shared" si="24"/>
        <v/>
      </c>
      <c r="L454" s="10" t="str">
        <f t="shared" si="25"/>
        <v/>
      </c>
      <c r="M454">
        <v>5</v>
      </c>
      <c r="N454" t="str">
        <f t="shared" si="26"/>
        <v>يوجد رصيد كافى</v>
      </c>
    </row>
    <row r="455" spans="7:14" x14ac:dyDescent="0.3">
      <c r="G455" t="str">
        <f>IFERROR(IF(SUMIF(المشتريات!C:C, 'حركة المخزن'!B455, المشتريات!F:F)=0,"",SUMIF(المشتريات!C:C, 'حركة المخزن'!B455, المشتريات!F:F)),"")</f>
        <v/>
      </c>
      <c r="H455" s="10" t="str">
        <f>IFERROR(IF(SUMIF(المشتريات!C:C, 'حركة المخزن'!B455, المشتريات!I:I)=0,"",SUMIF(المشتريات!C:C, 'حركة المخزن'!B455, المشتريات!I:I)),"")</f>
        <v/>
      </c>
      <c r="I455" s="10" t="str">
        <f>IFERROR(IF(SUMIF('تحليل مبيعات'!C:C, 'حركة المخزن'!B455, 'تحليل مبيعات'!H:H)=0,"",SUMIF('تحليل مبيعات'!C:C, 'حركة المخزن'!B455, 'تحليل مبيعات'!H:H)),"")</f>
        <v/>
      </c>
      <c r="J455" s="10" t="str">
        <f>IFERROR(IF(SUMIF('تحليل مبيعات'!C:C, 'حركة المخزن'!B455, 'تحليل مبيعات'!L:L)=0,"",SUMIF('تحليل مبيعات'!C:C, 'حركة المخزن'!B455, 'تحليل مبيعات'!L:L)),"")</f>
        <v/>
      </c>
      <c r="K455" s="10" t="str">
        <f t="shared" si="24"/>
        <v/>
      </c>
      <c r="L455" s="10" t="str">
        <f t="shared" si="25"/>
        <v/>
      </c>
      <c r="M455">
        <v>5</v>
      </c>
      <c r="N455" t="str">
        <f t="shared" si="26"/>
        <v>يوجد رصيد كافى</v>
      </c>
    </row>
    <row r="456" spans="7:14" x14ac:dyDescent="0.3">
      <c r="G456" t="str">
        <f>IFERROR(IF(SUMIF(المشتريات!C:C, 'حركة المخزن'!B456, المشتريات!F:F)=0,"",SUMIF(المشتريات!C:C, 'حركة المخزن'!B456, المشتريات!F:F)),"")</f>
        <v/>
      </c>
      <c r="H456" s="10" t="str">
        <f>IFERROR(IF(SUMIF(المشتريات!C:C, 'حركة المخزن'!B456, المشتريات!I:I)=0,"",SUMIF(المشتريات!C:C, 'حركة المخزن'!B456, المشتريات!I:I)),"")</f>
        <v/>
      </c>
      <c r="I456" s="10" t="str">
        <f>IFERROR(IF(SUMIF('تحليل مبيعات'!C:C, 'حركة المخزن'!B456, 'تحليل مبيعات'!H:H)=0,"",SUMIF('تحليل مبيعات'!C:C, 'حركة المخزن'!B456, 'تحليل مبيعات'!H:H)),"")</f>
        <v/>
      </c>
      <c r="J456" s="10" t="str">
        <f>IFERROR(IF(SUMIF('تحليل مبيعات'!C:C, 'حركة المخزن'!B456, 'تحليل مبيعات'!L:L)=0,"",SUMIF('تحليل مبيعات'!C:C, 'حركة المخزن'!B456, 'تحليل مبيعات'!L:L)),"")</f>
        <v/>
      </c>
      <c r="K456" s="10" t="str">
        <f t="shared" si="24"/>
        <v/>
      </c>
      <c r="L456" s="10" t="str">
        <f t="shared" si="25"/>
        <v/>
      </c>
      <c r="M456">
        <v>5</v>
      </c>
      <c r="N456" t="str">
        <f t="shared" si="26"/>
        <v>يوجد رصيد كافى</v>
      </c>
    </row>
    <row r="457" spans="7:14" x14ac:dyDescent="0.3">
      <c r="G457" t="str">
        <f>IFERROR(IF(SUMIF(المشتريات!C:C, 'حركة المخزن'!B457, المشتريات!F:F)=0,"",SUMIF(المشتريات!C:C, 'حركة المخزن'!B457, المشتريات!F:F)),"")</f>
        <v/>
      </c>
      <c r="H457" s="10" t="str">
        <f>IFERROR(IF(SUMIF(المشتريات!C:C, 'حركة المخزن'!B457, المشتريات!I:I)=0,"",SUMIF(المشتريات!C:C, 'حركة المخزن'!B457, المشتريات!I:I)),"")</f>
        <v/>
      </c>
      <c r="I457" s="10" t="str">
        <f>IFERROR(IF(SUMIF('تحليل مبيعات'!C:C, 'حركة المخزن'!B457, 'تحليل مبيعات'!H:H)=0,"",SUMIF('تحليل مبيعات'!C:C, 'حركة المخزن'!B457, 'تحليل مبيعات'!H:H)),"")</f>
        <v/>
      </c>
      <c r="J457" s="10" t="str">
        <f>IFERROR(IF(SUMIF('تحليل مبيعات'!C:C, 'حركة المخزن'!B457, 'تحليل مبيعات'!L:L)=0,"",SUMIF('تحليل مبيعات'!C:C, 'حركة المخزن'!B457, 'تحليل مبيعات'!L:L)),"")</f>
        <v/>
      </c>
      <c r="K457" s="10" t="str">
        <f t="shared" ref="K457:K520" si="27">IFERROR(E457+G457-I457,"")</f>
        <v/>
      </c>
      <c r="L457" s="10" t="str">
        <f t="shared" ref="L457:L520" si="28">IFERROR(F457+H457-J457,"")</f>
        <v/>
      </c>
      <c r="M457">
        <v>5</v>
      </c>
      <c r="N457" t="str">
        <f t="shared" ref="N457:N520" si="29">IF(K457&lt;M457,"أعادة الطلب","يوجد رصيد كافى")</f>
        <v>يوجد رصيد كافى</v>
      </c>
    </row>
    <row r="458" spans="7:14" x14ac:dyDescent="0.3">
      <c r="G458" t="str">
        <f>IFERROR(IF(SUMIF(المشتريات!C:C, 'حركة المخزن'!B458, المشتريات!F:F)=0,"",SUMIF(المشتريات!C:C, 'حركة المخزن'!B458, المشتريات!F:F)),"")</f>
        <v/>
      </c>
      <c r="H458" s="10" t="str">
        <f>IFERROR(IF(SUMIF(المشتريات!C:C, 'حركة المخزن'!B458, المشتريات!I:I)=0,"",SUMIF(المشتريات!C:C, 'حركة المخزن'!B458, المشتريات!I:I)),"")</f>
        <v/>
      </c>
      <c r="I458" s="10" t="str">
        <f>IFERROR(IF(SUMIF('تحليل مبيعات'!C:C, 'حركة المخزن'!B458, 'تحليل مبيعات'!H:H)=0,"",SUMIF('تحليل مبيعات'!C:C, 'حركة المخزن'!B458, 'تحليل مبيعات'!H:H)),"")</f>
        <v/>
      </c>
      <c r="J458" s="10" t="str">
        <f>IFERROR(IF(SUMIF('تحليل مبيعات'!C:C, 'حركة المخزن'!B458, 'تحليل مبيعات'!L:L)=0,"",SUMIF('تحليل مبيعات'!C:C, 'حركة المخزن'!B458, 'تحليل مبيعات'!L:L)),"")</f>
        <v/>
      </c>
      <c r="K458" s="10" t="str">
        <f t="shared" si="27"/>
        <v/>
      </c>
      <c r="L458" s="10" t="str">
        <f t="shared" si="28"/>
        <v/>
      </c>
      <c r="M458">
        <v>5</v>
      </c>
      <c r="N458" t="str">
        <f t="shared" si="29"/>
        <v>يوجد رصيد كافى</v>
      </c>
    </row>
    <row r="459" spans="7:14" x14ac:dyDescent="0.3">
      <c r="G459" t="str">
        <f>IFERROR(IF(SUMIF(المشتريات!C:C, 'حركة المخزن'!B459, المشتريات!F:F)=0,"",SUMIF(المشتريات!C:C, 'حركة المخزن'!B459, المشتريات!F:F)),"")</f>
        <v/>
      </c>
      <c r="H459" s="10" t="str">
        <f>IFERROR(IF(SUMIF(المشتريات!C:C, 'حركة المخزن'!B459, المشتريات!I:I)=0,"",SUMIF(المشتريات!C:C, 'حركة المخزن'!B459, المشتريات!I:I)),"")</f>
        <v/>
      </c>
      <c r="I459" s="10" t="str">
        <f>IFERROR(IF(SUMIF('تحليل مبيعات'!C:C, 'حركة المخزن'!B459, 'تحليل مبيعات'!H:H)=0,"",SUMIF('تحليل مبيعات'!C:C, 'حركة المخزن'!B459, 'تحليل مبيعات'!H:H)),"")</f>
        <v/>
      </c>
      <c r="J459" s="10" t="str">
        <f>IFERROR(IF(SUMIF('تحليل مبيعات'!C:C, 'حركة المخزن'!B459, 'تحليل مبيعات'!L:L)=0,"",SUMIF('تحليل مبيعات'!C:C, 'حركة المخزن'!B459, 'تحليل مبيعات'!L:L)),"")</f>
        <v/>
      </c>
      <c r="K459" s="10" t="str">
        <f t="shared" si="27"/>
        <v/>
      </c>
      <c r="L459" s="10" t="str">
        <f t="shared" si="28"/>
        <v/>
      </c>
      <c r="M459">
        <v>5</v>
      </c>
      <c r="N459" t="str">
        <f t="shared" si="29"/>
        <v>يوجد رصيد كافى</v>
      </c>
    </row>
    <row r="460" spans="7:14" x14ac:dyDescent="0.3">
      <c r="G460" t="str">
        <f>IFERROR(IF(SUMIF(المشتريات!C:C, 'حركة المخزن'!B460, المشتريات!F:F)=0,"",SUMIF(المشتريات!C:C, 'حركة المخزن'!B460, المشتريات!F:F)),"")</f>
        <v/>
      </c>
      <c r="H460" s="10" t="str">
        <f>IFERROR(IF(SUMIF(المشتريات!C:C, 'حركة المخزن'!B460, المشتريات!I:I)=0,"",SUMIF(المشتريات!C:C, 'حركة المخزن'!B460, المشتريات!I:I)),"")</f>
        <v/>
      </c>
      <c r="I460" s="10" t="str">
        <f>IFERROR(IF(SUMIF('تحليل مبيعات'!C:C, 'حركة المخزن'!B460, 'تحليل مبيعات'!H:H)=0,"",SUMIF('تحليل مبيعات'!C:C, 'حركة المخزن'!B460, 'تحليل مبيعات'!H:H)),"")</f>
        <v/>
      </c>
      <c r="J460" s="10" t="str">
        <f>IFERROR(IF(SUMIF('تحليل مبيعات'!C:C, 'حركة المخزن'!B460, 'تحليل مبيعات'!L:L)=0,"",SUMIF('تحليل مبيعات'!C:C, 'حركة المخزن'!B460, 'تحليل مبيعات'!L:L)),"")</f>
        <v/>
      </c>
      <c r="K460" s="10" t="str">
        <f t="shared" si="27"/>
        <v/>
      </c>
      <c r="L460" s="10" t="str">
        <f t="shared" si="28"/>
        <v/>
      </c>
      <c r="M460">
        <v>5</v>
      </c>
      <c r="N460" t="str">
        <f t="shared" si="29"/>
        <v>يوجد رصيد كافى</v>
      </c>
    </row>
    <row r="461" spans="7:14" x14ac:dyDescent="0.3">
      <c r="G461" t="str">
        <f>IFERROR(IF(SUMIF(المشتريات!C:C, 'حركة المخزن'!B461, المشتريات!F:F)=0,"",SUMIF(المشتريات!C:C, 'حركة المخزن'!B461, المشتريات!F:F)),"")</f>
        <v/>
      </c>
      <c r="H461" s="10" t="str">
        <f>IFERROR(IF(SUMIF(المشتريات!C:C, 'حركة المخزن'!B461, المشتريات!I:I)=0,"",SUMIF(المشتريات!C:C, 'حركة المخزن'!B461, المشتريات!I:I)),"")</f>
        <v/>
      </c>
      <c r="I461" s="10" t="str">
        <f>IFERROR(IF(SUMIF('تحليل مبيعات'!C:C, 'حركة المخزن'!B461, 'تحليل مبيعات'!H:H)=0,"",SUMIF('تحليل مبيعات'!C:C, 'حركة المخزن'!B461, 'تحليل مبيعات'!H:H)),"")</f>
        <v/>
      </c>
      <c r="J461" s="10" t="str">
        <f>IFERROR(IF(SUMIF('تحليل مبيعات'!C:C, 'حركة المخزن'!B461, 'تحليل مبيعات'!L:L)=0,"",SUMIF('تحليل مبيعات'!C:C, 'حركة المخزن'!B461, 'تحليل مبيعات'!L:L)),"")</f>
        <v/>
      </c>
      <c r="K461" s="10" t="str">
        <f t="shared" si="27"/>
        <v/>
      </c>
      <c r="L461" s="10" t="str">
        <f t="shared" si="28"/>
        <v/>
      </c>
      <c r="M461">
        <v>5</v>
      </c>
      <c r="N461" t="str">
        <f t="shared" si="29"/>
        <v>يوجد رصيد كافى</v>
      </c>
    </row>
    <row r="462" spans="7:14" x14ac:dyDescent="0.3">
      <c r="G462" t="str">
        <f>IFERROR(IF(SUMIF(المشتريات!C:C, 'حركة المخزن'!B462, المشتريات!F:F)=0,"",SUMIF(المشتريات!C:C, 'حركة المخزن'!B462, المشتريات!F:F)),"")</f>
        <v/>
      </c>
      <c r="H462" s="10" t="str">
        <f>IFERROR(IF(SUMIF(المشتريات!C:C, 'حركة المخزن'!B462, المشتريات!I:I)=0,"",SUMIF(المشتريات!C:C, 'حركة المخزن'!B462, المشتريات!I:I)),"")</f>
        <v/>
      </c>
      <c r="I462" s="10" t="str">
        <f>IFERROR(IF(SUMIF('تحليل مبيعات'!C:C, 'حركة المخزن'!B462, 'تحليل مبيعات'!H:H)=0,"",SUMIF('تحليل مبيعات'!C:C, 'حركة المخزن'!B462, 'تحليل مبيعات'!H:H)),"")</f>
        <v/>
      </c>
      <c r="J462" s="10" t="str">
        <f>IFERROR(IF(SUMIF('تحليل مبيعات'!C:C, 'حركة المخزن'!B462, 'تحليل مبيعات'!L:L)=0,"",SUMIF('تحليل مبيعات'!C:C, 'حركة المخزن'!B462, 'تحليل مبيعات'!L:L)),"")</f>
        <v/>
      </c>
      <c r="K462" s="10" t="str">
        <f t="shared" si="27"/>
        <v/>
      </c>
      <c r="L462" s="10" t="str">
        <f t="shared" si="28"/>
        <v/>
      </c>
      <c r="M462">
        <v>5</v>
      </c>
      <c r="N462" t="str">
        <f t="shared" si="29"/>
        <v>يوجد رصيد كافى</v>
      </c>
    </row>
    <row r="463" spans="7:14" x14ac:dyDescent="0.3">
      <c r="G463" t="str">
        <f>IFERROR(IF(SUMIF(المشتريات!C:C, 'حركة المخزن'!B463, المشتريات!F:F)=0,"",SUMIF(المشتريات!C:C, 'حركة المخزن'!B463, المشتريات!F:F)),"")</f>
        <v/>
      </c>
      <c r="H463" s="10" t="str">
        <f>IFERROR(IF(SUMIF(المشتريات!C:C, 'حركة المخزن'!B463, المشتريات!I:I)=0,"",SUMIF(المشتريات!C:C, 'حركة المخزن'!B463, المشتريات!I:I)),"")</f>
        <v/>
      </c>
      <c r="I463" s="10" t="str">
        <f>IFERROR(IF(SUMIF('تحليل مبيعات'!C:C, 'حركة المخزن'!B463, 'تحليل مبيعات'!H:H)=0,"",SUMIF('تحليل مبيعات'!C:C, 'حركة المخزن'!B463, 'تحليل مبيعات'!H:H)),"")</f>
        <v/>
      </c>
      <c r="J463" s="10" t="str">
        <f>IFERROR(IF(SUMIF('تحليل مبيعات'!C:C, 'حركة المخزن'!B463, 'تحليل مبيعات'!L:L)=0,"",SUMIF('تحليل مبيعات'!C:C, 'حركة المخزن'!B463, 'تحليل مبيعات'!L:L)),"")</f>
        <v/>
      </c>
      <c r="K463" s="10" t="str">
        <f t="shared" si="27"/>
        <v/>
      </c>
      <c r="L463" s="10" t="str">
        <f t="shared" si="28"/>
        <v/>
      </c>
      <c r="M463">
        <v>5</v>
      </c>
      <c r="N463" t="str">
        <f t="shared" si="29"/>
        <v>يوجد رصيد كافى</v>
      </c>
    </row>
    <row r="464" spans="7:14" x14ac:dyDescent="0.3">
      <c r="G464" t="str">
        <f>IFERROR(IF(SUMIF(المشتريات!C:C, 'حركة المخزن'!B464, المشتريات!F:F)=0,"",SUMIF(المشتريات!C:C, 'حركة المخزن'!B464, المشتريات!F:F)),"")</f>
        <v/>
      </c>
      <c r="H464" s="10" t="str">
        <f>IFERROR(IF(SUMIF(المشتريات!C:C, 'حركة المخزن'!B464, المشتريات!I:I)=0,"",SUMIF(المشتريات!C:C, 'حركة المخزن'!B464, المشتريات!I:I)),"")</f>
        <v/>
      </c>
      <c r="I464" s="10" t="str">
        <f>IFERROR(IF(SUMIF('تحليل مبيعات'!C:C, 'حركة المخزن'!B464, 'تحليل مبيعات'!H:H)=0,"",SUMIF('تحليل مبيعات'!C:C, 'حركة المخزن'!B464, 'تحليل مبيعات'!H:H)),"")</f>
        <v/>
      </c>
      <c r="J464" s="10" t="str">
        <f>IFERROR(IF(SUMIF('تحليل مبيعات'!C:C, 'حركة المخزن'!B464, 'تحليل مبيعات'!L:L)=0,"",SUMIF('تحليل مبيعات'!C:C, 'حركة المخزن'!B464, 'تحليل مبيعات'!L:L)),"")</f>
        <v/>
      </c>
      <c r="K464" s="10" t="str">
        <f t="shared" si="27"/>
        <v/>
      </c>
      <c r="L464" s="10" t="str">
        <f t="shared" si="28"/>
        <v/>
      </c>
      <c r="M464">
        <v>5</v>
      </c>
      <c r="N464" t="str">
        <f t="shared" si="29"/>
        <v>يوجد رصيد كافى</v>
      </c>
    </row>
    <row r="465" spans="7:14" x14ac:dyDescent="0.3">
      <c r="G465" t="str">
        <f>IFERROR(IF(SUMIF(المشتريات!C:C, 'حركة المخزن'!B465, المشتريات!F:F)=0,"",SUMIF(المشتريات!C:C, 'حركة المخزن'!B465, المشتريات!F:F)),"")</f>
        <v/>
      </c>
      <c r="H465" s="10" t="str">
        <f>IFERROR(IF(SUMIF(المشتريات!C:C, 'حركة المخزن'!B465, المشتريات!I:I)=0,"",SUMIF(المشتريات!C:C, 'حركة المخزن'!B465, المشتريات!I:I)),"")</f>
        <v/>
      </c>
      <c r="I465" s="10" t="str">
        <f>IFERROR(IF(SUMIF('تحليل مبيعات'!C:C, 'حركة المخزن'!B465, 'تحليل مبيعات'!H:H)=0,"",SUMIF('تحليل مبيعات'!C:C, 'حركة المخزن'!B465, 'تحليل مبيعات'!H:H)),"")</f>
        <v/>
      </c>
      <c r="J465" s="10" t="str">
        <f>IFERROR(IF(SUMIF('تحليل مبيعات'!C:C, 'حركة المخزن'!B465, 'تحليل مبيعات'!L:L)=0,"",SUMIF('تحليل مبيعات'!C:C, 'حركة المخزن'!B465, 'تحليل مبيعات'!L:L)),"")</f>
        <v/>
      </c>
      <c r="K465" s="10" t="str">
        <f t="shared" si="27"/>
        <v/>
      </c>
      <c r="L465" s="10" t="str">
        <f t="shared" si="28"/>
        <v/>
      </c>
      <c r="M465">
        <v>5</v>
      </c>
      <c r="N465" t="str">
        <f t="shared" si="29"/>
        <v>يوجد رصيد كافى</v>
      </c>
    </row>
    <row r="466" spans="7:14" x14ac:dyDescent="0.3">
      <c r="G466" t="str">
        <f>IFERROR(IF(SUMIF(المشتريات!C:C, 'حركة المخزن'!B466, المشتريات!F:F)=0,"",SUMIF(المشتريات!C:C, 'حركة المخزن'!B466, المشتريات!F:F)),"")</f>
        <v/>
      </c>
      <c r="H466" s="10" t="str">
        <f>IFERROR(IF(SUMIF(المشتريات!C:C, 'حركة المخزن'!B466, المشتريات!I:I)=0,"",SUMIF(المشتريات!C:C, 'حركة المخزن'!B466, المشتريات!I:I)),"")</f>
        <v/>
      </c>
      <c r="I466" s="10" t="str">
        <f>IFERROR(IF(SUMIF('تحليل مبيعات'!C:C, 'حركة المخزن'!B466, 'تحليل مبيعات'!H:H)=0,"",SUMIF('تحليل مبيعات'!C:C, 'حركة المخزن'!B466, 'تحليل مبيعات'!H:H)),"")</f>
        <v/>
      </c>
      <c r="J466" s="10" t="str">
        <f>IFERROR(IF(SUMIF('تحليل مبيعات'!C:C, 'حركة المخزن'!B466, 'تحليل مبيعات'!L:L)=0,"",SUMIF('تحليل مبيعات'!C:C, 'حركة المخزن'!B466, 'تحليل مبيعات'!L:L)),"")</f>
        <v/>
      </c>
      <c r="K466" s="10" t="str">
        <f t="shared" si="27"/>
        <v/>
      </c>
      <c r="L466" s="10" t="str">
        <f t="shared" si="28"/>
        <v/>
      </c>
      <c r="M466">
        <v>5</v>
      </c>
      <c r="N466" t="str">
        <f t="shared" si="29"/>
        <v>يوجد رصيد كافى</v>
      </c>
    </row>
    <row r="467" spans="7:14" x14ac:dyDescent="0.3">
      <c r="G467" t="str">
        <f>IFERROR(IF(SUMIF(المشتريات!C:C, 'حركة المخزن'!B467, المشتريات!F:F)=0,"",SUMIF(المشتريات!C:C, 'حركة المخزن'!B467, المشتريات!F:F)),"")</f>
        <v/>
      </c>
      <c r="H467" s="10" t="str">
        <f>IFERROR(IF(SUMIF(المشتريات!C:C, 'حركة المخزن'!B467, المشتريات!I:I)=0,"",SUMIF(المشتريات!C:C, 'حركة المخزن'!B467, المشتريات!I:I)),"")</f>
        <v/>
      </c>
      <c r="I467" s="10" t="str">
        <f>IFERROR(IF(SUMIF('تحليل مبيعات'!C:C, 'حركة المخزن'!B467, 'تحليل مبيعات'!H:H)=0,"",SUMIF('تحليل مبيعات'!C:C, 'حركة المخزن'!B467, 'تحليل مبيعات'!H:H)),"")</f>
        <v/>
      </c>
      <c r="J467" s="10" t="str">
        <f>IFERROR(IF(SUMIF('تحليل مبيعات'!C:C, 'حركة المخزن'!B467, 'تحليل مبيعات'!L:L)=0,"",SUMIF('تحليل مبيعات'!C:C, 'حركة المخزن'!B467, 'تحليل مبيعات'!L:L)),"")</f>
        <v/>
      </c>
      <c r="K467" s="10" t="str">
        <f t="shared" si="27"/>
        <v/>
      </c>
      <c r="L467" s="10" t="str">
        <f t="shared" si="28"/>
        <v/>
      </c>
      <c r="M467">
        <v>5</v>
      </c>
      <c r="N467" t="str">
        <f t="shared" si="29"/>
        <v>يوجد رصيد كافى</v>
      </c>
    </row>
    <row r="468" spans="7:14" x14ac:dyDescent="0.3">
      <c r="G468" t="str">
        <f>IFERROR(IF(SUMIF(المشتريات!C:C, 'حركة المخزن'!B468, المشتريات!F:F)=0,"",SUMIF(المشتريات!C:C, 'حركة المخزن'!B468, المشتريات!F:F)),"")</f>
        <v/>
      </c>
      <c r="H468" s="10" t="str">
        <f>IFERROR(IF(SUMIF(المشتريات!C:C, 'حركة المخزن'!B468, المشتريات!I:I)=0,"",SUMIF(المشتريات!C:C, 'حركة المخزن'!B468, المشتريات!I:I)),"")</f>
        <v/>
      </c>
      <c r="I468" s="10" t="str">
        <f>IFERROR(IF(SUMIF('تحليل مبيعات'!C:C, 'حركة المخزن'!B468, 'تحليل مبيعات'!H:H)=0,"",SUMIF('تحليل مبيعات'!C:C, 'حركة المخزن'!B468, 'تحليل مبيعات'!H:H)),"")</f>
        <v/>
      </c>
      <c r="J468" s="10" t="str">
        <f>IFERROR(IF(SUMIF('تحليل مبيعات'!C:C, 'حركة المخزن'!B468, 'تحليل مبيعات'!L:L)=0,"",SUMIF('تحليل مبيعات'!C:C, 'حركة المخزن'!B468, 'تحليل مبيعات'!L:L)),"")</f>
        <v/>
      </c>
      <c r="K468" s="10" t="str">
        <f t="shared" si="27"/>
        <v/>
      </c>
      <c r="L468" s="10" t="str">
        <f t="shared" si="28"/>
        <v/>
      </c>
      <c r="M468">
        <v>5</v>
      </c>
      <c r="N468" t="str">
        <f t="shared" si="29"/>
        <v>يوجد رصيد كافى</v>
      </c>
    </row>
    <row r="469" spans="7:14" x14ac:dyDescent="0.3">
      <c r="G469" t="str">
        <f>IFERROR(IF(SUMIF(المشتريات!C:C, 'حركة المخزن'!B469, المشتريات!F:F)=0,"",SUMIF(المشتريات!C:C, 'حركة المخزن'!B469, المشتريات!F:F)),"")</f>
        <v/>
      </c>
      <c r="H469" s="10" t="str">
        <f>IFERROR(IF(SUMIF(المشتريات!C:C, 'حركة المخزن'!B469, المشتريات!I:I)=0,"",SUMIF(المشتريات!C:C, 'حركة المخزن'!B469, المشتريات!I:I)),"")</f>
        <v/>
      </c>
      <c r="I469" s="10" t="str">
        <f>IFERROR(IF(SUMIF('تحليل مبيعات'!C:C, 'حركة المخزن'!B469, 'تحليل مبيعات'!H:H)=0,"",SUMIF('تحليل مبيعات'!C:C, 'حركة المخزن'!B469, 'تحليل مبيعات'!H:H)),"")</f>
        <v/>
      </c>
      <c r="J469" s="10" t="str">
        <f>IFERROR(IF(SUMIF('تحليل مبيعات'!C:C, 'حركة المخزن'!B469, 'تحليل مبيعات'!L:L)=0,"",SUMIF('تحليل مبيعات'!C:C, 'حركة المخزن'!B469, 'تحليل مبيعات'!L:L)),"")</f>
        <v/>
      </c>
      <c r="K469" s="10" t="str">
        <f t="shared" si="27"/>
        <v/>
      </c>
      <c r="L469" s="10" t="str">
        <f t="shared" si="28"/>
        <v/>
      </c>
      <c r="M469">
        <v>5</v>
      </c>
      <c r="N469" t="str">
        <f t="shared" si="29"/>
        <v>يوجد رصيد كافى</v>
      </c>
    </row>
    <row r="470" spans="7:14" x14ac:dyDescent="0.3">
      <c r="G470" t="str">
        <f>IFERROR(IF(SUMIF(المشتريات!C:C, 'حركة المخزن'!B470, المشتريات!F:F)=0,"",SUMIF(المشتريات!C:C, 'حركة المخزن'!B470, المشتريات!F:F)),"")</f>
        <v/>
      </c>
      <c r="H470" s="10" t="str">
        <f>IFERROR(IF(SUMIF(المشتريات!C:C, 'حركة المخزن'!B470, المشتريات!I:I)=0,"",SUMIF(المشتريات!C:C, 'حركة المخزن'!B470, المشتريات!I:I)),"")</f>
        <v/>
      </c>
      <c r="I470" s="10" t="str">
        <f>IFERROR(IF(SUMIF('تحليل مبيعات'!C:C, 'حركة المخزن'!B470, 'تحليل مبيعات'!H:H)=0,"",SUMIF('تحليل مبيعات'!C:C, 'حركة المخزن'!B470, 'تحليل مبيعات'!H:H)),"")</f>
        <v/>
      </c>
      <c r="J470" s="10" t="str">
        <f>IFERROR(IF(SUMIF('تحليل مبيعات'!C:C, 'حركة المخزن'!B470, 'تحليل مبيعات'!L:L)=0,"",SUMIF('تحليل مبيعات'!C:C, 'حركة المخزن'!B470, 'تحليل مبيعات'!L:L)),"")</f>
        <v/>
      </c>
      <c r="K470" s="10" t="str">
        <f t="shared" si="27"/>
        <v/>
      </c>
      <c r="L470" s="10" t="str">
        <f t="shared" si="28"/>
        <v/>
      </c>
      <c r="M470">
        <v>5</v>
      </c>
      <c r="N470" t="str">
        <f t="shared" si="29"/>
        <v>يوجد رصيد كافى</v>
      </c>
    </row>
    <row r="471" spans="7:14" x14ac:dyDescent="0.3">
      <c r="G471" t="str">
        <f>IFERROR(IF(SUMIF(المشتريات!C:C, 'حركة المخزن'!B471, المشتريات!F:F)=0,"",SUMIF(المشتريات!C:C, 'حركة المخزن'!B471, المشتريات!F:F)),"")</f>
        <v/>
      </c>
      <c r="H471" s="10" t="str">
        <f>IFERROR(IF(SUMIF(المشتريات!C:C, 'حركة المخزن'!B471, المشتريات!I:I)=0,"",SUMIF(المشتريات!C:C, 'حركة المخزن'!B471, المشتريات!I:I)),"")</f>
        <v/>
      </c>
      <c r="I471" s="10" t="str">
        <f>IFERROR(IF(SUMIF('تحليل مبيعات'!C:C, 'حركة المخزن'!B471, 'تحليل مبيعات'!H:H)=0,"",SUMIF('تحليل مبيعات'!C:C, 'حركة المخزن'!B471, 'تحليل مبيعات'!H:H)),"")</f>
        <v/>
      </c>
      <c r="J471" s="10" t="str">
        <f>IFERROR(IF(SUMIF('تحليل مبيعات'!C:C, 'حركة المخزن'!B471, 'تحليل مبيعات'!L:L)=0,"",SUMIF('تحليل مبيعات'!C:C, 'حركة المخزن'!B471, 'تحليل مبيعات'!L:L)),"")</f>
        <v/>
      </c>
      <c r="K471" s="10" t="str">
        <f t="shared" si="27"/>
        <v/>
      </c>
      <c r="L471" s="10" t="str">
        <f t="shared" si="28"/>
        <v/>
      </c>
      <c r="M471">
        <v>5</v>
      </c>
      <c r="N471" t="str">
        <f t="shared" si="29"/>
        <v>يوجد رصيد كافى</v>
      </c>
    </row>
    <row r="472" spans="7:14" x14ac:dyDescent="0.3">
      <c r="G472" t="str">
        <f>IFERROR(IF(SUMIF(المشتريات!C:C, 'حركة المخزن'!B472, المشتريات!F:F)=0,"",SUMIF(المشتريات!C:C, 'حركة المخزن'!B472, المشتريات!F:F)),"")</f>
        <v/>
      </c>
      <c r="H472" s="10" t="str">
        <f>IFERROR(IF(SUMIF(المشتريات!C:C, 'حركة المخزن'!B472, المشتريات!I:I)=0,"",SUMIF(المشتريات!C:C, 'حركة المخزن'!B472, المشتريات!I:I)),"")</f>
        <v/>
      </c>
      <c r="I472" s="10" t="str">
        <f>IFERROR(IF(SUMIF('تحليل مبيعات'!C:C, 'حركة المخزن'!B472, 'تحليل مبيعات'!H:H)=0,"",SUMIF('تحليل مبيعات'!C:C, 'حركة المخزن'!B472, 'تحليل مبيعات'!H:H)),"")</f>
        <v/>
      </c>
      <c r="J472" s="10" t="str">
        <f>IFERROR(IF(SUMIF('تحليل مبيعات'!C:C, 'حركة المخزن'!B472, 'تحليل مبيعات'!L:L)=0,"",SUMIF('تحليل مبيعات'!C:C, 'حركة المخزن'!B472, 'تحليل مبيعات'!L:L)),"")</f>
        <v/>
      </c>
      <c r="K472" s="10" t="str">
        <f t="shared" si="27"/>
        <v/>
      </c>
      <c r="L472" s="10" t="str">
        <f t="shared" si="28"/>
        <v/>
      </c>
      <c r="M472">
        <v>5</v>
      </c>
      <c r="N472" t="str">
        <f t="shared" si="29"/>
        <v>يوجد رصيد كافى</v>
      </c>
    </row>
    <row r="473" spans="7:14" x14ac:dyDescent="0.3">
      <c r="G473" t="str">
        <f>IFERROR(IF(SUMIF(المشتريات!C:C, 'حركة المخزن'!B473, المشتريات!F:F)=0,"",SUMIF(المشتريات!C:C, 'حركة المخزن'!B473, المشتريات!F:F)),"")</f>
        <v/>
      </c>
      <c r="H473" s="10" t="str">
        <f>IFERROR(IF(SUMIF(المشتريات!C:C, 'حركة المخزن'!B473, المشتريات!I:I)=0,"",SUMIF(المشتريات!C:C, 'حركة المخزن'!B473, المشتريات!I:I)),"")</f>
        <v/>
      </c>
      <c r="I473" s="10" t="str">
        <f>IFERROR(IF(SUMIF('تحليل مبيعات'!C:C, 'حركة المخزن'!B473, 'تحليل مبيعات'!H:H)=0,"",SUMIF('تحليل مبيعات'!C:C, 'حركة المخزن'!B473, 'تحليل مبيعات'!H:H)),"")</f>
        <v/>
      </c>
      <c r="J473" s="10" t="str">
        <f>IFERROR(IF(SUMIF('تحليل مبيعات'!C:C, 'حركة المخزن'!B473, 'تحليل مبيعات'!L:L)=0,"",SUMIF('تحليل مبيعات'!C:C, 'حركة المخزن'!B473, 'تحليل مبيعات'!L:L)),"")</f>
        <v/>
      </c>
      <c r="K473" s="10" t="str">
        <f t="shared" si="27"/>
        <v/>
      </c>
      <c r="L473" s="10" t="str">
        <f t="shared" si="28"/>
        <v/>
      </c>
      <c r="M473">
        <v>5</v>
      </c>
      <c r="N473" t="str">
        <f t="shared" si="29"/>
        <v>يوجد رصيد كافى</v>
      </c>
    </row>
    <row r="474" spans="7:14" x14ac:dyDescent="0.3">
      <c r="G474" t="str">
        <f>IFERROR(IF(SUMIF(المشتريات!C:C, 'حركة المخزن'!B474, المشتريات!F:F)=0,"",SUMIF(المشتريات!C:C, 'حركة المخزن'!B474, المشتريات!F:F)),"")</f>
        <v/>
      </c>
      <c r="H474" s="10" t="str">
        <f>IFERROR(IF(SUMIF(المشتريات!C:C, 'حركة المخزن'!B474, المشتريات!I:I)=0,"",SUMIF(المشتريات!C:C, 'حركة المخزن'!B474, المشتريات!I:I)),"")</f>
        <v/>
      </c>
      <c r="I474" s="10" t="str">
        <f>IFERROR(IF(SUMIF('تحليل مبيعات'!C:C, 'حركة المخزن'!B474, 'تحليل مبيعات'!H:H)=0,"",SUMIF('تحليل مبيعات'!C:C, 'حركة المخزن'!B474, 'تحليل مبيعات'!H:H)),"")</f>
        <v/>
      </c>
      <c r="J474" s="10" t="str">
        <f>IFERROR(IF(SUMIF('تحليل مبيعات'!C:C, 'حركة المخزن'!B474, 'تحليل مبيعات'!L:L)=0,"",SUMIF('تحليل مبيعات'!C:C, 'حركة المخزن'!B474, 'تحليل مبيعات'!L:L)),"")</f>
        <v/>
      </c>
      <c r="K474" s="10" t="str">
        <f t="shared" si="27"/>
        <v/>
      </c>
      <c r="L474" s="10" t="str">
        <f t="shared" si="28"/>
        <v/>
      </c>
      <c r="M474">
        <v>5</v>
      </c>
      <c r="N474" t="str">
        <f t="shared" si="29"/>
        <v>يوجد رصيد كافى</v>
      </c>
    </row>
    <row r="475" spans="7:14" x14ac:dyDescent="0.3">
      <c r="G475" t="str">
        <f>IFERROR(IF(SUMIF(المشتريات!C:C, 'حركة المخزن'!B475, المشتريات!F:F)=0,"",SUMIF(المشتريات!C:C, 'حركة المخزن'!B475, المشتريات!F:F)),"")</f>
        <v/>
      </c>
      <c r="H475" s="10" t="str">
        <f>IFERROR(IF(SUMIF(المشتريات!C:C, 'حركة المخزن'!B475, المشتريات!I:I)=0,"",SUMIF(المشتريات!C:C, 'حركة المخزن'!B475, المشتريات!I:I)),"")</f>
        <v/>
      </c>
      <c r="I475" s="10" t="str">
        <f>IFERROR(IF(SUMIF('تحليل مبيعات'!C:C, 'حركة المخزن'!B475, 'تحليل مبيعات'!H:H)=0,"",SUMIF('تحليل مبيعات'!C:C, 'حركة المخزن'!B475, 'تحليل مبيعات'!H:H)),"")</f>
        <v/>
      </c>
      <c r="J475" s="10" t="str">
        <f>IFERROR(IF(SUMIF('تحليل مبيعات'!C:C, 'حركة المخزن'!B475, 'تحليل مبيعات'!L:L)=0,"",SUMIF('تحليل مبيعات'!C:C, 'حركة المخزن'!B475, 'تحليل مبيعات'!L:L)),"")</f>
        <v/>
      </c>
      <c r="K475" s="10" t="str">
        <f t="shared" si="27"/>
        <v/>
      </c>
      <c r="L475" s="10" t="str">
        <f t="shared" si="28"/>
        <v/>
      </c>
      <c r="M475">
        <v>5</v>
      </c>
      <c r="N475" t="str">
        <f t="shared" si="29"/>
        <v>يوجد رصيد كافى</v>
      </c>
    </row>
    <row r="476" spans="7:14" x14ac:dyDescent="0.3">
      <c r="G476" t="str">
        <f>IFERROR(IF(SUMIF(المشتريات!C:C, 'حركة المخزن'!B476, المشتريات!F:F)=0,"",SUMIF(المشتريات!C:C, 'حركة المخزن'!B476, المشتريات!F:F)),"")</f>
        <v/>
      </c>
      <c r="H476" s="10" t="str">
        <f>IFERROR(IF(SUMIF(المشتريات!C:C, 'حركة المخزن'!B476, المشتريات!I:I)=0,"",SUMIF(المشتريات!C:C, 'حركة المخزن'!B476, المشتريات!I:I)),"")</f>
        <v/>
      </c>
      <c r="I476" s="10" t="str">
        <f>IFERROR(IF(SUMIF('تحليل مبيعات'!C:C, 'حركة المخزن'!B476, 'تحليل مبيعات'!H:H)=0,"",SUMIF('تحليل مبيعات'!C:C, 'حركة المخزن'!B476, 'تحليل مبيعات'!H:H)),"")</f>
        <v/>
      </c>
      <c r="J476" s="10" t="str">
        <f>IFERROR(IF(SUMIF('تحليل مبيعات'!C:C, 'حركة المخزن'!B476, 'تحليل مبيعات'!L:L)=0,"",SUMIF('تحليل مبيعات'!C:C, 'حركة المخزن'!B476, 'تحليل مبيعات'!L:L)),"")</f>
        <v/>
      </c>
      <c r="K476" s="10" t="str">
        <f t="shared" si="27"/>
        <v/>
      </c>
      <c r="L476" s="10" t="str">
        <f t="shared" si="28"/>
        <v/>
      </c>
      <c r="M476">
        <v>5</v>
      </c>
      <c r="N476" t="str">
        <f t="shared" si="29"/>
        <v>يوجد رصيد كافى</v>
      </c>
    </row>
    <row r="477" spans="7:14" x14ac:dyDescent="0.3">
      <c r="G477" t="str">
        <f>IFERROR(IF(SUMIF(المشتريات!C:C, 'حركة المخزن'!B477, المشتريات!F:F)=0,"",SUMIF(المشتريات!C:C, 'حركة المخزن'!B477, المشتريات!F:F)),"")</f>
        <v/>
      </c>
      <c r="H477" s="10" t="str">
        <f>IFERROR(IF(SUMIF(المشتريات!C:C, 'حركة المخزن'!B477, المشتريات!I:I)=0,"",SUMIF(المشتريات!C:C, 'حركة المخزن'!B477, المشتريات!I:I)),"")</f>
        <v/>
      </c>
      <c r="I477" s="10" t="str">
        <f>IFERROR(IF(SUMIF('تحليل مبيعات'!C:C, 'حركة المخزن'!B477, 'تحليل مبيعات'!H:H)=0,"",SUMIF('تحليل مبيعات'!C:C, 'حركة المخزن'!B477, 'تحليل مبيعات'!H:H)),"")</f>
        <v/>
      </c>
      <c r="J477" s="10" t="str">
        <f>IFERROR(IF(SUMIF('تحليل مبيعات'!C:C, 'حركة المخزن'!B477, 'تحليل مبيعات'!L:L)=0,"",SUMIF('تحليل مبيعات'!C:C, 'حركة المخزن'!B477, 'تحليل مبيعات'!L:L)),"")</f>
        <v/>
      </c>
      <c r="K477" s="10" t="str">
        <f t="shared" si="27"/>
        <v/>
      </c>
      <c r="L477" s="10" t="str">
        <f t="shared" si="28"/>
        <v/>
      </c>
      <c r="M477">
        <v>5</v>
      </c>
      <c r="N477" t="str">
        <f t="shared" si="29"/>
        <v>يوجد رصيد كافى</v>
      </c>
    </row>
    <row r="478" spans="7:14" x14ac:dyDescent="0.3">
      <c r="G478" t="str">
        <f>IFERROR(IF(SUMIF(المشتريات!C:C, 'حركة المخزن'!B478, المشتريات!F:F)=0,"",SUMIF(المشتريات!C:C, 'حركة المخزن'!B478, المشتريات!F:F)),"")</f>
        <v/>
      </c>
      <c r="H478" s="10" t="str">
        <f>IFERROR(IF(SUMIF(المشتريات!C:C, 'حركة المخزن'!B478, المشتريات!I:I)=0,"",SUMIF(المشتريات!C:C, 'حركة المخزن'!B478, المشتريات!I:I)),"")</f>
        <v/>
      </c>
      <c r="I478" s="10" t="str">
        <f>IFERROR(IF(SUMIF('تحليل مبيعات'!C:C, 'حركة المخزن'!B478, 'تحليل مبيعات'!H:H)=0,"",SUMIF('تحليل مبيعات'!C:C, 'حركة المخزن'!B478, 'تحليل مبيعات'!H:H)),"")</f>
        <v/>
      </c>
      <c r="J478" s="10" t="str">
        <f>IFERROR(IF(SUMIF('تحليل مبيعات'!C:C, 'حركة المخزن'!B478, 'تحليل مبيعات'!L:L)=0,"",SUMIF('تحليل مبيعات'!C:C, 'حركة المخزن'!B478, 'تحليل مبيعات'!L:L)),"")</f>
        <v/>
      </c>
      <c r="K478" s="10" t="str">
        <f t="shared" si="27"/>
        <v/>
      </c>
      <c r="L478" s="10" t="str">
        <f t="shared" si="28"/>
        <v/>
      </c>
      <c r="M478">
        <v>5</v>
      </c>
      <c r="N478" t="str">
        <f t="shared" si="29"/>
        <v>يوجد رصيد كافى</v>
      </c>
    </row>
    <row r="479" spans="7:14" x14ac:dyDescent="0.3">
      <c r="G479" t="str">
        <f>IFERROR(IF(SUMIF(المشتريات!C:C, 'حركة المخزن'!B479, المشتريات!F:F)=0,"",SUMIF(المشتريات!C:C, 'حركة المخزن'!B479, المشتريات!F:F)),"")</f>
        <v/>
      </c>
      <c r="H479" s="10" t="str">
        <f>IFERROR(IF(SUMIF(المشتريات!C:C, 'حركة المخزن'!B479, المشتريات!I:I)=0,"",SUMIF(المشتريات!C:C, 'حركة المخزن'!B479, المشتريات!I:I)),"")</f>
        <v/>
      </c>
      <c r="I479" s="10" t="str">
        <f>IFERROR(IF(SUMIF('تحليل مبيعات'!C:C, 'حركة المخزن'!B479, 'تحليل مبيعات'!H:H)=0,"",SUMIF('تحليل مبيعات'!C:C, 'حركة المخزن'!B479, 'تحليل مبيعات'!H:H)),"")</f>
        <v/>
      </c>
      <c r="J479" s="10" t="str">
        <f>IFERROR(IF(SUMIF('تحليل مبيعات'!C:C, 'حركة المخزن'!B479, 'تحليل مبيعات'!L:L)=0,"",SUMIF('تحليل مبيعات'!C:C, 'حركة المخزن'!B479, 'تحليل مبيعات'!L:L)),"")</f>
        <v/>
      </c>
      <c r="K479" s="10" t="str">
        <f t="shared" si="27"/>
        <v/>
      </c>
      <c r="L479" s="10" t="str">
        <f t="shared" si="28"/>
        <v/>
      </c>
      <c r="M479">
        <v>5</v>
      </c>
      <c r="N479" t="str">
        <f t="shared" si="29"/>
        <v>يوجد رصيد كافى</v>
      </c>
    </row>
    <row r="480" spans="7:14" x14ac:dyDescent="0.3">
      <c r="G480" t="str">
        <f>IFERROR(IF(SUMIF(المشتريات!C:C, 'حركة المخزن'!B480, المشتريات!F:F)=0,"",SUMIF(المشتريات!C:C, 'حركة المخزن'!B480, المشتريات!F:F)),"")</f>
        <v/>
      </c>
      <c r="H480" s="10" t="str">
        <f>IFERROR(IF(SUMIF(المشتريات!C:C, 'حركة المخزن'!B480, المشتريات!I:I)=0,"",SUMIF(المشتريات!C:C, 'حركة المخزن'!B480, المشتريات!I:I)),"")</f>
        <v/>
      </c>
      <c r="I480" s="10" t="str">
        <f>IFERROR(IF(SUMIF('تحليل مبيعات'!C:C, 'حركة المخزن'!B480, 'تحليل مبيعات'!H:H)=0,"",SUMIF('تحليل مبيعات'!C:C, 'حركة المخزن'!B480, 'تحليل مبيعات'!H:H)),"")</f>
        <v/>
      </c>
      <c r="J480" s="10" t="str">
        <f>IFERROR(IF(SUMIF('تحليل مبيعات'!C:C, 'حركة المخزن'!B480, 'تحليل مبيعات'!L:L)=0,"",SUMIF('تحليل مبيعات'!C:C, 'حركة المخزن'!B480, 'تحليل مبيعات'!L:L)),"")</f>
        <v/>
      </c>
      <c r="K480" s="10" t="str">
        <f t="shared" si="27"/>
        <v/>
      </c>
      <c r="L480" s="10" t="str">
        <f t="shared" si="28"/>
        <v/>
      </c>
      <c r="M480">
        <v>5</v>
      </c>
      <c r="N480" t="str">
        <f t="shared" si="29"/>
        <v>يوجد رصيد كافى</v>
      </c>
    </row>
    <row r="481" spans="7:14" x14ac:dyDescent="0.3">
      <c r="G481" t="str">
        <f>IFERROR(IF(SUMIF(المشتريات!C:C, 'حركة المخزن'!B481, المشتريات!F:F)=0,"",SUMIF(المشتريات!C:C, 'حركة المخزن'!B481, المشتريات!F:F)),"")</f>
        <v/>
      </c>
      <c r="H481" s="10" t="str">
        <f>IFERROR(IF(SUMIF(المشتريات!C:C, 'حركة المخزن'!B481, المشتريات!I:I)=0,"",SUMIF(المشتريات!C:C, 'حركة المخزن'!B481, المشتريات!I:I)),"")</f>
        <v/>
      </c>
      <c r="I481" s="10" t="str">
        <f>IFERROR(IF(SUMIF('تحليل مبيعات'!C:C, 'حركة المخزن'!B481, 'تحليل مبيعات'!H:H)=0,"",SUMIF('تحليل مبيعات'!C:C, 'حركة المخزن'!B481, 'تحليل مبيعات'!H:H)),"")</f>
        <v/>
      </c>
      <c r="J481" s="10" t="str">
        <f>IFERROR(IF(SUMIF('تحليل مبيعات'!C:C, 'حركة المخزن'!B481, 'تحليل مبيعات'!L:L)=0,"",SUMIF('تحليل مبيعات'!C:C, 'حركة المخزن'!B481, 'تحليل مبيعات'!L:L)),"")</f>
        <v/>
      </c>
      <c r="K481" s="10" t="str">
        <f t="shared" si="27"/>
        <v/>
      </c>
      <c r="L481" s="10" t="str">
        <f t="shared" si="28"/>
        <v/>
      </c>
      <c r="M481">
        <v>5</v>
      </c>
      <c r="N481" t="str">
        <f t="shared" si="29"/>
        <v>يوجد رصيد كافى</v>
      </c>
    </row>
    <row r="482" spans="7:14" x14ac:dyDescent="0.3">
      <c r="G482" t="str">
        <f>IFERROR(IF(SUMIF(المشتريات!C:C, 'حركة المخزن'!B482, المشتريات!F:F)=0,"",SUMIF(المشتريات!C:C, 'حركة المخزن'!B482, المشتريات!F:F)),"")</f>
        <v/>
      </c>
      <c r="H482" s="10" t="str">
        <f>IFERROR(IF(SUMIF(المشتريات!C:C, 'حركة المخزن'!B482, المشتريات!I:I)=0,"",SUMIF(المشتريات!C:C, 'حركة المخزن'!B482, المشتريات!I:I)),"")</f>
        <v/>
      </c>
      <c r="I482" s="10" t="str">
        <f>IFERROR(IF(SUMIF('تحليل مبيعات'!C:C, 'حركة المخزن'!B482, 'تحليل مبيعات'!H:H)=0,"",SUMIF('تحليل مبيعات'!C:C, 'حركة المخزن'!B482, 'تحليل مبيعات'!H:H)),"")</f>
        <v/>
      </c>
      <c r="J482" s="10" t="str">
        <f>IFERROR(IF(SUMIF('تحليل مبيعات'!C:C, 'حركة المخزن'!B482, 'تحليل مبيعات'!L:L)=0,"",SUMIF('تحليل مبيعات'!C:C, 'حركة المخزن'!B482, 'تحليل مبيعات'!L:L)),"")</f>
        <v/>
      </c>
      <c r="K482" s="10" t="str">
        <f t="shared" si="27"/>
        <v/>
      </c>
      <c r="L482" s="10" t="str">
        <f t="shared" si="28"/>
        <v/>
      </c>
      <c r="M482">
        <v>5</v>
      </c>
      <c r="N482" t="str">
        <f t="shared" si="29"/>
        <v>يوجد رصيد كافى</v>
      </c>
    </row>
    <row r="483" spans="7:14" x14ac:dyDescent="0.3">
      <c r="G483" t="str">
        <f>IFERROR(IF(SUMIF(المشتريات!C:C, 'حركة المخزن'!B483, المشتريات!F:F)=0,"",SUMIF(المشتريات!C:C, 'حركة المخزن'!B483, المشتريات!F:F)),"")</f>
        <v/>
      </c>
      <c r="H483" s="10" t="str">
        <f>IFERROR(IF(SUMIF(المشتريات!C:C, 'حركة المخزن'!B483, المشتريات!I:I)=0,"",SUMIF(المشتريات!C:C, 'حركة المخزن'!B483, المشتريات!I:I)),"")</f>
        <v/>
      </c>
      <c r="I483" s="10" t="str">
        <f>IFERROR(IF(SUMIF('تحليل مبيعات'!C:C, 'حركة المخزن'!B483, 'تحليل مبيعات'!H:H)=0,"",SUMIF('تحليل مبيعات'!C:C, 'حركة المخزن'!B483, 'تحليل مبيعات'!H:H)),"")</f>
        <v/>
      </c>
      <c r="J483" s="10" t="str">
        <f>IFERROR(IF(SUMIF('تحليل مبيعات'!C:C, 'حركة المخزن'!B483, 'تحليل مبيعات'!L:L)=0,"",SUMIF('تحليل مبيعات'!C:C, 'حركة المخزن'!B483, 'تحليل مبيعات'!L:L)),"")</f>
        <v/>
      </c>
      <c r="K483" s="10" t="str">
        <f t="shared" si="27"/>
        <v/>
      </c>
      <c r="L483" s="10" t="str">
        <f t="shared" si="28"/>
        <v/>
      </c>
      <c r="M483">
        <v>5</v>
      </c>
      <c r="N483" t="str">
        <f t="shared" si="29"/>
        <v>يوجد رصيد كافى</v>
      </c>
    </row>
    <row r="484" spans="7:14" x14ac:dyDescent="0.3">
      <c r="G484" t="str">
        <f>IFERROR(IF(SUMIF(المشتريات!C:C, 'حركة المخزن'!B484, المشتريات!F:F)=0,"",SUMIF(المشتريات!C:C, 'حركة المخزن'!B484, المشتريات!F:F)),"")</f>
        <v/>
      </c>
      <c r="H484" s="10" t="str">
        <f>IFERROR(IF(SUMIF(المشتريات!C:C, 'حركة المخزن'!B484, المشتريات!I:I)=0,"",SUMIF(المشتريات!C:C, 'حركة المخزن'!B484, المشتريات!I:I)),"")</f>
        <v/>
      </c>
      <c r="I484" s="10" t="str">
        <f>IFERROR(IF(SUMIF('تحليل مبيعات'!C:C, 'حركة المخزن'!B484, 'تحليل مبيعات'!H:H)=0,"",SUMIF('تحليل مبيعات'!C:C, 'حركة المخزن'!B484, 'تحليل مبيعات'!H:H)),"")</f>
        <v/>
      </c>
      <c r="J484" s="10" t="str">
        <f>IFERROR(IF(SUMIF('تحليل مبيعات'!C:C, 'حركة المخزن'!B484, 'تحليل مبيعات'!L:L)=0,"",SUMIF('تحليل مبيعات'!C:C, 'حركة المخزن'!B484, 'تحليل مبيعات'!L:L)),"")</f>
        <v/>
      </c>
      <c r="K484" s="10" t="str">
        <f t="shared" si="27"/>
        <v/>
      </c>
      <c r="L484" s="10" t="str">
        <f t="shared" si="28"/>
        <v/>
      </c>
      <c r="M484">
        <v>5</v>
      </c>
      <c r="N484" t="str">
        <f t="shared" si="29"/>
        <v>يوجد رصيد كافى</v>
      </c>
    </row>
    <row r="485" spans="7:14" x14ac:dyDescent="0.3">
      <c r="G485" t="str">
        <f>IFERROR(IF(SUMIF(المشتريات!C:C, 'حركة المخزن'!B485, المشتريات!F:F)=0,"",SUMIF(المشتريات!C:C, 'حركة المخزن'!B485, المشتريات!F:F)),"")</f>
        <v/>
      </c>
      <c r="H485" s="10" t="str">
        <f>IFERROR(IF(SUMIF(المشتريات!C:C, 'حركة المخزن'!B485, المشتريات!I:I)=0,"",SUMIF(المشتريات!C:C, 'حركة المخزن'!B485, المشتريات!I:I)),"")</f>
        <v/>
      </c>
      <c r="I485" s="10" t="str">
        <f>IFERROR(IF(SUMIF('تحليل مبيعات'!C:C, 'حركة المخزن'!B485, 'تحليل مبيعات'!H:H)=0,"",SUMIF('تحليل مبيعات'!C:C, 'حركة المخزن'!B485, 'تحليل مبيعات'!H:H)),"")</f>
        <v/>
      </c>
      <c r="J485" s="10" t="str">
        <f>IFERROR(IF(SUMIF('تحليل مبيعات'!C:C, 'حركة المخزن'!B485, 'تحليل مبيعات'!L:L)=0,"",SUMIF('تحليل مبيعات'!C:C, 'حركة المخزن'!B485, 'تحليل مبيعات'!L:L)),"")</f>
        <v/>
      </c>
      <c r="K485" s="10" t="str">
        <f t="shared" si="27"/>
        <v/>
      </c>
      <c r="L485" s="10" t="str">
        <f t="shared" si="28"/>
        <v/>
      </c>
      <c r="M485">
        <v>5</v>
      </c>
      <c r="N485" t="str">
        <f t="shared" si="29"/>
        <v>يوجد رصيد كافى</v>
      </c>
    </row>
    <row r="486" spans="7:14" x14ac:dyDescent="0.3">
      <c r="G486" t="str">
        <f>IFERROR(IF(SUMIF(المشتريات!C:C, 'حركة المخزن'!B486, المشتريات!F:F)=0,"",SUMIF(المشتريات!C:C, 'حركة المخزن'!B486, المشتريات!F:F)),"")</f>
        <v/>
      </c>
      <c r="H486" s="10" t="str">
        <f>IFERROR(IF(SUMIF(المشتريات!C:C, 'حركة المخزن'!B486, المشتريات!I:I)=0,"",SUMIF(المشتريات!C:C, 'حركة المخزن'!B486, المشتريات!I:I)),"")</f>
        <v/>
      </c>
      <c r="I486" s="10" t="str">
        <f>IFERROR(IF(SUMIF('تحليل مبيعات'!C:C, 'حركة المخزن'!B486, 'تحليل مبيعات'!H:H)=0,"",SUMIF('تحليل مبيعات'!C:C, 'حركة المخزن'!B486, 'تحليل مبيعات'!H:H)),"")</f>
        <v/>
      </c>
      <c r="J486" s="10" t="str">
        <f>IFERROR(IF(SUMIF('تحليل مبيعات'!C:C, 'حركة المخزن'!B486, 'تحليل مبيعات'!L:L)=0,"",SUMIF('تحليل مبيعات'!C:C, 'حركة المخزن'!B486, 'تحليل مبيعات'!L:L)),"")</f>
        <v/>
      </c>
      <c r="K486" s="10" t="str">
        <f t="shared" si="27"/>
        <v/>
      </c>
      <c r="L486" s="10" t="str">
        <f t="shared" si="28"/>
        <v/>
      </c>
      <c r="M486">
        <v>5</v>
      </c>
      <c r="N486" t="str">
        <f t="shared" si="29"/>
        <v>يوجد رصيد كافى</v>
      </c>
    </row>
    <row r="487" spans="7:14" x14ac:dyDescent="0.3">
      <c r="G487" t="str">
        <f>IFERROR(IF(SUMIF(المشتريات!C:C, 'حركة المخزن'!B487, المشتريات!F:F)=0,"",SUMIF(المشتريات!C:C, 'حركة المخزن'!B487, المشتريات!F:F)),"")</f>
        <v/>
      </c>
      <c r="H487" s="10" t="str">
        <f>IFERROR(IF(SUMIF(المشتريات!C:C, 'حركة المخزن'!B487, المشتريات!I:I)=0,"",SUMIF(المشتريات!C:C, 'حركة المخزن'!B487, المشتريات!I:I)),"")</f>
        <v/>
      </c>
      <c r="I487" s="10" t="str">
        <f>IFERROR(IF(SUMIF('تحليل مبيعات'!C:C, 'حركة المخزن'!B487, 'تحليل مبيعات'!H:H)=0,"",SUMIF('تحليل مبيعات'!C:C, 'حركة المخزن'!B487, 'تحليل مبيعات'!H:H)),"")</f>
        <v/>
      </c>
      <c r="J487" s="10" t="str">
        <f>IFERROR(IF(SUMIF('تحليل مبيعات'!C:C, 'حركة المخزن'!B487, 'تحليل مبيعات'!L:L)=0,"",SUMIF('تحليل مبيعات'!C:C, 'حركة المخزن'!B487, 'تحليل مبيعات'!L:L)),"")</f>
        <v/>
      </c>
      <c r="K487" s="10" t="str">
        <f t="shared" si="27"/>
        <v/>
      </c>
      <c r="L487" s="10" t="str">
        <f t="shared" si="28"/>
        <v/>
      </c>
      <c r="M487">
        <v>5</v>
      </c>
      <c r="N487" t="str">
        <f t="shared" si="29"/>
        <v>يوجد رصيد كافى</v>
      </c>
    </row>
    <row r="488" spans="7:14" x14ac:dyDescent="0.3">
      <c r="G488" t="str">
        <f>IFERROR(IF(SUMIF(المشتريات!C:C, 'حركة المخزن'!B488, المشتريات!F:F)=0,"",SUMIF(المشتريات!C:C, 'حركة المخزن'!B488, المشتريات!F:F)),"")</f>
        <v/>
      </c>
      <c r="H488" s="10" t="str">
        <f>IFERROR(IF(SUMIF(المشتريات!C:C, 'حركة المخزن'!B488, المشتريات!I:I)=0,"",SUMIF(المشتريات!C:C, 'حركة المخزن'!B488, المشتريات!I:I)),"")</f>
        <v/>
      </c>
      <c r="I488" s="10" t="str">
        <f>IFERROR(IF(SUMIF('تحليل مبيعات'!C:C, 'حركة المخزن'!B488, 'تحليل مبيعات'!H:H)=0,"",SUMIF('تحليل مبيعات'!C:C, 'حركة المخزن'!B488, 'تحليل مبيعات'!H:H)),"")</f>
        <v/>
      </c>
      <c r="J488" s="10" t="str">
        <f>IFERROR(IF(SUMIF('تحليل مبيعات'!C:C, 'حركة المخزن'!B488, 'تحليل مبيعات'!L:L)=0,"",SUMIF('تحليل مبيعات'!C:C, 'حركة المخزن'!B488, 'تحليل مبيعات'!L:L)),"")</f>
        <v/>
      </c>
      <c r="K488" s="10" t="str">
        <f t="shared" si="27"/>
        <v/>
      </c>
      <c r="L488" s="10" t="str">
        <f t="shared" si="28"/>
        <v/>
      </c>
      <c r="M488">
        <v>5</v>
      </c>
      <c r="N488" t="str">
        <f t="shared" si="29"/>
        <v>يوجد رصيد كافى</v>
      </c>
    </row>
    <row r="489" spans="7:14" x14ac:dyDescent="0.3">
      <c r="G489" t="str">
        <f>IFERROR(IF(SUMIF(المشتريات!C:C, 'حركة المخزن'!B489, المشتريات!F:F)=0,"",SUMIF(المشتريات!C:C, 'حركة المخزن'!B489, المشتريات!F:F)),"")</f>
        <v/>
      </c>
      <c r="H489" s="10" t="str">
        <f>IFERROR(IF(SUMIF(المشتريات!C:C, 'حركة المخزن'!B489, المشتريات!I:I)=0,"",SUMIF(المشتريات!C:C, 'حركة المخزن'!B489, المشتريات!I:I)),"")</f>
        <v/>
      </c>
      <c r="I489" s="10" t="str">
        <f>IFERROR(IF(SUMIF('تحليل مبيعات'!C:C, 'حركة المخزن'!B489, 'تحليل مبيعات'!H:H)=0,"",SUMIF('تحليل مبيعات'!C:C, 'حركة المخزن'!B489, 'تحليل مبيعات'!H:H)),"")</f>
        <v/>
      </c>
      <c r="J489" s="10" t="str">
        <f>IFERROR(IF(SUMIF('تحليل مبيعات'!C:C, 'حركة المخزن'!B489, 'تحليل مبيعات'!L:L)=0,"",SUMIF('تحليل مبيعات'!C:C, 'حركة المخزن'!B489, 'تحليل مبيعات'!L:L)),"")</f>
        <v/>
      </c>
      <c r="K489" s="10" t="str">
        <f t="shared" si="27"/>
        <v/>
      </c>
      <c r="L489" s="10" t="str">
        <f t="shared" si="28"/>
        <v/>
      </c>
      <c r="M489">
        <v>5</v>
      </c>
      <c r="N489" t="str">
        <f t="shared" si="29"/>
        <v>يوجد رصيد كافى</v>
      </c>
    </row>
    <row r="490" spans="7:14" x14ac:dyDescent="0.3">
      <c r="G490" t="str">
        <f>IFERROR(IF(SUMIF(المشتريات!C:C, 'حركة المخزن'!B490, المشتريات!F:F)=0,"",SUMIF(المشتريات!C:C, 'حركة المخزن'!B490, المشتريات!F:F)),"")</f>
        <v/>
      </c>
      <c r="H490" s="10" t="str">
        <f>IFERROR(IF(SUMIF(المشتريات!C:C, 'حركة المخزن'!B490, المشتريات!I:I)=0,"",SUMIF(المشتريات!C:C, 'حركة المخزن'!B490, المشتريات!I:I)),"")</f>
        <v/>
      </c>
      <c r="I490" s="10" t="str">
        <f>IFERROR(IF(SUMIF('تحليل مبيعات'!C:C, 'حركة المخزن'!B490, 'تحليل مبيعات'!H:H)=0,"",SUMIF('تحليل مبيعات'!C:C, 'حركة المخزن'!B490, 'تحليل مبيعات'!H:H)),"")</f>
        <v/>
      </c>
      <c r="J490" s="10" t="str">
        <f>IFERROR(IF(SUMIF('تحليل مبيعات'!C:C, 'حركة المخزن'!B490, 'تحليل مبيعات'!L:L)=0,"",SUMIF('تحليل مبيعات'!C:C, 'حركة المخزن'!B490, 'تحليل مبيعات'!L:L)),"")</f>
        <v/>
      </c>
      <c r="K490" s="10" t="str">
        <f t="shared" si="27"/>
        <v/>
      </c>
      <c r="L490" s="10" t="str">
        <f t="shared" si="28"/>
        <v/>
      </c>
      <c r="M490">
        <v>5</v>
      </c>
      <c r="N490" t="str">
        <f t="shared" si="29"/>
        <v>يوجد رصيد كافى</v>
      </c>
    </row>
    <row r="491" spans="7:14" x14ac:dyDescent="0.3">
      <c r="G491" t="str">
        <f>IFERROR(IF(SUMIF(المشتريات!C:C, 'حركة المخزن'!B491, المشتريات!F:F)=0,"",SUMIF(المشتريات!C:C, 'حركة المخزن'!B491, المشتريات!F:F)),"")</f>
        <v/>
      </c>
      <c r="H491" s="10" t="str">
        <f>IFERROR(IF(SUMIF(المشتريات!C:C, 'حركة المخزن'!B491, المشتريات!I:I)=0,"",SUMIF(المشتريات!C:C, 'حركة المخزن'!B491, المشتريات!I:I)),"")</f>
        <v/>
      </c>
      <c r="I491" s="10" t="str">
        <f>IFERROR(IF(SUMIF('تحليل مبيعات'!C:C, 'حركة المخزن'!B491, 'تحليل مبيعات'!H:H)=0,"",SUMIF('تحليل مبيعات'!C:C, 'حركة المخزن'!B491, 'تحليل مبيعات'!H:H)),"")</f>
        <v/>
      </c>
      <c r="J491" s="10" t="str">
        <f>IFERROR(IF(SUMIF('تحليل مبيعات'!C:C, 'حركة المخزن'!B491, 'تحليل مبيعات'!L:L)=0,"",SUMIF('تحليل مبيعات'!C:C, 'حركة المخزن'!B491, 'تحليل مبيعات'!L:L)),"")</f>
        <v/>
      </c>
      <c r="K491" s="10" t="str">
        <f t="shared" si="27"/>
        <v/>
      </c>
      <c r="L491" s="10" t="str">
        <f t="shared" si="28"/>
        <v/>
      </c>
      <c r="M491">
        <v>5</v>
      </c>
      <c r="N491" t="str">
        <f t="shared" si="29"/>
        <v>يوجد رصيد كافى</v>
      </c>
    </row>
    <row r="492" spans="7:14" x14ac:dyDescent="0.3">
      <c r="G492" t="str">
        <f>IFERROR(IF(SUMIF(المشتريات!C:C, 'حركة المخزن'!B492, المشتريات!F:F)=0,"",SUMIF(المشتريات!C:C, 'حركة المخزن'!B492, المشتريات!F:F)),"")</f>
        <v/>
      </c>
      <c r="H492" s="10" t="str">
        <f>IFERROR(IF(SUMIF(المشتريات!C:C, 'حركة المخزن'!B492, المشتريات!I:I)=0,"",SUMIF(المشتريات!C:C, 'حركة المخزن'!B492, المشتريات!I:I)),"")</f>
        <v/>
      </c>
      <c r="I492" s="10" t="str">
        <f>IFERROR(IF(SUMIF('تحليل مبيعات'!C:C, 'حركة المخزن'!B492, 'تحليل مبيعات'!H:H)=0,"",SUMIF('تحليل مبيعات'!C:C, 'حركة المخزن'!B492, 'تحليل مبيعات'!H:H)),"")</f>
        <v/>
      </c>
      <c r="J492" s="10" t="str">
        <f>IFERROR(IF(SUMIF('تحليل مبيعات'!C:C, 'حركة المخزن'!B492, 'تحليل مبيعات'!L:L)=0,"",SUMIF('تحليل مبيعات'!C:C, 'حركة المخزن'!B492, 'تحليل مبيعات'!L:L)),"")</f>
        <v/>
      </c>
      <c r="K492" s="10" t="str">
        <f t="shared" si="27"/>
        <v/>
      </c>
      <c r="L492" s="10" t="str">
        <f t="shared" si="28"/>
        <v/>
      </c>
      <c r="M492">
        <v>5</v>
      </c>
      <c r="N492" t="str">
        <f t="shared" si="29"/>
        <v>يوجد رصيد كافى</v>
      </c>
    </row>
    <row r="493" spans="7:14" x14ac:dyDescent="0.3">
      <c r="G493" t="str">
        <f>IFERROR(IF(SUMIF(المشتريات!C:C, 'حركة المخزن'!B493, المشتريات!F:F)=0,"",SUMIF(المشتريات!C:C, 'حركة المخزن'!B493, المشتريات!F:F)),"")</f>
        <v/>
      </c>
      <c r="H493" s="10" t="str">
        <f>IFERROR(IF(SUMIF(المشتريات!C:C, 'حركة المخزن'!B493, المشتريات!I:I)=0,"",SUMIF(المشتريات!C:C, 'حركة المخزن'!B493, المشتريات!I:I)),"")</f>
        <v/>
      </c>
      <c r="I493" s="10" t="str">
        <f>IFERROR(IF(SUMIF('تحليل مبيعات'!C:C, 'حركة المخزن'!B493, 'تحليل مبيعات'!H:H)=0,"",SUMIF('تحليل مبيعات'!C:C, 'حركة المخزن'!B493, 'تحليل مبيعات'!H:H)),"")</f>
        <v/>
      </c>
      <c r="J493" s="10" t="str">
        <f>IFERROR(IF(SUMIF('تحليل مبيعات'!C:C, 'حركة المخزن'!B493, 'تحليل مبيعات'!L:L)=0,"",SUMIF('تحليل مبيعات'!C:C, 'حركة المخزن'!B493, 'تحليل مبيعات'!L:L)),"")</f>
        <v/>
      </c>
      <c r="K493" s="10" t="str">
        <f t="shared" si="27"/>
        <v/>
      </c>
      <c r="L493" s="10" t="str">
        <f t="shared" si="28"/>
        <v/>
      </c>
      <c r="M493">
        <v>5</v>
      </c>
      <c r="N493" t="str">
        <f t="shared" si="29"/>
        <v>يوجد رصيد كافى</v>
      </c>
    </row>
    <row r="494" spans="7:14" x14ac:dyDescent="0.3">
      <c r="G494" t="str">
        <f>IFERROR(IF(SUMIF(المشتريات!C:C, 'حركة المخزن'!B494, المشتريات!F:F)=0,"",SUMIF(المشتريات!C:C, 'حركة المخزن'!B494, المشتريات!F:F)),"")</f>
        <v/>
      </c>
      <c r="H494" s="10" t="str">
        <f>IFERROR(IF(SUMIF(المشتريات!C:C, 'حركة المخزن'!B494, المشتريات!I:I)=0,"",SUMIF(المشتريات!C:C, 'حركة المخزن'!B494, المشتريات!I:I)),"")</f>
        <v/>
      </c>
      <c r="I494" s="10" t="str">
        <f>IFERROR(IF(SUMIF('تحليل مبيعات'!C:C, 'حركة المخزن'!B494, 'تحليل مبيعات'!H:H)=0,"",SUMIF('تحليل مبيعات'!C:C, 'حركة المخزن'!B494, 'تحليل مبيعات'!H:H)),"")</f>
        <v/>
      </c>
      <c r="J494" s="10" t="str">
        <f>IFERROR(IF(SUMIF('تحليل مبيعات'!C:C, 'حركة المخزن'!B494, 'تحليل مبيعات'!L:L)=0,"",SUMIF('تحليل مبيعات'!C:C, 'حركة المخزن'!B494, 'تحليل مبيعات'!L:L)),"")</f>
        <v/>
      </c>
      <c r="K494" s="10" t="str">
        <f t="shared" si="27"/>
        <v/>
      </c>
      <c r="L494" s="10" t="str">
        <f t="shared" si="28"/>
        <v/>
      </c>
      <c r="M494">
        <v>5</v>
      </c>
      <c r="N494" t="str">
        <f t="shared" si="29"/>
        <v>يوجد رصيد كافى</v>
      </c>
    </row>
    <row r="495" spans="7:14" x14ac:dyDescent="0.3">
      <c r="G495" t="str">
        <f>IFERROR(IF(SUMIF(المشتريات!C:C, 'حركة المخزن'!B495, المشتريات!F:F)=0,"",SUMIF(المشتريات!C:C, 'حركة المخزن'!B495, المشتريات!F:F)),"")</f>
        <v/>
      </c>
      <c r="H495" s="10" t="str">
        <f>IFERROR(IF(SUMIF(المشتريات!C:C, 'حركة المخزن'!B495, المشتريات!I:I)=0,"",SUMIF(المشتريات!C:C, 'حركة المخزن'!B495, المشتريات!I:I)),"")</f>
        <v/>
      </c>
      <c r="I495" s="10" t="str">
        <f>IFERROR(IF(SUMIF('تحليل مبيعات'!C:C, 'حركة المخزن'!B495, 'تحليل مبيعات'!H:H)=0,"",SUMIF('تحليل مبيعات'!C:C, 'حركة المخزن'!B495, 'تحليل مبيعات'!H:H)),"")</f>
        <v/>
      </c>
      <c r="J495" s="10" t="str">
        <f>IFERROR(IF(SUMIF('تحليل مبيعات'!C:C, 'حركة المخزن'!B495, 'تحليل مبيعات'!L:L)=0,"",SUMIF('تحليل مبيعات'!C:C, 'حركة المخزن'!B495, 'تحليل مبيعات'!L:L)),"")</f>
        <v/>
      </c>
      <c r="K495" s="10" t="str">
        <f t="shared" si="27"/>
        <v/>
      </c>
      <c r="L495" s="10" t="str">
        <f t="shared" si="28"/>
        <v/>
      </c>
      <c r="M495">
        <v>5</v>
      </c>
      <c r="N495" t="str">
        <f t="shared" si="29"/>
        <v>يوجد رصيد كافى</v>
      </c>
    </row>
    <row r="496" spans="7:14" x14ac:dyDescent="0.3">
      <c r="G496" t="str">
        <f>IFERROR(IF(SUMIF(المشتريات!C:C, 'حركة المخزن'!B496, المشتريات!F:F)=0,"",SUMIF(المشتريات!C:C, 'حركة المخزن'!B496, المشتريات!F:F)),"")</f>
        <v/>
      </c>
      <c r="H496" s="10" t="str">
        <f>IFERROR(IF(SUMIF(المشتريات!C:C, 'حركة المخزن'!B496, المشتريات!I:I)=0,"",SUMIF(المشتريات!C:C, 'حركة المخزن'!B496, المشتريات!I:I)),"")</f>
        <v/>
      </c>
      <c r="I496" s="10" t="str">
        <f>IFERROR(IF(SUMIF('تحليل مبيعات'!C:C, 'حركة المخزن'!B496, 'تحليل مبيعات'!H:H)=0,"",SUMIF('تحليل مبيعات'!C:C, 'حركة المخزن'!B496, 'تحليل مبيعات'!H:H)),"")</f>
        <v/>
      </c>
      <c r="J496" s="10" t="str">
        <f>IFERROR(IF(SUMIF('تحليل مبيعات'!C:C, 'حركة المخزن'!B496, 'تحليل مبيعات'!L:L)=0,"",SUMIF('تحليل مبيعات'!C:C, 'حركة المخزن'!B496, 'تحليل مبيعات'!L:L)),"")</f>
        <v/>
      </c>
      <c r="K496" s="10" t="str">
        <f t="shared" si="27"/>
        <v/>
      </c>
      <c r="L496" s="10" t="str">
        <f t="shared" si="28"/>
        <v/>
      </c>
      <c r="M496">
        <v>5</v>
      </c>
      <c r="N496" t="str">
        <f t="shared" si="29"/>
        <v>يوجد رصيد كافى</v>
      </c>
    </row>
    <row r="497" spans="7:14" x14ac:dyDescent="0.3">
      <c r="G497" t="str">
        <f>IFERROR(IF(SUMIF(المشتريات!C:C, 'حركة المخزن'!B497, المشتريات!F:F)=0,"",SUMIF(المشتريات!C:C, 'حركة المخزن'!B497, المشتريات!F:F)),"")</f>
        <v/>
      </c>
      <c r="H497" s="10" t="str">
        <f>IFERROR(IF(SUMIF(المشتريات!C:C, 'حركة المخزن'!B497, المشتريات!I:I)=0,"",SUMIF(المشتريات!C:C, 'حركة المخزن'!B497, المشتريات!I:I)),"")</f>
        <v/>
      </c>
      <c r="I497" s="10" t="str">
        <f>IFERROR(IF(SUMIF('تحليل مبيعات'!C:C, 'حركة المخزن'!B497, 'تحليل مبيعات'!H:H)=0,"",SUMIF('تحليل مبيعات'!C:C, 'حركة المخزن'!B497, 'تحليل مبيعات'!H:H)),"")</f>
        <v/>
      </c>
      <c r="J497" s="10" t="str">
        <f>IFERROR(IF(SUMIF('تحليل مبيعات'!C:C, 'حركة المخزن'!B497, 'تحليل مبيعات'!L:L)=0,"",SUMIF('تحليل مبيعات'!C:C, 'حركة المخزن'!B497, 'تحليل مبيعات'!L:L)),"")</f>
        <v/>
      </c>
      <c r="K497" s="10" t="str">
        <f t="shared" si="27"/>
        <v/>
      </c>
      <c r="L497" s="10" t="str">
        <f t="shared" si="28"/>
        <v/>
      </c>
      <c r="M497">
        <v>5</v>
      </c>
      <c r="N497" t="str">
        <f t="shared" si="29"/>
        <v>يوجد رصيد كافى</v>
      </c>
    </row>
    <row r="498" spans="7:14" x14ac:dyDescent="0.3">
      <c r="G498" t="str">
        <f>IFERROR(IF(SUMIF(المشتريات!C:C, 'حركة المخزن'!B498, المشتريات!F:F)=0,"",SUMIF(المشتريات!C:C, 'حركة المخزن'!B498, المشتريات!F:F)),"")</f>
        <v/>
      </c>
      <c r="H498" s="10" t="str">
        <f>IFERROR(IF(SUMIF(المشتريات!C:C, 'حركة المخزن'!B498, المشتريات!I:I)=0,"",SUMIF(المشتريات!C:C, 'حركة المخزن'!B498, المشتريات!I:I)),"")</f>
        <v/>
      </c>
      <c r="I498" s="10" t="str">
        <f>IFERROR(IF(SUMIF('تحليل مبيعات'!C:C, 'حركة المخزن'!B498, 'تحليل مبيعات'!H:H)=0,"",SUMIF('تحليل مبيعات'!C:C, 'حركة المخزن'!B498, 'تحليل مبيعات'!H:H)),"")</f>
        <v/>
      </c>
      <c r="J498" s="10" t="str">
        <f>IFERROR(IF(SUMIF('تحليل مبيعات'!C:C, 'حركة المخزن'!B498, 'تحليل مبيعات'!L:L)=0,"",SUMIF('تحليل مبيعات'!C:C, 'حركة المخزن'!B498, 'تحليل مبيعات'!L:L)),"")</f>
        <v/>
      </c>
      <c r="K498" s="10" t="str">
        <f t="shared" si="27"/>
        <v/>
      </c>
      <c r="L498" s="10" t="str">
        <f t="shared" si="28"/>
        <v/>
      </c>
      <c r="M498">
        <v>5</v>
      </c>
      <c r="N498" t="str">
        <f t="shared" si="29"/>
        <v>يوجد رصيد كافى</v>
      </c>
    </row>
    <row r="499" spans="7:14" x14ac:dyDescent="0.3">
      <c r="G499" t="str">
        <f>IFERROR(IF(SUMIF(المشتريات!C:C, 'حركة المخزن'!B499, المشتريات!F:F)=0,"",SUMIF(المشتريات!C:C, 'حركة المخزن'!B499, المشتريات!F:F)),"")</f>
        <v/>
      </c>
      <c r="H499" s="10" t="str">
        <f>IFERROR(IF(SUMIF(المشتريات!C:C, 'حركة المخزن'!B499, المشتريات!I:I)=0,"",SUMIF(المشتريات!C:C, 'حركة المخزن'!B499, المشتريات!I:I)),"")</f>
        <v/>
      </c>
      <c r="I499" s="10" t="str">
        <f>IFERROR(IF(SUMIF('تحليل مبيعات'!C:C, 'حركة المخزن'!B499, 'تحليل مبيعات'!H:H)=0,"",SUMIF('تحليل مبيعات'!C:C, 'حركة المخزن'!B499, 'تحليل مبيعات'!H:H)),"")</f>
        <v/>
      </c>
      <c r="J499" s="10" t="str">
        <f>IFERROR(IF(SUMIF('تحليل مبيعات'!C:C, 'حركة المخزن'!B499, 'تحليل مبيعات'!L:L)=0,"",SUMIF('تحليل مبيعات'!C:C, 'حركة المخزن'!B499, 'تحليل مبيعات'!L:L)),"")</f>
        <v/>
      </c>
      <c r="K499" s="10" t="str">
        <f t="shared" si="27"/>
        <v/>
      </c>
      <c r="L499" s="10" t="str">
        <f t="shared" si="28"/>
        <v/>
      </c>
      <c r="M499">
        <v>5</v>
      </c>
      <c r="N499" t="str">
        <f t="shared" si="29"/>
        <v>يوجد رصيد كافى</v>
      </c>
    </row>
    <row r="500" spans="7:14" x14ac:dyDescent="0.3">
      <c r="G500" t="str">
        <f>IFERROR(IF(SUMIF(المشتريات!C:C, 'حركة المخزن'!B500, المشتريات!F:F)=0,"",SUMIF(المشتريات!C:C, 'حركة المخزن'!B500, المشتريات!F:F)),"")</f>
        <v/>
      </c>
      <c r="H500" s="10" t="str">
        <f>IFERROR(IF(SUMIF(المشتريات!C:C, 'حركة المخزن'!B500, المشتريات!I:I)=0,"",SUMIF(المشتريات!C:C, 'حركة المخزن'!B500, المشتريات!I:I)),"")</f>
        <v/>
      </c>
      <c r="I500" s="10" t="str">
        <f>IFERROR(IF(SUMIF('تحليل مبيعات'!C:C, 'حركة المخزن'!B500, 'تحليل مبيعات'!H:H)=0,"",SUMIF('تحليل مبيعات'!C:C, 'حركة المخزن'!B500, 'تحليل مبيعات'!H:H)),"")</f>
        <v/>
      </c>
      <c r="J500" s="10" t="str">
        <f>IFERROR(IF(SUMIF('تحليل مبيعات'!C:C, 'حركة المخزن'!B500, 'تحليل مبيعات'!L:L)=0,"",SUMIF('تحليل مبيعات'!C:C, 'حركة المخزن'!B500, 'تحليل مبيعات'!L:L)),"")</f>
        <v/>
      </c>
      <c r="K500" s="10" t="str">
        <f t="shared" si="27"/>
        <v/>
      </c>
      <c r="L500" s="10" t="str">
        <f t="shared" si="28"/>
        <v/>
      </c>
      <c r="M500">
        <v>5</v>
      </c>
      <c r="N500" t="str">
        <f t="shared" si="29"/>
        <v>يوجد رصيد كافى</v>
      </c>
    </row>
    <row r="501" spans="7:14" x14ac:dyDescent="0.3">
      <c r="G501" t="str">
        <f>IFERROR(IF(SUMIF(المشتريات!C:C, 'حركة المخزن'!B501, المشتريات!F:F)=0,"",SUMIF(المشتريات!C:C, 'حركة المخزن'!B501, المشتريات!F:F)),"")</f>
        <v/>
      </c>
      <c r="H501" s="10" t="str">
        <f>IFERROR(IF(SUMIF(المشتريات!C:C, 'حركة المخزن'!B501, المشتريات!I:I)=0,"",SUMIF(المشتريات!C:C, 'حركة المخزن'!B501, المشتريات!I:I)),"")</f>
        <v/>
      </c>
      <c r="I501" s="10" t="str">
        <f>IFERROR(IF(SUMIF('تحليل مبيعات'!C:C, 'حركة المخزن'!B501, 'تحليل مبيعات'!H:H)=0,"",SUMIF('تحليل مبيعات'!C:C, 'حركة المخزن'!B501, 'تحليل مبيعات'!H:H)),"")</f>
        <v/>
      </c>
      <c r="J501" s="10" t="str">
        <f>IFERROR(IF(SUMIF('تحليل مبيعات'!C:C, 'حركة المخزن'!B501, 'تحليل مبيعات'!L:L)=0,"",SUMIF('تحليل مبيعات'!C:C, 'حركة المخزن'!B501, 'تحليل مبيعات'!L:L)),"")</f>
        <v/>
      </c>
      <c r="K501" s="10" t="str">
        <f t="shared" si="27"/>
        <v/>
      </c>
      <c r="L501" s="10" t="str">
        <f t="shared" si="28"/>
        <v/>
      </c>
      <c r="M501">
        <v>5</v>
      </c>
      <c r="N501" t="str">
        <f t="shared" si="29"/>
        <v>يوجد رصيد كافى</v>
      </c>
    </row>
    <row r="502" spans="7:14" x14ac:dyDescent="0.3">
      <c r="G502" t="str">
        <f>IFERROR(IF(SUMIF(المشتريات!C:C, 'حركة المخزن'!B502, المشتريات!F:F)=0,"",SUMIF(المشتريات!C:C, 'حركة المخزن'!B502, المشتريات!F:F)),"")</f>
        <v/>
      </c>
      <c r="H502" s="10" t="str">
        <f>IFERROR(IF(SUMIF(المشتريات!C:C, 'حركة المخزن'!B502, المشتريات!I:I)=0,"",SUMIF(المشتريات!C:C, 'حركة المخزن'!B502, المشتريات!I:I)),"")</f>
        <v/>
      </c>
      <c r="I502" s="10" t="str">
        <f>IFERROR(IF(SUMIF('تحليل مبيعات'!C:C, 'حركة المخزن'!B502, 'تحليل مبيعات'!H:H)=0,"",SUMIF('تحليل مبيعات'!C:C, 'حركة المخزن'!B502, 'تحليل مبيعات'!H:H)),"")</f>
        <v/>
      </c>
      <c r="J502" s="10" t="str">
        <f>IFERROR(IF(SUMIF('تحليل مبيعات'!C:C, 'حركة المخزن'!B502, 'تحليل مبيعات'!L:L)=0,"",SUMIF('تحليل مبيعات'!C:C, 'حركة المخزن'!B502, 'تحليل مبيعات'!L:L)),"")</f>
        <v/>
      </c>
      <c r="K502" s="10" t="str">
        <f t="shared" si="27"/>
        <v/>
      </c>
      <c r="L502" s="10" t="str">
        <f t="shared" si="28"/>
        <v/>
      </c>
      <c r="M502">
        <v>5</v>
      </c>
      <c r="N502" t="str">
        <f t="shared" si="29"/>
        <v>يوجد رصيد كافى</v>
      </c>
    </row>
    <row r="503" spans="7:14" x14ac:dyDescent="0.3">
      <c r="G503" t="str">
        <f>IFERROR(IF(SUMIF(المشتريات!C:C, 'حركة المخزن'!B503, المشتريات!F:F)=0,"",SUMIF(المشتريات!C:C, 'حركة المخزن'!B503, المشتريات!F:F)),"")</f>
        <v/>
      </c>
      <c r="H503" s="10" t="str">
        <f>IFERROR(IF(SUMIF(المشتريات!C:C, 'حركة المخزن'!B503, المشتريات!I:I)=0,"",SUMIF(المشتريات!C:C, 'حركة المخزن'!B503, المشتريات!I:I)),"")</f>
        <v/>
      </c>
      <c r="I503" s="10" t="str">
        <f>IFERROR(IF(SUMIF('تحليل مبيعات'!C:C, 'حركة المخزن'!B503, 'تحليل مبيعات'!H:H)=0,"",SUMIF('تحليل مبيعات'!C:C, 'حركة المخزن'!B503, 'تحليل مبيعات'!H:H)),"")</f>
        <v/>
      </c>
      <c r="J503" s="10" t="str">
        <f>IFERROR(IF(SUMIF('تحليل مبيعات'!C:C, 'حركة المخزن'!B503, 'تحليل مبيعات'!L:L)=0,"",SUMIF('تحليل مبيعات'!C:C, 'حركة المخزن'!B503, 'تحليل مبيعات'!L:L)),"")</f>
        <v/>
      </c>
      <c r="K503" s="10" t="str">
        <f t="shared" si="27"/>
        <v/>
      </c>
      <c r="L503" s="10" t="str">
        <f t="shared" si="28"/>
        <v/>
      </c>
      <c r="M503">
        <v>5</v>
      </c>
      <c r="N503" t="str">
        <f t="shared" si="29"/>
        <v>يوجد رصيد كافى</v>
      </c>
    </row>
    <row r="504" spans="7:14" x14ac:dyDescent="0.3">
      <c r="G504" t="str">
        <f>IFERROR(IF(SUMIF(المشتريات!C:C, 'حركة المخزن'!B504, المشتريات!F:F)=0,"",SUMIF(المشتريات!C:C, 'حركة المخزن'!B504, المشتريات!F:F)),"")</f>
        <v/>
      </c>
      <c r="H504" s="10" t="str">
        <f>IFERROR(IF(SUMIF(المشتريات!C:C, 'حركة المخزن'!B504, المشتريات!I:I)=0,"",SUMIF(المشتريات!C:C, 'حركة المخزن'!B504, المشتريات!I:I)),"")</f>
        <v/>
      </c>
      <c r="I504" s="10" t="str">
        <f>IFERROR(IF(SUMIF('تحليل مبيعات'!C:C, 'حركة المخزن'!B504, 'تحليل مبيعات'!H:H)=0,"",SUMIF('تحليل مبيعات'!C:C, 'حركة المخزن'!B504, 'تحليل مبيعات'!H:H)),"")</f>
        <v/>
      </c>
      <c r="J504" s="10" t="str">
        <f>IFERROR(IF(SUMIF('تحليل مبيعات'!C:C, 'حركة المخزن'!B504, 'تحليل مبيعات'!L:L)=0,"",SUMIF('تحليل مبيعات'!C:C, 'حركة المخزن'!B504, 'تحليل مبيعات'!L:L)),"")</f>
        <v/>
      </c>
      <c r="K504" s="10" t="str">
        <f t="shared" si="27"/>
        <v/>
      </c>
      <c r="L504" s="10" t="str">
        <f t="shared" si="28"/>
        <v/>
      </c>
      <c r="M504">
        <v>5</v>
      </c>
      <c r="N504" t="str">
        <f t="shared" si="29"/>
        <v>يوجد رصيد كافى</v>
      </c>
    </row>
    <row r="505" spans="7:14" x14ac:dyDescent="0.3">
      <c r="G505" t="str">
        <f>IFERROR(IF(SUMIF(المشتريات!C:C, 'حركة المخزن'!B505, المشتريات!F:F)=0,"",SUMIF(المشتريات!C:C, 'حركة المخزن'!B505, المشتريات!F:F)),"")</f>
        <v/>
      </c>
      <c r="H505" s="10" t="str">
        <f>IFERROR(IF(SUMIF(المشتريات!C:C, 'حركة المخزن'!B505, المشتريات!I:I)=0,"",SUMIF(المشتريات!C:C, 'حركة المخزن'!B505, المشتريات!I:I)),"")</f>
        <v/>
      </c>
      <c r="I505" s="10" t="str">
        <f>IFERROR(IF(SUMIF('تحليل مبيعات'!C:C, 'حركة المخزن'!B505, 'تحليل مبيعات'!H:H)=0,"",SUMIF('تحليل مبيعات'!C:C, 'حركة المخزن'!B505, 'تحليل مبيعات'!H:H)),"")</f>
        <v/>
      </c>
      <c r="J505" s="10" t="str">
        <f>IFERROR(IF(SUMIF('تحليل مبيعات'!C:C, 'حركة المخزن'!B505, 'تحليل مبيعات'!L:L)=0,"",SUMIF('تحليل مبيعات'!C:C, 'حركة المخزن'!B505, 'تحليل مبيعات'!L:L)),"")</f>
        <v/>
      </c>
      <c r="K505" s="10" t="str">
        <f t="shared" si="27"/>
        <v/>
      </c>
      <c r="L505" s="10" t="str">
        <f t="shared" si="28"/>
        <v/>
      </c>
      <c r="M505">
        <v>5</v>
      </c>
      <c r="N505" t="str">
        <f t="shared" si="29"/>
        <v>يوجد رصيد كافى</v>
      </c>
    </row>
    <row r="506" spans="7:14" x14ac:dyDescent="0.3">
      <c r="G506" t="str">
        <f>IFERROR(IF(SUMIF(المشتريات!C:C, 'حركة المخزن'!B506, المشتريات!F:F)=0,"",SUMIF(المشتريات!C:C, 'حركة المخزن'!B506, المشتريات!F:F)),"")</f>
        <v/>
      </c>
      <c r="H506" s="10" t="str">
        <f>IFERROR(IF(SUMIF(المشتريات!C:C, 'حركة المخزن'!B506, المشتريات!I:I)=0,"",SUMIF(المشتريات!C:C, 'حركة المخزن'!B506, المشتريات!I:I)),"")</f>
        <v/>
      </c>
      <c r="I506" s="10" t="str">
        <f>IFERROR(IF(SUMIF('تحليل مبيعات'!C:C, 'حركة المخزن'!B506, 'تحليل مبيعات'!H:H)=0,"",SUMIF('تحليل مبيعات'!C:C, 'حركة المخزن'!B506, 'تحليل مبيعات'!H:H)),"")</f>
        <v/>
      </c>
      <c r="J506" s="10" t="str">
        <f>IFERROR(IF(SUMIF('تحليل مبيعات'!C:C, 'حركة المخزن'!B506, 'تحليل مبيعات'!L:L)=0,"",SUMIF('تحليل مبيعات'!C:C, 'حركة المخزن'!B506, 'تحليل مبيعات'!L:L)),"")</f>
        <v/>
      </c>
      <c r="K506" s="10" t="str">
        <f t="shared" si="27"/>
        <v/>
      </c>
      <c r="L506" s="10" t="str">
        <f t="shared" si="28"/>
        <v/>
      </c>
      <c r="M506">
        <v>5</v>
      </c>
      <c r="N506" t="str">
        <f t="shared" si="29"/>
        <v>يوجد رصيد كافى</v>
      </c>
    </row>
    <row r="507" spans="7:14" x14ac:dyDescent="0.3">
      <c r="G507" t="str">
        <f>IFERROR(IF(SUMIF(المشتريات!C:C, 'حركة المخزن'!B507, المشتريات!F:F)=0,"",SUMIF(المشتريات!C:C, 'حركة المخزن'!B507, المشتريات!F:F)),"")</f>
        <v/>
      </c>
      <c r="H507" s="10" t="str">
        <f>IFERROR(IF(SUMIF(المشتريات!C:C, 'حركة المخزن'!B507, المشتريات!I:I)=0,"",SUMIF(المشتريات!C:C, 'حركة المخزن'!B507, المشتريات!I:I)),"")</f>
        <v/>
      </c>
      <c r="I507" s="10" t="str">
        <f>IFERROR(IF(SUMIF('تحليل مبيعات'!C:C, 'حركة المخزن'!B507, 'تحليل مبيعات'!H:H)=0,"",SUMIF('تحليل مبيعات'!C:C, 'حركة المخزن'!B507, 'تحليل مبيعات'!H:H)),"")</f>
        <v/>
      </c>
      <c r="J507" s="10" t="str">
        <f>IFERROR(IF(SUMIF('تحليل مبيعات'!C:C, 'حركة المخزن'!B507, 'تحليل مبيعات'!L:L)=0,"",SUMIF('تحليل مبيعات'!C:C, 'حركة المخزن'!B507, 'تحليل مبيعات'!L:L)),"")</f>
        <v/>
      </c>
      <c r="K507" s="10" t="str">
        <f t="shared" si="27"/>
        <v/>
      </c>
      <c r="L507" s="10" t="str">
        <f t="shared" si="28"/>
        <v/>
      </c>
      <c r="M507">
        <v>5</v>
      </c>
      <c r="N507" t="str">
        <f t="shared" si="29"/>
        <v>يوجد رصيد كافى</v>
      </c>
    </row>
    <row r="508" spans="7:14" x14ac:dyDescent="0.3">
      <c r="G508" t="str">
        <f>IFERROR(IF(SUMIF(المشتريات!C:C, 'حركة المخزن'!B508, المشتريات!F:F)=0,"",SUMIF(المشتريات!C:C, 'حركة المخزن'!B508, المشتريات!F:F)),"")</f>
        <v/>
      </c>
      <c r="H508" s="10" t="str">
        <f>IFERROR(IF(SUMIF(المشتريات!C:C, 'حركة المخزن'!B508, المشتريات!I:I)=0,"",SUMIF(المشتريات!C:C, 'حركة المخزن'!B508, المشتريات!I:I)),"")</f>
        <v/>
      </c>
      <c r="I508" s="10" t="str">
        <f>IFERROR(IF(SUMIF('تحليل مبيعات'!C:C, 'حركة المخزن'!B508, 'تحليل مبيعات'!H:H)=0,"",SUMIF('تحليل مبيعات'!C:C, 'حركة المخزن'!B508, 'تحليل مبيعات'!H:H)),"")</f>
        <v/>
      </c>
      <c r="J508" s="10" t="str">
        <f>IFERROR(IF(SUMIF('تحليل مبيعات'!C:C, 'حركة المخزن'!B508, 'تحليل مبيعات'!L:L)=0,"",SUMIF('تحليل مبيعات'!C:C, 'حركة المخزن'!B508, 'تحليل مبيعات'!L:L)),"")</f>
        <v/>
      </c>
      <c r="K508" s="10" t="str">
        <f t="shared" si="27"/>
        <v/>
      </c>
      <c r="L508" s="10" t="str">
        <f t="shared" si="28"/>
        <v/>
      </c>
      <c r="M508">
        <v>5</v>
      </c>
      <c r="N508" t="str">
        <f t="shared" si="29"/>
        <v>يوجد رصيد كافى</v>
      </c>
    </row>
    <row r="509" spans="7:14" x14ac:dyDescent="0.3">
      <c r="G509" t="str">
        <f>IFERROR(IF(SUMIF(المشتريات!C:C, 'حركة المخزن'!B509, المشتريات!F:F)=0,"",SUMIF(المشتريات!C:C, 'حركة المخزن'!B509, المشتريات!F:F)),"")</f>
        <v/>
      </c>
      <c r="H509" s="10" t="str">
        <f>IFERROR(IF(SUMIF(المشتريات!C:C, 'حركة المخزن'!B509, المشتريات!I:I)=0,"",SUMIF(المشتريات!C:C, 'حركة المخزن'!B509, المشتريات!I:I)),"")</f>
        <v/>
      </c>
      <c r="I509" s="10" t="str">
        <f>IFERROR(IF(SUMIF('تحليل مبيعات'!C:C, 'حركة المخزن'!B509, 'تحليل مبيعات'!H:H)=0,"",SUMIF('تحليل مبيعات'!C:C, 'حركة المخزن'!B509, 'تحليل مبيعات'!H:H)),"")</f>
        <v/>
      </c>
      <c r="J509" s="10" t="str">
        <f>IFERROR(IF(SUMIF('تحليل مبيعات'!C:C, 'حركة المخزن'!B509, 'تحليل مبيعات'!L:L)=0,"",SUMIF('تحليل مبيعات'!C:C, 'حركة المخزن'!B509, 'تحليل مبيعات'!L:L)),"")</f>
        <v/>
      </c>
      <c r="K509" s="10" t="str">
        <f t="shared" si="27"/>
        <v/>
      </c>
      <c r="L509" s="10" t="str">
        <f t="shared" si="28"/>
        <v/>
      </c>
      <c r="M509">
        <v>5</v>
      </c>
      <c r="N509" t="str">
        <f t="shared" si="29"/>
        <v>يوجد رصيد كافى</v>
      </c>
    </row>
    <row r="510" spans="7:14" x14ac:dyDescent="0.3">
      <c r="G510" t="str">
        <f>IFERROR(IF(SUMIF(المشتريات!C:C, 'حركة المخزن'!B510, المشتريات!F:F)=0,"",SUMIF(المشتريات!C:C, 'حركة المخزن'!B510, المشتريات!F:F)),"")</f>
        <v/>
      </c>
      <c r="H510" s="10" t="str">
        <f>IFERROR(IF(SUMIF(المشتريات!C:C, 'حركة المخزن'!B510, المشتريات!I:I)=0,"",SUMIF(المشتريات!C:C, 'حركة المخزن'!B510, المشتريات!I:I)),"")</f>
        <v/>
      </c>
      <c r="I510" s="10" t="str">
        <f>IFERROR(IF(SUMIF('تحليل مبيعات'!C:C, 'حركة المخزن'!B510, 'تحليل مبيعات'!H:H)=0,"",SUMIF('تحليل مبيعات'!C:C, 'حركة المخزن'!B510, 'تحليل مبيعات'!H:H)),"")</f>
        <v/>
      </c>
      <c r="J510" s="10" t="str">
        <f>IFERROR(IF(SUMIF('تحليل مبيعات'!C:C, 'حركة المخزن'!B510, 'تحليل مبيعات'!L:L)=0,"",SUMIF('تحليل مبيعات'!C:C, 'حركة المخزن'!B510, 'تحليل مبيعات'!L:L)),"")</f>
        <v/>
      </c>
      <c r="K510" s="10" t="str">
        <f t="shared" si="27"/>
        <v/>
      </c>
      <c r="L510" s="10" t="str">
        <f t="shared" si="28"/>
        <v/>
      </c>
      <c r="M510">
        <v>5</v>
      </c>
      <c r="N510" t="str">
        <f t="shared" si="29"/>
        <v>يوجد رصيد كافى</v>
      </c>
    </row>
    <row r="511" spans="7:14" x14ac:dyDescent="0.3">
      <c r="G511" t="str">
        <f>IFERROR(IF(SUMIF(المشتريات!C:C, 'حركة المخزن'!B511, المشتريات!F:F)=0,"",SUMIF(المشتريات!C:C, 'حركة المخزن'!B511, المشتريات!F:F)),"")</f>
        <v/>
      </c>
      <c r="H511" s="10" t="str">
        <f>IFERROR(IF(SUMIF(المشتريات!C:C, 'حركة المخزن'!B511, المشتريات!I:I)=0,"",SUMIF(المشتريات!C:C, 'حركة المخزن'!B511, المشتريات!I:I)),"")</f>
        <v/>
      </c>
      <c r="I511" s="10" t="str">
        <f>IFERROR(IF(SUMIF('تحليل مبيعات'!C:C, 'حركة المخزن'!B511, 'تحليل مبيعات'!H:H)=0,"",SUMIF('تحليل مبيعات'!C:C, 'حركة المخزن'!B511, 'تحليل مبيعات'!H:H)),"")</f>
        <v/>
      </c>
      <c r="J511" s="10" t="str">
        <f>IFERROR(IF(SUMIF('تحليل مبيعات'!C:C, 'حركة المخزن'!B511, 'تحليل مبيعات'!L:L)=0,"",SUMIF('تحليل مبيعات'!C:C, 'حركة المخزن'!B511, 'تحليل مبيعات'!L:L)),"")</f>
        <v/>
      </c>
      <c r="K511" s="10" t="str">
        <f t="shared" si="27"/>
        <v/>
      </c>
      <c r="L511" s="10" t="str">
        <f t="shared" si="28"/>
        <v/>
      </c>
      <c r="M511">
        <v>5</v>
      </c>
      <c r="N511" t="str">
        <f t="shared" si="29"/>
        <v>يوجد رصيد كافى</v>
      </c>
    </row>
    <row r="512" spans="7:14" x14ac:dyDescent="0.3">
      <c r="G512" t="str">
        <f>IFERROR(IF(SUMIF(المشتريات!C:C, 'حركة المخزن'!B512, المشتريات!F:F)=0,"",SUMIF(المشتريات!C:C, 'حركة المخزن'!B512, المشتريات!F:F)),"")</f>
        <v/>
      </c>
      <c r="H512" s="10" t="str">
        <f>IFERROR(IF(SUMIF(المشتريات!C:C, 'حركة المخزن'!B512, المشتريات!I:I)=0,"",SUMIF(المشتريات!C:C, 'حركة المخزن'!B512, المشتريات!I:I)),"")</f>
        <v/>
      </c>
      <c r="I512" s="10" t="str">
        <f>IFERROR(IF(SUMIF('تحليل مبيعات'!C:C, 'حركة المخزن'!B512, 'تحليل مبيعات'!H:H)=0,"",SUMIF('تحليل مبيعات'!C:C, 'حركة المخزن'!B512, 'تحليل مبيعات'!H:H)),"")</f>
        <v/>
      </c>
      <c r="J512" s="10" t="str">
        <f>IFERROR(IF(SUMIF('تحليل مبيعات'!C:C, 'حركة المخزن'!B512, 'تحليل مبيعات'!L:L)=0,"",SUMIF('تحليل مبيعات'!C:C, 'حركة المخزن'!B512, 'تحليل مبيعات'!L:L)),"")</f>
        <v/>
      </c>
      <c r="K512" s="10" t="str">
        <f t="shared" si="27"/>
        <v/>
      </c>
      <c r="L512" s="10" t="str">
        <f t="shared" si="28"/>
        <v/>
      </c>
      <c r="M512">
        <v>5</v>
      </c>
      <c r="N512" t="str">
        <f t="shared" si="29"/>
        <v>يوجد رصيد كافى</v>
      </c>
    </row>
    <row r="513" spans="7:14" x14ac:dyDescent="0.3">
      <c r="G513" t="str">
        <f>IFERROR(IF(SUMIF(المشتريات!C:C, 'حركة المخزن'!B513, المشتريات!F:F)=0,"",SUMIF(المشتريات!C:C, 'حركة المخزن'!B513, المشتريات!F:F)),"")</f>
        <v/>
      </c>
      <c r="H513" s="10" t="str">
        <f>IFERROR(IF(SUMIF(المشتريات!C:C, 'حركة المخزن'!B513, المشتريات!I:I)=0,"",SUMIF(المشتريات!C:C, 'حركة المخزن'!B513, المشتريات!I:I)),"")</f>
        <v/>
      </c>
      <c r="I513" s="10" t="str">
        <f>IFERROR(IF(SUMIF('تحليل مبيعات'!C:C, 'حركة المخزن'!B513, 'تحليل مبيعات'!H:H)=0,"",SUMIF('تحليل مبيعات'!C:C, 'حركة المخزن'!B513, 'تحليل مبيعات'!H:H)),"")</f>
        <v/>
      </c>
      <c r="J513" s="10" t="str">
        <f>IFERROR(IF(SUMIF('تحليل مبيعات'!C:C, 'حركة المخزن'!B513, 'تحليل مبيعات'!L:L)=0,"",SUMIF('تحليل مبيعات'!C:C, 'حركة المخزن'!B513, 'تحليل مبيعات'!L:L)),"")</f>
        <v/>
      </c>
      <c r="K513" s="10" t="str">
        <f t="shared" si="27"/>
        <v/>
      </c>
      <c r="L513" s="10" t="str">
        <f t="shared" si="28"/>
        <v/>
      </c>
      <c r="M513">
        <v>5</v>
      </c>
      <c r="N513" t="str">
        <f t="shared" si="29"/>
        <v>يوجد رصيد كافى</v>
      </c>
    </row>
    <row r="514" spans="7:14" x14ac:dyDescent="0.3">
      <c r="G514" t="str">
        <f>IFERROR(IF(SUMIF(المشتريات!C:C, 'حركة المخزن'!B514, المشتريات!F:F)=0,"",SUMIF(المشتريات!C:C, 'حركة المخزن'!B514, المشتريات!F:F)),"")</f>
        <v/>
      </c>
      <c r="H514" s="10" t="str">
        <f>IFERROR(IF(SUMIF(المشتريات!C:C, 'حركة المخزن'!B514, المشتريات!I:I)=0,"",SUMIF(المشتريات!C:C, 'حركة المخزن'!B514, المشتريات!I:I)),"")</f>
        <v/>
      </c>
      <c r="I514" s="10" t="str">
        <f>IFERROR(IF(SUMIF('تحليل مبيعات'!C:C, 'حركة المخزن'!B514, 'تحليل مبيعات'!H:H)=0,"",SUMIF('تحليل مبيعات'!C:C, 'حركة المخزن'!B514, 'تحليل مبيعات'!H:H)),"")</f>
        <v/>
      </c>
      <c r="J514" s="10" t="str">
        <f>IFERROR(IF(SUMIF('تحليل مبيعات'!C:C, 'حركة المخزن'!B514, 'تحليل مبيعات'!L:L)=0,"",SUMIF('تحليل مبيعات'!C:C, 'حركة المخزن'!B514, 'تحليل مبيعات'!L:L)),"")</f>
        <v/>
      </c>
      <c r="K514" s="10" t="str">
        <f t="shared" si="27"/>
        <v/>
      </c>
      <c r="L514" s="10" t="str">
        <f t="shared" si="28"/>
        <v/>
      </c>
      <c r="M514">
        <v>5</v>
      </c>
      <c r="N514" t="str">
        <f t="shared" si="29"/>
        <v>يوجد رصيد كافى</v>
      </c>
    </row>
    <row r="515" spans="7:14" x14ac:dyDescent="0.3">
      <c r="G515" t="str">
        <f>IFERROR(IF(SUMIF(المشتريات!C:C, 'حركة المخزن'!B515, المشتريات!F:F)=0,"",SUMIF(المشتريات!C:C, 'حركة المخزن'!B515, المشتريات!F:F)),"")</f>
        <v/>
      </c>
      <c r="H515" s="10" t="str">
        <f>IFERROR(IF(SUMIF(المشتريات!C:C, 'حركة المخزن'!B515, المشتريات!I:I)=0,"",SUMIF(المشتريات!C:C, 'حركة المخزن'!B515, المشتريات!I:I)),"")</f>
        <v/>
      </c>
      <c r="I515" s="10" t="str">
        <f>IFERROR(IF(SUMIF('تحليل مبيعات'!C:C, 'حركة المخزن'!B515, 'تحليل مبيعات'!H:H)=0,"",SUMIF('تحليل مبيعات'!C:C, 'حركة المخزن'!B515, 'تحليل مبيعات'!H:H)),"")</f>
        <v/>
      </c>
      <c r="J515" s="10" t="str">
        <f>IFERROR(IF(SUMIF('تحليل مبيعات'!C:C, 'حركة المخزن'!B515, 'تحليل مبيعات'!L:L)=0,"",SUMIF('تحليل مبيعات'!C:C, 'حركة المخزن'!B515, 'تحليل مبيعات'!L:L)),"")</f>
        <v/>
      </c>
      <c r="K515" s="10" t="str">
        <f t="shared" si="27"/>
        <v/>
      </c>
      <c r="L515" s="10" t="str">
        <f t="shared" si="28"/>
        <v/>
      </c>
      <c r="M515">
        <v>5</v>
      </c>
      <c r="N515" t="str">
        <f t="shared" si="29"/>
        <v>يوجد رصيد كافى</v>
      </c>
    </row>
    <row r="516" spans="7:14" x14ac:dyDescent="0.3">
      <c r="G516" t="str">
        <f>IFERROR(IF(SUMIF(المشتريات!C:C, 'حركة المخزن'!B516, المشتريات!F:F)=0,"",SUMIF(المشتريات!C:C, 'حركة المخزن'!B516, المشتريات!F:F)),"")</f>
        <v/>
      </c>
      <c r="H516" s="10" t="str">
        <f>IFERROR(IF(SUMIF(المشتريات!C:C, 'حركة المخزن'!B516, المشتريات!I:I)=0,"",SUMIF(المشتريات!C:C, 'حركة المخزن'!B516, المشتريات!I:I)),"")</f>
        <v/>
      </c>
      <c r="I516" s="10" t="str">
        <f>IFERROR(IF(SUMIF('تحليل مبيعات'!C:C, 'حركة المخزن'!B516, 'تحليل مبيعات'!H:H)=0,"",SUMIF('تحليل مبيعات'!C:C, 'حركة المخزن'!B516, 'تحليل مبيعات'!H:H)),"")</f>
        <v/>
      </c>
      <c r="J516" s="10" t="str">
        <f>IFERROR(IF(SUMIF('تحليل مبيعات'!C:C, 'حركة المخزن'!B516, 'تحليل مبيعات'!L:L)=0,"",SUMIF('تحليل مبيعات'!C:C, 'حركة المخزن'!B516, 'تحليل مبيعات'!L:L)),"")</f>
        <v/>
      </c>
      <c r="K516" s="10" t="str">
        <f t="shared" si="27"/>
        <v/>
      </c>
      <c r="L516" s="10" t="str">
        <f t="shared" si="28"/>
        <v/>
      </c>
      <c r="M516">
        <v>5</v>
      </c>
      <c r="N516" t="str">
        <f t="shared" si="29"/>
        <v>يوجد رصيد كافى</v>
      </c>
    </row>
    <row r="517" spans="7:14" x14ac:dyDescent="0.3">
      <c r="G517" t="str">
        <f>IFERROR(IF(SUMIF(المشتريات!C:C, 'حركة المخزن'!B517, المشتريات!F:F)=0,"",SUMIF(المشتريات!C:C, 'حركة المخزن'!B517, المشتريات!F:F)),"")</f>
        <v/>
      </c>
      <c r="H517" s="10" t="str">
        <f>IFERROR(IF(SUMIF(المشتريات!C:C, 'حركة المخزن'!B517, المشتريات!I:I)=0,"",SUMIF(المشتريات!C:C, 'حركة المخزن'!B517, المشتريات!I:I)),"")</f>
        <v/>
      </c>
      <c r="I517" s="10" t="str">
        <f>IFERROR(IF(SUMIF('تحليل مبيعات'!C:C, 'حركة المخزن'!B517, 'تحليل مبيعات'!H:H)=0,"",SUMIF('تحليل مبيعات'!C:C, 'حركة المخزن'!B517, 'تحليل مبيعات'!H:H)),"")</f>
        <v/>
      </c>
      <c r="J517" s="10" t="str">
        <f>IFERROR(IF(SUMIF('تحليل مبيعات'!C:C, 'حركة المخزن'!B517, 'تحليل مبيعات'!L:L)=0,"",SUMIF('تحليل مبيعات'!C:C, 'حركة المخزن'!B517, 'تحليل مبيعات'!L:L)),"")</f>
        <v/>
      </c>
      <c r="K517" s="10" t="str">
        <f t="shared" si="27"/>
        <v/>
      </c>
      <c r="L517" s="10" t="str">
        <f t="shared" si="28"/>
        <v/>
      </c>
      <c r="M517">
        <v>5</v>
      </c>
      <c r="N517" t="str">
        <f t="shared" si="29"/>
        <v>يوجد رصيد كافى</v>
      </c>
    </row>
    <row r="518" spans="7:14" x14ac:dyDescent="0.3">
      <c r="G518" t="str">
        <f>IFERROR(IF(SUMIF(المشتريات!C:C, 'حركة المخزن'!B518, المشتريات!F:F)=0,"",SUMIF(المشتريات!C:C, 'حركة المخزن'!B518, المشتريات!F:F)),"")</f>
        <v/>
      </c>
      <c r="H518" s="10" t="str">
        <f>IFERROR(IF(SUMIF(المشتريات!C:C, 'حركة المخزن'!B518, المشتريات!I:I)=0,"",SUMIF(المشتريات!C:C, 'حركة المخزن'!B518, المشتريات!I:I)),"")</f>
        <v/>
      </c>
      <c r="I518" s="10" t="str">
        <f>IFERROR(IF(SUMIF('تحليل مبيعات'!C:C, 'حركة المخزن'!B518, 'تحليل مبيعات'!H:H)=0,"",SUMIF('تحليل مبيعات'!C:C, 'حركة المخزن'!B518, 'تحليل مبيعات'!H:H)),"")</f>
        <v/>
      </c>
      <c r="J518" s="10" t="str">
        <f>IFERROR(IF(SUMIF('تحليل مبيعات'!C:C, 'حركة المخزن'!B518, 'تحليل مبيعات'!L:L)=0,"",SUMIF('تحليل مبيعات'!C:C, 'حركة المخزن'!B518, 'تحليل مبيعات'!L:L)),"")</f>
        <v/>
      </c>
      <c r="K518" s="10" t="str">
        <f t="shared" si="27"/>
        <v/>
      </c>
      <c r="L518" s="10" t="str">
        <f t="shared" si="28"/>
        <v/>
      </c>
      <c r="M518">
        <v>5</v>
      </c>
      <c r="N518" t="str">
        <f t="shared" si="29"/>
        <v>يوجد رصيد كافى</v>
      </c>
    </row>
    <row r="519" spans="7:14" x14ac:dyDescent="0.3">
      <c r="G519" t="str">
        <f>IFERROR(IF(SUMIF(المشتريات!C:C, 'حركة المخزن'!B519, المشتريات!F:F)=0,"",SUMIF(المشتريات!C:C, 'حركة المخزن'!B519, المشتريات!F:F)),"")</f>
        <v/>
      </c>
      <c r="H519" s="10" t="str">
        <f>IFERROR(IF(SUMIF(المشتريات!C:C, 'حركة المخزن'!B519, المشتريات!I:I)=0,"",SUMIF(المشتريات!C:C, 'حركة المخزن'!B519, المشتريات!I:I)),"")</f>
        <v/>
      </c>
      <c r="I519" s="10" t="str">
        <f>IFERROR(IF(SUMIF('تحليل مبيعات'!C:C, 'حركة المخزن'!B519, 'تحليل مبيعات'!H:H)=0,"",SUMIF('تحليل مبيعات'!C:C, 'حركة المخزن'!B519, 'تحليل مبيعات'!H:H)),"")</f>
        <v/>
      </c>
      <c r="J519" s="10" t="str">
        <f>IFERROR(IF(SUMIF('تحليل مبيعات'!C:C, 'حركة المخزن'!B519, 'تحليل مبيعات'!L:L)=0,"",SUMIF('تحليل مبيعات'!C:C, 'حركة المخزن'!B519, 'تحليل مبيعات'!L:L)),"")</f>
        <v/>
      </c>
      <c r="K519" s="10" t="str">
        <f t="shared" si="27"/>
        <v/>
      </c>
      <c r="L519" s="10" t="str">
        <f t="shared" si="28"/>
        <v/>
      </c>
      <c r="M519">
        <v>5</v>
      </c>
      <c r="N519" t="str">
        <f t="shared" si="29"/>
        <v>يوجد رصيد كافى</v>
      </c>
    </row>
    <row r="520" spans="7:14" x14ac:dyDescent="0.3">
      <c r="G520" t="str">
        <f>IFERROR(IF(SUMIF(المشتريات!C:C, 'حركة المخزن'!B520, المشتريات!F:F)=0,"",SUMIF(المشتريات!C:C, 'حركة المخزن'!B520, المشتريات!F:F)),"")</f>
        <v/>
      </c>
      <c r="H520" s="10" t="str">
        <f>IFERROR(IF(SUMIF(المشتريات!C:C, 'حركة المخزن'!B520, المشتريات!I:I)=0,"",SUMIF(المشتريات!C:C, 'حركة المخزن'!B520, المشتريات!I:I)),"")</f>
        <v/>
      </c>
      <c r="I520" s="10" t="str">
        <f>IFERROR(IF(SUMIF('تحليل مبيعات'!C:C, 'حركة المخزن'!B520, 'تحليل مبيعات'!H:H)=0,"",SUMIF('تحليل مبيعات'!C:C, 'حركة المخزن'!B520, 'تحليل مبيعات'!H:H)),"")</f>
        <v/>
      </c>
      <c r="J520" s="10" t="str">
        <f>IFERROR(IF(SUMIF('تحليل مبيعات'!C:C, 'حركة المخزن'!B520, 'تحليل مبيعات'!L:L)=0,"",SUMIF('تحليل مبيعات'!C:C, 'حركة المخزن'!B520, 'تحليل مبيعات'!L:L)),"")</f>
        <v/>
      </c>
      <c r="K520" s="10" t="str">
        <f t="shared" si="27"/>
        <v/>
      </c>
      <c r="L520" s="10" t="str">
        <f t="shared" si="28"/>
        <v/>
      </c>
      <c r="M520">
        <v>5</v>
      </c>
      <c r="N520" t="str">
        <f t="shared" si="29"/>
        <v>يوجد رصيد كافى</v>
      </c>
    </row>
    <row r="521" spans="7:14" x14ac:dyDescent="0.3">
      <c r="G521" t="str">
        <f>IFERROR(IF(SUMIF(المشتريات!C:C, 'حركة المخزن'!B521, المشتريات!F:F)=0,"",SUMIF(المشتريات!C:C, 'حركة المخزن'!B521, المشتريات!F:F)),"")</f>
        <v/>
      </c>
      <c r="H521" s="10" t="str">
        <f>IFERROR(IF(SUMIF(المشتريات!C:C, 'حركة المخزن'!B521, المشتريات!I:I)=0,"",SUMIF(المشتريات!C:C, 'حركة المخزن'!B521, المشتريات!I:I)),"")</f>
        <v/>
      </c>
      <c r="I521" s="10" t="str">
        <f>IFERROR(IF(SUMIF('تحليل مبيعات'!C:C, 'حركة المخزن'!B521, 'تحليل مبيعات'!H:H)=0,"",SUMIF('تحليل مبيعات'!C:C, 'حركة المخزن'!B521, 'تحليل مبيعات'!H:H)),"")</f>
        <v/>
      </c>
      <c r="J521" s="10" t="str">
        <f>IFERROR(IF(SUMIF('تحليل مبيعات'!C:C, 'حركة المخزن'!B521, 'تحليل مبيعات'!L:L)=0,"",SUMIF('تحليل مبيعات'!C:C, 'حركة المخزن'!B521, 'تحليل مبيعات'!L:L)),"")</f>
        <v/>
      </c>
      <c r="K521" s="10" t="str">
        <f t="shared" ref="K521:K584" si="30">IFERROR(E521+G521-I521,"")</f>
        <v/>
      </c>
      <c r="L521" s="10" t="str">
        <f t="shared" ref="L521:L584" si="31">IFERROR(F521+H521-J521,"")</f>
        <v/>
      </c>
      <c r="M521">
        <v>5</v>
      </c>
      <c r="N521" t="str">
        <f t="shared" ref="N521:N584" si="32">IF(K521&lt;M521,"أعادة الطلب","يوجد رصيد كافى")</f>
        <v>يوجد رصيد كافى</v>
      </c>
    </row>
    <row r="522" spans="7:14" x14ac:dyDescent="0.3">
      <c r="G522" t="str">
        <f>IFERROR(IF(SUMIF(المشتريات!C:C, 'حركة المخزن'!B522, المشتريات!F:F)=0,"",SUMIF(المشتريات!C:C, 'حركة المخزن'!B522, المشتريات!F:F)),"")</f>
        <v/>
      </c>
      <c r="H522" s="10" t="str">
        <f>IFERROR(IF(SUMIF(المشتريات!C:C, 'حركة المخزن'!B522, المشتريات!I:I)=0,"",SUMIF(المشتريات!C:C, 'حركة المخزن'!B522, المشتريات!I:I)),"")</f>
        <v/>
      </c>
      <c r="I522" s="10" t="str">
        <f>IFERROR(IF(SUMIF('تحليل مبيعات'!C:C, 'حركة المخزن'!B522, 'تحليل مبيعات'!H:H)=0,"",SUMIF('تحليل مبيعات'!C:C, 'حركة المخزن'!B522, 'تحليل مبيعات'!H:H)),"")</f>
        <v/>
      </c>
      <c r="J522" s="10" t="str">
        <f>IFERROR(IF(SUMIF('تحليل مبيعات'!C:C, 'حركة المخزن'!B522, 'تحليل مبيعات'!L:L)=0,"",SUMIF('تحليل مبيعات'!C:C, 'حركة المخزن'!B522, 'تحليل مبيعات'!L:L)),"")</f>
        <v/>
      </c>
      <c r="K522" s="10" t="str">
        <f t="shared" si="30"/>
        <v/>
      </c>
      <c r="L522" s="10" t="str">
        <f t="shared" si="31"/>
        <v/>
      </c>
      <c r="M522">
        <v>5</v>
      </c>
      <c r="N522" t="str">
        <f t="shared" si="32"/>
        <v>يوجد رصيد كافى</v>
      </c>
    </row>
    <row r="523" spans="7:14" x14ac:dyDescent="0.3">
      <c r="G523" t="str">
        <f>IFERROR(IF(SUMIF(المشتريات!C:C, 'حركة المخزن'!B523, المشتريات!F:F)=0,"",SUMIF(المشتريات!C:C, 'حركة المخزن'!B523, المشتريات!F:F)),"")</f>
        <v/>
      </c>
      <c r="H523" s="10" t="str">
        <f>IFERROR(IF(SUMIF(المشتريات!C:C, 'حركة المخزن'!B523, المشتريات!I:I)=0,"",SUMIF(المشتريات!C:C, 'حركة المخزن'!B523, المشتريات!I:I)),"")</f>
        <v/>
      </c>
      <c r="I523" s="10" t="str">
        <f>IFERROR(IF(SUMIF('تحليل مبيعات'!C:C, 'حركة المخزن'!B523, 'تحليل مبيعات'!H:H)=0,"",SUMIF('تحليل مبيعات'!C:C, 'حركة المخزن'!B523, 'تحليل مبيعات'!H:H)),"")</f>
        <v/>
      </c>
      <c r="J523" s="10" t="str">
        <f>IFERROR(IF(SUMIF('تحليل مبيعات'!C:C, 'حركة المخزن'!B523, 'تحليل مبيعات'!L:L)=0,"",SUMIF('تحليل مبيعات'!C:C, 'حركة المخزن'!B523, 'تحليل مبيعات'!L:L)),"")</f>
        <v/>
      </c>
      <c r="K523" s="10" t="str">
        <f t="shared" si="30"/>
        <v/>
      </c>
      <c r="L523" s="10" t="str">
        <f t="shared" si="31"/>
        <v/>
      </c>
      <c r="M523">
        <v>5</v>
      </c>
      <c r="N523" t="str">
        <f t="shared" si="32"/>
        <v>يوجد رصيد كافى</v>
      </c>
    </row>
    <row r="524" spans="7:14" x14ac:dyDescent="0.3">
      <c r="G524" t="str">
        <f>IFERROR(IF(SUMIF(المشتريات!C:C, 'حركة المخزن'!B524, المشتريات!F:F)=0,"",SUMIF(المشتريات!C:C, 'حركة المخزن'!B524, المشتريات!F:F)),"")</f>
        <v/>
      </c>
      <c r="H524" s="10" t="str">
        <f>IFERROR(IF(SUMIF(المشتريات!C:C, 'حركة المخزن'!B524, المشتريات!I:I)=0,"",SUMIF(المشتريات!C:C, 'حركة المخزن'!B524, المشتريات!I:I)),"")</f>
        <v/>
      </c>
      <c r="I524" s="10" t="str">
        <f>IFERROR(IF(SUMIF('تحليل مبيعات'!C:C, 'حركة المخزن'!B524, 'تحليل مبيعات'!H:H)=0,"",SUMIF('تحليل مبيعات'!C:C, 'حركة المخزن'!B524, 'تحليل مبيعات'!H:H)),"")</f>
        <v/>
      </c>
      <c r="J524" s="10" t="str">
        <f>IFERROR(IF(SUMIF('تحليل مبيعات'!C:C, 'حركة المخزن'!B524, 'تحليل مبيعات'!L:L)=0,"",SUMIF('تحليل مبيعات'!C:C, 'حركة المخزن'!B524, 'تحليل مبيعات'!L:L)),"")</f>
        <v/>
      </c>
      <c r="K524" s="10" t="str">
        <f t="shared" si="30"/>
        <v/>
      </c>
      <c r="L524" s="10" t="str">
        <f t="shared" si="31"/>
        <v/>
      </c>
      <c r="M524">
        <v>5</v>
      </c>
      <c r="N524" t="str">
        <f t="shared" si="32"/>
        <v>يوجد رصيد كافى</v>
      </c>
    </row>
    <row r="525" spans="7:14" x14ac:dyDescent="0.3">
      <c r="G525" t="str">
        <f>IFERROR(IF(SUMIF(المشتريات!C:C, 'حركة المخزن'!B525, المشتريات!F:F)=0,"",SUMIF(المشتريات!C:C, 'حركة المخزن'!B525, المشتريات!F:F)),"")</f>
        <v/>
      </c>
      <c r="H525" s="10" t="str">
        <f>IFERROR(IF(SUMIF(المشتريات!C:C, 'حركة المخزن'!B525, المشتريات!I:I)=0,"",SUMIF(المشتريات!C:C, 'حركة المخزن'!B525, المشتريات!I:I)),"")</f>
        <v/>
      </c>
      <c r="I525" s="10" t="str">
        <f>IFERROR(IF(SUMIF('تحليل مبيعات'!C:C, 'حركة المخزن'!B525, 'تحليل مبيعات'!H:H)=0,"",SUMIF('تحليل مبيعات'!C:C, 'حركة المخزن'!B525, 'تحليل مبيعات'!H:H)),"")</f>
        <v/>
      </c>
      <c r="J525" s="10" t="str">
        <f>IFERROR(IF(SUMIF('تحليل مبيعات'!C:C, 'حركة المخزن'!B525, 'تحليل مبيعات'!L:L)=0,"",SUMIF('تحليل مبيعات'!C:C, 'حركة المخزن'!B525, 'تحليل مبيعات'!L:L)),"")</f>
        <v/>
      </c>
      <c r="K525" s="10" t="str">
        <f t="shared" si="30"/>
        <v/>
      </c>
      <c r="L525" s="10" t="str">
        <f t="shared" si="31"/>
        <v/>
      </c>
      <c r="M525">
        <v>5</v>
      </c>
      <c r="N525" t="str">
        <f t="shared" si="32"/>
        <v>يوجد رصيد كافى</v>
      </c>
    </row>
    <row r="526" spans="7:14" x14ac:dyDescent="0.3">
      <c r="G526" t="str">
        <f>IFERROR(IF(SUMIF(المشتريات!C:C, 'حركة المخزن'!B526, المشتريات!F:F)=0,"",SUMIF(المشتريات!C:C, 'حركة المخزن'!B526, المشتريات!F:F)),"")</f>
        <v/>
      </c>
      <c r="H526" s="10" t="str">
        <f>IFERROR(IF(SUMIF(المشتريات!C:C, 'حركة المخزن'!B526, المشتريات!I:I)=0,"",SUMIF(المشتريات!C:C, 'حركة المخزن'!B526, المشتريات!I:I)),"")</f>
        <v/>
      </c>
      <c r="I526" s="10" t="str">
        <f>IFERROR(IF(SUMIF('تحليل مبيعات'!C:C, 'حركة المخزن'!B526, 'تحليل مبيعات'!H:H)=0,"",SUMIF('تحليل مبيعات'!C:C, 'حركة المخزن'!B526, 'تحليل مبيعات'!H:H)),"")</f>
        <v/>
      </c>
      <c r="J526" s="10" t="str">
        <f>IFERROR(IF(SUMIF('تحليل مبيعات'!C:C, 'حركة المخزن'!B526, 'تحليل مبيعات'!L:L)=0,"",SUMIF('تحليل مبيعات'!C:C, 'حركة المخزن'!B526, 'تحليل مبيعات'!L:L)),"")</f>
        <v/>
      </c>
      <c r="K526" s="10" t="str">
        <f t="shared" si="30"/>
        <v/>
      </c>
      <c r="L526" s="10" t="str">
        <f t="shared" si="31"/>
        <v/>
      </c>
      <c r="M526">
        <v>5</v>
      </c>
      <c r="N526" t="str">
        <f t="shared" si="32"/>
        <v>يوجد رصيد كافى</v>
      </c>
    </row>
    <row r="527" spans="7:14" x14ac:dyDescent="0.3">
      <c r="G527" t="str">
        <f>IFERROR(IF(SUMIF(المشتريات!C:C, 'حركة المخزن'!B527, المشتريات!F:F)=0,"",SUMIF(المشتريات!C:C, 'حركة المخزن'!B527, المشتريات!F:F)),"")</f>
        <v/>
      </c>
      <c r="H527" s="10" t="str">
        <f>IFERROR(IF(SUMIF(المشتريات!C:C, 'حركة المخزن'!B527, المشتريات!I:I)=0,"",SUMIF(المشتريات!C:C, 'حركة المخزن'!B527, المشتريات!I:I)),"")</f>
        <v/>
      </c>
      <c r="I527" s="10" t="str">
        <f>IFERROR(IF(SUMIF('تحليل مبيعات'!C:C, 'حركة المخزن'!B527, 'تحليل مبيعات'!H:H)=0,"",SUMIF('تحليل مبيعات'!C:C, 'حركة المخزن'!B527, 'تحليل مبيعات'!H:H)),"")</f>
        <v/>
      </c>
      <c r="J527" s="10" t="str">
        <f>IFERROR(IF(SUMIF('تحليل مبيعات'!C:C, 'حركة المخزن'!B527, 'تحليل مبيعات'!L:L)=0,"",SUMIF('تحليل مبيعات'!C:C, 'حركة المخزن'!B527, 'تحليل مبيعات'!L:L)),"")</f>
        <v/>
      </c>
      <c r="K527" s="10" t="str">
        <f t="shared" si="30"/>
        <v/>
      </c>
      <c r="L527" s="10" t="str">
        <f t="shared" si="31"/>
        <v/>
      </c>
      <c r="M527">
        <v>5</v>
      </c>
      <c r="N527" t="str">
        <f t="shared" si="32"/>
        <v>يوجد رصيد كافى</v>
      </c>
    </row>
    <row r="528" spans="7:14" x14ac:dyDescent="0.3">
      <c r="G528" t="str">
        <f>IFERROR(IF(SUMIF(المشتريات!C:C, 'حركة المخزن'!B528, المشتريات!F:F)=0,"",SUMIF(المشتريات!C:C, 'حركة المخزن'!B528, المشتريات!F:F)),"")</f>
        <v/>
      </c>
      <c r="H528" s="10" t="str">
        <f>IFERROR(IF(SUMIF(المشتريات!C:C, 'حركة المخزن'!B528, المشتريات!I:I)=0,"",SUMIF(المشتريات!C:C, 'حركة المخزن'!B528, المشتريات!I:I)),"")</f>
        <v/>
      </c>
      <c r="I528" s="10" t="str">
        <f>IFERROR(IF(SUMIF('تحليل مبيعات'!C:C, 'حركة المخزن'!B528, 'تحليل مبيعات'!H:H)=0,"",SUMIF('تحليل مبيعات'!C:C, 'حركة المخزن'!B528, 'تحليل مبيعات'!H:H)),"")</f>
        <v/>
      </c>
      <c r="J528" s="10" t="str">
        <f>IFERROR(IF(SUMIF('تحليل مبيعات'!C:C, 'حركة المخزن'!B528, 'تحليل مبيعات'!L:L)=0,"",SUMIF('تحليل مبيعات'!C:C, 'حركة المخزن'!B528, 'تحليل مبيعات'!L:L)),"")</f>
        <v/>
      </c>
      <c r="K528" s="10" t="str">
        <f t="shared" si="30"/>
        <v/>
      </c>
      <c r="L528" s="10" t="str">
        <f t="shared" si="31"/>
        <v/>
      </c>
      <c r="M528">
        <v>5</v>
      </c>
      <c r="N528" t="str">
        <f t="shared" si="32"/>
        <v>يوجد رصيد كافى</v>
      </c>
    </row>
    <row r="529" spans="7:14" x14ac:dyDescent="0.3">
      <c r="G529" t="str">
        <f>IFERROR(IF(SUMIF(المشتريات!C:C, 'حركة المخزن'!B529, المشتريات!F:F)=0,"",SUMIF(المشتريات!C:C, 'حركة المخزن'!B529, المشتريات!F:F)),"")</f>
        <v/>
      </c>
      <c r="H529" s="10" t="str">
        <f>IFERROR(IF(SUMIF(المشتريات!C:C, 'حركة المخزن'!B529, المشتريات!I:I)=0,"",SUMIF(المشتريات!C:C, 'حركة المخزن'!B529, المشتريات!I:I)),"")</f>
        <v/>
      </c>
      <c r="I529" s="10" t="str">
        <f>IFERROR(IF(SUMIF('تحليل مبيعات'!C:C, 'حركة المخزن'!B529, 'تحليل مبيعات'!H:H)=0,"",SUMIF('تحليل مبيعات'!C:C, 'حركة المخزن'!B529, 'تحليل مبيعات'!H:H)),"")</f>
        <v/>
      </c>
      <c r="J529" s="10" t="str">
        <f>IFERROR(IF(SUMIF('تحليل مبيعات'!C:C, 'حركة المخزن'!B529, 'تحليل مبيعات'!L:L)=0,"",SUMIF('تحليل مبيعات'!C:C, 'حركة المخزن'!B529, 'تحليل مبيعات'!L:L)),"")</f>
        <v/>
      </c>
      <c r="K529" s="10" t="str">
        <f t="shared" si="30"/>
        <v/>
      </c>
      <c r="L529" s="10" t="str">
        <f t="shared" si="31"/>
        <v/>
      </c>
      <c r="M529">
        <v>5</v>
      </c>
      <c r="N529" t="str">
        <f t="shared" si="32"/>
        <v>يوجد رصيد كافى</v>
      </c>
    </row>
    <row r="530" spans="7:14" x14ac:dyDescent="0.3">
      <c r="G530" t="str">
        <f>IFERROR(IF(SUMIF(المشتريات!C:C, 'حركة المخزن'!B530, المشتريات!F:F)=0,"",SUMIF(المشتريات!C:C, 'حركة المخزن'!B530, المشتريات!F:F)),"")</f>
        <v/>
      </c>
      <c r="H530" s="10" t="str">
        <f>IFERROR(IF(SUMIF(المشتريات!C:C, 'حركة المخزن'!B530, المشتريات!I:I)=0,"",SUMIF(المشتريات!C:C, 'حركة المخزن'!B530, المشتريات!I:I)),"")</f>
        <v/>
      </c>
      <c r="I530" s="10" t="str">
        <f>IFERROR(IF(SUMIF('تحليل مبيعات'!C:C, 'حركة المخزن'!B530, 'تحليل مبيعات'!H:H)=0,"",SUMIF('تحليل مبيعات'!C:C, 'حركة المخزن'!B530, 'تحليل مبيعات'!H:H)),"")</f>
        <v/>
      </c>
      <c r="J530" s="10" t="str">
        <f>IFERROR(IF(SUMIF('تحليل مبيعات'!C:C, 'حركة المخزن'!B530, 'تحليل مبيعات'!L:L)=0,"",SUMIF('تحليل مبيعات'!C:C, 'حركة المخزن'!B530, 'تحليل مبيعات'!L:L)),"")</f>
        <v/>
      </c>
      <c r="K530" s="10" t="str">
        <f t="shared" si="30"/>
        <v/>
      </c>
      <c r="L530" s="10" t="str">
        <f t="shared" si="31"/>
        <v/>
      </c>
      <c r="M530">
        <v>5</v>
      </c>
      <c r="N530" t="str">
        <f t="shared" si="32"/>
        <v>يوجد رصيد كافى</v>
      </c>
    </row>
    <row r="531" spans="7:14" x14ac:dyDescent="0.3">
      <c r="G531" t="str">
        <f>IFERROR(IF(SUMIF(المشتريات!C:C, 'حركة المخزن'!B531, المشتريات!F:F)=0,"",SUMIF(المشتريات!C:C, 'حركة المخزن'!B531, المشتريات!F:F)),"")</f>
        <v/>
      </c>
      <c r="H531" s="10" t="str">
        <f>IFERROR(IF(SUMIF(المشتريات!C:C, 'حركة المخزن'!B531, المشتريات!I:I)=0,"",SUMIF(المشتريات!C:C, 'حركة المخزن'!B531, المشتريات!I:I)),"")</f>
        <v/>
      </c>
      <c r="I531" s="10" t="str">
        <f>IFERROR(IF(SUMIF('تحليل مبيعات'!C:C, 'حركة المخزن'!B531, 'تحليل مبيعات'!H:H)=0,"",SUMIF('تحليل مبيعات'!C:C, 'حركة المخزن'!B531, 'تحليل مبيعات'!H:H)),"")</f>
        <v/>
      </c>
      <c r="J531" s="10" t="str">
        <f>IFERROR(IF(SUMIF('تحليل مبيعات'!C:C, 'حركة المخزن'!B531, 'تحليل مبيعات'!L:L)=0,"",SUMIF('تحليل مبيعات'!C:C, 'حركة المخزن'!B531, 'تحليل مبيعات'!L:L)),"")</f>
        <v/>
      </c>
      <c r="K531" s="10" t="str">
        <f t="shared" si="30"/>
        <v/>
      </c>
      <c r="L531" s="10" t="str">
        <f t="shared" si="31"/>
        <v/>
      </c>
      <c r="M531">
        <v>5</v>
      </c>
      <c r="N531" t="str">
        <f t="shared" si="32"/>
        <v>يوجد رصيد كافى</v>
      </c>
    </row>
    <row r="532" spans="7:14" x14ac:dyDescent="0.3">
      <c r="G532" t="str">
        <f>IFERROR(IF(SUMIF(المشتريات!C:C, 'حركة المخزن'!B532, المشتريات!F:F)=0,"",SUMIF(المشتريات!C:C, 'حركة المخزن'!B532, المشتريات!F:F)),"")</f>
        <v/>
      </c>
      <c r="H532" s="10" t="str">
        <f>IFERROR(IF(SUMIF(المشتريات!C:C, 'حركة المخزن'!B532, المشتريات!I:I)=0,"",SUMIF(المشتريات!C:C, 'حركة المخزن'!B532, المشتريات!I:I)),"")</f>
        <v/>
      </c>
      <c r="I532" s="10" t="str">
        <f>IFERROR(IF(SUMIF('تحليل مبيعات'!C:C, 'حركة المخزن'!B532, 'تحليل مبيعات'!H:H)=0,"",SUMIF('تحليل مبيعات'!C:C, 'حركة المخزن'!B532, 'تحليل مبيعات'!H:H)),"")</f>
        <v/>
      </c>
      <c r="J532" s="10" t="str">
        <f>IFERROR(IF(SUMIF('تحليل مبيعات'!C:C, 'حركة المخزن'!B532, 'تحليل مبيعات'!L:L)=0,"",SUMIF('تحليل مبيعات'!C:C, 'حركة المخزن'!B532, 'تحليل مبيعات'!L:L)),"")</f>
        <v/>
      </c>
      <c r="K532" s="10" t="str">
        <f t="shared" si="30"/>
        <v/>
      </c>
      <c r="L532" s="10" t="str">
        <f t="shared" si="31"/>
        <v/>
      </c>
      <c r="M532">
        <v>5</v>
      </c>
      <c r="N532" t="str">
        <f t="shared" si="32"/>
        <v>يوجد رصيد كافى</v>
      </c>
    </row>
    <row r="533" spans="7:14" x14ac:dyDescent="0.3">
      <c r="G533" t="str">
        <f>IFERROR(IF(SUMIF(المشتريات!C:C, 'حركة المخزن'!B533, المشتريات!F:F)=0,"",SUMIF(المشتريات!C:C, 'حركة المخزن'!B533, المشتريات!F:F)),"")</f>
        <v/>
      </c>
      <c r="H533" s="10" t="str">
        <f>IFERROR(IF(SUMIF(المشتريات!C:C, 'حركة المخزن'!B533, المشتريات!I:I)=0,"",SUMIF(المشتريات!C:C, 'حركة المخزن'!B533, المشتريات!I:I)),"")</f>
        <v/>
      </c>
      <c r="I533" s="10" t="str">
        <f>IFERROR(IF(SUMIF('تحليل مبيعات'!C:C, 'حركة المخزن'!B533, 'تحليل مبيعات'!H:H)=0,"",SUMIF('تحليل مبيعات'!C:C, 'حركة المخزن'!B533, 'تحليل مبيعات'!H:H)),"")</f>
        <v/>
      </c>
      <c r="J533" s="10" t="str">
        <f>IFERROR(IF(SUMIF('تحليل مبيعات'!C:C, 'حركة المخزن'!B533, 'تحليل مبيعات'!L:L)=0,"",SUMIF('تحليل مبيعات'!C:C, 'حركة المخزن'!B533, 'تحليل مبيعات'!L:L)),"")</f>
        <v/>
      </c>
      <c r="K533" s="10" t="str">
        <f t="shared" si="30"/>
        <v/>
      </c>
      <c r="L533" s="10" t="str">
        <f t="shared" si="31"/>
        <v/>
      </c>
      <c r="M533">
        <v>5</v>
      </c>
      <c r="N533" t="str">
        <f t="shared" si="32"/>
        <v>يوجد رصيد كافى</v>
      </c>
    </row>
    <row r="534" spans="7:14" x14ac:dyDescent="0.3">
      <c r="G534" t="str">
        <f>IFERROR(IF(SUMIF(المشتريات!C:C, 'حركة المخزن'!B534, المشتريات!F:F)=0,"",SUMIF(المشتريات!C:C, 'حركة المخزن'!B534, المشتريات!F:F)),"")</f>
        <v/>
      </c>
      <c r="H534" s="10" t="str">
        <f>IFERROR(IF(SUMIF(المشتريات!C:C, 'حركة المخزن'!B534, المشتريات!I:I)=0,"",SUMIF(المشتريات!C:C, 'حركة المخزن'!B534, المشتريات!I:I)),"")</f>
        <v/>
      </c>
      <c r="I534" s="10" t="str">
        <f>IFERROR(IF(SUMIF('تحليل مبيعات'!C:C, 'حركة المخزن'!B534, 'تحليل مبيعات'!H:H)=0,"",SUMIF('تحليل مبيعات'!C:C, 'حركة المخزن'!B534, 'تحليل مبيعات'!H:H)),"")</f>
        <v/>
      </c>
      <c r="J534" s="10" t="str">
        <f>IFERROR(IF(SUMIF('تحليل مبيعات'!C:C, 'حركة المخزن'!B534, 'تحليل مبيعات'!L:L)=0,"",SUMIF('تحليل مبيعات'!C:C, 'حركة المخزن'!B534, 'تحليل مبيعات'!L:L)),"")</f>
        <v/>
      </c>
      <c r="K534" s="10" t="str">
        <f t="shared" si="30"/>
        <v/>
      </c>
      <c r="L534" s="10" t="str">
        <f t="shared" si="31"/>
        <v/>
      </c>
      <c r="M534">
        <v>5</v>
      </c>
      <c r="N534" t="str">
        <f t="shared" si="32"/>
        <v>يوجد رصيد كافى</v>
      </c>
    </row>
    <row r="535" spans="7:14" x14ac:dyDescent="0.3">
      <c r="G535" t="str">
        <f>IFERROR(IF(SUMIF(المشتريات!C:C, 'حركة المخزن'!B535, المشتريات!F:F)=0,"",SUMIF(المشتريات!C:C, 'حركة المخزن'!B535, المشتريات!F:F)),"")</f>
        <v/>
      </c>
      <c r="H535" s="10" t="str">
        <f>IFERROR(IF(SUMIF(المشتريات!C:C, 'حركة المخزن'!B535, المشتريات!I:I)=0,"",SUMIF(المشتريات!C:C, 'حركة المخزن'!B535, المشتريات!I:I)),"")</f>
        <v/>
      </c>
      <c r="I535" s="10" t="str">
        <f>IFERROR(IF(SUMIF('تحليل مبيعات'!C:C, 'حركة المخزن'!B535, 'تحليل مبيعات'!H:H)=0,"",SUMIF('تحليل مبيعات'!C:C, 'حركة المخزن'!B535, 'تحليل مبيعات'!H:H)),"")</f>
        <v/>
      </c>
      <c r="J535" s="10" t="str">
        <f>IFERROR(IF(SUMIF('تحليل مبيعات'!C:C, 'حركة المخزن'!B535, 'تحليل مبيعات'!L:L)=0,"",SUMIF('تحليل مبيعات'!C:C, 'حركة المخزن'!B535, 'تحليل مبيعات'!L:L)),"")</f>
        <v/>
      </c>
      <c r="K535" s="10" t="str">
        <f t="shared" si="30"/>
        <v/>
      </c>
      <c r="L535" s="10" t="str">
        <f t="shared" si="31"/>
        <v/>
      </c>
      <c r="M535">
        <v>5</v>
      </c>
      <c r="N535" t="str">
        <f t="shared" si="32"/>
        <v>يوجد رصيد كافى</v>
      </c>
    </row>
    <row r="536" spans="7:14" x14ac:dyDescent="0.3">
      <c r="G536" t="str">
        <f>IFERROR(IF(SUMIF(المشتريات!C:C, 'حركة المخزن'!B536, المشتريات!F:F)=0,"",SUMIF(المشتريات!C:C, 'حركة المخزن'!B536, المشتريات!F:F)),"")</f>
        <v/>
      </c>
      <c r="H536" s="10" t="str">
        <f>IFERROR(IF(SUMIF(المشتريات!C:C, 'حركة المخزن'!B536, المشتريات!I:I)=0,"",SUMIF(المشتريات!C:C, 'حركة المخزن'!B536, المشتريات!I:I)),"")</f>
        <v/>
      </c>
      <c r="I536" s="10" t="str">
        <f>IFERROR(IF(SUMIF('تحليل مبيعات'!C:C, 'حركة المخزن'!B536, 'تحليل مبيعات'!H:H)=0,"",SUMIF('تحليل مبيعات'!C:C, 'حركة المخزن'!B536, 'تحليل مبيعات'!H:H)),"")</f>
        <v/>
      </c>
      <c r="J536" s="10" t="str">
        <f>IFERROR(IF(SUMIF('تحليل مبيعات'!C:C, 'حركة المخزن'!B536, 'تحليل مبيعات'!L:L)=0,"",SUMIF('تحليل مبيعات'!C:C, 'حركة المخزن'!B536, 'تحليل مبيعات'!L:L)),"")</f>
        <v/>
      </c>
      <c r="K536" s="10" t="str">
        <f t="shared" si="30"/>
        <v/>
      </c>
      <c r="L536" s="10" t="str">
        <f t="shared" si="31"/>
        <v/>
      </c>
      <c r="M536">
        <v>5</v>
      </c>
      <c r="N536" t="str">
        <f t="shared" si="32"/>
        <v>يوجد رصيد كافى</v>
      </c>
    </row>
    <row r="537" spans="7:14" x14ac:dyDescent="0.3">
      <c r="G537" t="str">
        <f>IFERROR(IF(SUMIF(المشتريات!C:C, 'حركة المخزن'!B537, المشتريات!F:F)=0,"",SUMIF(المشتريات!C:C, 'حركة المخزن'!B537, المشتريات!F:F)),"")</f>
        <v/>
      </c>
      <c r="H537" s="10" t="str">
        <f>IFERROR(IF(SUMIF(المشتريات!C:C, 'حركة المخزن'!B537, المشتريات!I:I)=0,"",SUMIF(المشتريات!C:C, 'حركة المخزن'!B537, المشتريات!I:I)),"")</f>
        <v/>
      </c>
      <c r="I537" s="10" t="str">
        <f>IFERROR(IF(SUMIF('تحليل مبيعات'!C:C, 'حركة المخزن'!B537, 'تحليل مبيعات'!H:H)=0,"",SUMIF('تحليل مبيعات'!C:C, 'حركة المخزن'!B537, 'تحليل مبيعات'!H:H)),"")</f>
        <v/>
      </c>
      <c r="J537" s="10" t="str">
        <f>IFERROR(IF(SUMIF('تحليل مبيعات'!C:C, 'حركة المخزن'!B537, 'تحليل مبيعات'!L:L)=0,"",SUMIF('تحليل مبيعات'!C:C, 'حركة المخزن'!B537, 'تحليل مبيعات'!L:L)),"")</f>
        <v/>
      </c>
      <c r="K537" s="10" t="str">
        <f t="shared" si="30"/>
        <v/>
      </c>
      <c r="L537" s="10" t="str">
        <f t="shared" si="31"/>
        <v/>
      </c>
      <c r="M537">
        <v>5</v>
      </c>
      <c r="N537" t="str">
        <f t="shared" si="32"/>
        <v>يوجد رصيد كافى</v>
      </c>
    </row>
    <row r="538" spans="7:14" x14ac:dyDescent="0.3">
      <c r="G538" t="str">
        <f>IFERROR(IF(SUMIF(المشتريات!C:C, 'حركة المخزن'!B538, المشتريات!F:F)=0,"",SUMIF(المشتريات!C:C, 'حركة المخزن'!B538, المشتريات!F:F)),"")</f>
        <v/>
      </c>
      <c r="H538" s="10" t="str">
        <f>IFERROR(IF(SUMIF(المشتريات!C:C, 'حركة المخزن'!B538, المشتريات!I:I)=0,"",SUMIF(المشتريات!C:C, 'حركة المخزن'!B538, المشتريات!I:I)),"")</f>
        <v/>
      </c>
      <c r="I538" s="10" t="str">
        <f>IFERROR(IF(SUMIF('تحليل مبيعات'!C:C, 'حركة المخزن'!B538, 'تحليل مبيعات'!H:H)=0,"",SUMIF('تحليل مبيعات'!C:C, 'حركة المخزن'!B538, 'تحليل مبيعات'!H:H)),"")</f>
        <v/>
      </c>
      <c r="J538" s="10" t="str">
        <f>IFERROR(IF(SUMIF('تحليل مبيعات'!C:C, 'حركة المخزن'!B538, 'تحليل مبيعات'!L:L)=0,"",SUMIF('تحليل مبيعات'!C:C, 'حركة المخزن'!B538, 'تحليل مبيعات'!L:L)),"")</f>
        <v/>
      </c>
      <c r="K538" s="10" t="str">
        <f t="shared" si="30"/>
        <v/>
      </c>
      <c r="L538" s="10" t="str">
        <f t="shared" si="31"/>
        <v/>
      </c>
      <c r="M538">
        <v>5</v>
      </c>
      <c r="N538" t="str">
        <f t="shared" si="32"/>
        <v>يوجد رصيد كافى</v>
      </c>
    </row>
    <row r="539" spans="7:14" x14ac:dyDescent="0.3">
      <c r="G539" t="str">
        <f>IFERROR(IF(SUMIF(المشتريات!C:C, 'حركة المخزن'!B539, المشتريات!F:F)=0,"",SUMIF(المشتريات!C:C, 'حركة المخزن'!B539, المشتريات!F:F)),"")</f>
        <v/>
      </c>
      <c r="H539" s="10" t="str">
        <f>IFERROR(IF(SUMIF(المشتريات!C:C, 'حركة المخزن'!B539, المشتريات!I:I)=0,"",SUMIF(المشتريات!C:C, 'حركة المخزن'!B539, المشتريات!I:I)),"")</f>
        <v/>
      </c>
      <c r="I539" s="10" t="str">
        <f>IFERROR(IF(SUMIF('تحليل مبيعات'!C:C, 'حركة المخزن'!B539, 'تحليل مبيعات'!H:H)=0,"",SUMIF('تحليل مبيعات'!C:C, 'حركة المخزن'!B539, 'تحليل مبيعات'!H:H)),"")</f>
        <v/>
      </c>
      <c r="J539" s="10" t="str">
        <f>IFERROR(IF(SUMIF('تحليل مبيعات'!C:C, 'حركة المخزن'!B539, 'تحليل مبيعات'!L:L)=0,"",SUMIF('تحليل مبيعات'!C:C, 'حركة المخزن'!B539, 'تحليل مبيعات'!L:L)),"")</f>
        <v/>
      </c>
      <c r="K539" s="10" t="str">
        <f t="shared" si="30"/>
        <v/>
      </c>
      <c r="L539" s="10" t="str">
        <f t="shared" si="31"/>
        <v/>
      </c>
      <c r="M539">
        <v>5</v>
      </c>
      <c r="N539" t="str">
        <f t="shared" si="32"/>
        <v>يوجد رصيد كافى</v>
      </c>
    </row>
    <row r="540" spans="7:14" x14ac:dyDescent="0.3">
      <c r="G540" t="str">
        <f>IFERROR(IF(SUMIF(المشتريات!C:C, 'حركة المخزن'!B540, المشتريات!F:F)=0,"",SUMIF(المشتريات!C:C, 'حركة المخزن'!B540, المشتريات!F:F)),"")</f>
        <v/>
      </c>
      <c r="H540" s="10" t="str">
        <f>IFERROR(IF(SUMIF(المشتريات!C:C, 'حركة المخزن'!B540, المشتريات!I:I)=0,"",SUMIF(المشتريات!C:C, 'حركة المخزن'!B540, المشتريات!I:I)),"")</f>
        <v/>
      </c>
      <c r="I540" s="10" t="str">
        <f>IFERROR(IF(SUMIF('تحليل مبيعات'!C:C, 'حركة المخزن'!B540, 'تحليل مبيعات'!H:H)=0,"",SUMIF('تحليل مبيعات'!C:C, 'حركة المخزن'!B540, 'تحليل مبيعات'!H:H)),"")</f>
        <v/>
      </c>
      <c r="J540" s="10" t="str">
        <f>IFERROR(IF(SUMIF('تحليل مبيعات'!C:C, 'حركة المخزن'!B540, 'تحليل مبيعات'!L:L)=0,"",SUMIF('تحليل مبيعات'!C:C, 'حركة المخزن'!B540, 'تحليل مبيعات'!L:L)),"")</f>
        <v/>
      </c>
      <c r="K540" s="10" t="str">
        <f t="shared" si="30"/>
        <v/>
      </c>
      <c r="L540" s="10" t="str">
        <f t="shared" si="31"/>
        <v/>
      </c>
      <c r="M540">
        <v>5</v>
      </c>
      <c r="N540" t="str">
        <f t="shared" si="32"/>
        <v>يوجد رصيد كافى</v>
      </c>
    </row>
    <row r="541" spans="7:14" x14ac:dyDescent="0.3">
      <c r="G541" t="str">
        <f>IFERROR(IF(SUMIF(المشتريات!C:C, 'حركة المخزن'!B541, المشتريات!F:F)=0,"",SUMIF(المشتريات!C:C, 'حركة المخزن'!B541, المشتريات!F:F)),"")</f>
        <v/>
      </c>
      <c r="H541" s="10" t="str">
        <f>IFERROR(IF(SUMIF(المشتريات!C:C, 'حركة المخزن'!B541, المشتريات!I:I)=0,"",SUMIF(المشتريات!C:C, 'حركة المخزن'!B541, المشتريات!I:I)),"")</f>
        <v/>
      </c>
      <c r="I541" s="10" t="str">
        <f>IFERROR(IF(SUMIF('تحليل مبيعات'!C:C, 'حركة المخزن'!B541, 'تحليل مبيعات'!H:H)=0,"",SUMIF('تحليل مبيعات'!C:C, 'حركة المخزن'!B541, 'تحليل مبيعات'!H:H)),"")</f>
        <v/>
      </c>
      <c r="J541" s="10" t="str">
        <f>IFERROR(IF(SUMIF('تحليل مبيعات'!C:C, 'حركة المخزن'!B541, 'تحليل مبيعات'!L:L)=0,"",SUMIF('تحليل مبيعات'!C:C, 'حركة المخزن'!B541, 'تحليل مبيعات'!L:L)),"")</f>
        <v/>
      </c>
      <c r="K541" s="10" t="str">
        <f t="shared" si="30"/>
        <v/>
      </c>
      <c r="L541" s="10" t="str">
        <f t="shared" si="31"/>
        <v/>
      </c>
      <c r="M541">
        <v>5</v>
      </c>
      <c r="N541" t="str">
        <f t="shared" si="32"/>
        <v>يوجد رصيد كافى</v>
      </c>
    </row>
    <row r="542" spans="7:14" x14ac:dyDescent="0.3">
      <c r="G542" t="str">
        <f>IFERROR(IF(SUMIF(المشتريات!C:C, 'حركة المخزن'!B542, المشتريات!F:F)=0,"",SUMIF(المشتريات!C:C, 'حركة المخزن'!B542, المشتريات!F:F)),"")</f>
        <v/>
      </c>
      <c r="H542" s="10" t="str">
        <f>IFERROR(IF(SUMIF(المشتريات!C:C, 'حركة المخزن'!B542, المشتريات!I:I)=0,"",SUMIF(المشتريات!C:C, 'حركة المخزن'!B542, المشتريات!I:I)),"")</f>
        <v/>
      </c>
      <c r="I542" s="10" t="str">
        <f>IFERROR(IF(SUMIF('تحليل مبيعات'!C:C, 'حركة المخزن'!B542, 'تحليل مبيعات'!H:H)=0,"",SUMIF('تحليل مبيعات'!C:C, 'حركة المخزن'!B542, 'تحليل مبيعات'!H:H)),"")</f>
        <v/>
      </c>
      <c r="J542" s="10" t="str">
        <f>IFERROR(IF(SUMIF('تحليل مبيعات'!C:C, 'حركة المخزن'!B542, 'تحليل مبيعات'!L:L)=0,"",SUMIF('تحليل مبيعات'!C:C, 'حركة المخزن'!B542, 'تحليل مبيعات'!L:L)),"")</f>
        <v/>
      </c>
      <c r="K542" s="10" t="str">
        <f t="shared" si="30"/>
        <v/>
      </c>
      <c r="L542" s="10" t="str">
        <f t="shared" si="31"/>
        <v/>
      </c>
      <c r="M542">
        <v>5</v>
      </c>
      <c r="N542" t="str">
        <f t="shared" si="32"/>
        <v>يوجد رصيد كافى</v>
      </c>
    </row>
    <row r="543" spans="7:14" x14ac:dyDescent="0.3">
      <c r="G543" t="str">
        <f>IFERROR(IF(SUMIF(المشتريات!C:C, 'حركة المخزن'!B543, المشتريات!F:F)=0,"",SUMIF(المشتريات!C:C, 'حركة المخزن'!B543, المشتريات!F:F)),"")</f>
        <v/>
      </c>
      <c r="H543" s="10" t="str">
        <f>IFERROR(IF(SUMIF(المشتريات!C:C, 'حركة المخزن'!B543, المشتريات!I:I)=0,"",SUMIF(المشتريات!C:C, 'حركة المخزن'!B543, المشتريات!I:I)),"")</f>
        <v/>
      </c>
      <c r="I543" s="10" t="str">
        <f>IFERROR(IF(SUMIF('تحليل مبيعات'!C:C, 'حركة المخزن'!B543, 'تحليل مبيعات'!H:H)=0,"",SUMIF('تحليل مبيعات'!C:C, 'حركة المخزن'!B543, 'تحليل مبيعات'!H:H)),"")</f>
        <v/>
      </c>
      <c r="J543" s="10" t="str">
        <f>IFERROR(IF(SUMIF('تحليل مبيعات'!C:C, 'حركة المخزن'!B543, 'تحليل مبيعات'!L:L)=0,"",SUMIF('تحليل مبيعات'!C:C, 'حركة المخزن'!B543, 'تحليل مبيعات'!L:L)),"")</f>
        <v/>
      </c>
      <c r="K543" s="10" t="str">
        <f t="shared" si="30"/>
        <v/>
      </c>
      <c r="L543" s="10" t="str">
        <f t="shared" si="31"/>
        <v/>
      </c>
      <c r="M543">
        <v>5</v>
      </c>
      <c r="N543" t="str">
        <f t="shared" si="32"/>
        <v>يوجد رصيد كافى</v>
      </c>
    </row>
    <row r="544" spans="7:14" x14ac:dyDescent="0.3">
      <c r="G544" t="str">
        <f>IFERROR(IF(SUMIF(المشتريات!C:C, 'حركة المخزن'!B544, المشتريات!F:F)=0,"",SUMIF(المشتريات!C:C, 'حركة المخزن'!B544, المشتريات!F:F)),"")</f>
        <v/>
      </c>
      <c r="H544" s="10" t="str">
        <f>IFERROR(IF(SUMIF(المشتريات!C:C, 'حركة المخزن'!B544, المشتريات!I:I)=0,"",SUMIF(المشتريات!C:C, 'حركة المخزن'!B544, المشتريات!I:I)),"")</f>
        <v/>
      </c>
      <c r="I544" s="10" t="str">
        <f>IFERROR(IF(SUMIF('تحليل مبيعات'!C:C, 'حركة المخزن'!B544, 'تحليل مبيعات'!H:H)=0,"",SUMIF('تحليل مبيعات'!C:C, 'حركة المخزن'!B544, 'تحليل مبيعات'!H:H)),"")</f>
        <v/>
      </c>
      <c r="J544" s="10" t="str">
        <f>IFERROR(IF(SUMIF('تحليل مبيعات'!C:C, 'حركة المخزن'!B544, 'تحليل مبيعات'!L:L)=0,"",SUMIF('تحليل مبيعات'!C:C, 'حركة المخزن'!B544, 'تحليل مبيعات'!L:L)),"")</f>
        <v/>
      </c>
      <c r="K544" s="10" t="str">
        <f t="shared" si="30"/>
        <v/>
      </c>
      <c r="L544" s="10" t="str">
        <f t="shared" si="31"/>
        <v/>
      </c>
      <c r="M544">
        <v>5</v>
      </c>
      <c r="N544" t="str">
        <f t="shared" si="32"/>
        <v>يوجد رصيد كافى</v>
      </c>
    </row>
    <row r="545" spans="7:14" x14ac:dyDescent="0.3">
      <c r="G545" t="str">
        <f>IFERROR(IF(SUMIF(المشتريات!C:C, 'حركة المخزن'!B545, المشتريات!F:F)=0,"",SUMIF(المشتريات!C:C, 'حركة المخزن'!B545, المشتريات!F:F)),"")</f>
        <v/>
      </c>
      <c r="H545" s="10" t="str">
        <f>IFERROR(IF(SUMIF(المشتريات!C:C, 'حركة المخزن'!B545, المشتريات!I:I)=0,"",SUMIF(المشتريات!C:C, 'حركة المخزن'!B545, المشتريات!I:I)),"")</f>
        <v/>
      </c>
      <c r="I545" s="10" t="str">
        <f>IFERROR(IF(SUMIF('تحليل مبيعات'!C:C, 'حركة المخزن'!B545, 'تحليل مبيعات'!H:H)=0,"",SUMIF('تحليل مبيعات'!C:C, 'حركة المخزن'!B545, 'تحليل مبيعات'!H:H)),"")</f>
        <v/>
      </c>
      <c r="J545" s="10" t="str">
        <f>IFERROR(IF(SUMIF('تحليل مبيعات'!C:C, 'حركة المخزن'!B545, 'تحليل مبيعات'!L:L)=0,"",SUMIF('تحليل مبيعات'!C:C, 'حركة المخزن'!B545, 'تحليل مبيعات'!L:L)),"")</f>
        <v/>
      </c>
      <c r="K545" s="10" t="str">
        <f t="shared" si="30"/>
        <v/>
      </c>
      <c r="L545" s="10" t="str">
        <f t="shared" si="31"/>
        <v/>
      </c>
      <c r="M545">
        <v>5</v>
      </c>
      <c r="N545" t="str">
        <f t="shared" si="32"/>
        <v>يوجد رصيد كافى</v>
      </c>
    </row>
    <row r="546" spans="7:14" x14ac:dyDescent="0.3">
      <c r="G546" t="str">
        <f>IFERROR(IF(SUMIF(المشتريات!C:C, 'حركة المخزن'!B546, المشتريات!F:F)=0,"",SUMIF(المشتريات!C:C, 'حركة المخزن'!B546, المشتريات!F:F)),"")</f>
        <v/>
      </c>
      <c r="H546" s="10" t="str">
        <f>IFERROR(IF(SUMIF(المشتريات!C:C, 'حركة المخزن'!B546, المشتريات!I:I)=0,"",SUMIF(المشتريات!C:C, 'حركة المخزن'!B546, المشتريات!I:I)),"")</f>
        <v/>
      </c>
      <c r="I546" s="10" t="str">
        <f>IFERROR(IF(SUMIF('تحليل مبيعات'!C:C, 'حركة المخزن'!B546, 'تحليل مبيعات'!H:H)=0,"",SUMIF('تحليل مبيعات'!C:C, 'حركة المخزن'!B546, 'تحليل مبيعات'!H:H)),"")</f>
        <v/>
      </c>
      <c r="J546" s="10" t="str">
        <f>IFERROR(IF(SUMIF('تحليل مبيعات'!C:C, 'حركة المخزن'!B546, 'تحليل مبيعات'!L:L)=0,"",SUMIF('تحليل مبيعات'!C:C, 'حركة المخزن'!B546, 'تحليل مبيعات'!L:L)),"")</f>
        <v/>
      </c>
      <c r="K546" s="10" t="str">
        <f t="shared" si="30"/>
        <v/>
      </c>
      <c r="L546" s="10" t="str">
        <f t="shared" si="31"/>
        <v/>
      </c>
      <c r="M546">
        <v>5</v>
      </c>
      <c r="N546" t="str">
        <f t="shared" si="32"/>
        <v>يوجد رصيد كافى</v>
      </c>
    </row>
    <row r="547" spans="7:14" x14ac:dyDescent="0.3">
      <c r="G547" t="str">
        <f>IFERROR(IF(SUMIF(المشتريات!C:C, 'حركة المخزن'!B547, المشتريات!F:F)=0,"",SUMIF(المشتريات!C:C, 'حركة المخزن'!B547, المشتريات!F:F)),"")</f>
        <v/>
      </c>
      <c r="H547" s="10" t="str">
        <f>IFERROR(IF(SUMIF(المشتريات!C:C, 'حركة المخزن'!B547, المشتريات!I:I)=0,"",SUMIF(المشتريات!C:C, 'حركة المخزن'!B547, المشتريات!I:I)),"")</f>
        <v/>
      </c>
      <c r="I547" s="10" t="str">
        <f>IFERROR(IF(SUMIF('تحليل مبيعات'!C:C, 'حركة المخزن'!B547, 'تحليل مبيعات'!H:H)=0,"",SUMIF('تحليل مبيعات'!C:C, 'حركة المخزن'!B547, 'تحليل مبيعات'!H:H)),"")</f>
        <v/>
      </c>
      <c r="J547" s="10" t="str">
        <f>IFERROR(IF(SUMIF('تحليل مبيعات'!C:C, 'حركة المخزن'!B547, 'تحليل مبيعات'!L:L)=0,"",SUMIF('تحليل مبيعات'!C:C, 'حركة المخزن'!B547, 'تحليل مبيعات'!L:L)),"")</f>
        <v/>
      </c>
      <c r="K547" s="10" t="str">
        <f t="shared" si="30"/>
        <v/>
      </c>
      <c r="L547" s="10" t="str">
        <f t="shared" si="31"/>
        <v/>
      </c>
      <c r="M547">
        <v>5</v>
      </c>
      <c r="N547" t="str">
        <f t="shared" si="32"/>
        <v>يوجد رصيد كافى</v>
      </c>
    </row>
    <row r="548" spans="7:14" x14ac:dyDescent="0.3">
      <c r="G548" t="str">
        <f>IFERROR(IF(SUMIF(المشتريات!C:C, 'حركة المخزن'!B548, المشتريات!F:F)=0,"",SUMIF(المشتريات!C:C, 'حركة المخزن'!B548, المشتريات!F:F)),"")</f>
        <v/>
      </c>
      <c r="H548" s="10" t="str">
        <f>IFERROR(IF(SUMIF(المشتريات!C:C, 'حركة المخزن'!B548, المشتريات!I:I)=0,"",SUMIF(المشتريات!C:C, 'حركة المخزن'!B548, المشتريات!I:I)),"")</f>
        <v/>
      </c>
      <c r="I548" s="10" t="str">
        <f>IFERROR(IF(SUMIF('تحليل مبيعات'!C:C, 'حركة المخزن'!B548, 'تحليل مبيعات'!H:H)=0,"",SUMIF('تحليل مبيعات'!C:C, 'حركة المخزن'!B548, 'تحليل مبيعات'!H:H)),"")</f>
        <v/>
      </c>
      <c r="J548" s="10" t="str">
        <f>IFERROR(IF(SUMIF('تحليل مبيعات'!C:C, 'حركة المخزن'!B548, 'تحليل مبيعات'!L:L)=0,"",SUMIF('تحليل مبيعات'!C:C, 'حركة المخزن'!B548, 'تحليل مبيعات'!L:L)),"")</f>
        <v/>
      </c>
      <c r="K548" s="10" t="str">
        <f t="shared" si="30"/>
        <v/>
      </c>
      <c r="L548" s="10" t="str">
        <f t="shared" si="31"/>
        <v/>
      </c>
      <c r="M548">
        <v>5</v>
      </c>
      <c r="N548" t="str">
        <f t="shared" si="32"/>
        <v>يوجد رصيد كافى</v>
      </c>
    </row>
    <row r="549" spans="7:14" x14ac:dyDescent="0.3">
      <c r="G549" t="str">
        <f>IFERROR(IF(SUMIF(المشتريات!C:C, 'حركة المخزن'!B549, المشتريات!F:F)=0,"",SUMIF(المشتريات!C:C, 'حركة المخزن'!B549, المشتريات!F:F)),"")</f>
        <v/>
      </c>
      <c r="H549" s="10" t="str">
        <f>IFERROR(IF(SUMIF(المشتريات!C:C, 'حركة المخزن'!B549, المشتريات!I:I)=0,"",SUMIF(المشتريات!C:C, 'حركة المخزن'!B549, المشتريات!I:I)),"")</f>
        <v/>
      </c>
      <c r="I549" s="10" t="str">
        <f>IFERROR(IF(SUMIF('تحليل مبيعات'!C:C, 'حركة المخزن'!B549, 'تحليل مبيعات'!H:H)=0,"",SUMIF('تحليل مبيعات'!C:C, 'حركة المخزن'!B549, 'تحليل مبيعات'!H:H)),"")</f>
        <v/>
      </c>
      <c r="J549" s="10" t="str">
        <f>IFERROR(IF(SUMIF('تحليل مبيعات'!C:C, 'حركة المخزن'!B549, 'تحليل مبيعات'!L:L)=0,"",SUMIF('تحليل مبيعات'!C:C, 'حركة المخزن'!B549, 'تحليل مبيعات'!L:L)),"")</f>
        <v/>
      </c>
      <c r="K549" s="10" t="str">
        <f t="shared" si="30"/>
        <v/>
      </c>
      <c r="L549" s="10" t="str">
        <f t="shared" si="31"/>
        <v/>
      </c>
      <c r="M549">
        <v>5</v>
      </c>
      <c r="N549" t="str">
        <f t="shared" si="32"/>
        <v>يوجد رصيد كافى</v>
      </c>
    </row>
    <row r="550" spans="7:14" x14ac:dyDescent="0.3">
      <c r="G550" t="str">
        <f>IFERROR(IF(SUMIF(المشتريات!C:C, 'حركة المخزن'!B550, المشتريات!F:F)=0,"",SUMIF(المشتريات!C:C, 'حركة المخزن'!B550, المشتريات!F:F)),"")</f>
        <v/>
      </c>
      <c r="H550" s="10" t="str">
        <f>IFERROR(IF(SUMIF(المشتريات!C:C, 'حركة المخزن'!B550, المشتريات!I:I)=0,"",SUMIF(المشتريات!C:C, 'حركة المخزن'!B550, المشتريات!I:I)),"")</f>
        <v/>
      </c>
      <c r="I550" s="10" t="str">
        <f>IFERROR(IF(SUMIF('تحليل مبيعات'!C:C, 'حركة المخزن'!B550, 'تحليل مبيعات'!H:H)=0,"",SUMIF('تحليل مبيعات'!C:C, 'حركة المخزن'!B550, 'تحليل مبيعات'!H:H)),"")</f>
        <v/>
      </c>
      <c r="J550" s="10" t="str">
        <f>IFERROR(IF(SUMIF('تحليل مبيعات'!C:C, 'حركة المخزن'!B550, 'تحليل مبيعات'!L:L)=0,"",SUMIF('تحليل مبيعات'!C:C, 'حركة المخزن'!B550, 'تحليل مبيعات'!L:L)),"")</f>
        <v/>
      </c>
      <c r="K550" s="10" t="str">
        <f t="shared" si="30"/>
        <v/>
      </c>
      <c r="L550" s="10" t="str">
        <f t="shared" si="31"/>
        <v/>
      </c>
      <c r="M550">
        <v>5</v>
      </c>
      <c r="N550" t="str">
        <f t="shared" si="32"/>
        <v>يوجد رصيد كافى</v>
      </c>
    </row>
    <row r="551" spans="7:14" x14ac:dyDescent="0.3">
      <c r="G551" t="str">
        <f>IFERROR(IF(SUMIF(المشتريات!C:C, 'حركة المخزن'!B551, المشتريات!F:F)=0,"",SUMIF(المشتريات!C:C, 'حركة المخزن'!B551, المشتريات!F:F)),"")</f>
        <v/>
      </c>
      <c r="H551" s="10" t="str">
        <f>IFERROR(IF(SUMIF(المشتريات!C:C, 'حركة المخزن'!B551, المشتريات!I:I)=0,"",SUMIF(المشتريات!C:C, 'حركة المخزن'!B551, المشتريات!I:I)),"")</f>
        <v/>
      </c>
      <c r="I551" s="10" t="str">
        <f>IFERROR(IF(SUMIF('تحليل مبيعات'!C:C, 'حركة المخزن'!B551, 'تحليل مبيعات'!H:H)=0,"",SUMIF('تحليل مبيعات'!C:C, 'حركة المخزن'!B551, 'تحليل مبيعات'!H:H)),"")</f>
        <v/>
      </c>
      <c r="J551" s="10" t="str">
        <f>IFERROR(IF(SUMIF('تحليل مبيعات'!C:C, 'حركة المخزن'!B551, 'تحليل مبيعات'!L:L)=0,"",SUMIF('تحليل مبيعات'!C:C, 'حركة المخزن'!B551, 'تحليل مبيعات'!L:L)),"")</f>
        <v/>
      </c>
      <c r="K551" s="10" t="str">
        <f t="shared" si="30"/>
        <v/>
      </c>
      <c r="L551" s="10" t="str">
        <f t="shared" si="31"/>
        <v/>
      </c>
      <c r="M551">
        <v>5</v>
      </c>
      <c r="N551" t="str">
        <f t="shared" si="32"/>
        <v>يوجد رصيد كافى</v>
      </c>
    </row>
    <row r="552" spans="7:14" x14ac:dyDescent="0.3">
      <c r="G552" t="str">
        <f>IFERROR(IF(SUMIF(المشتريات!C:C, 'حركة المخزن'!B552, المشتريات!F:F)=0,"",SUMIF(المشتريات!C:C, 'حركة المخزن'!B552, المشتريات!F:F)),"")</f>
        <v/>
      </c>
      <c r="H552" s="10" t="str">
        <f>IFERROR(IF(SUMIF(المشتريات!C:C, 'حركة المخزن'!B552, المشتريات!I:I)=0,"",SUMIF(المشتريات!C:C, 'حركة المخزن'!B552, المشتريات!I:I)),"")</f>
        <v/>
      </c>
      <c r="I552" s="10" t="str">
        <f>IFERROR(IF(SUMIF('تحليل مبيعات'!C:C, 'حركة المخزن'!B552, 'تحليل مبيعات'!H:H)=0,"",SUMIF('تحليل مبيعات'!C:C, 'حركة المخزن'!B552, 'تحليل مبيعات'!H:H)),"")</f>
        <v/>
      </c>
      <c r="J552" s="10" t="str">
        <f>IFERROR(IF(SUMIF('تحليل مبيعات'!C:C, 'حركة المخزن'!B552, 'تحليل مبيعات'!L:L)=0,"",SUMIF('تحليل مبيعات'!C:C, 'حركة المخزن'!B552, 'تحليل مبيعات'!L:L)),"")</f>
        <v/>
      </c>
      <c r="K552" s="10" t="str">
        <f t="shared" si="30"/>
        <v/>
      </c>
      <c r="L552" s="10" t="str">
        <f t="shared" si="31"/>
        <v/>
      </c>
      <c r="M552">
        <v>5</v>
      </c>
      <c r="N552" t="str">
        <f t="shared" si="32"/>
        <v>يوجد رصيد كافى</v>
      </c>
    </row>
    <row r="553" spans="7:14" x14ac:dyDescent="0.3">
      <c r="G553" t="str">
        <f>IFERROR(IF(SUMIF(المشتريات!C:C, 'حركة المخزن'!B553, المشتريات!F:F)=0,"",SUMIF(المشتريات!C:C, 'حركة المخزن'!B553, المشتريات!F:F)),"")</f>
        <v/>
      </c>
      <c r="H553" s="10" t="str">
        <f>IFERROR(IF(SUMIF(المشتريات!C:C, 'حركة المخزن'!B553, المشتريات!I:I)=0,"",SUMIF(المشتريات!C:C, 'حركة المخزن'!B553, المشتريات!I:I)),"")</f>
        <v/>
      </c>
      <c r="I553" s="10" t="str">
        <f>IFERROR(IF(SUMIF('تحليل مبيعات'!C:C, 'حركة المخزن'!B553, 'تحليل مبيعات'!H:H)=0,"",SUMIF('تحليل مبيعات'!C:C, 'حركة المخزن'!B553, 'تحليل مبيعات'!H:H)),"")</f>
        <v/>
      </c>
      <c r="J553" s="10" t="str">
        <f>IFERROR(IF(SUMIF('تحليل مبيعات'!C:C, 'حركة المخزن'!B553, 'تحليل مبيعات'!L:L)=0,"",SUMIF('تحليل مبيعات'!C:C, 'حركة المخزن'!B553, 'تحليل مبيعات'!L:L)),"")</f>
        <v/>
      </c>
      <c r="K553" s="10" t="str">
        <f t="shared" si="30"/>
        <v/>
      </c>
      <c r="L553" s="10" t="str">
        <f t="shared" si="31"/>
        <v/>
      </c>
      <c r="M553">
        <v>5</v>
      </c>
      <c r="N553" t="str">
        <f t="shared" si="32"/>
        <v>يوجد رصيد كافى</v>
      </c>
    </row>
    <row r="554" spans="7:14" x14ac:dyDescent="0.3">
      <c r="G554" t="str">
        <f>IFERROR(IF(SUMIF(المشتريات!C:C, 'حركة المخزن'!B554, المشتريات!F:F)=0,"",SUMIF(المشتريات!C:C, 'حركة المخزن'!B554, المشتريات!F:F)),"")</f>
        <v/>
      </c>
      <c r="H554" s="10" t="str">
        <f>IFERROR(IF(SUMIF(المشتريات!C:C, 'حركة المخزن'!B554, المشتريات!I:I)=0,"",SUMIF(المشتريات!C:C, 'حركة المخزن'!B554, المشتريات!I:I)),"")</f>
        <v/>
      </c>
      <c r="I554" s="10" t="str">
        <f>IFERROR(IF(SUMIF('تحليل مبيعات'!C:C, 'حركة المخزن'!B554, 'تحليل مبيعات'!H:H)=0,"",SUMIF('تحليل مبيعات'!C:C, 'حركة المخزن'!B554, 'تحليل مبيعات'!H:H)),"")</f>
        <v/>
      </c>
      <c r="J554" s="10" t="str">
        <f>IFERROR(IF(SUMIF('تحليل مبيعات'!C:C, 'حركة المخزن'!B554, 'تحليل مبيعات'!L:L)=0,"",SUMIF('تحليل مبيعات'!C:C, 'حركة المخزن'!B554, 'تحليل مبيعات'!L:L)),"")</f>
        <v/>
      </c>
      <c r="K554" s="10" t="str">
        <f t="shared" si="30"/>
        <v/>
      </c>
      <c r="L554" s="10" t="str">
        <f t="shared" si="31"/>
        <v/>
      </c>
      <c r="M554">
        <v>5</v>
      </c>
      <c r="N554" t="str">
        <f t="shared" si="32"/>
        <v>يوجد رصيد كافى</v>
      </c>
    </row>
    <row r="555" spans="7:14" x14ac:dyDescent="0.3">
      <c r="G555" t="str">
        <f>IFERROR(IF(SUMIF(المشتريات!C:C, 'حركة المخزن'!B555, المشتريات!F:F)=0,"",SUMIF(المشتريات!C:C, 'حركة المخزن'!B555, المشتريات!F:F)),"")</f>
        <v/>
      </c>
      <c r="H555" s="10" t="str">
        <f>IFERROR(IF(SUMIF(المشتريات!C:C, 'حركة المخزن'!B555, المشتريات!I:I)=0,"",SUMIF(المشتريات!C:C, 'حركة المخزن'!B555, المشتريات!I:I)),"")</f>
        <v/>
      </c>
      <c r="I555" s="10" t="str">
        <f>IFERROR(IF(SUMIF('تحليل مبيعات'!C:C, 'حركة المخزن'!B555, 'تحليل مبيعات'!H:H)=0,"",SUMIF('تحليل مبيعات'!C:C, 'حركة المخزن'!B555, 'تحليل مبيعات'!H:H)),"")</f>
        <v/>
      </c>
      <c r="J555" s="10" t="str">
        <f>IFERROR(IF(SUMIF('تحليل مبيعات'!C:C, 'حركة المخزن'!B555, 'تحليل مبيعات'!L:L)=0,"",SUMIF('تحليل مبيعات'!C:C, 'حركة المخزن'!B555, 'تحليل مبيعات'!L:L)),"")</f>
        <v/>
      </c>
      <c r="K555" s="10" t="str">
        <f t="shared" si="30"/>
        <v/>
      </c>
      <c r="L555" s="10" t="str">
        <f t="shared" si="31"/>
        <v/>
      </c>
      <c r="M555">
        <v>5</v>
      </c>
      <c r="N555" t="str">
        <f t="shared" si="32"/>
        <v>يوجد رصيد كافى</v>
      </c>
    </row>
    <row r="556" spans="7:14" x14ac:dyDescent="0.3">
      <c r="G556" t="str">
        <f>IFERROR(IF(SUMIF(المشتريات!C:C, 'حركة المخزن'!B556, المشتريات!F:F)=0,"",SUMIF(المشتريات!C:C, 'حركة المخزن'!B556, المشتريات!F:F)),"")</f>
        <v/>
      </c>
      <c r="H556" s="10" t="str">
        <f>IFERROR(IF(SUMIF(المشتريات!C:C, 'حركة المخزن'!B556, المشتريات!I:I)=0,"",SUMIF(المشتريات!C:C, 'حركة المخزن'!B556, المشتريات!I:I)),"")</f>
        <v/>
      </c>
      <c r="I556" s="10" t="str">
        <f>IFERROR(IF(SUMIF('تحليل مبيعات'!C:C, 'حركة المخزن'!B556, 'تحليل مبيعات'!H:H)=0,"",SUMIF('تحليل مبيعات'!C:C, 'حركة المخزن'!B556, 'تحليل مبيعات'!H:H)),"")</f>
        <v/>
      </c>
      <c r="J556" s="10" t="str">
        <f>IFERROR(IF(SUMIF('تحليل مبيعات'!C:C, 'حركة المخزن'!B556, 'تحليل مبيعات'!L:L)=0,"",SUMIF('تحليل مبيعات'!C:C, 'حركة المخزن'!B556, 'تحليل مبيعات'!L:L)),"")</f>
        <v/>
      </c>
      <c r="K556" s="10" t="str">
        <f t="shared" si="30"/>
        <v/>
      </c>
      <c r="L556" s="10" t="str">
        <f t="shared" si="31"/>
        <v/>
      </c>
      <c r="M556">
        <v>5</v>
      </c>
      <c r="N556" t="str">
        <f t="shared" si="32"/>
        <v>يوجد رصيد كافى</v>
      </c>
    </row>
    <row r="557" spans="7:14" x14ac:dyDescent="0.3">
      <c r="G557" t="str">
        <f>IFERROR(IF(SUMIF(المشتريات!C:C, 'حركة المخزن'!B557, المشتريات!F:F)=0,"",SUMIF(المشتريات!C:C, 'حركة المخزن'!B557, المشتريات!F:F)),"")</f>
        <v/>
      </c>
      <c r="H557" s="10" t="str">
        <f>IFERROR(IF(SUMIF(المشتريات!C:C, 'حركة المخزن'!B557, المشتريات!I:I)=0,"",SUMIF(المشتريات!C:C, 'حركة المخزن'!B557, المشتريات!I:I)),"")</f>
        <v/>
      </c>
      <c r="I557" s="10" t="str">
        <f>IFERROR(IF(SUMIF('تحليل مبيعات'!C:C, 'حركة المخزن'!B557, 'تحليل مبيعات'!H:H)=0,"",SUMIF('تحليل مبيعات'!C:C, 'حركة المخزن'!B557, 'تحليل مبيعات'!H:H)),"")</f>
        <v/>
      </c>
      <c r="J557" s="10" t="str">
        <f>IFERROR(IF(SUMIF('تحليل مبيعات'!C:C, 'حركة المخزن'!B557, 'تحليل مبيعات'!L:L)=0,"",SUMIF('تحليل مبيعات'!C:C, 'حركة المخزن'!B557, 'تحليل مبيعات'!L:L)),"")</f>
        <v/>
      </c>
      <c r="K557" s="10" t="str">
        <f t="shared" si="30"/>
        <v/>
      </c>
      <c r="L557" s="10" t="str">
        <f t="shared" si="31"/>
        <v/>
      </c>
      <c r="M557">
        <v>5</v>
      </c>
      <c r="N557" t="str">
        <f t="shared" si="32"/>
        <v>يوجد رصيد كافى</v>
      </c>
    </row>
    <row r="558" spans="7:14" x14ac:dyDescent="0.3">
      <c r="G558" t="str">
        <f>IFERROR(IF(SUMIF(المشتريات!C:C, 'حركة المخزن'!B558, المشتريات!F:F)=0,"",SUMIF(المشتريات!C:C, 'حركة المخزن'!B558, المشتريات!F:F)),"")</f>
        <v/>
      </c>
      <c r="H558" s="10" t="str">
        <f>IFERROR(IF(SUMIF(المشتريات!C:C, 'حركة المخزن'!B558, المشتريات!I:I)=0,"",SUMIF(المشتريات!C:C, 'حركة المخزن'!B558, المشتريات!I:I)),"")</f>
        <v/>
      </c>
      <c r="I558" s="10" t="str">
        <f>IFERROR(IF(SUMIF('تحليل مبيعات'!C:C, 'حركة المخزن'!B558, 'تحليل مبيعات'!H:H)=0,"",SUMIF('تحليل مبيعات'!C:C, 'حركة المخزن'!B558, 'تحليل مبيعات'!H:H)),"")</f>
        <v/>
      </c>
      <c r="J558" s="10" t="str">
        <f>IFERROR(IF(SUMIF('تحليل مبيعات'!C:C, 'حركة المخزن'!B558, 'تحليل مبيعات'!L:L)=0,"",SUMIF('تحليل مبيعات'!C:C, 'حركة المخزن'!B558, 'تحليل مبيعات'!L:L)),"")</f>
        <v/>
      </c>
      <c r="K558" s="10" t="str">
        <f t="shared" si="30"/>
        <v/>
      </c>
      <c r="L558" s="10" t="str">
        <f t="shared" si="31"/>
        <v/>
      </c>
      <c r="M558">
        <v>5</v>
      </c>
      <c r="N558" t="str">
        <f t="shared" si="32"/>
        <v>يوجد رصيد كافى</v>
      </c>
    </row>
    <row r="559" spans="7:14" x14ac:dyDescent="0.3">
      <c r="G559" t="str">
        <f>IFERROR(IF(SUMIF(المشتريات!C:C, 'حركة المخزن'!B559, المشتريات!F:F)=0,"",SUMIF(المشتريات!C:C, 'حركة المخزن'!B559, المشتريات!F:F)),"")</f>
        <v/>
      </c>
      <c r="H559" s="10" t="str">
        <f>IFERROR(IF(SUMIF(المشتريات!C:C, 'حركة المخزن'!B559, المشتريات!I:I)=0,"",SUMIF(المشتريات!C:C, 'حركة المخزن'!B559, المشتريات!I:I)),"")</f>
        <v/>
      </c>
      <c r="I559" s="10" t="str">
        <f>IFERROR(IF(SUMIF('تحليل مبيعات'!C:C, 'حركة المخزن'!B559, 'تحليل مبيعات'!H:H)=0,"",SUMIF('تحليل مبيعات'!C:C, 'حركة المخزن'!B559, 'تحليل مبيعات'!H:H)),"")</f>
        <v/>
      </c>
      <c r="J559" s="10" t="str">
        <f>IFERROR(IF(SUMIF('تحليل مبيعات'!C:C, 'حركة المخزن'!B559, 'تحليل مبيعات'!L:L)=0,"",SUMIF('تحليل مبيعات'!C:C, 'حركة المخزن'!B559, 'تحليل مبيعات'!L:L)),"")</f>
        <v/>
      </c>
      <c r="K559" s="10" t="str">
        <f t="shared" si="30"/>
        <v/>
      </c>
      <c r="L559" s="10" t="str">
        <f t="shared" si="31"/>
        <v/>
      </c>
      <c r="M559">
        <v>5</v>
      </c>
      <c r="N559" t="str">
        <f t="shared" si="32"/>
        <v>يوجد رصيد كافى</v>
      </c>
    </row>
    <row r="560" spans="7:14" x14ac:dyDescent="0.3">
      <c r="G560" t="str">
        <f>IFERROR(IF(SUMIF(المشتريات!C:C, 'حركة المخزن'!B560, المشتريات!F:F)=0,"",SUMIF(المشتريات!C:C, 'حركة المخزن'!B560, المشتريات!F:F)),"")</f>
        <v/>
      </c>
      <c r="H560" s="10" t="str">
        <f>IFERROR(IF(SUMIF(المشتريات!C:C, 'حركة المخزن'!B560, المشتريات!I:I)=0,"",SUMIF(المشتريات!C:C, 'حركة المخزن'!B560, المشتريات!I:I)),"")</f>
        <v/>
      </c>
      <c r="I560" s="10" t="str">
        <f>IFERROR(IF(SUMIF('تحليل مبيعات'!C:C, 'حركة المخزن'!B560, 'تحليل مبيعات'!H:H)=0,"",SUMIF('تحليل مبيعات'!C:C, 'حركة المخزن'!B560, 'تحليل مبيعات'!H:H)),"")</f>
        <v/>
      </c>
      <c r="J560" s="10" t="str">
        <f>IFERROR(IF(SUMIF('تحليل مبيعات'!C:C, 'حركة المخزن'!B560, 'تحليل مبيعات'!L:L)=0,"",SUMIF('تحليل مبيعات'!C:C, 'حركة المخزن'!B560, 'تحليل مبيعات'!L:L)),"")</f>
        <v/>
      </c>
      <c r="K560" s="10" t="str">
        <f t="shared" si="30"/>
        <v/>
      </c>
      <c r="L560" s="10" t="str">
        <f t="shared" si="31"/>
        <v/>
      </c>
      <c r="M560">
        <v>5</v>
      </c>
      <c r="N560" t="str">
        <f t="shared" si="32"/>
        <v>يوجد رصيد كافى</v>
      </c>
    </row>
    <row r="561" spans="7:14" x14ac:dyDescent="0.3">
      <c r="G561" t="str">
        <f>IFERROR(IF(SUMIF(المشتريات!C:C, 'حركة المخزن'!B561, المشتريات!F:F)=0,"",SUMIF(المشتريات!C:C, 'حركة المخزن'!B561, المشتريات!F:F)),"")</f>
        <v/>
      </c>
      <c r="H561" s="10" t="str">
        <f>IFERROR(IF(SUMIF(المشتريات!C:C, 'حركة المخزن'!B561, المشتريات!I:I)=0,"",SUMIF(المشتريات!C:C, 'حركة المخزن'!B561, المشتريات!I:I)),"")</f>
        <v/>
      </c>
      <c r="I561" s="10" t="str">
        <f>IFERROR(IF(SUMIF('تحليل مبيعات'!C:C, 'حركة المخزن'!B561, 'تحليل مبيعات'!H:H)=0,"",SUMIF('تحليل مبيعات'!C:C, 'حركة المخزن'!B561, 'تحليل مبيعات'!H:H)),"")</f>
        <v/>
      </c>
      <c r="J561" s="10" t="str">
        <f>IFERROR(IF(SUMIF('تحليل مبيعات'!C:C, 'حركة المخزن'!B561, 'تحليل مبيعات'!L:L)=0,"",SUMIF('تحليل مبيعات'!C:C, 'حركة المخزن'!B561, 'تحليل مبيعات'!L:L)),"")</f>
        <v/>
      </c>
      <c r="K561" s="10" t="str">
        <f t="shared" si="30"/>
        <v/>
      </c>
      <c r="L561" s="10" t="str">
        <f t="shared" si="31"/>
        <v/>
      </c>
      <c r="M561">
        <v>5</v>
      </c>
      <c r="N561" t="str">
        <f t="shared" si="32"/>
        <v>يوجد رصيد كافى</v>
      </c>
    </row>
    <row r="562" spans="7:14" x14ac:dyDescent="0.3">
      <c r="G562" t="str">
        <f>IFERROR(IF(SUMIF(المشتريات!C:C, 'حركة المخزن'!B562, المشتريات!F:F)=0,"",SUMIF(المشتريات!C:C, 'حركة المخزن'!B562, المشتريات!F:F)),"")</f>
        <v/>
      </c>
      <c r="H562" s="10" t="str">
        <f>IFERROR(IF(SUMIF(المشتريات!C:C, 'حركة المخزن'!B562, المشتريات!I:I)=0,"",SUMIF(المشتريات!C:C, 'حركة المخزن'!B562, المشتريات!I:I)),"")</f>
        <v/>
      </c>
      <c r="I562" s="10" t="str">
        <f>IFERROR(IF(SUMIF('تحليل مبيعات'!C:C, 'حركة المخزن'!B562, 'تحليل مبيعات'!H:H)=0,"",SUMIF('تحليل مبيعات'!C:C, 'حركة المخزن'!B562, 'تحليل مبيعات'!H:H)),"")</f>
        <v/>
      </c>
      <c r="J562" s="10" t="str">
        <f>IFERROR(IF(SUMIF('تحليل مبيعات'!C:C, 'حركة المخزن'!B562, 'تحليل مبيعات'!L:L)=0,"",SUMIF('تحليل مبيعات'!C:C, 'حركة المخزن'!B562, 'تحليل مبيعات'!L:L)),"")</f>
        <v/>
      </c>
      <c r="K562" s="10" t="str">
        <f t="shared" si="30"/>
        <v/>
      </c>
      <c r="L562" s="10" t="str">
        <f t="shared" si="31"/>
        <v/>
      </c>
      <c r="M562">
        <v>5</v>
      </c>
      <c r="N562" t="str">
        <f t="shared" si="32"/>
        <v>يوجد رصيد كافى</v>
      </c>
    </row>
    <row r="563" spans="7:14" x14ac:dyDescent="0.3">
      <c r="G563" t="str">
        <f>IFERROR(IF(SUMIF(المشتريات!C:C, 'حركة المخزن'!B563, المشتريات!F:F)=0,"",SUMIF(المشتريات!C:C, 'حركة المخزن'!B563, المشتريات!F:F)),"")</f>
        <v/>
      </c>
      <c r="H563" s="10" t="str">
        <f>IFERROR(IF(SUMIF(المشتريات!C:C, 'حركة المخزن'!B563, المشتريات!I:I)=0,"",SUMIF(المشتريات!C:C, 'حركة المخزن'!B563, المشتريات!I:I)),"")</f>
        <v/>
      </c>
      <c r="I563" s="10" t="str">
        <f>IFERROR(IF(SUMIF('تحليل مبيعات'!C:C, 'حركة المخزن'!B563, 'تحليل مبيعات'!H:H)=0,"",SUMIF('تحليل مبيعات'!C:C, 'حركة المخزن'!B563, 'تحليل مبيعات'!H:H)),"")</f>
        <v/>
      </c>
      <c r="J563" s="10" t="str">
        <f>IFERROR(IF(SUMIF('تحليل مبيعات'!C:C, 'حركة المخزن'!B563, 'تحليل مبيعات'!L:L)=0,"",SUMIF('تحليل مبيعات'!C:C, 'حركة المخزن'!B563, 'تحليل مبيعات'!L:L)),"")</f>
        <v/>
      </c>
      <c r="K563" s="10" t="str">
        <f t="shared" si="30"/>
        <v/>
      </c>
      <c r="L563" s="10" t="str">
        <f t="shared" si="31"/>
        <v/>
      </c>
      <c r="M563">
        <v>5</v>
      </c>
      <c r="N563" t="str">
        <f t="shared" si="32"/>
        <v>يوجد رصيد كافى</v>
      </c>
    </row>
    <row r="564" spans="7:14" x14ac:dyDescent="0.3">
      <c r="G564" t="str">
        <f>IFERROR(IF(SUMIF(المشتريات!C:C, 'حركة المخزن'!B564, المشتريات!F:F)=0,"",SUMIF(المشتريات!C:C, 'حركة المخزن'!B564, المشتريات!F:F)),"")</f>
        <v/>
      </c>
      <c r="H564" s="10" t="str">
        <f>IFERROR(IF(SUMIF(المشتريات!C:C, 'حركة المخزن'!B564, المشتريات!I:I)=0,"",SUMIF(المشتريات!C:C, 'حركة المخزن'!B564, المشتريات!I:I)),"")</f>
        <v/>
      </c>
      <c r="I564" s="10" t="str">
        <f>IFERROR(IF(SUMIF('تحليل مبيعات'!C:C, 'حركة المخزن'!B564, 'تحليل مبيعات'!H:H)=0,"",SUMIF('تحليل مبيعات'!C:C, 'حركة المخزن'!B564, 'تحليل مبيعات'!H:H)),"")</f>
        <v/>
      </c>
      <c r="J564" s="10" t="str">
        <f>IFERROR(IF(SUMIF('تحليل مبيعات'!C:C, 'حركة المخزن'!B564, 'تحليل مبيعات'!L:L)=0,"",SUMIF('تحليل مبيعات'!C:C, 'حركة المخزن'!B564, 'تحليل مبيعات'!L:L)),"")</f>
        <v/>
      </c>
      <c r="K564" s="10" t="str">
        <f t="shared" si="30"/>
        <v/>
      </c>
      <c r="L564" s="10" t="str">
        <f t="shared" si="31"/>
        <v/>
      </c>
      <c r="M564">
        <v>5</v>
      </c>
      <c r="N564" t="str">
        <f t="shared" si="32"/>
        <v>يوجد رصيد كافى</v>
      </c>
    </row>
    <row r="565" spans="7:14" x14ac:dyDescent="0.3">
      <c r="G565" t="str">
        <f>IFERROR(IF(SUMIF(المشتريات!C:C, 'حركة المخزن'!B565, المشتريات!F:F)=0,"",SUMIF(المشتريات!C:C, 'حركة المخزن'!B565, المشتريات!F:F)),"")</f>
        <v/>
      </c>
      <c r="H565" s="10" t="str">
        <f>IFERROR(IF(SUMIF(المشتريات!C:C, 'حركة المخزن'!B565, المشتريات!I:I)=0,"",SUMIF(المشتريات!C:C, 'حركة المخزن'!B565, المشتريات!I:I)),"")</f>
        <v/>
      </c>
      <c r="I565" s="10" t="str">
        <f>IFERROR(IF(SUMIF('تحليل مبيعات'!C:C, 'حركة المخزن'!B565, 'تحليل مبيعات'!H:H)=0,"",SUMIF('تحليل مبيعات'!C:C, 'حركة المخزن'!B565, 'تحليل مبيعات'!H:H)),"")</f>
        <v/>
      </c>
      <c r="J565" s="10" t="str">
        <f>IFERROR(IF(SUMIF('تحليل مبيعات'!C:C, 'حركة المخزن'!B565, 'تحليل مبيعات'!L:L)=0,"",SUMIF('تحليل مبيعات'!C:C, 'حركة المخزن'!B565, 'تحليل مبيعات'!L:L)),"")</f>
        <v/>
      </c>
      <c r="K565" s="10" t="str">
        <f t="shared" si="30"/>
        <v/>
      </c>
      <c r="L565" s="10" t="str">
        <f t="shared" si="31"/>
        <v/>
      </c>
      <c r="M565">
        <v>5</v>
      </c>
      <c r="N565" t="str">
        <f t="shared" si="32"/>
        <v>يوجد رصيد كافى</v>
      </c>
    </row>
    <row r="566" spans="7:14" x14ac:dyDescent="0.3">
      <c r="G566" t="str">
        <f>IFERROR(IF(SUMIF(المشتريات!C:C, 'حركة المخزن'!B566, المشتريات!F:F)=0,"",SUMIF(المشتريات!C:C, 'حركة المخزن'!B566, المشتريات!F:F)),"")</f>
        <v/>
      </c>
      <c r="H566" s="10" t="str">
        <f>IFERROR(IF(SUMIF(المشتريات!C:C, 'حركة المخزن'!B566, المشتريات!I:I)=0,"",SUMIF(المشتريات!C:C, 'حركة المخزن'!B566, المشتريات!I:I)),"")</f>
        <v/>
      </c>
      <c r="I566" s="10" t="str">
        <f>IFERROR(IF(SUMIF('تحليل مبيعات'!C:C, 'حركة المخزن'!B566, 'تحليل مبيعات'!H:H)=0,"",SUMIF('تحليل مبيعات'!C:C, 'حركة المخزن'!B566, 'تحليل مبيعات'!H:H)),"")</f>
        <v/>
      </c>
      <c r="J566" s="10" t="str">
        <f>IFERROR(IF(SUMIF('تحليل مبيعات'!C:C, 'حركة المخزن'!B566, 'تحليل مبيعات'!L:L)=0,"",SUMIF('تحليل مبيعات'!C:C, 'حركة المخزن'!B566, 'تحليل مبيعات'!L:L)),"")</f>
        <v/>
      </c>
      <c r="K566" s="10" t="str">
        <f t="shared" si="30"/>
        <v/>
      </c>
      <c r="L566" s="10" t="str">
        <f t="shared" si="31"/>
        <v/>
      </c>
      <c r="M566">
        <v>5</v>
      </c>
      <c r="N566" t="str">
        <f t="shared" si="32"/>
        <v>يوجد رصيد كافى</v>
      </c>
    </row>
    <row r="567" spans="7:14" x14ac:dyDescent="0.3">
      <c r="G567" t="str">
        <f>IFERROR(IF(SUMIF(المشتريات!C:C, 'حركة المخزن'!B567, المشتريات!F:F)=0,"",SUMIF(المشتريات!C:C, 'حركة المخزن'!B567, المشتريات!F:F)),"")</f>
        <v/>
      </c>
      <c r="H567" s="10" t="str">
        <f>IFERROR(IF(SUMIF(المشتريات!C:C, 'حركة المخزن'!B567, المشتريات!I:I)=0,"",SUMIF(المشتريات!C:C, 'حركة المخزن'!B567, المشتريات!I:I)),"")</f>
        <v/>
      </c>
      <c r="I567" s="10" t="str">
        <f>IFERROR(IF(SUMIF('تحليل مبيعات'!C:C, 'حركة المخزن'!B567, 'تحليل مبيعات'!H:H)=0,"",SUMIF('تحليل مبيعات'!C:C, 'حركة المخزن'!B567, 'تحليل مبيعات'!H:H)),"")</f>
        <v/>
      </c>
      <c r="J567" s="10" t="str">
        <f>IFERROR(IF(SUMIF('تحليل مبيعات'!C:C, 'حركة المخزن'!B567, 'تحليل مبيعات'!L:L)=0,"",SUMIF('تحليل مبيعات'!C:C, 'حركة المخزن'!B567, 'تحليل مبيعات'!L:L)),"")</f>
        <v/>
      </c>
      <c r="K567" s="10" t="str">
        <f t="shared" si="30"/>
        <v/>
      </c>
      <c r="L567" s="10" t="str">
        <f t="shared" si="31"/>
        <v/>
      </c>
      <c r="M567">
        <v>5</v>
      </c>
      <c r="N567" t="str">
        <f t="shared" si="32"/>
        <v>يوجد رصيد كافى</v>
      </c>
    </row>
    <row r="568" spans="7:14" x14ac:dyDescent="0.3">
      <c r="G568" t="str">
        <f>IFERROR(IF(SUMIF(المشتريات!C:C, 'حركة المخزن'!B568, المشتريات!F:F)=0,"",SUMIF(المشتريات!C:C, 'حركة المخزن'!B568, المشتريات!F:F)),"")</f>
        <v/>
      </c>
      <c r="H568" s="10" t="str">
        <f>IFERROR(IF(SUMIF(المشتريات!C:C, 'حركة المخزن'!B568, المشتريات!I:I)=0,"",SUMIF(المشتريات!C:C, 'حركة المخزن'!B568, المشتريات!I:I)),"")</f>
        <v/>
      </c>
      <c r="I568" s="10" t="str">
        <f>IFERROR(IF(SUMIF('تحليل مبيعات'!C:C, 'حركة المخزن'!B568, 'تحليل مبيعات'!H:H)=0,"",SUMIF('تحليل مبيعات'!C:C, 'حركة المخزن'!B568, 'تحليل مبيعات'!H:H)),"")</f>
        <v/>
      </c>
      <c r="J568" s="10" t="str">
        <f>IFERROR(IF(SUMIF('تحليل مبيعات'!C:C, 'حركة المخزن'!B568, 'تحليل مبيعات'!L:L)=0,"",SUMIF('تحليل مبيعات'!C:C, 'حركة المخزن'!B568, 'تحليل مبيعات'!L:L)),"")</f>
        <v/>
      </c>
      <c r="K568" s="10" t="str">
        <f t="shared" si="30"/>
        <v/>
      </c>
      <c r="L568" s="10" t="str">
        <f t="shared" si="31"/>
        <v/>
      </c>
      <c r="M568">
        <v>5</v>
      </c>
      <c r="N568" t="str">
        <f t="shared" si="32"/>
        <v>يوجد رصيد كافى</v>
      </c>
    </row>
    <row r="569" spans="7:14" x14ac:dyDescent="0.3">
      <c r="G569" t="str">
        <f>IFERROR(IF(SUMIF(المشتريات!C:C, 'حركة المخزن'!B569, المشتريات!F:F)=0,"",SUMIF(المشتريات!C:C, 'حركة المخزن'!B569, المشتريات!F:F)),"")</f>
        <v/>
      </c>
      <c r="H569" s="10" t="str">
        <f>IFERROR(IF(SUMIF(المشتريات!C:C, 'حركة المخزن'!B569, المشتريات!I:I)=0,"",SUMIF(المشتريات!C:C, 'حركة المخزن'!B569, المشتريات!I:I)),"")</f>
        <v/>
      </c>
      <c r="I569" s="10" t="str">
        <f>IFERROR(IF(SUMIF('تحليل مبيعات'!C:C, 'حركة المخزن'!B569, 'تحليل مبيعات'!H:H)=0,"",SUMIF('تحليل مبيعات'!C:C, 'حركة المخزن'!B569, 'تحليل مبيعات'!H:H)),"")</f>
        <v/>
      </c>
      <c r="J569" s="10" t="str">
        <f>IFERROR(IF(SUMIF('تحليل مبيعات'!C:C, 'حركة المخزن'!B569, 'تحليل مبيعات'!L:L)=0,"",SUMIF('تحليل مبيعات'!C:C, 'حركة المخزن'!B569, 'تحليل مبيعات'!L:L)),"")</f>
        <v/>
      </c>
      <c r="K569" s="10" t="str">
        <f t="shared" si="30"/>
        <v/>
      </c>
      <c r="L569" s="10" t="str">
        <f t="shared" si="31"/>
        <v/>
      </c>
      <c r="M569">
        <v>5</v>
      </c>
      <c r="N569" t="str">
        <f t="shared" si="32"/>
        <v>يوجد رصيد كافى</v>
      </c>
    </row>
    <row r="570" spans="7:14" x14ac:dyDescent="0.3">
      <c r="G570" t="str">
        <f>IFERROR(IF(SUMIF(المشتريات!C:C, 'حركة المخزن'!B570, المشتريات!F:F)=0,"",SUMIF(المشتريات!C:C, 'حركة المخزن'!B570, المشتريات!F:F)),"")</f>
        <v/>
      </c>
      <c r="H570" s="10" t="str">
        <f>IFERROR(IF(SUMIF(المشتريات!C:C, 'حركة المخزن'!B570, المشتريات!I:I)=0,"",SUMIF(المشتريات!C:C, 'حركة المخزن'!B570, المشتريات!I:I)),"")</f>
        <v/>
      </c>
      <c r="I570" s="10" t="str">
        <f>IFERROR(IF(SUMIF('تحليل مبيعات'!C:C, 'حركة المخزن'!B570, 'تحليل مبيعات'!H:H)=0,"",SUMIF('تحليل مبيعات'!C:C, 'حركة المخزن'!B570, 'تحليل مبيعات'!H:H)),"")</f>
        <v/>
      </c>
      <c r="J570" s="10" t="str">
        <f>IFERROR(IF(SUMIF('تحليل مبيعات'!C:C, 'حركة المخزن'!B570, 'تحليل مبيعات'!L:L)=0,"",SUMIF('تحليل مبيعات'!C:C, 'حركة المخزن'!B570, 'تحليل مبيعات'!L:L)),"")</f>
        <v/>
      </c>
      <c r="K570" s="10" t="str">
        <f t="shared" si="30"/>
        <v/>
      </c>
      <c r="L570" s="10" t="str">
        <f t="shared" si="31"/>
        <v/>
      </c>
      <c r="M570">
        <v>5</v>
      </c>
      <c r="N570" t="str">
        <f t="shared" si="32"/>
        <v>يوجد رصيد كافى</v>
      </c>
    </row>
    <row r="571" spans="7:14" x14ac:dyDescent="0.3">
      <c r="G571" t="str">
        <f>IFERROR(IF(SUMIF(المشتريات!C:C, 'حركة المخزن'!B571, المشتريات!F:F)=0,"",SUMIF(المشتريات!C:C, 'حركة المخزن'!B571, المشتريات!F:F)),"")</f>
        <v/>
      </c>
      <c r="H571" s="10" t="str">
        <f>IFERROR(IF(SUMIF(المشتريات!C:C, 'حركة المخزن'!B571, المشتريات!I:I)=0,"",SUMIF(المشتريات!C:C, 'حركة المخزن'!B571, المشتريات!I:I)),"")</f>
        <v/>
      </c>
      <c r="I571" s="10" t="str">
        <f>IFERROR(IF(SUMIF('تحليل مبيعات'!C:C, 'حركة المخزن'!B571, 'تحليل مبيعات'!H:H)=0,"",SUMIF('تحليل مبيعات'!C:C, 'حركة المخزن'!B571, 'تحليل مبيعات'!H:H)),"")</f>
        <v/>
      </c>
      <c r="J571" s="10" t="str">
        <f>IFERROR(IF(SUMIF('تحليل مبيعات'!C:C, 'حركة المخزن'!B571, 'تحليل مبيعات'!L:L)=0,"",SUMIF('تحليل مبيعات'!C:C, 'حركة المخزن'!B571, 'تحليل مبيعات'!L:L)),"")</f>
        <v/>
      </c>
      <c r="K571" s="10" t="str">
        <f t="shared" si="30"/>
        <v/>
      </c>
      <c r="L571" s="10" t="str">
        <f t="shared" si="31"/>
        <v/>
      </c>
      <c r="M571">
        <v>5</v>
      </c>
      <c r="N571" t="str">
        <f t="shared" si="32"/>
        <v>يوجد رصيد كافى</v>
      </c>
    </row>
    <row r="572" spans="7:14" x14ac:dyDescent="0.3">
      <c r="G572" t="str">
        <f>IFERROR(IF(SUMIF(المشتريات!C:C, 'حركة المخزن'!B572, المشتريات!F:F)=0,"",SUMIF(المشتريات!C:C, 'حركة المخزن'!B572, المشتريات!F:F)),"")</f>
        <v/>
      </c>
      <c r="H572" s="10" t="str">
        <f>IFERROR(IF(SUMIF(المشتريات!C:C, 'حركة المخزن'!B572, المشتريات!I:I)=0,"",SUMIF(المشتريات!C:C, 'حركة المخزن'!B572, المشتريات!I:I)),"")</f>
        <v/>
      </c>
      <c r="I572" s="10" t="str">
        <f>IFERROR(IF(SUMIF('تحليل مبيعات'!C:C, 'حركة المخزن'!B572, 'تحليل مبيعات'!H:H)=0,"",SUMIF('تحليل مبيعات'!C:C, 'حركة المخزن'!B572, 'تحليل مبيعات'!H:H)),"")</f>
        <v/>
      </c>
      <c r="J572" s="10" t="str">
        <f>IFERROR(IF(SUMIF('تحليل مبيعات'!C:C, 'حركة المخزن'!B572, 'تحليل مبيعات'!L:L)=0,"",SUMIF('تحليل مبيعات'!C:C, 'حركة المخزن'!B572, 'تحليل مبيعات'!L:L)),"")</f>
        <v/>
      </c>
      <c r="K572" s="10" t="str">
        <f t="shared" si="30"/>
        <v/>
      </c>
      <c r="L572" s="10" t="str">
        <f t="shared" si="31"/>
        <v/>
      </c>
      <c r="M572">
        <v>5</v>
      </c>
      <c r="N572" t="str">
        <f t="shared" si="32"/>
        <v>يوجد رصيد كافى</v>
      </c>
    </row>
    <row r="573" spans="7:14" x14ac:dyDescent="0.3">
      <c r="G573" t="str">
        <f>IFERROR(IF(SUMIF(المشتريات!C:C, 'حركة المخزن'!B573, المشتريات!F:F)=0,"",SUMIF(المشتريات!C:C, 'حركة المخزن'!B573, المشتريات!F:F)),"")</f>
        <v/>
      </c>
      <c r="H573" s="10" t="str">
        <f>IFERROR(IF(SUMIF(المشتريات!C:C, 'حركة المخزن'!B573, المشتريات!I:I)=0,"",SUMIF(المشتريات!C:C, 'حركة المخزن'!B573, المشتريات!I:I)),"")</f>
        <v/>
      </c>
      <c r="I573" s="10" t="str">
        <f>IFERROR(IF(SUMIF('تحليل مبيعات'!C:C, 'حركة المخزن'!B573, 'تحليل مبيعات'!H:H)=0,"",SUMIF('تحليل مبيعات'!C:C, 'حركة المخزن'!B573, 'تحليل مبيعات'!H:H)),"")</f>
        <v/>
      </c>
      <c r="J573" s="10" t="str">
        <f>IFERROR(IF(SUMIF('تحليل مبيعات'!C:C, 'حركة المخزن'!B573, 'تحليل مبيعات'!L:L)=0,"",SUMIF('تحليل مبيعات'!C:C, 'حركة المخزن'!B573, 'تحليل مبيعات'!L:L)),"")</f>
        <v/>
      </c>
      <c r="K573" s="10" t="str">
        <f t="shared" si="30"/>
        <v/>
      </c>
      <c r="L573" s="10" t="str">
        <f t="shared" si="31"/>
        <v/>
      </c>
      <c r="M573">
        <v>5</v>
      </c>
      <c r="N573" t="str">
        <f t="shared" si="32"/>
        <v>يوجد رصيد كافى</v>
      </c>
    </row>
    <row r="574" spans="7:14" x14ac:dyDescent="0.3">
      <c r="G574" t="str">
        <f>IFERROR(IF(SUMIF(المشتريات!C:C, 'حركة المخزن'!B574, المشتريات!F:F)=0,"",SUMIF(المشتريات!C:C, 'حركة المخزن'!B574, المشتريات!F:F)),"")</f>
        <v/>
      </c>
      <c r="H574" s="10" t="str">
        <f>IFERROR(IF(SUMIF(المشتريات!C:C, 'حركة المخزن'!B574, المشتريات!I:I)=0,"",SUMIF(المشتريات!C:C, 'حركة المخزن'!B574, المشتريات!I:I)),"")</f>
        <v/>
      </c>
      <c r="I574" s="10" t="str">
        <f>IFERROR(IF(SUMIF('تحليل مبيعات'!C:C, 'حركة المخزن'!B574, 'تحليل مبيعات'!H:H)=0,"",SUMIF('تحليل مبيعات'!C:C, 'حركة المخزن'!B574, 'تحليل مبيعات'!H:H)),"")</f>
        <v/>
      </c>
      <c r="J574" s="10" t="str">
        <f>IFERROR(IF(SUMIF('تحليل مبيعات'!C:C, 'حركة المخزن'!B574, 'تحليل مبيعات'!L:L)=0,"",SUMIF('تحليل مبيعات'!C:C, 'حركة المخزن'!B574, 'تحليل مبيعات'!L:L)),"")</f>
        <v/>
      </c>
      <c r="K574" s="10" t="str">
        <f t="shared" si="30"/>
        <v/>
      </c>
      <c r="L574" s="10" t="str">
        <f t="shared" si="31"/>
        <v/>
      </c>
      <c r="M574">
        <v>5</v>
      </c>
      <c r="N574" t="str">
        <f t="shared" si="32"/>
        <v>يوجد رصيد كافى</v>
      </c>
    </row>
    <row r="575" spans="7:14" x14ac:dyDescent="0.3">
      <c r="G575" t="str">
        <f>IFERROR(IF(SUMIF(المشتريات!C:C, 'حركة المخزن'!B575, المشتريات!F:F)=0,"",SUMIF(المشتريات!C:C, 'حركة المخزن'!B575, المشتريات!F:F)),"")</f>
        <v/>
      </c>
      <c r="H575" s="10" t="str">
        <f>IFERROR(IF(SUMIF(المشتريات!C:C, 'حركة المخزن'!B575, المشتريات!I:I)=0,"",SUMIF(المشتريات!C:C, 'حركة المخزن'!B575, المشتريات!I:I)),"")</f>
        <v/>
      </c>
      <c r="I575" s="10" t="str">
        <f>IFERROR(IF(SUMIF('تحليل مبيعات'!C:C, 'حركة المخزن'!B575, 'تحليل مبيعات'!H:H)=0,"",SUMIF('تحليل مبيعات'!C:C, 'حركة المخزن'!B575, 'تحليل مبيعات'!H:H)),"")</f>
        <v/>
      </c>
      <c r="J575" s="10" t="str">
        <f>IFERROR(IF(SUMIF('تحليل مبيعات'!C:C, 'حركة المخزن'!B575, 'تحليل مبيعات'!L:L)=0,"",SUMIF('تحليل مبيعات'!C:C, 'حركة المخزن'!B575, 'تحليل مبيعات'!L:L)),"")</f>
        <v/>
      </c>
      <c r="K575" s="10" t="str">
        <f t="shared" si="30"/>
        <v/>
      </c>
      <c r="L575" s="10" t="str">
        <f t="shared" si="31"/>
        <v/>
      </c>
      <c r="M575">
        <v>5</v>
      </c>
      <c r="N575" t="str">
        <f t="shared" si="32"/>
        <v>يوجد رصيد كافى</v>
      </c>
    </row>
    <row r="576" spans="7:14" x14ac:dyDescent="0.3">
      <c r="G576" t="str">
        <f>IFERROR(IF(SUMIF(المشتريات!C:C, 'حركة المخزن'!B576, المشتريات!F:F)=0,"",SUMIF(المشتريات!C:C, 'حركة المخزن'!B576, المشتريات!F:F)),"")</f>
        <v/>
      </c>
      <c r="H576" s="10" t="str">
        <f>IFERROR(IF(SUMIF(المشتريات!C:C, 'حركة المخزن'!B576, المشتريات!I:I)=0,"",SUMIF(المشتريات!C:C, 'حركة المخزن'!B576, المشتريات!I:I)),"")</f>
        <v/>
      </c>
      <c r="I576" s="10" t="str">
        <f>IFERROR(IF(SUMIF('تحليل مبيعات'!C:C, 'حركة المخزن'!B576, 'تحليل مبيعات'!H:H)=0,"",SUMIF('تحليل مبيعات'!C:C, 'حركة المخزن'!B576, 'تحليل مبيعات'!H:H)),"")</f>
        <v/>
      </c>
      <c r="J576" s="10" t="str">
        <f>IFERROR(IF(SUMIF('تحليل مبيعات'!C:C, 'حركة المخزن'!B576, 'تحليل مبيعات'!L:L)=0,"",SUMIF('تحليل مبيعات'!C:C, 'حركة المخزن'!B576, 'تحليل مبيعات'!L:L)),"")</f>
        <v/>
      </c>
      <c r="K576" s="10" t="str">
        <f t="shared" si="30"/>
        <v/>
      </c>
      <c r="L576" s="10" t="str">
        <f t="shared" si="31"/>
        <v/>
      </c>
      <c r="M576">
        <v>5</v>
      </c>
      <c r="N576" t="str">
        <f t="shared" si="32"/>
        <v>يوجد رصيد كافى</v>
      </c>
    </row>
    <row r="577" spans="7:14" x14ac:dyDescent="0.3">
      <c r="G577" t="str">
        <f>IFERROR(IF(SUMIF(المشتريات!C:C, 'حركة المخزن'!B577, المشتريات!F:F)=0,"",SUMIF(المشتريات!C:C, 'حركة المخزن'!B577, المشتريات!F:F)),"")</f>
        <v/>
      </c>
      <c r="H577" s="10" t="str">
        <f>IFERROR(IF(SUMIF(المشتريات!C:C, 'حركة المخزن'!B577, المشتريات!I:I)=0,"",SUMIF(المشتريات!C:C, 'حركة المخزن'!B577, المشتريات!I:I)),"")</f>
        <v/>
      </c>
      <c r="I577" s="10" t="str">
        <f>IFERROR(IF(SUMIF('تحليل مبيعات'!C:C, 'حركة المخزن'!B577, 'تحليل مبيعات'!H:H)=0,"",SUMIF('تحليل مبيعات'!C:C, 'حركة المخزن'!B577, 'تحليل مبيعات'!H:H)),"")</f>
        <v/>
      </c>
      <c r="J577" s="10" t="str">
        <f>IFERROR(IF(SUMIF('تحليل مبيعات'!C:C, 'حركة المخزن'!B577, 'تحليل مبيعات'!L:L)=0,"",SUMIF('تحليل مبيعات'!C:C, 'حركة المخزن'!B577, 'تحليل مبيعات'!L:L)),"")</f>
        <v/>
      </c>
      <c r="K577" s="10" t="str">
        <f t="shared" si="30"/>
        <v/>
      </c>
      <c r="L577" s="10" t="str">
        <f t="shared" si="31"/>
        <v/>
      </c>
      <c r="M577">
        <v>5</v>
      </c>
      <c r="N577" t="str">
        <f t="shared" si="32"/>
        <v>يوجد رصيد كافى</v>
      </c>
    </row>
    <row r="578" spans="7:14" x14ac:dyDescent="0.3">
      <c r="G578" t="str">
        <f>IFERROR(IF(SUMIF(المشتريات!C:C, 'حركة المخزن'!B578, المشتريات!F:F)=0,"",SUMIF(المشتريات!C:C, 'حركة المخزن'!B578, المشتريات!F:F)),"")</f>
        <v/>
      </c>
      <c r="H578" s="10" t="str">
        <f>IFERROR(IF(SUMIF(المشتريات!C:C, 'حركة المخزن'!B578, المشتريات!I:I)=0,"",SUMIF(المشتريات!C:C, 'حركة المخزن'!B578, المشتريات!I:I)),"")</f>
        <v/>
      </c>
      <c r="I578" s="10" t="str">
        <f>IFERROR(IF(SUMIF('تحليل مبيعات'!C:C, 'حركة المخزن'!B578, 'تحليل مبيعات'!H:H)=0,"",SUMIF('تحليل مبيعات'!C:C, 'حركة المخزن'!B578, 'تحليل مبيعات'!H:H)),"")</f>
        <v/>
      </c>
      <c r="J578" s="10" t="str">
        <f>IFERROR(IF(SUMIF('تحليل مبيعات'!C:C, 'حركة المخزن'!B578, 'تحليل مبيعات'!L:L)=0,"",SUMIF('تحليل مبيعات'!C:C, 'حركة المخزن'!B578, 'تحليل مبيعات'!L:L)),"")</f>
        <v/>
      </c>
      <c r="K578" s="10" t="str">
        <f t="shared" si="30"/>
        <v/>
      </c>
      <c r="L578" s="10" t="str">
        <f t="shared" si="31"/>
        <v/>
      </c>
      <c r="M578">
        <v>5</v>
      </c>
      <c r="N578" t="str">
        <f t="shared" si="32"/>
        <v>يوجد رصيد كافى</v>
      </c>
    </row>
    <row r="579" spans="7:14" x14ac:dyDescent="0.3">
      <c r="G579" t="str">
        <f>IFERROR(IF(SUMIF(المشتريات!C:C, 'حركة المخزن'!B579, المشتريات!F:F)=0,"",SUMIF(المشتريات!C:C, 'حركة المخزن'!B579, المشتريات!F:F)),"")</f>
        <v/>
      </c>
      <c r="H579" s="10" t="str">
        <f>IFERROR(IF(SUMIF(المشتريات!C:C, 'حركة المخزن'!B579, المشتريات!I:I)=0,"",SUMIF(المشتريات!C:C, 'حركة المخزن'!B579, المشتريات!I:I)),"")</f>
        <v/>
      </c>
      <c r="I579" s="10" t="str">
        <f>IFERROR(IF(SUMIF('تحليل مبيعات'!C:C, 'حركة المخزن'!B579, 'تحليل مبيعات'!H:H)=0,"",SUMIF('تحليل مبيعات'!C:C, 'حركة المخزن'!B579, 'تحليل مبيعات'!H:H)),"")</f>
        <v/>
      </c>
      <c r="J579" s="10" t="str">
        <f>IFERROR(IF(SUMIF('تحليل مبيعات'!C:C, 'حركة المخزن'!B579, 'تحليل مبيعات'!L:L)=0,"",SUMIF('تحليل مبيعات'!C:C, 'حركة المخزن'!B579, 'تحليل مبيعات'!L:L)),"")</f>
        <v/>
      </c>
      <c r="K579" s="10" t="str">
        <f t="shared" si="30"/>
        <v/>
      </c>
      <c r="L579" s="10" t="str">
        <f t="shared" si="31"/>
        <v/>
      </c>
      <c r="M579">
        <v>5</v>
      </c>
      <c r="N579" t="str">
        <f t="shared" si="32"/>
        <v>يوجد رصيد كافى</v>
      </c>
    </row>
    <row r="580" spans="7:14" x14ac:dyDescent="0.3">
      <c r="G580" t="str">
        <f>IFERROR(IF(SUMIF(المشتريات!C:C, 'حركة المخزن'!B580, المشتريات!F:F)=0,"",SUMIF(المشتريات!C:C, 'حركة المخزن'!B580, المشتريات!F:F)),"")</f>
        <v/>
      </c>
      <c r="H580" s="10" t="str">
        <f>IFERROR(IF(SUMIF(المشتريات!C:C, 'حركة المخزن'!B580, المشتريات!I:I)=0,"",SUMIF(المشتريات!C:C, 'حركة المخزن'!B580, المشتريات!I:I)),"")</f>
        <v/>
      </c>
      <c r="I580" s="10" t="str">
        <f>IFERROR(IF(SUMIF('تحليل مبيعات'!C:C, 'حركة المخزن'!B580, 'تحليل مبيعات'!H:H)=0,"",SUMIF('تحليل مبيعات'!C:C, 'حركة المخزن'!B580, 'تحليل مبيعات'!H:H)),"")</f>
        <v/>
      </c>
      <c r="J580" s="10" t="str">
        <f>IFERROR(IF(SUMIF('تحليل مبيعات'!C:C, 'حركة المخزن'!B580, 'تحليل مبيعات'!L:L)=0,"",SUMIF('تحليل مبيعات'!C:C, 'حركة المخزن'!B580, 'تحليل مبيعات'!L:L)),"")</f>
        <v/>
      </c>
      <c r="K580" s="10" t="str">
        <f t="shared" si="30"/>
        <v/>
      </c>
      <c r="L580" s="10" t="str">
        <f t="shared" si="31"/>
        <v/>
      </c>
      <c r="M580">
        <v>5</v>
      </c>
      <c r="N580" t="str">
        <f t="shared" si="32"/>
        <v>يوجد رصيد كافى</v>
      </c>
    </row>
    <row r="581" spans="7:14" x14ac:dyDescent="0.3">
      <c r="G581" t="str">
        <f>IFERROR(IF(SUMIF(المشتريات!C:C, 'حركة المخزن'!B581, المشتريات!F:F)=0,"",SUMIF(المشتريات!C:C, 'حركة المخزن'!B581, المشتريات!F:F)),"")</f>
        <v/>
      </c>
      <c r="H581" s="10" t="str">
        <f>IFERROR(IF(SUMIF(المشتريات!C:C, 'حركة المخزن'!B581, المشتريات!I:I)=0,"",SUMIF(المشتريات!C:C, 'حركة المخزن'!B581, المشتريات!I:I)),"")</f>
        <v/>
      </c>
      <c r="I581" s="10" t="str">
        <f>IFERROR(IF(SUMIF('تحليل مبيعات'!C:C, 'حركة المخزن'!B581, 'تحليل مبيعات'!H:H)=0,"",SUMIF('تحليل مبيعات'!C:C, 'حركة المخزن'!B581, 'تحليل مبيعات'!H:H)),"")</f>
        <v/>
      </c>
      <c r="J581" s="10" t="str">
        <f>IFERROR(IF(SUMIF('تحليل مبيعات'!C:C, 'حركة المخزن'!B581, 'تحليل مبيعات'!L:L)=0,"",SUMIF('تحليل مبيعات'!C:C, 'حركة المخزن'!B581, 'تحليل مبيعات'!L:L)),"")</f>
        <v/>
      </c>
      <c r="K581" s="10" t="str">
        <f t="shared" si="30"/>
        <v/>
      </c>
      <c r="L581" s="10" t="str">
        <f t="shared" si="31"/>
        <v/>
      </c>
      <c r="M581">
        <v>5</v>
      </c>
      <c r="N581" t="str">
        <f t="shared" si="32"/>
        <v>يوجد رصيد كافى</v>
      </c>
    </row>
    <row r="582" spans="7:14" x14ac:dyDescent="0.3">
      <c r="G582" t="str">
        <f>IFERROR(IF(SUMIF(المشتريات!C:C, 'حركة المخزن'!B582, المشتريات!F:F)=0,"",SUMIF(المشتريات!C:C, 'حركة المخزن'!B582, المشتريات!F:F)),"")</f>
        <v/>
      </c>
      <c r="H582" s="10" t="str">
        <f>IFERROR(IF(SUMIF(المشتريات!C:C, 'حركة المخزن'!B582, المشتريات!I:I)=0,"",SUMIF(المشتريات!C:C, 'حركة المخزن'!B582, المشتريات!I:I)),"")</f>
        <v/>
      </c>
      <c r="I582" s="10" t="str">
        <f>IFERROR(IF(SUMIF('تحليل مبيعات'!C:C, 'حركة المخزن'!B582, 'تحليل مبيعات'!H:H)=0,"",SUMIF('تحليل مبيعات'!C:C, 'حركة المخزن'!B582, 'تحليل مبيعات'!H:H)),"")</f>
        <v/>
      </c>
      <c r="J582" s="10" t="str">
        <f>IFERROR(IF(SUMIF('تحليل مبيعات'!C:C, 'حركة المخزن'!B582, 'تحليل مبيعات'!L:L)=0,"",SUMIF('تحليل مبيعات'!C:C, 'حركة المخزن'!B582, 'تحليل مبيعات'!L:L)),"")</f>
        <v/>
      </c>
      <c r="K582" s="10" t="str">
        <f t="shared" si="30"/>
        <v/>
      </c>
      <c r="L582" s="10" t="str">
        <f t="shared" si="31"/>
        <v/>
      </c>
      <c r="M582">
        <v>5</v>
      </c>
      <c r="N582" t="str">
        <f t="shared" si="32"/>
        <v>يوجد رصيد كافى</v>
      </c>
    </row>
    <row r="583" spans="7:14" x14ac:dyDescent="0.3">
      <c r="G583" t="str">
        <f>IFERROR(IF(SUMIF(المشتريات!C:C, 'حركة المخزن'!B583, المشتريات!F:F)=0,"",SUMIF(المشتريات!C:C, 'حركة المخزن'!B583, المشتريات!F:F)),"")</f>
        <v/>
      </c>
      <c r="H583" s="10" t="str">
        <f>IFERROR(IF(SUMIF(المشتريات!C:C, 'حركة المخزن'!B583, المشتريات!I:I)=0,"",SUMIF(المشتريات!C:C, 'حركة المخزن'!B583, المشتريات!I:I)),"")</f>
        <v/>
      </c>
      <c r="I583" s="10" t="str">
        <f>IFERROR(IF(SUMIF('تحليل مبيعات'!C:C, 'حركة المخزن'!B583, 'تحليل مبيعات'!H:H)=0,"",SUMIF('تحليل مبيعات'!C:C, 'حركة المخزن'!B583, 'تحليل مبيعات'!H:H)),"")</f>
        <v/>
      </c>
      <c r="J583" s="10" t="str">
        <f>IFERROR(IF(SUMIF('تحليل مبيعات'!C:C, 'حركة المخزن'!B583, 'تحليل مبيعات'!L:L)=0,"",SUMIF('تحليل مبيعات'!C:C, 'حركة المخزن'!B583, 'تحليل مبيعات'!L:L)),"")</f>
        <v/>
      </c>
      <c r="K583" s="10" t="str">
        <f t="shared" si="30"/>
        <v/>
      </c>
      <c r="L583" s="10" t="str">
        <f t="shared" si="31"/>
        <v/>
      </c>
      <c r="M583">
        <v>5</v>
      </c>
      <c r="N583" t="str">
        <f t="shared" si="32"/>
        <v>يوجد رصيد كافى</v>
      </c>
    </row>
    <row r="584" spans="7:14" x14ac:dyDescent="0.3">
      <c r="G584" t="str">
        <f>IFERROR(IF(SUMIF(المشتريات!C:C, 'حركة المخزن'!B584, المشتريات!F:F)=0,"",SUMIF(المشتريات!C:C, 'حركة المخزن'!B584, المشتريات!F:F)),"")</f>
        <v/>
      </c>
      <c r="H584" s="10" t="str">
        <f>IFERROR(IF(SUMIF(المشتريات!C:C, 'حركة المخزن'!B584, المشتريات!I:I)=0,"",SUMIF(المشتريات!C:C, 'حركة المخزن'!B584, المشتريات!I:I)),"")</f>
        <v/>
      </c>
      <c r="I584" s="10" t="str">
        <f>IFERROR(IF(SUMIF('تحليل مبيعات'!C:C, 'حركة المخزن'!B584, 'تحليل مبيعات'!H:H)=0,"",SUMIF('تحليل مبيعات'!C:C, 'حركة المخزن'!B584, 'تحليل مبيعات'!H:H)),"")</f>
        <v/>
      </c>
      <c r="J584" s="10" t="str">
        <f>IFERROR(IF(SUMIF('تحليل مبيعات'!C:C, 'حركة المخزن'!B584, 'تحليل مبيعات'!L:L)=0,"",SUMIF('تحليل مبيعات'!C:C, 'حركة المخزن'!B584, 'تحليل مبيعات'!L:L)),"")</f>
        <v/>
      </c>
      <c r="K584" s="10" t="str">
        <f t="shared" si="30"/>
        <v/>
      </c>
      <c r="L584" s="10" t="str">
        <f t="shared" si="31"/>
        <v/>
      </c>
      <c r="M584">
        <v>5</v>
      </c>
      <c r="N584" t="str">
        <f t="shared" si="32"/>
        <v>يوجد رصيد كافى</v>
      </c>
    </row>
    <row r="585" spans="7:14" x14ac:dyDescent="0.3">
      <c r="G585" t="str">
        <f>IFERROR(IF(SUMIF(المشتريات!C:C, 'حركة المخزن'!B585, المشتريات!F:F)=0,"",SUMIF(المشتريات!C:C, 'حركة المخزن'!B585, المشتريات!F:F)),"")</f>
        <v/>
      </c>
      <c r="H585" s="10" t="str">
        <f>IFERROR(IF(SUMIF(المشتريات!C:C, 'حركة المخزن'!B585, المشتريات!I:I)=0,"",SUMIF(المشتريات!C:C, 'حركة المخزن'!B585, المشتريات!I:I)),"")</f>
        <v/>
      </c>
      <c r="I585" s="10" t="str">
        <f>IFERROR(IF(SUMIF('تحليل مبيعات'!C:C, 'حركة المخزن'!B585, 'تحليل مبيعات'!H:H)=0,"",SUMIF('تحليل مبيعات'!C:C, 'حركة المخزن'!B585, 'تحليل مبيعات'!H:H)),"")</f>
        <v/>
      </c>
      <c r="J585" s="10" t="str">
        <f>IFERROR(IF(SUMIF('تحليل مبيعات'!C:C, 'حركة المخزن'!B585, 'تحليل مبيعات'!L:L)=0,"",SUMIF('تحليل مبيعات'!C:C, 'حركة المخزن'!B585, 'تحليل مبيعات'!L:L)),"")</f>
        <v/>
      </c>
      <c r="K585" s="10" t="str">
        <f t="shared" ref="K585:K648" si="33">IFERROR(E585+G585-I585,"")</f>
        <v/>
      </c>
      <c r="L585" s="10" t="str">
        <f t="shared" ref="L585:L648" si="34">IFERROR(F585+H585-J585,"")</f>
        <v/>
      </c>
      <c r="M585">
        <v>5</v>
      </c>
      <c r="N585" t="str">
        <f t="shared" ref="N585:N648" si="35">IF(K585&lt;M585,"أعادة الطلب","يوجد رصيد كافى")</f>
        <v>يوجد رصيد كافى</v>
      </c>
    </row>
    <row r="586" spans="7:14" x14ac:dyDescent="0.3">
      <c r="G586" t="str">
        <f>IFERROR(IF(SUMIF(المشتريات!C:C, 'حركة المخزن'!B586, المشتريات!F:F)=0,"",SUMIF(المشتريات!C:C, 'حركة المخزن'!B586, المشتريات!F:F)),"")</f>
        <v/>
      </c>
      <c r="H586" s="10" t="str">
        <f>IFERROR(IF(SUMIF(المشتريات!C:C, 'حركة المخزن'!B586, المشتريات!I:I)=0,"",SUMIF(المشتريات!C:C, 'حركة المخزن'!B586, المشتريات!I:I)),"")</f>
        <v/>
      </c>
      <c r="I586" s="10" t="str">
        <f>IFERROR(IF(SUMIF('تحليل مبيعات'!C:C, 'حركة المخزن'!B586, 'تحليل مبيعات'!H:H)=0,"",SUMIF('تحليل مبيعات'!C:C, 'حركة المخزن'!B586, 'تحليل مبيعات'!H:H)),"")</f>
        <v/>
      </c>
      <c r="J586" s="10" t="str">
        <f>IFERROR(IF(SUMIF('تحليل مبيعات'!C:C, 'حركة المخزن'!B586, 'تحليل مبيعات'!L:L)=0,"",SUMIF('تحليل مبيعات'!C:C, 'حركة المخزن'!B586, 'تحليل مبيعات'!L:L)),"")</f>
        <v/>
      </c>
      <c r="K586" s="10" t="str">
        <f t="shared" si="33"/>
        <v/>
      </c>
      <c r="L586" s="10" t="str">
        <f t="shared" si="34"/>
        <v/>
      </c>
      <c r="M586">
        <v>5</v>
      </c>
      <c r="N586" t="str">
        <f t="shared" si="35"/>
        <v>يوجد رصيد كافى</v>
      </c>
    </row>
    <row r="587" spans="7:14" x14ac:dyDescent="0.3">
      <c r="G587" t="str">
        <f>IFERROR(IF(SUMIF(المشتريات!C:C, 'حركة المخزن'!B587, المشتريات!F:F)=0,"",SUMIF(المشتريات!C:C, 'حركة المخزن'!B587, المشتريات!F:F)),"")</f>
        <v/>
      </c>
      <c r="H587" s="10" t="str">
        <f>IFERROR(IF(SUMIF(المشتريات!C:C, 'حركة المخزن'!B587, المشتريات!I:I)=0,"",SUMIF(المشتريات!C:C, 'حركة المخزن'!B587, المشتريات!I:I)),"")</f>
        <v/>
      </c>
      <c r="I587" s="10" t="str">
        <f>IFERROR(IF(SUMIF('تحليل مبيعات'!C:C, 'حركة المخزن'!B587, 'تحليل مبيعات'!H:H)=0,"",SUMIF('تحليل مبيعات'!C:C, 'حركة المخزن'!B587, 'تحليل مبيعات'!H:H)),"")</f>
        <v/>
      </c>
      <c r="J587" s="10" t="str">
        <f>IFERROR(IF(SUMIF('تحليل مبيعات'!C:C, 'حركة المخزن'!B587, 'تحليل مبيعات'!L:L)=0,"",SUMIF('تحليل مبيعات'!C:C, 'حركة المخزن'!B587, 'تحليل مبيعات'!L:L)),"")</f>
        <v/>
      </c>
      <c r="K587" s="10" t="str">
        <f t="shared" si="33"/>
        <v/>
      </c>
      <c r="L587" s="10" t="str">
        <f t="shared" si="34"/>
        <v/>
      </c>
      <c r="M587">
        <v>5</v>
      </c>
      <c r="N587" t="str">
        <f t="shared" si="35"/>
        <v>يوجد رصيد كافى</v>
      </c>
    </row>
    <row r="588" spans="7:14" x14ac:dyDescent="0.3">
      <c r="G588" t="str">
        <f>IFERROR(IF(SUMIF(المشتريات!C:C, 'حركة المخزن'!B588, المشتريات!F:F)=0,"",SUMIF(المشتريات!C:C, 'حركة المخزن'!B588, المشتريات!F:F)),"")</f>
        <v/>
      </c>
      <c r="H588" s="10" t="str">
        <f>IFERROR(IF(SUMIF(المشتريات!C:C, 'حركة المخزن'!B588, المشتريات!I:I)=0,"",SUMIF(المشتريات!C:C, 'حركة المخزن'!B588, المشتريات!I:I)),"")</f>
        <v/>
      </c>
      <c r="I588" s="10" t="str">
        <f>IFERROR(IF(SUMIF('تحليل مبيعات'!C:C, 'حركة المخزن'!B588, 'تحليل مبيعات'!H:H)=0,"",SUMIF('تحليل مبيعات'!C:C, 'حركة المخزن'!B588, 'تحليل مبيعات'!H:H)),"")</f>
        <v/>
      </c>
      <c r="J588" s="10" t="str">
        <f>IFERROR(IF(SUMIF('تحليل مبيعات'!C:C, 'حركة المخزن'!B588, 'تحليل مبيعات'!L:L)=0,"",SUMIF('تحليل مبيعات'!C:C, 'حركة المخزن'!B588, 'تحليل مبيعات'!L:L)),"")</f>
        <v/>
      </c>
      <c r="K588" s="10" t="str">
        <f t="shared" si="33"/>
        <v/>
      </c>
      <c r="L588" s="10" t="str">
        <f t="shared" si="34"/>
        <v/>
      </c>
      <c r="M588">
        <v>5</v>
      </c>
      <c r="N588" t="str">
        <f t="shared" si="35"/>
        <v>يوجد رصيد كافى</v>
      </c>
    </row>
    <row r="589" spans="7:14" x14ac:dyDescent="0.3">
      <c r="G589" t="str">
        <f>IFERROR(IF(SUMIF(المشتريات!C:C, 'حركة المخزن'!B589, المشتريات!F:F)=0,"",SUMIF(المشتريات!C:C, 'حركة المخزن'!B589, المشتريات!F:F)),"")</f>
        <v/>
      </c>
      <c r="H589" s="10" t="str">
        <f>IFERROR(IF(SUMIF(المشتريات!C:C, 'حركة المخزن'!B589, المشتريات!I:I)=0,"",SUMIF(المشتريات!C:C, 'حركة المخزن'!B589, المشتريات!I:I)),"")</f>
        <v/>
      </c>
      <c r="I589" s="10" t="str">
        <f>IFERROR(IF(SUMIF('تحليل مبيعات'!C:C, 'حركة المخزن'!B589, 'تحليل مبيعات'!H:H)=0,"",SUMIF('تحليل مبيعات'!C:C, 'حركة المخزن'!B589, 'تحليل مبيعات'!H:H)),"")</f>
        <v/>
      </c>
      <c r="J589" s="10" t="str">
        <f>IFERROR(IF(SUMIF('تحليل مبيعات'!C:C, 'حركة المخزن'!B589, 'تحليل مبيعات'!L:L)=0,"",SUMIF('تحليل مبيعات'!C:C, 'حركة المخزن'!B589, 'تحليل مبيعات'!L:L)),"")</f>
        <v/>
      </c>
      <c r="K589" s="10" t="str">
        <f t="shared" si="33"/>
        <v/>
      </c>
      <c r="L589" s="10" t="str">
        <f t="shared" si="34"/>
        <v/>
      </c>
      <c r="M589">
        <v>5</v>
      </c>
      <c r="N589" t="str">
        <f t="shared" si="35"/>
        <v>يوجد رصيد كافى</v>
      </c>
    </row>
    <row r="590" spans="7:14" x14ac:dyDescent="0.3">
      <c r="G590" t="str">
        <f>IFERROR(IF(SUMIF(المشتريات!C:C, 'حركة المخزن'!B590, المشتريات!F:F)=0,"",SUMIF(المشتريات!C:C, 'حركة المخزن'!B590, المشتريات!F:F)),"")</f>
        <v/>
      </c>
      <c r="H590" s="10" t="str">
        <f>IFERROR(IF(SUMIF(المشتريات!C:C, 'حركة المخزن'!B590, المشتريات!I:I)=0,"",SUMIF(المشتريات!C:C, 'حركة المخزن'!B590, المشتريات!I:I)),"")</f>
        <v/>
      </c>
      <c r="I590" s="10" t="str">
        <f>IFERROR(IF(SUMIF('تحليل مبيعات'!C:C, 'حركة المخزن'!B590, 'تحليل مبيعات'!H:H)=0,"",SUMIF('تحليل مبيعات'!C:C, 'حركة المخزن'!B590, 'تحليل مبيعات'!H:H)),"")</f>
        <v/>
      </c>
      <c r="J590" s="10" t="str">
        <f>IFERROR(IF(SUMIF('تحليل مبيعات'!C:C, 'حركة المخزن'!B590, 'تحليل مبيعات'!L:L)=0,"",SUMIF('تحليل مبيعات'!C:C, 'حركة المخزن'!B590, 'تحليل مبيعات'!L:L)),"")</f>
        <v/>
      </c>
      <c r="K590" s="10" t="str">
        <f t="shared" si="33"/>
        <v/>
      </c>
      <c r="L590" s="10" t="str">
        <f t="shared" si="34"/>
        <v/>
      </c>
      <c r="M590">
        <v>5</v>
      </c>
      <c r="N590" t="str">
        <f t="shared" si="35"/>
        <v>يوجد رصيد كافى</v>
      </c>
    </row>
    <row r="591" spans="7:14" x14ac:dyDescent="0.3">
      <c r="G591" t="str">
        <f>IFERROR(IF(SUMIF(المشتريات!C:C, 'حركة المخزن'!B591, المشتريات!F:F)=0,"",SUMIF(المشتريات!C:C, 'حركة المخزن'!B591, المشتريات!F:F)),"")</f>
        <v/>
      </c>
      <c r="H591" s="10" t="str">
        <f>IFERROR(IF(SUMIF(المشتريات!C:C, 'حركة المخزن'!B591, المشتريات!I:I)=0,"",SUMIF(المشتريات!C:C, 'حركة المخزن'!B591, المشتريات!I:I)),"")</f>
        <v/>
      </c>
      <c r="I591" s="10" t="str">
        <f>IFERROR(IF(SUMIF('تحليل مبيعات'!C:C, 'حركة المخزن'!B591, 'تحليل مبيعات'!H:H)=0,"",SUMIF('تحليل مبيعات'!C:C, 'حركة المخزن'!B591, 'تحليل مبيعات'!H:H)),"")</f>
        <v/>
      </c>
      <c r="J591" s="10" t="str">
        <f>IFERROR(IF(SUMIF('تحليل مبيعات'!C:C, 'حركة المخزن'!B591, 'تحليل مبيعات'!L:L)=0,"",SUMIF('تحليل مبيعات'!C:C, 'حركة المخزن'!B591, 'تحليل مبيعات'!L:L)),"")</f>
        <v/>
      </c>
      <c r="K591" s="10" t="str">
        <f t="shared" si="33"/>
        <v/>
      </c>
      <c r="L591" s="10" t="str">
        <f t="shared" si="34"/>
        <v/>
      </c>
      <c r="M591">
        <v>5</v>
      </c>
      <c r="N591" t="str">
        <f t="shared" si="35"/>
        <v>يوجد رصيد كافى</v>
      </c>
    </row>
    <row r="592" spans="7:14" x14ac:dyDescent="0.3">
      <c r="G592" t="str">
        <f>IFERROR(IF(SUMIF(المشتريات!C:C, 'حركة المخزن'!B592, المشتريات!F:F)=0,"",SUMIF(المشتريات!C:C, 'حركة المخزن'!B592, المشتريات!F:F)),"")</f>
        <v/>
      </c>
      <c r="H592" s="10" t="str">
        <f>IFERROR(IF(SUMIF(المشتريات!C:C, 'حركة المخزن'!B592, المشتريات!I:I)=0,"",SUMIF(المشتريات!C:C, 'حركة المخزن'!B592, المشتريات!I:I)),"")</f>
        <v/>
      </c>
      <c r="I592" s="10" t="str">
        <f>IFERROR(IF(SUMIF('تحليل مبيعات'!C:C, 'حركة المخزن'!B592, 'تحليل مبيعات'!H:H)=0,"",SUMIF('تحليل مبيعات'!C:C, 'حركة المخزن'!B592, 'تحليل مبيعات'!H:H)),"")</f>
        <v/>
      </c>
      <c r="J592" s="10" t="str">
        <f>IFERROR(IF(SUMIF('تحليل مبيعات'!C:C, 'حركة المخزن'!B592, 'تحليل مبيعات'!L:L)=0,"",SUMIF('تحليل مبيعات'!C:C, 'حركة المخزن'!B592, 'تحليل مبيعات'!L:L)),"")</f>
        <v/>
      </c>
      <c r="K592" s="10" t="str">
        <f t="shared" si="33"/>
        <v/>
      </c>
      <c r="L592" s="10" t="str">
        <f t="shared" si="34"/>
        <v/>
      </c>
      <c r="M592">
        <v>5</v>
      </c>
      <c r="N592" t="str">
        <f t="shared" si="35"/>
        <v>يوجد رصيد كافى</v>
      </c>
    </row>
    <row r="593" spans="7:14" x14ac:dyDescent="0.3">
      <c r="G593" t="str">
        <f>IFERROR(IF(SUMIF(المشتريات!C:C, 'حركة المخزن'!B593, المشتريات!F:F)=0,"",SUMIF(المشتريات!C:C, 'حركة المخزن'!B593, المشتريات!F:F)),"")</f>
        <v/>
      </c>
      <c r="H593" s="10" t="str">
        <f>IFERROR(IF(SUMIF(المشتريات!C:C, 'حركة المخزن'!B593, المشتريات!I:I)=0,"",SUMIF(المشتريات!C:C, 'حركة المخزن'!B593, المشتريات!I:I)),"")</f>
        <v/>
      </c>
      <c r="I593" s="10" t="str">
        <f>IFERROR(IF(SUMIF('تحليل مبيعات'!C:C, 'حركة المخزن'!B593, 'تحليل مبيعات'!H:H)=0,"",SUMIF('تحليل مبيعات'!C:C, 'حركة المخزن'!B593, 'تحليل مبيعات'!H:H)),"")</f>
        <v/>
      </c>
      <c r="J593" s="10" t="str">
        <f>IFERROR(IF(SUMIF('تحليل مبيعات'!C:C, 'حركة المخزن'!B593, 'تحليل مبيعات'!L:L)=0,"",SUMIF('تحليل مبيعات'!C:C, 'حركة المخزن'!B593, 'تحليل مبيعات'!L:L)),"")</f>
        <v/>
      </c>
      <c r="K593" s="10" t="str">
        <f t="shared" si="33"/>
        <v/>
      </c>
      <c r="L593" s="10" t="str">
        <f t="shared" si="34"/>
        <v/>
      </c>
      <c r="M593">
        <v>5</v>
      </c>
      <c r="N593" t="str">
        <f t="shared" si="35"/>
        <v>يوجد رصيد كافى</v>
      </c>
    </row>
    <row r="594" spans="7:14" x14ac:dyDescent="0.3">
      <c r="G594" t="str">
        <f>IFERROR(IF(SUMIF(المشتريات!C:C, 'حركة المخزن'!B594, المشتريات!F:F)=0,"",SUMIF(المشتريات!C:C, 'حركة المخزن'!B594, المشتريات!F:F)),"")</f>
        <v/>
      </c>
      <c r="H594" s="10" t="str">
        <f>IFERROR(IF(SUMIF(المشتريات!C:C, 'حركة المخزن'!B594, المشتريات!I:I)=0,"",SUMIF(المشتريات!C:C, 'حركة المخزن'!B594, المشتريات!I:I)),"")</f>
        <v/>
      </c>
      <c r="I594" s="10" t="str">
        <f>IFERROR(IF(SUMIF('تحليل مبيعات'!C:C, 'حركة المخزن'!B594, 'تحليل مبيعات'!H:H)=0,"",SUMIF('تحليل مبيعات'!C:C, 'حركة المخزن'!B594, 'تحليل مبيعات'!H:H)),"")</f>
        <v/>
      </c>
      <c r="J594" s="10" t="str">
        <f>IFERROR(IF(SUMIF('تحليل مبيعات'!C:C, 'حركة المخزن'!B594, 'تحليل مبيعات'!L:L)=0,"",SUMIF('تحليل مبيعات'!C:C, 'حركة المخزن'!B594, 'تحليل مبيعات'!L:L)),"")</f>
        <v/>
      </c>
      <c r="K594" s="10" t="str">
        <f t="shared" si="33"/>
        <v/>
      </c>
      <c r="L594" s="10" t="str">
        <f t="shared" si="34"/>
        <v/>
      </c>
      <c r="M594">
        <v>5</v>
      </c>
      <c r="N594" t="str">
        <f t="shared" si="35"/>
        <v>يوجد رصيد كافى</v>
      </c>
    </row>
    <row r="595" spans="7:14" x14ac:dyDescent="0.3">
      <c r="G595" t="str">
        <f>IFERROR(IF(SUMIF(المشتريات!C:C, 'حركة المخزن'!B595, المشتريات!F:F)=0,"",SUMIF(المشتريات!C:C, 'حركة المخزن'!B595, المشتريات!F:F)),"")</f>
        <v/>
      </c>
      <c r="H595" s="10" t="str">
        <f>IFERROR(IF(SUMIF(المشتريات!C:C, 'حركة المخزن'!B595, المشتريات!I:I)=0,"",SUMIF(المشتريات!C:C, 'حركة المخزن'!B595, المشتريات!I:I)),"")</f>
        <v/>
      </c>
      <c r="I595" s="10" t="str">
        <f>IFERROR(IF(SUMIF('تحليل مبيعات'!C:C, 'حركة المخزن'!B595, 'تحليل مبيعات'!H:H)=0,"",SUMIF('تحليل مبيعات'!C:C, 'حركة المخزن'!B595, 'تحليل مبيعات'!H:H)),"")</f>
        <v/>
      </c>
      <c r="J595" s="10" t="str">
        <f>IFERROR(IF(SUMIF('تحليل مبيعات'!C:C, 'حركة المخزن'!B595, 'تحليل مبيعات'!L:L)=0,"",SUMIF('تحليل مبيعات'!C:C, 'حركة المخزن'!B595, 'تحليل مبيعات'!L:L)),"")</f>
        <v/>
      </c>
      <c r="K595" s="10" t="str">
        <f t="shared" si="33"/>
        <v/>
      </c>
      <c r="L595" s="10" t="str">
        <f t="shared" si="34"/>
        <v/>
      </c>
      <c r="M595">
        <v>5</v>
      </c>
      <c r="N595" t="str">
        <f t="shared" si="35"/>
        <v>يوجد رصيد كافى</v>
      </c>
    </row>
    <row r="596" spans="7:14" x14ac:dyDescent="0.3">
      <c r="G596" t="str">
        <f>IFERROR(IF(SUMIF(المشتريات!C:C, 'حركة المخزن'!B596, المشتريات!F:F)=0,"",SUMIF(المشتريات!C:C, 'حركة المخزن'!B596, المشتريات!F:F)),"")</f>
        <v/>
      </c>
      <c r="H596" s="10" t="str">
        <f>IFERROR(IF(SUMIF(المشتريات!C:C, 'حركة المخزن'!B596, المشتريات!I:I)=0,"",SUMIF(المشتريات!C:C, 'حركة المخزن'!B596, المشتريات!I:I)),"")</f>
        <v/>
      </c>
      <c r="I596" s="10" t="str">
        <f>IFERROR(IF(SUMIF('تحليل مبيعات'!C:C, 'حركة المخزن'!B596, 'تحليل مبيعات'!H:H)=0,"",SUMIF('تحليل مبيعات'!C:C, 'حركة المخزن'!B596, 'تحليل مبيعات'!H:H)),"")</f>
        <v/>
      </c>
      <c r="J596" s="10" t="str">
        <f>IFERROR(IF(SUMIF('تحليل مبيعات'!C:C, 'حركة المخزن'!B596, 'تحليل مبيعات'!L:L)=0,"",SUMIF('تحليل مبيعات'!C:C, 'حركة المخزن'!B596, 'تحليل مبيعات'!L:L)),"")</f>
        <v/>
      </c>
      <c r="K596" s="10" t="str">
        <f t="shared" si="33"/>
        <v/>
      </c>
      <c r="L596" s="10" t="str">
        <f t="shared" si="34"/>
        <v/>
      </c>
      <c r="M596">
        <v>5</v>
      </c>
      <c r="N596" t="str">
        <f t="shared" si="35"/>
        <v>يوجد رصيد كافى</v>
      </c>
    </row>
    <row r="597" spans="7:14" x14ac:dyDescent="0.3">
      <c r="G597" t="str">
        <f>IFERROR(IF(SUMIF(المشتريات!C:C, 'حركة المخزن'!B597, المشتريات!F:F)=0,"",SUMIF(المشتريات!C:C, 'حركة المخزن'!B597, المشتريات!F:F)),"")</f>
        <v/>
      </c>
      <c r="H597" s="10" t="str">
        <f>IFERROR(IF(SUMIF(المشتريات!C:C, 'حركة المخزن'!B597, المشتريات!I:I)=0,"",SUMIF(المشتريات!C:C, 'حركة المخزن'!B597, المشتريات!I:I)),"")</f>
        <v/>
      </c>
      <c r="I597" s="10" t="str">
        <f>IFERROR(IF(SUMIF('تحليل مبيعات'!C:C, 'حركة المخزن'!B597, 'تحليل مبيعات'!H:H)=0,"",SUMIF('تحليل مبيعات'!C:C, 'حركة المخزن'!B597, 'تحليل مبيعات'!H:H)),"")</f>
        <v/>
      </c>
      <c r="J597" s="10" t="str">
        <f>IFERROR(IF(SUMIF('تحليل مبيعات'!C:C, 'حركة المخزن'!B597, 'تحليل مبيعات'!L:L)=0,"",SUMIF('تحليل مبيعات'!C:C, 'حركة المخزن'!B597, 'تحليل مبيعات'!L:L)),"")</f>
        <v/>
      </c>
      <c r="K597" s="10" t="str">
        <f t="shared" si="33"/>
        <v/>
      </c>
      <c r="L597" s="10" t="str">
        <f t="shared" si="34"/>
        <v/>
      </c>
      <c r="M597">
        <v>5</v>
      </c>
      <c r="N597" t="str">
        <f t="shared" si="35"/>
        <v>يوجد رصيد كافى</v>
      </c>
    </row>
    <row r="598" spans="7:14" x14ac:dyDescent="0.3">
      <c r="G598" t="str">
        <f>IFERROR(IF(SUMIF(المشتريات!C:C, 'حركة المخزن'!B598, المشتريات!F:F)=0,"",SUMIF(المشتريات!C:C, 'حركة المخزن'!B598, المشتريات!F:F)),"")</f>
        <v/>
      </c>
      <c r="H598" s="10" t="str">
        <f>IFERROR(IF(SUMIF(المشتريات!C:C, 'حركة المخزن'!B598, المشتريات!I:I)=0,"",SUMIF(المشتريات!C:C, 'حركة المخزن'!B598, المشتريات!I:I)),"")</f>
        <v/>
      </c>
      <c r="I598" s="10" t="str">
        <f>IFERROR(IF(SUMIF('تحليل مبيعات'!C:C, 'حركة المخزن'!B598, 'تحليل مبيعات'!H:H)=0,"",SUMIF('تحليل مبيعات'!C:C, 'حركة المخزن'!B598, 'تحليل مبيعات'!H:H)),"")</f>
        <v/>
      </c>
      <c r="J598" s="10" t="str">
        <f>IFERROR(IF(SUMIF('تحليل مبيعات'!C:C, 'حركة المخزن'!B598, 'تحليل مبيعات'!L:L)=0,"",SUMIF('تحليل مبيعات'!C:C, 'حركة المخزن'!B598, 'تحليل مبيعات'!L:L)),"")</f>
        <v/>
      </c>
      <c r="K598" s="10" t="str">
        <f t="shared" si="33"/>
        <v/>
      </c>
      <c r="L598" s="10" t="str">
        <f t="shared" si="34"/>
        <v/>
      </c>
      <c r="M598">
        <v>5</v>
      </c>
      <c r="N598" t="str">
        <f t="shared" si="35"/>
        <v>يوجد رصيد كافى</v>
      </c>
    </row>
    <row r="599" spans="7:14" x14ac:dyDescent="0.3">
      <c r="G599" t="str">
        <f>IFERROR(IF(SUMIF(المشتريات!C:C, 'حركة المخزن'!B599, المشتريات!F:F)=0,"",SUMIF(المشتريات!C:C, 'حركة المخزن'!B599, المشتريات!F:F)),"")</f>
        <v/>
      </c>
      <c r="H599" s="10" t="str">
        <f>IFERROR(IF(SUMIF(المشتريات!C:C, 'حركة المخزن'!B599, المشتريات!I:I)=0,"",SUMIF(المشتريات!C:C, 'حركة المخزن'!B599, المشتريات!I:I)),"")</f>
        <v/>
      </c>
      <c r="I599" s="10" t="str">
        <f>IFERROR(IF(SUMIF('تحليل مبيعات'!C:C, 'حركة المخزن'!B599, 'تحليل مبيعات'!H:H)=0,"",SUMIF('تحليل مبيعات'!C:C, 'حركة المخزن'!B599, 'تحليل مبيعات'!H:H)),"")</f>
        <v/>
      </c>
      <c r="J599" s="10" t="str">
        <f>IFERROR(IF(SUMIF('تحليل مبيعات'!C:C, 'حركة المخزن'!B599, 'تحليل مبيعات'!L:L)=0,"",SUMIF('تحليل مبيعات'!C:C, 'حركة المخزن'!B599, 'تحليل مبيعات'!L:L)),"")</f>
        <v/>
      </c>
      <c r="K599" s="10" t="str">
        <f t="shared" si="33"/>
        <v/>
      </c>
      <c r="L599" s="10" t="str">
        <f t="shared" si="34"/>
        <v/>
      </c>
      <c r="M599">
        <v>5</v>
      </c>
      <c r="N599" t="str">
        <f t="shared" si="35"/>
        <v>يوجد رصيد كافى</v>
      </c>
    </row>
    <row r="600" spans="7:14" x14ac:dyDescent="0.3">
      <c r="G600" t="str">
        <f>IFERROR(IF(SUMIF(المشتريات!C:C, 'حركة المخزن'!B600, المشتريات!F:F)=0,"",SUMIF(المشتريات!C:C, 'حركة المخزن'!B600, المشتريات!F:F)),"")</f>
        <v/>
      </c>
      <c r="H600" s="10" t="str">
        <f>IFERROR(IF(SUMIF(المشتريات!C:C, 'حركة المخزن'!B600, المشتريات!I:I)=0,"",SUMIF(المشتريات!C:C, 'حركة المخزن'!B600, المشتريات!I:I)),"")</f>
        <v/>
      </c>
      <c r="I600" s="10" t="str">
        <f>IFERROR(IF(SUMIF('تحليل مبيعات'!C:C, 'حركة المخزن'!B600, 'تحليل مبيعات'!H:H)=0,"",SUMIF('تحليل مبيعات'!C:C, 'حركة المخزن'!B600, 'تحليل مبيعات'!H:H)),"")</f>
        <v/>
      </c>
      <c r="J600" s="10" t="str">
        <f>IFERROR(IF(SUMIF('تحليل مبيعات'!C:C, 'حركة المخزن'!B600, 'تحليل مبيعات'!L:L)=0,"",SUMIF('تحليل مبيعات'!C:C, 'حركة المخزن'!B600, 'تحليل مبيعات'!L:L)),"")</f>
        <v/>
      </c>
      <c r="K600" s="10" t="str">
        <f t="shared" si="33"/>
        <v/>
      </c>
      <c r="L600" s="10" t="str">
        <f t="shared" si="34"/>
        <v/>
      </c>
      <c r="M600">
        <v>5</v>
      </c>
      <c r="N600" t="str">
        <f t="shared" si="35"/>
        <v>يوجد رصيد كافى</v>
      </c>
    </row>
    <row r="601" spans="7:14" x14ac:dyDescent="0.3">
      <c r="G601" t="str">
        <f>IFERROR(IF(SUMIF(المشتريات!C:C, 'حركة المخزن'!B601, المشتريات!F:F)=0,"",SUMIF(المشتريات!C:C, 'حركة المخزن'!B601, المشتريات!F:F)),"")</f>
        <v/>
      </c>
      <c r="H601" s="10" t="str">
        <f>IFERROR(IF(SUMIF(المشتريات!C:C, 'حركة المخزن'!B601, المشتريات!I:I)=0,"",SUMIF(المشتريات!C:C, 'حركة المخزن'!B601, المشتريات!I:I)),"")</f>
        <v/>
      </c>
      <c r="I601" s="10" t="str">
        <f>IFERROR(IF(SUMIF('تحليل مبيعات'!C:C, 'حركة المخزن'!B601, 'تحليل مبيعات'!H:H)=0,"",SUMIF('تحليل مبيعات'!C:C, 'حركة المخزن'!B601, 'تحليل مبيعات'!H:H)),"")</f>
        <v/>
      </c>
      <c r="J601" s="10" t="str">
        <f>IFERROR(IF(SUMIF('تحليل مبيعات'!C:C, 'حركة المخزن'!B601, 'تحليل مبيعات'!L:L)=0,"",SUMIF('تحليل مبيعات'!C:C, 'حركة المخزن'!B601, 'تحليل مبيعات'!L:L)),"")</f>
        <v/>
      </c>
      <c r="K601" s="10" t="str">
        <f t="shared" si="33"/>
        <v/>
      </c>
      <c r="L601" s="10" t="str">
        <f t="shared" si="34"/>
        <v/>
      </c>
      <c r="M601">
        <v>5</v>
      </c>
      <c r="N601" t="str">
        <f t="shared" si="35"/>
        <v>يوجد رصيد كافى</v>
      </c>
    </row>
    <row r="602" spans="7:14" x14ac:dyDescent="0.3">
      <c r="G602" t="str">
        <f>IFERROR(IF(SUMIF(المشتريات!C:C, 'حركة المخزن'!B602, المشتريات!F:F)=0,"",SUMIF(المشتريات!C:C, 'حركة المخزن'!B602, المشتريات!F:F)),"")</f>
        <v/>
      </c>
      <c r="H602" s="10" t="str">
        <f>IFERROR(IF(SUMIF(المشتريات!C:C, 'حركة المخزن'!B602, المشتريات!I:I)=0,"",SUMIF(المشتريات!C:C, 'حركة المخزن'!B602, المشتريات!I:I)),"")</f>
        <v/>
      </c>
      <c r="I602" s="10" t="str">
        <f>IFERROR(IF(SUMIF('تحليل مبيعات'!C:C, 'حركة المخزن'!B602, 'تحليل مبيعات'!H:H)=0,"",SUMIF('تحليل مبيعات'!C:C, 'حركة المخزن'!B602, 'تحليل مبيعات'!H:H)),"")</f>
        <v/>
      </c>
      <c r="J602" s="10" t="str">
        <f>IFERROR(IF(SUMIF('تحليل مبيعات'!C:C, 'حركة المخزن'!B602, 'تحليل مبيعات'!L:L)=0,"",SUMIF('تحليل مبيعات'!C:C, 'حركة المخزن'!B602, 'تحليل مبيعات'!L:L)),"")</f>
        <v/>
      </c>
      <c r="K602" s="10" t="str">
        <f t="shared" si="33"/>
        <v/>
      </c>
      <c r="L602" s="10" t="str">
        <f t="shared" si="34"/>
        <v/>
      </c>
      <c r="M602">
        <v>5</v>
      </c>
      <c r="N602" t="str">
        <f t="shared" si="35"/>
        <v>يوجد رصيد كافى</v>
      </c>
    </row>
    <row r="603" spans="7:14" x14ac:dyDescent="0.3">
      <c r="G603" t="str">
        <f>IFERROR(IF(SUMIF(المشتريات!C:C, 'حركة المخزن'!B603, المشتريات!F:F)=0,"",SUMIF(المشتريات!C:C, 'حركة المخزن'!B603, المشتريات!F:F)),"")</f>
        <v/>
      </c>
      <c r="H603" s="10" t="str">
        <f>IFERROR(IF(SUMIF(المشتريات!C:C, 'حركة المخزن'!B603, المشتريات!I:I)=0,"",SUMIF(المشتريات!C:C, 'حركة المخزن'!B603, المشتريات!I:I)),"")</f>
        <v/>
      </c>
      <c r="I603" s="10" t="str">
        <f>IFERROR(IF(SUMIF('تحليل مبيعات'!C:C, 'حركة المخزن'!B603, 'تحليل مبيعات'!H:H)=0,"",SUMIF('تحليل مبيعات'!C:C, 'حركة المخزن'!B603, 'تحليل مبيعات'!H:H)),"")</f>
        <v/>
      </c>
      <c r="J603" s="10" t="str">
        <f>IFERROR(IF(SUMIF('تحليل مبيعات'!C:C, 'حركة المخزن'!B603, 'تحليل مبيعات'!L:L)=0,"",SUMIF('تحليل مبيعات'!C:C, 'حركة المخزن'!B603, 'تحليل مبيعات'!L:L)),"")</f>
        <v/>
      </c>
      <c r="K603" s="10" t="str">
        <f t="shared" si="33"/>
        <v/>
      </c>
      <c r="L603" s="10" t="str">
        <f t="shared" si="34"/>
        <v/>
      </c>
      <c r="M603">
        <v>5</v>
      </c>
      <c r="N603" t="str">
        <f t="shared" si="35"/>
        <v>يوجد رصيد كافى</v>
      </c>
    </row>
    <row r="604" spans="7:14" x14ac:dyDescent="0.3">
      <c r="G604" t="str">
        <f>IFERROR(IF(SUMIF(المشتريات!C:C, 'حركة المخزن'!B604, المشتريات!F:F)=0,"",SUMIF(المشتريات!C:C, 'حركة المخزن'!B604, المشتريات!F:F)),"")</f>
        <v/>
      </c>
      <c r="H604" s="10" t="str">
        <f>IFERROR(IF(SUMIF(المشتريات!C:C, 'حركة المخزن'!B604, المشتريات!I:I)=0,"",SUMIF(المشتريات!C:C, 'حركة المخزن'!B604, المشتريات!I:I)),"")</f>
        <v/>
      </c>
      <c r="I604" s="10" t="str">
        <f>IFERROR(IF(SUMIF('تحليل مبيعات'!C:C, 'حركة المخزن'!B604, 'تحليل مبيعات'!H:H)=0,"",SUMIF('تحليل مبيعات'!C:C, 'حركة المخزن'!B604, 'تحليل مبيعات'!H:H)),"")</f>
        <v/>
      </c>
      <c r="J604" s="10" t="str">
        <f>IFERROR(IF(SUMIF('تحليل مبيعات'!C:C, 'حركة المخزن'!B604, 'تحليل مبيعات'!L:L)=0,"",SUMIF('تحليل مبيعات'!C:C, 'حركة المخزن'!B604, 'تحليل مبيعات'!L:L)),"")</f>
        <v/>
      </c>
      <c r="K604" s="10" t="str">
        <f t="shared" si="33"/>
        <v/>
      </c>
      <c r="L604" s="10" t="str">
        <f t="shared" si="34"/>
        <v/>
      </c>
      <c r="M604">
        <v>5</v>
      </c>
      <c r="N604" t="str">
        <f t="shared" si="35"/>
        <v>يوجد رصيد كافى</v>
      </c>
    </row>
    <row r="605" spans="7:14" x14ac:dyDescent="0.3">
      <c r="G605" t="str">
        <f>IFERROR(IF(SUMIF(المشتريات!C:C, 'حركة المخزن'!B605, المشتريات!F:F)=0,"",SUMIF(المشتريات!C:C, 'حركة المخزن'!B605, المشتريات!F:F)),"")</f>
        <v/>
      </c>
      <c r="H605" s="10" t="str">
        <f>IFERROR(IF(SUMIF(المشتريات!C:C, 'حركة المخزن'!B605, المشتريات!I:I)=0,"",SUMIF(المشتريات!C:C, 'حركة المخزن'!B605, المشتريات!I:I)),"")</f>
        <v/>
      </c>
      <c r="I605" s="10" t="str">
        <f>IFERROR(IF(SUMIF('تحليل مبيعات'!C:C, 'حركة المخزن'!B605, 'تحليل مبيعات'!H:H)=0,"",SUMIF('تحليل مبيعات'!C:C, 'حركة المخزن'!B605, 'تحليل مبيعات'!H:H)),"")</f>
        <v/>
      </c>
      <c r="J605" s="10" t="str">
        <f>IFERROR(IF(SUMIF('تحليل مبيعات'!C:C, 'حركة المخزن'!B605, 'تحليل مبيعات'!L:L)=0,"",SUMIF('تحليل مبيعات'!C:C, 'حركة المخزن'!B605, 'تحليل مبيعات'!L:L)),"")</f>
        <v/>
      </c>
      <c r="K605" s="10" t="str">
        <f t="shared" si="33"/>
        <v/>
      </c>
      <c r="L605" s="10" t="str">
        <f t="shared" si="34"/>
        <v/>
      </c>
      <c r="M605">
        <v>5</v>
      </c>
      <c r="N605" t="str">
        <f t="shared" si="35"/>
        <v>يوجد رصيد كافى</v>
      </c>
    </row>
    <row r="606" spans="7:14" x14ac:dyDescent="0.3">
      <c r="G606" t="str">
        <f>IFERROR(IF(SUMIF(المشتريات!C:C, 'حركة المخزن'!B606, المشتريات!F:F)=0,"",SUMIF(المشتريات!C:C, 'حركة المخزن'!B606, المشتريات!F:F)),"")</f>
        <v/>
      </c>
      <c r="H606" s="10" t="str">
        <f>IFERROR(IF(SUMIF(المشتريات!C:C, 'حركة المخزن'!B606, المشتريات!I:I)=0,"",SUMIF(المشتريات!C:C, 'حركة المخزن'!B606, المشتريات!I:I)),"")</f>
        <v/>
      </c>
      <c r="I606" s="10" t="str">
        <f>IFERROR(IF(SUMIF('تحليل مبيعات'!C:C, 'حركة المخزن'!B606, 'تحليل مبيعات'!H:H)=0,"",SUMIF('تحليل مبيعات'!C:C, 'حركة المخزن'!B606, 'تحليل مبيعات'!H:H)),"")</f>
        <v/>
      </c>
      <c r="J606" s="10" t="str">
        <f>IFERROR(IF(SUMIF('تحليل مبيعات'!C:C, 'حركة المخزن'!B606, 'تحليل مبيعات'!L:L)=0,"",SUMIF('تحليل مبيعات'!C:C, 'حركة المخزن'!B606, 'تحليل مبيعات'!L:L)),"")</f>
        <v/>
      </c>
      <c r="K606" s="10" t="str">
        <f t="shared" si="33"/>
        <v/>
      </c>
      <c r="L606" s="10" t="str">
        <f t="shared" si="34"/>
        <v/>
      </c>
      <c r="M606">
        <v>5</v>
      </c>
      <c r="N606" t="str">
        <f t="shared" si="35"/>
        <v>يوجد رصيد كافى</v>
      </c>
    </row>
    <row r="607" spans="7:14" x14ac:dyDescent="0.3">
      <c r="G607" t="str">
        <f>IFERROR(IF(SUMIF(المشتريات!C:C, 'حركة المخزن'!B607, المشتريات!F:F)=0,"",SUMIF(المشتريات!C:C, 'حركة المخزن'!B607, المشتريات!F:F)),"")</f>
        <v/>
      </c>
      <c r="H607" s="10" t="str">
        <f>IFERROR(IF(SUMIF(المشتريات!C:C, 'حركة المخزن'!B607, المشتريات!I:I)=0,"",SUMIF(المشتريات!C:C, 'حركة المخزن'!B607, المشتريات!I:I)),"")</f>
        <v/>
      </c>
      <c r="I607" s="10" t="str">
        <f>IFERROR(IF(SUMIF('تحليل مبيعات'!C:C, 'حركة المخزن'!B607, 'تحليل مبيعات'!H:H)=0,"",SUMIF('تحليل مبيعات'!C:C, 'حركة المخزن'!B607, 'تحليل مبيعات'!H:H)),"")</f>
        <v/>
      </c>
      <c r="J607" s="10" t="str">
        <f>IFERROR(IF(SUMIF('تحليل مبيعات'!C:C, 'حركة المخزن'!B607, 'تحليل مبيعات'!L:L)=0,"",SUMIF('تحليل مبيعات'!C:C, 'حركة المخزن'!B607, 'تحليل مبيعات'!L:L)),"")</f>
        <v/>
      </c>
      <c r="K607" s="10" t="str">
        <f t="shared" si="33"/>
        <v/>
      </c>
      <c r="L607" s="10" t="str">
        <f t="shared" si="34"/>
        <v/>
      </c>
      <c r="M607">
        <v>5</v>
      </c>
      <c r="N607" t="str">
        <f t="shared" si="35"/>
        <v>يوجد رصيد كافى</v>
      </c>
    </row>
    <row r="608" spans="7:14" x14ac:dyDescent="0.3">
      <c r="G608" t="str">
        <f>IFERROR(IF(SUMIF(المشتريات!C:C, 'حركة المخزن'!B608, المشتريات!F:F)=0,"",SUMIF(المشتريات!C:C, 'حركة المخزن'!B608, المشتريات!F:F)),"")</f>
        <v/>
      </c>
      <c r="H608" s="10" t="str">
        <f>IFERROR(IF(SUMIF(المشتريات!C:C, 'حركة المخزن'!B608, المشتريات!I:I)=0,"",SUMIF(المشتريات!C:C, 'حركة المخزن'!B608, المشتريات!I:I)),"")</f>
        <v/>
      </c>
      <c r="I608" s="10" t="str">
        <f>IFERROR(IF(SUMIF('تحليل مبيعات'!C:C, 'حركة المخزن'!B608, 'تحليل مبيعات'!H:H)=0,"",SUMIF('تحليل مبيعات'!C:C, 'حركة المخزن'!B608, 'تحليل مبيعات'!H:H)),"")</f>
        <v/>
      </c>
      <c r="J608" s="10" t="str">
        <f>IFERROR(IF(SUMIF('تحليل مبيعات'!C:C, 'حركة المخزن'!B608, 'تحليل مبيعات'!L:L)=0,"",SUMIF('تحليل مبيعات'!C:C, 'حركة المخزن'!B608, 'تحليل مبيعات'!L:L)),"")</f>
        <v/>
      </c>
      <c r="K608" s="10" t="str">
        <f t="shared" si="33"/>
        <v/>
      </c>
      <c r="L608" s="10" t="str">
        <f t="shared" si="34"/>
        <v/>
      </c>
      <c r="M608">
        <v>5</v>
      </c>
      <c r="N608" t="str">
        <f t="shared" si="35"/>
        <v>يوجد رصيد كافى</v>
      </c>
    </row>
    <row r="609" spans="7:14" x14ac:dyDescent="0.3">
      <c r="G609" t="str">
        <f>IFERROR(IF(SUMIF(المشتريات!C:C, 'حركة المخزن'!B609, المشتريات!F:F)=0,"",SUMIF(المشتريات!C:C, 'حركة المخزن'!B609, المشتريات!F:F)),"")</f>
        <v/>
      </c>
      <c r="H609" s="10" t="str">
        <f>IFERROR(IF(SUMIF(المشتريات!C:C, 'حركة المخزن'!B609, المشتريات!I:I)=0,"",SUMIF(المشتريات!C:C, 'حركة المخزن'!B609, المشتريات!I:I)),"")</f>
        <v/>
      </c>
      <c r="I609" s="10" t="str">
        <f>IFERROR(IF(SUMIF('تحليل مبيعات'!C:C, 'حركة المخزن'!B609, 'تحليل مبيعات'!H:H)=0,"",SUMIF('تحليل مبيعات'!C:C, 'حركة المخزن'!B609, 'تحليل مبيعات'!H:H)),"")</f>
        <v/>
      </c>
      <c r="J609" s="10" t="str">
        <f>IFERROR(IF(SUMIF('تحليل مبيعات'!C:C, 'حركة المخزن'!B609, 'تحليل مبيعات'!L:L)=0,"",SUMIF('تحليل مبيعات'!C:C, 'حركة المخزن'!B609, 'تحليل مبيعات'!L:L)),"")</f>
        <v/>
      </c>
      <c r="K609" s="10" t="str">
        <f t="shared" si="33"/>
        <v/>
      </c>
      <c r="L609" s="10" t="str">
        <f t="shared" si="34"/>
        <v/>
      </c>
      <c r="M609">
        <v>5</v>
      </c>
      <c r="N609" t="str">
        <f t="shared" si="35"/>
        <v>يوجد رصيد كافى</v>
      </c>
    </row>
    <row r="610" spans="7:14" x14ac:dyDescent="0.3">
      <c r="G610" t="str">
        <f>IFERROR(IF(SUMIF(المشتريات!C:C, 'حركة المخزن'!B610, المشتريات!F:F)=0,"",SUMIF(المشتريات!C:C, 'حركة المخزن'!B610, المشتريات!F:F)),"")</f>
        <v/>
      </c>
      <c r="H610" s="10" t="str">
        <f>IFERROR(IF(SUMIF(المشتريات!C:C, 'حركة المخزن'!B610, المشتريات!I:I)=0,"",SUMIF(المشتريات!C:C, 'حركة المخزن'!B610, المشتريات!I:I)),"")</f>
        <v/>
      </c>
      <c r="I610" s="10" t="str">
        <f>IFERROR(IF(SUMIF('تحليل مبيعات'!C:C, 'حركة المخزن'!B610, 'تحليل مبيعات'!H:H)=0,"",SUMIF('تحليل مبيعات'!C:C, 'حركة المخزن'!B610, 'تحليل مبيعات'!H:H)),"")</f>
        <v/>
      </c>
      <c r="J610" s="10" t="str">
        <f>IFERROR(IF(SUMIF('تحليل مبيعات'!C:C, 'حركة المخزن'!B610, 'تحليل مبيعات'!L:L)=0,"",SUMIF('تحليل مبيعات'!C:C, 'حركة المخزن'!B610, 'تحليل مبيعات'!L:L)),"")</f>
        <v/>
      </c>
      <c r="K610" s="10" t="str">
        <f t="shared" si="33"/>
        <v/>
      </c>
      <c r="L610" s="10" t="str">
        <f t="shared" si="34"/>
        <v/>
      </c>
      <c r="M610">
        <v>5</v>
      </c>
      <c r="N610" t="str">
        <f t="shared" si="35"/>
        <v>يوجد رصيد كافى</v>
      </c>
    </row>
    <row r="611" spans="7:14" x14ac:dyDescent="0.3">
      <c r="G611" t="str">
        <f>IFERROR(IF(SUMIF(المشتريات!C:C, 'حركة المخزن'!B611, المشتريات!F:F)=0,"",SUMIF(المشتريات!C:C, 'حركة المخزن'!B611, المشتريات!F:F)),"")</f>
        <v/>
      </c>
      <c r="H611" s="10" t="str">
        <f>IFERROR(IF(SUMIF(المشتريات!C:C, 'حركة المخزن'!B611, المشتريات!I:I)=0,"",SUMIF(المشتريات!C:C, 'حركة المخزن'!B611, المشتريات!I:I)),"")</f>
        <v/>
      </c>
      <c r="I611" s="10" t="str">
        <f>IFERROR(IF(SUMIF('تحليل مبيعات'!C:C, 'حركة المخزن'!B611, 'تحليل مبيعات'!H:H)=0,"",SUMIF('تحليل مبيعات'!C:C, 'حركة المخزن'!B611, 'تحليل مبيعات'!H:H)),"")</f>
        <v/>
      </c>
      <c r="J611" s="10" t="str">
        <f>IFERROR(IF(SUMIF('تحليل مبيعات'!C:C, 'حركة المخزن'!B611, 'تحليل مبيعات'!L:L)=0,"",SUMIF('تحليل مبيعات'!C:C, 'حركة المخزن'!B611, 'تحليل مبيعات'!L:L)),"")</f>
        <v/>
      </c>
      <c r="K611" s="10" t="str">
        <f t="shared" si="33"/>
        <v/>
      </c>
      <c r="L611" s="10" t="str">
        <f t="shared" si="34"/>
        <v/>
      </c>
      <c r="M611">
        <v>5</v>
      </c>
      <c r="N611" t="str">
        <f t="shared" si="35"/>
        <v>يوجد رصيد كافى</v>
      </c>
    </row>
    <row r="612" spans="7:14" x14ac:dyDescent="0.3">
      <c r="G612" t="str">
        <f>IFERROR(IF(SUMIF(المشتريات!C:C, 'حركة المخزن'!B612, المشتريات!F:F)=0,"",SUMIF(المشتريات!C:C, 'حركة المخزن'!B612, المشتريات!F:F)),"")</f>
        <v/>
      </c>
      <c r="H612" s="10" t="str">
        <f>IFERROR(IF(SUMIF(المشتريات!C:C, 'حركة المخزن'!B612, المشتريات!I:I)=0,"",SUMIF(المشتريات!C:C, 'حركة المخزن'!B612, المشتريات!I:I)),"")</f>
        <v/>
      </c>
      <c r="I612" s="10" t="str">
        <f>IFERROR(IF(SUMIF('تحليل مبيعات'!C:C, 'حركة المخزن'!B612, 'تحليل مبيعات'!H:H)=0,"",SUMIF('تحليل مبيعات'!C:C, 'حركة المخزن'!B612, 'تحليل مبيعات'!H:H)),"")</f>
        <v/>
      </c>
      <c r="J612" s="10" t="str">
        <f>IFERROR(IF(SUMIF('تحليل مبيعات'!C:C, 'حركة المخزن'!B612, 'تحليل مبيعات'!L:L)=0,"",SUMIF('تحليل مبيعات'!C:C, 'حركة المخزن'!B612, 'تحليل مبيعات'!L:L)),"")</f>
        <v/>
      </c>
      <c r="K612" s="10" t="str">
        <f t="shared" si="33"/>
        <v/>
      </c>
      <c r="L612" s="10" t="str">
        <f t="shared" si="34"/>
        <v/>
      </c>
      <c r="M612">
        <v>5</v>
      </c>
      <c r="N612" t="str">
        <f t="shared" si="35"/>
        <v>يوجد رصيد كافى</v>
      </c>
    </row>
    <row r="613" spans="7:14" x14ac:dyDescent="0.3">
      <c r="G613" t="str">
        <f>IFERROR(IF(SUMIF(المشتريات!C:C, 'حركة المخزن'!B613, المشتريات!F:F)=0,"",SUMIF(المشتريات!C:C, 'حركة المخزن'!B613, المشتريات!F:F)),"")</f>
        <v/>
      </c>
      <c r="H613" s="10" t="str">
        <f>IFERROR(IF(SUMIF(المشتريات!C:C, 'حركة المخزن'!B613, المشتريات!I:I)=0,"",SUMIF(المشتريات!C:C, 'حركة المخزن'!B613, المشتريات!I:I)),"")</f>
        <v/>
      </c>
      <c r="I613" s="10" t="str">
        <f>IFERROR(IF(SUMIF('تحليل مبيعات'!C:C, 'حركة المخزن'!B613, 'تحليل مبيعات'!H:H)=0,"",SUMIF('تحليل مبيعات'!C:C, 'حركة المخزن'!B613, 'تحليل مبيعات'!H:H)),"")</f>
        <v/>
      </c>
      <c r="J613" s="10" t="str">
        <f>IFERROR(IF(SUMIF('تحليل مبيعات'!C:C, 'حركة المخزن'!B613, 'تحليل مبيعات'!L:L)=0,"",SUMIF('تحليل مبيعات'!C:C, 'حركة المخزن'!B613, 'تحليل مبيعات'!L:L)),"")</f>
        <v/>
      </c>
      <c r="K613" s="10" t="str">
        <f t="shared" si="33"/>
        <v/>
      </c>
      <c r="L613" s="10" t="str">
        <f t="shared" si="34"/>
        <v/>
      </c>
      <c r="M613">
        <v>5</v>
      </c>
      <c r="N613" t="str">
        <f t="shared" si="35"/>
        <v>يوجد رصيد كافى</v>
      </c>
    </row>
    <row r="614" spans="7:14" x14ac:dyDescent="0.3">
      <c r="G614" t="str">
        <f>IFERROR(IF(SUMIF(المشتريات!C:C, 'حركة المخزن'!B614, المشتريات!F:F)=0,"",SUMIF(المشتريات!C:C, 'حركة المخزن'!B614, المشتريات!F:F)),"")</f>
        <v/>
      </c>
      <c r="H614" s="10" t="str">
        <f>IFERROR(IF(SUMIF(المشتريات!C:C, 'حركة المخزن'!B614, المشتريات!I:I)=0,"",SUMIF(المشتريات!C:C, 'حركة المخزن'!B614, المشتريات!I:I)),"")</f>
        <v/>
      </c>
      <c r="I614" s="10" t="str">
        <f>IFERROR(IF(SUMIF('تحليل مبيعات'!C:C, 'حركة المخزن'!B614, 'تحليل مبيعات'!H:H)=0,"",SUMIF('تحليل مبيعات'!C:C, 'حركة المخزن'!B614, 'تحليل مبيعات'!H:H)),"")</f>
        <v/>
      </c>
      <c r="J614" s="10" t="str">
        <f>IFERROR(IF(SUMIF('تحليل مبيعات'!C:C, 'حركة المخزن'!B614, 'تحليل مبيعات'!L:L)=0,"",SUMIF('تحليل مبيعات'!C:C, 'حركة المخزن'!B614, 'تحليل مبيعات'!L:L)),"")</f>
        <v/>
      </c>
      <c r="K614" s="10" t="str">
        <f t="shared" si="33"/>
        <v/>
      </c>
      <c r="L614" s="10" t="str">
        <f t="shared" si="34"/>
        <v/>
      </c>
      <c r="M614">
        <v>5</v>
      </c>
      <c r="N614" t="str">
        <f t="shared" si="35"/>
        <v>يوجد رصيد كافى</v>
      </c>
    </row>
    <row r="615" spans="7:14" x14ac:dyDescent="0.3">
      <c r="G615" t="str">
        <f>IFERROR(IF(SUMIF(المشتريات!C:C, 'حركة المخزن'!B615, المشتريات!F:F)=0,"",SUMIF(المشتريات!C:C, 'حركة المخزن'!B615, المشتريات!F:F)),"")</f>
        <v/>
      </c>
      <c r="H615" s="10" t="str">
        <f>IFERROR(IF(SUMIF(المشتريات!C:C, 'حركة المخزن'!B615, المشتريات!I:I)=0,"",SUMIF(المشتريات!C:C, 'حركة المخزن'!B615, المشتريات!I:I)),"")</f>
        <v/>
      </c>
      <c r="I615" s="10" t="str">
        <f>IFERROR(IF(SUMIF('تحليل مبيعات'!C:C, 'حركة المخزن'!B615, 'تحليل مبيعات'!H:H)=0,"",SUMIF('تحليل مبيعات'!C:C, 'حركة المخزن'!B615, 'تحليل مبيعات'!H:H)),"")</f>
        <v/>
      </c>
      <c r="J615" s="10" t="str">
        <f>IFERROR(IF(SUMIF('تحليل مبيعات'!C:C, 'حركة المخزن'!B615, 'تحليل مبيعات'!L:L)=0,"",SUMIF('تحليل مبيعات'!C:C, 'حركة المخزن'!B615, 'تحليل مبيعات'!L:L)),"")</f>
        <v/>
      </c>
      <c r="K615" s="10" t="str">
        <f t="shared" si="33"/>
        <v/>
      </c>
      <c r="L615" s="10" t="str">
        <f t="shared" si="34"/>
        <v/>
      </c>
      <c r="M615">
        <v>5</v>
      </c>
      <c r="N615" t="str">
        <f t="shared" si="35"/>
        <v>يوجد رصيد كافى</v>
      </c>
    </row>
    <row r="616" spans="7:14" x14ac:dyDescent="0.3">
      <c r="G616" t="str">
        <f>IFERROR(IF(SUMIF(المشتريات!C:C, 'حركة المخزن'!B616, المشتريات!F:F)=0,"",SUMIF(المشتريات!C:C, 'حركة المخزن'!B616, المشتريات!F:F)),"")</f>
        <v/>
      </c>
      <c r="H616" s="10" t="str">
        <f>IFERROR(IF(SUMIF(المشتريات!C:C, 'حركة المخزن'!B616, المشتريات!I:I)=0,"",SUMIF(المشتريات!C:C, 'حركة المخزن'!B616, المشتريات!I:I)),"")</f>
        <v/>
      </c>
      <c r="I616" s="10" t="str">
        <f>IFERROR(IF(SUMIF('تحليل مبيعات'!C:C, 'حركة المخزن'!B616, 'تحليل مبيعات'!H:H)=0,"",SUMIF('تحليل مبيعات'!C:C, 'حركة المخزن'!B616, 'تحليل مبيعات'!H:H)),"")</f>
        <v/>
      </c>
      <c r="J616" s="10" t="str">
        <f>IFERROR(IF(SUMIF('تحليل مبيعات'!C:C, 'حركة المخزن'!B616, 'تحليل مبيعات'!L:L)=0,"",SUMIF('تحليل مبيعات'!C:C, 'حركة المخزن'!B616, 'تحليل مبيعات'!L:L)),"")</f>
        <v/>
      </c>
      <c r="K616" s="10" t="str">
        <f t="shared" si="33"/>
        <v/>
      </c>
      <c r="L616" s="10" t="str">
        <f t="shared" si="34"/>
        <v/>
      </c>
      <c r="M616">
        <v>5</v>
      </c>
      <c r="N616" t="str">
        <f t="shared" si="35"/>
        <v>يوجد رصيد كافى</v>
      </c>
    </row>
    <row r="617" spans="7:14" x14ac:dyDescent="0.3">
      <c r="G617" t="str">
        <f>IFERROR(IF(SUMIF(المشتريات!C:C, 'حركة المخزن'!B617, المشتريات!F:F)=0,"",SUMIF(المشتريات!C:C, 'حركة المخزن'!B617, المشتريات!F:F)),"")</f>
        <v/>
      </c>
      <c r="H617" s="10" t="str">
        <f>IFERROR(IF(SUMIF(المشتريات!C:C, 'حركة المخزن'!B617, المشتريات!I:I)=0,"",SUMIF(المشتريات!C:C, 'حركة المخزن'!B617, المشتريات!I:I)),"")</f>
        <v/>
      </c>
      <c r="I617" s="10" t="str">
        <f>IFERROR(IF(SUMIF('تحليل مبيعات'!C:C, 'حركة المخزن'!B617, 'تحليل مبيعات'!H:H)=0,"",SUMIF('تحليل مبيعات'!C:C, 'حركة المخزن'!B617, 'تحليل مبيعات'!H:H)),"")</f>
        <v/>
      </c>
      <c r="J617" s="10" t="str">
        <f>IFERROR(IF(SUMIF('تحليل مبيعات'!C:C, 'حركة المخزن'!B617, 'تحليل مبيعات'!L:L)=0,"",SUMIF('تحليل مبيعات'!C:C, 'حركة المخزن'!B617, 'تحليل مبيعات'!L:L)),"")</f>
        <v/>
      </c>
      <c r="K617" s="10" t="str">
        <f t="shared" si="33"/>
        <v/>
      </c>
      <c r="L617" s="10" t="str">
        <f t="shared" si="34"/>
        <v/>
      </c>
      <c r="M617">
        <v>5</v>
      </c>
      <c r="N617" t="str">
        <f t="shared" si="35"/>
        <v>يوجد رصيد كافى</v>
      </c>
    </row>
    <row r="618" spans="7:14" x14ac:dyDescent="0.3">
      <c r="G618" t="str">
        <f>IFERROR(IF(SUMIF(المشتريات!C:C, 'حركة المخزن'!B618, المشتريات!F:F)=0,"",SUMIF(المشتريات!C:C, 'حركة المخزن'!B618, المشتريات!F:F)),"")</f>
        <v/>
      </c>
      <c r="H618" s="10" t="str">
        <f>IFERROR(IF(SUMIF(المشتريات!C:C, 'حركة المخزن'!B618, المشتريات!I:I)=0,"",SUMIF(المشتريات!C:C, 'حركة المخزن'!B618, المشتريات!I:I)),"")</f>
        <v/>
      </c>
      <c r="I618" s="10" t="str">
        <f>IFERROR(IF(SUMIF('تحليل مبيعات'!C:C, 'حركة المخزن'!B618, 'تحليل مبيعات'!H:H)=0,"",SUMIF('تحليل مبيعات'!C:C, 'حركة المخزن'!B618, 'تحليل مبيعات'!H:H)),"")</f>
        <v/>
      </c>
      <c r="J618" s="10" t="str">
        <f>IFERROR(IF(SUMIF('تحليل مبيعات'!C:C, 'حركة المخزن'!B618, 'تحليل مبيعات'!L:L)=0,"",SUMIF('تحليل مبيعات'!C:C, 'حركة المخزن'!B618, 'تحليل مبيعات'!L:L)),"")</f>
        <v/>
      </c>
      <c r="K618" s="10" t="str">
        <f t="shared" si="33"/>
        <v/>
      </c>
      <c r="L618" s="10" t="str">
        <f t="shared" si="34"/>
        <v/>
      </c>
      <c r="M618">
        <v>5</v>
      </c>
      <c r="N618" t="str">
        <f t="shared" si="35"/>
        <v>يوجد رصيد كافى</v>
      </c>
    </row>
    <row r="619" spans="7:14" x14ac:dyDescent="0.3">
      <c r="G619" t="str">
        <f>IFERROR(IF(SUMIF(المشتريات!C:C, 'حركة المخزن'!B619, المشتريات!F:F)=0,"",SUMIF(المشتريات!C:C, 'حركة المخزن'!B619, المشتريات!F:F)),"")</f>
        <v/>
      </c>
      <c r="H619" s="10" t="str">
        <f>IFERROR(IF(SUMIF(المشتريات!C:C, 'حركة المخزن'!B619, المشتريات!I:I)=0,"",SUMIF(المشتريات!C:C, 'حركة المخزن'!B619, المشتريات!I:I)),"")</f>
        <v/>
      </c>
      <c r="I619" s="10" t="str">
        <f>IFERROR(IF(SUMIF('تحليل مبيعات'!C:C, 'حركة المخزن'!B619, 'تحليل مبيعات'!H:H)=0,"",SUMIF('تحليل مبيعات'!C:C, 'حركة المخزن'!B619, 'تحليل مبيعات'!H:H)),"")</f>
        <v/>
      </c>
      <c r="J619" s="10" t="str">
        <f>IFERROR(IF(SUMIF('تحليل مبيعات'!C:C, 'حركة المخزن'!B619, 'تحليل مبيعات'!L:L)=0,"",SUMIF('تحليل مبيعات'!C:C, 'حركة المخزن'!B619, 'تحليل مبيعات'!L:L)),"")</f>
        <v/>
      </c>
      <c r="K619" s="10" t="str">
        <f t="shared" si="33"/>
        <v/>
      </c>
      <c r="L619" s="10" t="str">
        <f t="shared" si="34"/>
        <v/>
      </c>
      <c r="M619">
        <v>5</v>
      </c>
      <c r="N619" t="str">
        <f t="shared" si="35"/>
        <v>يوجد رصيد كافى</v>
      </c>
    </row>
    <row r="620" spans="7:14" x14ac:dyDescent="0.3">
      <c r="G620" t="str">
        <f>IFERROR(IF(SUMIF(المشتريات!C:C, 'حركة المخزن'!B620, المشتريات!F:F)=0,"",SUMIF(المشتريات!C:C, 'حركة المخزن'!B620, المشتريات!F:F)),"")</f>
        <v/>
      </c>
      <c r="H620" s="10" t="str">
        <f>IFERROR(IF(SUMIF(المشتريات!C:C, 'حركة المخزن'!B620, المشتريات!I:I)=0,"",SUMIF(المشتريات!C:C, 'حركة المخزن'!B620, المشتريات!I:I)),"")</f>
        <v/>
      </c>
      <c r="I620" s="10" t="str">
        <f>IFERROR(IF(SUMIF('تحليل مبيعات'!C:C, 'حركة المخزن'!B620, 'تحليل مبيعات'!H:H)=0,"",SUMIF('تحليل مبيعات'!C:C, 'حركة المخزن'!B620, 'تحليل مبيعات'!H:H)),"")</f>
        <v/>
      </c>
      <c r="J620" s="10" t="str">
        <f>IFERROR(IF(SUMIF('تحليل مبيعات'!C:C, 'حركة المخزن'!B620, 'تحليل مبيعات'!L:L)=0,"",SUMIF('تحليل مبيعات'!C:C, 'حركة المخزن'!B620, 'تحليل مبيعات'!L:L)),"")</f>
        <v/>
      </c>
      <c r="K620" s="10" t="str">
        <f t="shared" si="33"/>
        <v/>
      </c>
      <c r="L620" s="10" t="str">
        <f t="shared" si="34"/>
        <v/>
      </c>
      <c r="M620">
        <v>5</v>
      </c>
      <c r="N620" t="str">
        <f t="shared" si="35"/>
        <v>يوجد رصيد كافى</v>
      </c>
    </row>
    <row r="621" spans="7:14" x14ac:dyDescent="0.3">
      <c r="G621" t="str">
        <f>IFERROR(IF(SUMIF(المشتريات!C:C, 'حركة المخزن'!B621, المشتريات!F:F)=0,"",SUMIF(المشتريات!C:C, 'حركة المخزن'!B621, المشتريات!F:F)),"")</f>
        <v/>
      </c>
      <c r="H621" s="10" t="str">
        <f>IFERROR(IF(SUMIF(المشتريات!C:C, 'حركة المخزن'!B621, المشتريات!I:I)=0,"",SUMIF(المشتريات!C:C, 'حركة المخزن'!B621, المشتريات!I:I)),"")</f>
        <v/>
      </c>
      <c r="I621" s="10" t="str">
        <f>IFERROR(IF(SUMIF('تحليل مبيعات'!C:C, 'حركة المخزن'!B621, 'تحليل مبيعات'!H:H)=0,"",SUMIF('تحليل مبيعات'!C:C, 'حركة المخزن'!B621, 'تحليل مبيعات'!H:H)),"")</f>
        <v/>
      </c>
      <c r="J621" s="10" t="str">
        <f>IFERROR(IF(SUMIF('تحليل مبيعات'!C:C, 'حركة المخزن'!B621, 'تحليل مبيعات'!L:L)=0,"",SUMIF('تحليل مبيعات'!C:C, 'حركة المخزن'!B621, 'تحليل مبيعات'!L:L)),"")</f>
        <v/>
      </c>
      <c r="K621" s="10" t="str">
        <f t="shared" si="33"/>
        <v/>
      </c>
      <c r="L621" s="10" t="str">
        <f t="shared" si="34"/>
        <v/>
      </c>
      <c r="M621">
        <v>5</v>
      </c>
      <c r="N621" t="str">
        <f t="shared" si="35"/>
        <v>يوجد رصيد كافى</v>
      </c>
    </row>
    <row r="622" spans="7:14" x14ac:dyDescent="0.3">
      <c r="G622" t="str">
        <f>IFERROR(IF(SUMIF(المشتريات!C:C, 'حركة المخزن'!B622, المشتريات!F:F)=0,"",SUMIF(المشتريات!C:C, 'حركة المخزن'!B622, المشتريات!F:F)),"")</f>
        <v/>
      </c>
      <c r="H622" s="10" t="str">
        <f>IFERROR(IF(SUMIF(المشتريات!C:C, 'حركة المخزن'!B622, المشتريات!I:I)=0,"",SUMIF(المشتريات!C:C, 'حركة المخزن'!B622, المشتريات!I:I)),"")</f>
        <v/>
      </c>
      <c r="I622" s="10" t="str">
        <f>IFERROR(IF(SUMIF('تحليل مبيعات'!C:C, 'حركة المخزن'!B622, 'تحليل مبيعات'!H:H)=0,"",SUMIF('تحليل مبيعات'!C:C, 'حركة المخزن'!B622, 'تحليل مبيعات'!H:H)),"")</f>
        <v/>
      </c>
      <c r="J622" s="10" t="str">
        <f>IFERROR(IF(SUMIF('تحليل مبيعات'!C:C, 'حركة المخزن'!B622, 'تحليل مبيعات'!L:L)=0,"",SUMIF('تحليل مبيعات'!C:C, 'حركة المخزن'!B622, 'تحليل مبيعات'!L:L)),"")</f>
        <v/>
      </c>
      <c r="K622" s="10" t="str">
        <f t="shared" si="33"/>
        <v/>
      </c>
      <c r="L622" s="10" t="str">
        <f t="shared" si="34"/>
        <v/>
      </c>
      <c r="M622">
        <v>5</v>
      </c>
      <c r="N622" t="str">
        <f t="shared" si="35"/>
        <v>يوجد رصيد كافى</v>
      </c>
    </row>
    <row r="623" spans="7:14" x14ac:dyDescent="0.3">
      <c r="G623" t="str">
        <f>IFERROR(IF(SUMIF(المشتريات!C:C, 'حركة المخزن'!B623, المشتريات!F:F)=0,"",SUMIF(المشتريات!C:C, 'حركة المخزن'!B623, المشتريات!F:F)),"")</f>
        <v/>
      </c>
      <c r="H623" s="10" t="str">
        <f>IFERROR(IF(SUMIF(المشتريات!C:C, 'حركة المخزن'!B623, المشتريات!I:I)=0,"",SUMIF(المشتريات!C:C, 'حركة المخزن'!B623, المشتريات!I:I)),"")</f>
        <v/>
      </c>
      <c r="I623" s="10" t="str">
        <f>IFERROR(IF(SUMIF('تحليل مبيعات'!C:C, 'حركة المخزن'!B623, 'تحليل مبيعات'!H:H)=0,"",SUMIF('تحليل مبيعات'!C:C, 'حركة المخزن'!B623, 'تحليل مبيعات'!H:H)),"")</f>
        <v/>
      </c>
      <c r="J623" s="10" t="str">
        <f>IFERROR(IF(SUMIF('تحليل مبيعات'!C:C, 'حركة المخزن'!B623, 'تحليل مبيعات'!L:L)=0,"",SUMIF('تحليل مبيعات'!C:C, 'حركة المخزن'!B623, 'تحليل مبيعات'!L:L)),"")</f>
        <v/>
      </c>
      <c r="K623" s="10" t="str">
        <f t="shared" si="33"/>
        <v/>
      </c>
      <c r="L623" s="10" t="str">
        <f t="shared" si="34"/>
        <v/>
      </c>
      <c r="M623">
        <v>5</v>
      </c>
      <c r="N623" t="str">
        <f t="shared" si="35"/>
        <v>يوجد رصيد كافى</v>
      </c>
    </row>
    <row r="624" spans="7:14" x14ac:dyDescent="0.3">
      <c r="G624" t="str">
        <f>IFERROR(IF(SUMIF(المشتريات!C:C, 'حركة المخزن'!B624, المشتريات!F:F)=0,"",SUMIF(المشتريات!C:C, 'حركة المخزن'!B624, المشتريات!F:F)),"")</f>
        <v/>
      </c>
      <c r="H624" s="10" t="str">
        <f>IFERROR(IF(SUMIF(المشتريات!C:C, 'حركة المخزن'!B624, المشتريات!I:I)=0,"",SUMIF(المشتريات!C:C, 'حركة المخزن'!B624, المشتريات!I:I)),"")</f>
        <v/>
      </c>
      <c r="I624" s="10" t="str">
        <f>IFERROR(IF(SUMIF('تحليل مبيعات'!C:C, 'حركة المخزن'!B624, 'تحليل مبيعات'!H:H)=0,"",SUMIF('تحليل مبيعات'!C:C, 'حركة المخزن'!B624, 'تحليل مبيعات'!H:H)),"")</f>
        <v/>
      </c>
      <c r="J624" s="10" t="str">
        <f>IFERROR(IF(SUMIF('تحليل مبيعات'!C:C, 'حركة المخزن'!B624, 'تحليل مبيعات'!L:L)=0,"",SUMIF('تحليل مبيعات'!C:C, 'حركة المخزن'!B624, 'تحليل مبيعات'!L:L)),"")</f>
        <v/>
      </c>
      <c r="K624" s="10" t="str">
        <f t="shared" si="33"/>
        <v/>
      </c>
      <c r="L624" s="10" t="str">
        <f t="shared" si="34"/>
        <v/>
      </c>
      <c r="M624">
        <v>5</v>
      </c>
      <c r="N624" t="str">
        <f t="shared" si="35"/>
        <v>يوجد رصيد كافى</v>
      </c>
    </row>
    <row r="625" spans="7:14" x14ac:dyDescent="0.3">
      <c r="G625" t="str">
        <f>IFERROR(IF(SUMIF(المشتريات!C:C, 'حركة المخزن'!B625, المشتريات!F:F)=0,"",SUMIF(المشتريات!C:C, 'حركة المخزن'!B625, المشتريات!F:F)),"")</f>
        <v/>
      </c>
      <c r="H625" s="10" t="str">
        <f>IFERROR(IF(SUMIF(المشتريات!C:C, 'حركة المخزن'!B625, المشتريات!I:I)=0,"",SUMIF(المشتريات!C:C, 'حركة المخزن'!B625, المشتريات!I:I)),"")</f>
        <v/>
      </c>
      <c r="I625" s="10" t="str">
        <f>IFERROR(IF(SUMIF('تحليل مبيعات'!C:C, 'حركة المخزن'!B625, 'تحليل مبيعات'!H:H)=0,"",SUMIF('تحليل مبيعات'!C:C, 'حركة المخزن'!B625, 'تحليل مبيعات'!H:H)),"")</f>
        <v/>
      </c>
      <c r="J625" s="10" t="str">
        <f>IFERROR(IF(SUMIF('تحليل مبيعات'!C:C, 'حركة المخزن'!B625, 'تحليل مبيعات'!L:L)=0,"",SUMIF('تحليل مبيعات'!C:C, 'حركة المخزن'!B625, 'تحليل مبيعات'!L:L)),"")</f>
        <v/>
      </c>
      <c r="K625" s="10" t="str">
        <f t="shared" si="33"/>
        <v/>
      </c>
      <c r="L625" s="10" t="str">
        <f t="shared" si="34"/>
        <v/>
      </c>
      <c r="M625">
        <v>5</v>
      </c>
      <c r="N625" t="str">
        <f t="shared" si="35"/>
        <v>يوجد رصيد كافى</v>
      </c>
    </row>
    <row r="626" spans="7:14" x14ac:dyDescent="0.3">
      <c r="G626" t="str">
        <f>IFERROR(IF(SUMIF(المشتريات!C:C, 'حركة المخزن'!B626, المشتريات!F:F)=0,"",SUMIF(المشتريات!C:C, 'حركة المخزن'!B626, المشتريات!F:F)),"")</f>
        <v/>
      </c>
      <c r="H626" s="10" t="str">
        <f>IFERROR(IF(SUMIF(المشتريات!C:C, 'حركة المخزن'!B626, المشتريات!I:I)=0,"",SUMIF(المشتريات!C:C, 'حركة المخزن'!B626, المشتريات!I:I)),"")</f>
        <v/>
      </c>
      <c r="I626" s="10" t="str">
        <f>IFERROR(IF(SUMIF('تحليل مبيعات'!C:C, 'حركة المخزن'!B626, 'تحليل مبيعات'!H:H)=0,"",SUMIF('تحليل مبيعات'!C:C, 'حركة المخزن'!B626, 'تحليل مبيعات'!H:H)),"")</f>
        <v/>
      </c>
      <c r="J626" s="10" t="str">
        <f>IFERROR(IF(SUMIF('تحليل مبيعات'!C:C, 'حركة المخزن'!B626, 'تحليل مبيعات'!L:L)=0,"",SUMIF('تحليل مبيعات'!C:C, 'حركة المخزن'!B626, 'تحليل مبيعات'!L:L)),"")</f>
        <v/>
      </c>
      <c r="K626" s="10" t="str">
        <f t="shared" si="33"/>
        <v/>
      </c>
      <c r="L626" s="10" t="str">
        <f t="shared" si="34"/>
        <v/>
      </c>
      <c r="M626">
        <v>5</v>
      </c>
      <c r="N626" t="str">
        <f t="shared" si="35"/>
        <v>يوجد رصيد كافى</v>
      </c>
    </row>
    <row r="627" spans="7:14" x14ac:dyDescent="0.3">
      <c r="G627" t="str">
        <f>IFERROR(IF(SUMIF(المشتريات!C:C, 'حركة المخزن'!B627, المشتريات!F:F)=0,"",SUMIF(المشتريات!C:C, 'حركة المخزن'!B627, المشتريات!F:F)),"")</f>
        <v/>
      </c>
      <c r="H627" s="10" t="str">
        <f>IFERROR(IF(SUMIF(المشتريات!C:C, 'حركة المخزن'!B627, المشتريات!I:I)=0,"",SUMIF(المشتريات!C:C, 'حركة المخزن'!B627, المشتريات!I:I)),"")</f>
        <v/>
      </c>
      <c r="I627" s="10" t="str">
        <f>IFERROR(IF(SUMIF('تحليل مبيعات'!C:C, 'حركة المخزن'!B627, 'تحليل مبيعات'!H:H)=0,"",SUMIF('تحليل مبيعات'!C:C, 'حركة المخزن'!B627, 'تحليل مبيعات'!H:H)),"")</f>
        <v/>
      </c>
      <c r="J627" s="10" t="str">
        <f>IFERROR(IF(SUMIF('تحليل مبيعات'!C:C, 'حركة المخزن'!B627, 'تحليل مبيعات'!L:L)=0,"",SUMIF('تحليل مبيعات'!C:C, 'حركة المخزن'!B627, 'تحليل مبيعات'!L:L)),"")</f>
        <v/>
      </c>
      <c r="K627" s="10" t="str">
        <f t="shared" si="33"/>
        <v/>
      </c>
      <c r="L627" s="10" t="str">
        <f t="shared" si="34"/>
        <v/>
      </c>
      <c r="M627">
        <v>5</v>
      </c>
      <c r="N627" t="str">
        <f t="shared" si="35"/>
        <v>يوجد رصيد كافى</v>
      </c>
    </row>
    <row r="628" spans="7:14" x14ac:dyDescent="0.3">
      <c r="G628" t="str">
        <f>IFERROR(IF(SUMIF(المشتريات!C:C, 'حركة المخزن'!B628, المشتريات!F:F)=0,"",SUMIF(المشتريات!C:C, 'حركة المخزن'!B628, المشتريات!F:F)),"")</f>
        <v/>
      </c>
      <c r="H628" s="10" t="str">
        <f>IFERROR(IF(SUMIF(المشتريات!C:C, 'حركة المخزن'!B628, المشتريات!I:I)=0,"",SUMIF(المشتريات!C:C, 'حركة المخزن'!B628, المشتريات!I:I)),"")</f>
        <v/>
      </c>
      <c r="I628" s="10" t="str">
        <f>IFERROR(IF(SUMIF('تحليل مبيعات'!C:C, 'حركة المخزن'!B628, 'تحليل مبيعات'!H:H)=0,"",SUMIF('تحليل مبيعات'!C:C, 'حركة المخزن'!B628, 'تحليل مبيعات'!H:H)),"")</f>
        <v/>
      </c>
      <c r="J628" s="10" t="str">
        <f>IFERROR(IF(SUMIF('تحليل مبيعات'!C:C, 'حركة المخزن'!B628, 'تحليل مبيعات'!L:L)=0,"",SUMIF('تحليل مبيعات'!C:C, 'حركة المخزن'!B628, 'تحليل مبيعات'!L:L)),"")</f>
        <v/>
      </c>
      <c r="K628" s="10" t="str">
        <f t="shared" si="33"/>
        <v/>
      </c>
      <c r="L628" s="10" t="str">
        <f t="shared" si="34"/>
        <v/>
      </c>
      <c r="M628">
        <v>5</v>
      </c>
      <c r="N628" t="str">
        <f t="shared" si="35"/>
        <v>يوجد رصيد كافى</v>
      </c>
    </row>
    <row r="629" spans="7:14" x14ac:dyDescent="0.3">
      <c r="G629" t="str">
        <f>IFERROR(IF(SUMIF(المشتريات!C:C, 'حركة المخزن'!B629, المشتريات!F:F)=0,"",SUMIF(المشتريات!C:C, 'حركة المخزن'!B629, المشتريات!F:F)),"")</f>
        <v/>
      </c>
      <c r="H629" s="10" t="str">
        <f>IFERROR(IF(SUMIF(المشتريات!C:C, 'حركة المخزن'!B629, المشتريات!I:I)=0,"",SUMIF(المشتريات!C:C, 'حركة المخزن'!B629, المشتريات!I:I)),"")</f>
        <v/>
      </c>
      <c r="I629" s="10" t="str">
        <f>IFERROR(IF(SUMIF('تحليل مبيعات'!C:C, 'حركة المخزن'!B629, 'تحليل مبيعات'!H:H)=0,"",SUMIF('تحليل مبيعات'!C:C, 'حركة المخزن'!B629, 'تحليل مبيعات'!H:H)),"")</f>
        <v/>
      </c>
      <c r="J629" s="10" t="str">
        <f>IFERROR(IF(SUMIF('تحليل مبيعات'!C:C, 'حركة المخزن'!B629, 'تحليل مبيعات'!L:L)=0,"",SUMIF('تحليل مبيعات'!C:C, 'حركة المخزن'!B629, 'تحليل مبيعات'!L:L)),"")</f>
        <v/>
      </c>
      <c r="K629" s="10" t="str">
        <f t="shared" si="33"/>
        <v/>
      </c>
      <c r="L629" s="10" t="str">
        <f t="shared" si="34"/>
        <v/>
      </c>
      <c r="M629">
        <v>5</v>
      </c>
      <c r="N629" t="str">
        <f t="shared" si="35"/>
        <v>يوجد رصيد كافى</v>
      </c>
    </row>
    <row r="630" spans="7:14" x14ac:dyDescent="0.3">
      <c r="G630" t="str">
        <f>IFERROR(IF(SUMIF(المشتريات!C:C, 'حركة المخزن'!B630, المشتريات!F:F)=0,"",SUMIF(المشتريات!C:C, 'حركة المخزن'!B630, المشتريات!F:F)),"")</f>
        <v/>
      </c>
      <c r="H630" s="10" t="str">
        <f>IFERROR(IF(SUMIF(المشتريات!C:C, 'حركة المخزن'!B630, المشتريات!I:I)=0,"",SUMIF(المشتريات!C:C, 'حركة المخزن'!B630, المشتريات!I:I)),"")</f>
        <v/>
      </c>
      <c r="I630" s="10" t="str">
        <f>IFERROR(IF(SUMIF('تحليل مبيعات'!C:C, 'حركة المخزن'!B630, 'تحليل مبيعات'!H:H)=0,"",SUMIF('تحليل مبيعات'!C:C, 'حركة المخزن'!B630, 'تحليل مبيعات'!H:H)),"")</f>
        <v/>
      </c>
      <c r="J630" s="10" t="str">
        <f>IFERROR(IF(SUMIF('تحليل مبيعات'!C:C, 'حركة المخزن'!B630, 'تحليل مبيعات'!L:L)=0,"",SUMIF('تحليل مبيعات'!C:C, 'حركة المخزن'!B630, 'تحليل مبيعات'!L:L)),"")</f>
        <v/>
      </c>
      <c r="K630" s="10" t="str">
        <f t="shared" si="33"/>
        <v/>
      </c>
      <c r="L630" s="10" t="str">
        <f t="shared" si="34"/>
        <v/>
      </c>
      <c r="M630">
        <v>5</v>
      </c>
      <c r="N630" t="str">
        <f t="shared" si="35"/>
        <v>يوجد رصيد كافى</v>
      </c>
    </row>
    <row r="631" spans="7:14" x14ac:dyDescent="0.3">
      <c r="G631" t="str">
        <f>IFERROR(IF(SUMIF(المشتريات!C:C, 'حركة المخزن'!B631, المشتريات!F:F)=0,"",SUMIF(المشتريات!C:C, 'حركة المخزن'!B631, المشتريات!F:F)),"")</f>
        <v/>
      </c>
      <c r="H631" s="10" t="str">
        <f>IFERROR(IF(SUMIF(المشتريات!C:C, 'حركة المخزن'!B631, المشتريات!I:I)=0,"",SUMIF(المشتريات!C:C, 'حركة المخزن'!B631, المشتريات!I:I)),"")</f>
        <v/>
      </c>
      <c r="I631" s="10" t="str">
        <f>IFERROR(IF(SUMIF('تحليل مبيعات'!C:C, 'حركة المخزن'!B631, 'تحليل مبيعات'!H:H)=0,"",SUMIF('تحليل مبيعات'!C:C, 'حركة المخزن'!B631, 'تحليل مبيعات'!H:H)),"")</f>
        <v/>
      </c>
      <c r="J631" s="10" t="str">
        <f>IFERROR(IF(SUMIF('تحليل مبيعات'!C:C, 'حركة المخزن'!B631, 'تحليل مبيعات'!L:L)=0,"",SUMIF('تحليل مبيعات'!C:C, 'حركة المخزن'!B631, 'تحليل مبيعات'!L:L)),"")</f>
        <v/>
      </c>
      <c r="K631" s="10" t="str">
        <f t="shared" si="33"/>
        <v/>
      </c>
      <c r="L631" s="10" t="str">
        <f t="shared" si="34"/>
        <v/>
      </c>
      <c r="M631">
        <v>5</v>
      </c>
      <c r="N631" t="str">
        <f t="shared" si="35"/>
        <v>يوجد رصيد كافى</v>
      </c>
    </row>
    <row r="632" spans="7:14" x14ac:dyDescent="0.3">
      <c r="G632" t="str">
        <f>IFERROR(IF(SUMIF(المشتريات!C:C, 'حركة المخزن'!B632, المشتريات!F:F)=0,"",SUMIF(المشتريات!C:C, 'حركة المخزن'!B632, المشتريات!F:F)),"")</f>
        <v/>
      </c>
      <c r="H632" s="10" t="str">
        <f>IFERROR(IF(SUMIF(المشتريات!C:C, 'حركة المخزن'!B632, المشتريات!I:I)=0,"",SUMIF(المشتريات!C:C, 'حركة المخزن'!B632, المشتريات!I:I)),"")</f>
        <v/>
      </c>
      <c r="I632" s="10" t="str">
        <f>IFERROR(IF(SUMIF('تحليل مبيعات'!C:C, 'حركة المخزن'!B632, 'تحليل مبيعات'!H:H)=0,"",SUMIF('تحليل مبيعات'!C:C, 'حركة المخزن'!B632, 'تحليل مبيعات'!H:H)),"")</f>
        <v/>
      </c>
      <c r="J632" s="10" t="str">
        <f>IFERROR(IF(SUMIF('تحليل مبيعات'!C:C, 'حركة المخزن'!B632, 'تحليل مبيعات'!L:L)=0,"",SUMIF('تحليل مبيعات'!C:C, 'حركة المخزن'!B632, 'تحليل مبيعات'!L:L)),"")</f>
        <v/>
      </c>
      <c r="K632" s="10" t="str">
        <f t="shared" si="33"/>
        <v/>
      </c>
      <c r="L632" s="10" t="str">
        <f t="shared" si="34"/>
        <v/>
      </c>
      <c r="M632">
        <v>5</v>
      </c>
      <c r="N632" t="str">
        <f t="shared" si="35"/>
        <v>يوجد رصيد كافى</v>
      </c>
    </row>
    <row r="633" spans="7:14" x14ac:dyDescent="0.3">
      <c r="G633" t="str">
        <f>IFERROR(IF(SUMIF(المشتريات!C:C, 'حركة المخزن'!B633, المشتريات!F:F)=0,"",SUMIF(المشتريات!C:C, 'حركة المخزن'!B633, المشتريات!F:F)),"")</f>
        <v/>
      </c>
      <c r="H633" s="10" t="str">
        <f>IFERROR(IF(SUMIF(المشتريات!C:C, 'حركة المخزن'!B633, المشتريات!I:I)=0,"",SUMIF(المشتريات!C:C, 'حركة المخزن'!B633, المشتريات!I:I)),"")</f>
        <v/>
      </c>
      <c r="I633" s="10" t="str">
        <f>IFERROR(IF(SUMIF('تحليل مبيعات'!C:C, 'حركة المخزن'!B633, 'تحليل مبيعات'!H:H)=0,"",SUMIF('تحليل مبيعات'!C:C, 'حركة المخزن'!B633, 'تحليل مبيعات'!H:H)),"")</f>
        <v/>
      </c>
      <c r="J633" s="10" t="str">
        <f>IFERROR(IF(SUMIF('تحليل مبيعات'!C:C, 'حركة المخزن'!B633, 'تحليل مبيعات'!L:L)=0,"",SUMIF('تحليل مبيعات'!C:C, 'حركة المخزن'!B633, 'تحليل مبيعات'!L:L)),"")</f>
        <v/>
      </c>
      <c r="K633" s="10" t="str">
        <f t="shared" si="33"/>
        <v/>
      </c>
      <c r="L633" s="10" t="str">
        <f t="shared" si="34"/>
        <v/>
      </c>
      <c r="M633">
        <v>5</v>
      </c>
      <c r="N633" t="str">
        <f t="shared" si="35"/>
        <v>يوجد رصيد كافى</v>
      </c>
    </row>
    <row r="634" spans="7:14" x14ac:dyDescent="0.3">
      <c r="G634" t="str">
        <f>IFERROR(IF(SUMIF(المشتريات!C:C, 'حركة المخزن'!B634, المشتريات!F:F)=0,"",SUMIF(المشتريات!C:C, 'حركة المخزن'!B634, المشتريات!F:F)),"")</f>
        <v/>
      </c>
      <c r="H634" s="10" t="str">
        <f>IFERROR(IF(SUMIF(المشتريات!C:C, 'حركة المخزن'!B634, المشتريات!I:I)=0,"",SUMIF(المشتريات!C:C, 'حركة المخزن'!B634, المشتريات!I:I)),"")</f>
        <v/>
      </c>
      <c r="I634" s="10" t="str">
        <f>IFERROR(IF(SUMIF('تحليل مبيعات'!C:C, 'حركة المخزن'!B634, 'تحليل مبيعات'!H:H)=0,"",SUMIF('تحليل مبيعات'!C:C, 'حركة المخزن'!B634, 'تحليل مبيعات'!H:H)),"")</f>
        <v/>
      </c>
      <c r="J634" s="10" t="str">
        <f>IFERROR(IF(SUMIF('تحليل مبيعات'!C:C, 'حركة المخزن'!B634, 'تحليل مبيعات'!L:L)=0,"",SUMIF('تحليل مبيعات'!C:C, 'حركة المخزن'!B634, 'تحليل مبيعات'!L:L)),"")</f>
        <v/>
      </c>
      <c r="K634" s="10" t="str">
        <f t="shared" si="33"/>
        <v/>
      </c>
      <c r="L634" s="10" t="str">
        <f t="shared" si="34"/>
        <v/>
      </c>
      <c r="M634">
        <v>5</v>
      </c>
      <c r="N634" t="str">
        <f t="shared" si="35"/>
        <v>يوجد رصيد كافى</v>
      </c>
    </row>
    <row r="635" spans="7:14" x14ac:dyDescent="0.3">
      <c r="G635" t="str">
        <f>IFERROR(IF(SUMIF(المشتريات!C:C, 'حركة المخزن'!B635, المشتريات!F:F)=0,"",SUMIF(المشتريات!C:C, 'حركة المخزن'!B635, المشتريات!F:F)),"")</f>
        <v/>
      </c>
      <c r="H635" s="10" t="str">
        <f>IFERROR(IF(SUMIF(المشتريات!C:C, 'حركة المخزن'!B635, المشتريات!I:I)=0,"",SUMIF(المشتريات!C:C, 'حركة المخزن'!B635, المشتريات!I:I)),"")</f>
        <v/>
      </c>
      <c r="I635" s="10" t="str">
        <f>IFERROR(IF(SUMIF('تحليل مبيعات'!C:C, 'حركة المخزن'!B635, 'تحليل مبيعات'!H:H)=0,"",SUMIF('تحليل مبيعات'!C:C, 'حركة المخزن'!B635, 'تحليل مبيعات'!H:H)),"")</f>
        <v/>
      </c>
      <c r="J635" s="10" t="str">
        <f>IFERROR(IF(SUMIF('تحليل مبيعات'!C:C, 'حركة المخزن'!B635, 'تحليل مبيعات'!L:L)=0,"",SUMIF('تحليل مبيعات'!C:C, 'حركة المخزن'!B635, 'تحليل مبيعات'!L:L)),"")</f>
        <v/>
      </c>
      <c r="K635" s="10" t="str">
        <f t="shared" si="33"/>
        <v/>
      </c>
      <c r="L635" s="10" t="str">
        <f t="shared" si="34"/>
        <v/>
      </c>
      <c r="M635">
        <v>5</v>
      </c>
      <c r="N635" t="str">
        <f t="shared" si="35"/>
        <v>يوجد رصيد كافى</v>
      </c>
    </row>
    <row r="636" spans="7:14" x14ac:dyDescent="0.3">
      <c r="G636" t="str">
        <f>IFERROR(IF(SUMIF(المشتريات!C:C, 'حركة المخزن'!B636, المشتريات!F:F)=0,"",SUMIF(المشتريات!C:C, 'حركة المخزن'!B636, المشتريات!F:F)),"")</f>
        <v/>
      </c>
      <c r="H636" s="10" t="str">
        <f>IFERROR(IF(SUMIF(المشتريات!C:C, 'حركة المخزن'!B636, المشتريات!I:I)=0,"",SUMIF(المشتريات!C:C, 'حركة المخزن'!B636, المشتريات!I:I)),"")</f>
        <v/>
      </c>
      <c r="I636" s="10" t="str">
        <f>IFERROR(IF(SUMIF('تحليل مبيعات'!C:C, 'حركة المخزن'!B636, 'تحليل مبيعات'!H:H)=0,"",SUMIF('تحليل مبيعات'!C:C, 'حركة المخزن'!B636, 'تحليل مبيعات'!H:H)),"")</f>
        <v/>
      </c>
      <c r="J636" s="10" t="str">
        <f>IFERROR(IF(SUMIF('تحليل مبيعات'!C:C, 'حركة المخزن'!B636, 'تحليل مبيعات'!L:L)=0,"",SUMIF('تحليل مبيعات'!C:C, 'حركة المخزن'!B636, 'تحليل مبيعات'!L:L)),"")</f>
        <v/>
      </c>
      <c r="K636" s="10" t="str">
        <f t="shared" si="33"/>
        <v/>
      </c>
      <c r="L636" s="10" t="str">
        <f t="shared" si="34"/>
        <v/>
      </c>
      <c r="M636">
        <v>5</v>
      </c>
      <c r="N636" t="str">
        <f t="shared" si="35"/>
        <v>يوجد رصيد كافى</v>
      </c>
    </row>
    <row r="637" spans="7:14" x14ac:dyDescent="0.3">
      <c r="G637" t="str">
        <f>IFERROR(IF(SUMIF(المشتريات!C:C, 'حركة المخزن'!B637, المشتريات!F:F)=0,"",SUMIF(المشتريات!C:C, 'حركة المخزن'!B637, المشتريات!F:F)),"")</f>
        <v/>
      </c>
      <c r="H637" s="10" t="str">
        <f>IFERROR(IF(SUMIF(المشتريات!C:C, 'حركة المخزن'!B637, المشتريات!I:I)=0,"",SUMIF(المشتريات!C:C, 'حركة المخزن'!B637, المشتريات!I:I)),"")</f>
        <v/>
      </c>
      <c r="I637" s="10" t="str">
        <f>IFERROR(IF(SUMIF('تحليل مبيعات'!C:C, 'حركة المخزن'!B637, 'تحليل مبيعات'!H:H)=0,"",SUMIF('تحليل مبيعات'!C:C, 'حركة المخزن'!B637, 'تحليل مبيعات'!H:H)),"")</f>
        <v/>
      </c>
      <c r="J637" s="10" t="str">
        <f>IFERROR(IF(SUMIF('تحليل مبيعات'!C:C, 'حركة المخزن'!B637, 'تحليل مبيعات'!L:L)=0,"",SUMIF('تحليل مبيعات'!C:C, 'حركة المخزن'!B637, 'تحليل مبيعات'!L:L)),"")</f>
        <v/>
      </c>
      <c r="K637" s="10" t="str">
        <f t="shared" si="33"/>
        <v/>
      </c>
      <c r="L637" s="10" t="str">
        <f t="shared" si="34"/>
        <v/>
      </c>
      <c r="M637">
        <v>5</v>
      </c>
      <c r="N637" t="str">
        <f t="shared" si="35"/>
        <v>يوجد رصيد كافى</v>
      </c>
    </row>
    <row r="638" spans="7:14" x14ac:dyDescent="0.3">
      <c r="G638" t="str">
        <f>IFERROR(IF(SUMIF(المشتريات!C:C, 'حركة المخزن'!B638, المشتريات!F:F)=0,"",SUMIF(المشتريات!C:C, 'حركة المخزن'!B638, المشتريات!F:F)),"")</f>
        <v/>
      </c>
      <c r="H638" s="10" t="str">
        <f>IFERROR(IF(SUMIF(المشتريات!C:C, 'حركة المخزن'!B638, المشتريات!I:I)=0,"",SUMIF(المشتريات!C:C, 'حركة المخزن'!B638, المشتريات!I:I)),"")</f>
        <v/>
      </c>
      <c r="I638" s="10" t="str">
        <f>IFERROR(IF(SUMIF('تحليل مبيعات'!C:C, 'حركة المخزن'!B638, 'تحليل مبيعات'!H:H)=0,"",SUMIF('تحليل مبيعات'!C:C, 'حركة المخزن'!B638, 'تحليل مبيعات'!H:H)),"")</f>
        <v/>
      </c>
      <c r="J638" s="10" t="str">
        <f>IFERROR(IF(SUMIF('تحليل مبيعات'!C:C, 'حركة المخزن'!B638, 'تحليل مبيعات'!L:L)=0,"",SUMIF('تحليل مبيعات'!C:C, 'حركة المخزن'!B638, 'تحليل مبيعات'!L:L)),"")</f>
        <v/>
      </c>
      <c r="K638" s="10" t="str">
        <f t="shared" si="33"/>
        <v/>
      </c>
      <c r="L638" s="10" t="str">
        <f t="shared" si="34"/>
        <v/>
      </c>
      <c r="M638">
        <v>5</v>
      </c>
      <c r="N638" t="str">
        <f t="shared" si="35"/>
        <v>يوجد رصيد كافى</v>
      </c>
    </row>
    <row r="639" spans="7:14" x14ac:dyDescent="0.3">
      <c r="G639" t="str">
        <f>IFERROR(IF(SUMIF(المشتريات!C:C, 'حركة المخزن'!B639, المشتريات!F:F)=0,"",SUMIF(المشتريات!C:C, 'حركة المخزن'!B639, المشتريات!F:F)),"")</f>
        <v/>
      </c>
      <c r="H639" s="10" t="str">
        <f>IFERROR(IF(SUMIF(المشتريات!C:C, 'حركة المخزن'!B639, المشتريات!I:I)=0,"",SUMIF(المشتريات!C:C, 'حركة المخزن'!B639, المشتريات!I:I)),"")</f>
        <v/>
      </c>
      <c r="I639" s="10" t="str">
        <f>IFERROR(IF(SUMIF('تحليل مبيعات'!C:C, 'حركة المخزن'!B639, 'تحليل مبيعات'!H:H)=0,"",SUMIF('تحليل مبيعات'!C:C, 'حركة المخزن'!B639, 'تحليل مبيعات'!H:H)),"")</f>
        <v/>
      </c>
      <c r="J639" s="10" t="str">
        <f>IFERROR(IF(SUMIF('تحليل مبيعات'!C:C, 'حركة المخزن'!B639, 'تحليل مبيعات'!L:L)=0,"",SUMIF('تحليل مبيعات'!C:C, 'حركة المخزن'!B639, 'تحليل مبيعات'!L:L)),"")</f>
        <v/>
      </c>
      <c r="K639" s="10" t="str">
        <f t="shared" si="33"/>
        <v/>
      </c>
      <c r="L639" s="10" t="str">
        <f t="shared" si="34"/>
        <v/>
      </c>
      <c r="M639">
        <v>5</v>
      </c>
      <c r="N639" t="str">
        <f t="shared" si="35"/>
        <v>يوجد رصيد كافى</v>
      </c>
    </row>
    <row r="640" spans="7:14" x14ac:dyDescent="0.3">
      <c r="G640" t="str">
        <f>IFERROR(IF(SUMIF(المشتريات!C:C, 'حركة المخزن'!B640, المشتريات!F:F)=0,"",SUMIF(المشتريات!C:C, 'حركة المخزن'!B640, المشتريات!F:F)),"")</f>
        <v/>
      </c>
      <c r="H640" s="10" t="str">
        <f>IFERROR(IF(SUMIF(المشتريات!C:C, 'حركة المخزن'!B640, المشتريات!I:I)=0,"",SUMIF(المشتريات!C:C, 'حركة المخزن'!B640, المشتريات!I:I)),"")</f>
        <v/>
      </c>
      <c r="I640" s="10" t="str">
        <f>IFERROR(IF(SUMIF('تحليل مبيعات'!C:C, 'حركة المخزن'!B640, 'تحليل مبيعات'!H:H)=0,"",SUMIF('تحليل مبيعات'!C:C, 'حركة المخزن'!B640, 'تحليل مبيعات'!H:H)),"")</f>
        <v/>
      </c>
      <c r="J640" s="10" t="str">
        <f>IFERROR(IF(SUMIF('تحليل مبيعات'!C:C, 'حركة المخزن'!B640, 'تحليل مبيعات'!L:L)=0,"",SUMIF('تحليل مبيعات'!C:C, 'حركة المخزن'!B640, 'تحليل مبيعات'!L:L)),"")</f>
        <v/>
      </c>
      <c r="K640" s="10" t="str">
        <f t="shared" si="33"/>
        <v/>
      </c>
      <c r="L640" s="10" t="str">
        <f t="shared" si="34"/>
        <v/>
      </c>
      <c r="M640">
        <v>5</v>
      </c>
      <c r="N640" t="str">
        <f t="shared" si="35"/>
        <v>يوجد رصيد كافى</v>
      </c>
    </row>
    <row r="641" spans="7:14" x14ac:dyDescent="0.3">
      <c r="G641" t="str">
        <f>IFERROR(IF(SUMIF(المشتريات!C:C, 'حركة المخزن'!B641, المشتريات!F:F)=0,"",SUMIF(المشتريات!C:C, 'حركة المخزن'!B641, المشتريات!F:F)),"")</f>
        <v/>
      </c>
      <c r="H641" s="10" t="str">
        <f>IFERROR(IF(SUMIF(المشتريات!C:C, 'حركة المخزن'!B641, المشتريات!I:I)=0,"",SUMIF(المشتريات!C:C, 'حركة المخزن'!B641, المشتريات!I:I)),"")</f>
        <v/>
      </c>
      <c r="I641" s="10" t="str">
        <f>IFERROR(IF(SUMIF('تحليل مبيعات'!C:C, 'حركة المخزن'!B641, 'تحليل مبيعات'!H:H)=0,"",SUMIF('تحليل مبيعات'!C:C, 'حركة المخزن'!B641, 'تحليل مبيعات'!H:H)),"")</f>
        <v/>
      </c>
      <c r="J641" s="10" t="str">
        <f>IFERROR(IF(SUMIF('تحليل مبيعات'!C:C, 'حركة المخزن'!B641, 'تحليل مبيعات'!L:L)=0,"",SUMIF('تحليل مبيعات'!C:C, 'حركة المخزن'!B641, 'تحليل مبيعات'!L:L)),"")</f>
        <v/>
      </c>
      <c r="K641" s="10" t="str">
        <f t="shared" si="33"/>
        <v/>
      </c>
      <c r="L641" s="10" t="str">
        <f t="shared" si="34"/>
        <v/>
      </c>
      <c r="M641">
        <v>5</v>
      </c>
      <c r="N641" t="str">
        <f t="shared" si="35"/>
        <v>يوجد رصيد كافى</v>
      </c>
    </row>
    <row r="642" spans="7:14" x14ac:dyDescent="0.3">
      <c r="G642" t="str">
        <f>IFERROR(IF(SUMIF(المشتريات!C:C, 'حركة المخزن'!B642, المشتريات!F:F)=0,"",SUMIF(المشتريات!C:C, 'حركة المخزن'!B642, المشتريات!F:F)),"")</f>
        <v/>
      </c>
      <c r="H642" s="10" t="str">
        <f>IFERROR(IF(SUMIF(المشتريات!C:C, 'حركة المخزن'!B642, المشتريات!I:I)=0,"",SUMIF(المشتريات!C:C, 'حركة المخزن'!B642, المشتريات!I:I)),"")</f>
        <v/>
      </c>
      <c r="I642" s="10" t="str">
        <f>IFERROR(IF(SUMIF('تحليل مبيعات'!C:C, 'حركة المخزن'!B642, 'تحليل مبيعات'!H:H)=0,"",SUMIF('تحليل مبيعات'!C:C, 'حركة المخزن'!B642, 'تحليل مبيعات'!H:H)),"")</f>
        <v/>
      </c>
      <c r="J642" s="10" t="str">
        <f>IFERROR(IF(SUMIF('تحليل مبيعات'!C:C, 'حركة المخزن'!B642, 'تحليل مبيعات'!L:L)=0,"",SUMIF('تحليل مبيعات'!C:C, 'حركة المخزن'!B642, 'تحليل مبيعات'!L:L)),"")</f>
        <v/>
      </c>
      <c r="K642" s="10" t="str">
        <f t="shared" si="33"/>
        <v/>
      </c>
      <c r="L642" s="10" t="str">
        <f t="shared" si="34"/>
        <v/>
      </c>
      <c r="M642">
        <v>5</v>
      </c>
      <c r="N642" t="str">
        <f t="shared" si="35"/>
        <v>يوجد رصيد كافى</v>
      </c>
    </row>
    <row r="643" spans="7:14" x14ac:dyDescent="0.3">
      <c r="G643" t="str">
        <f>IFERROR(IF(SUMIF(المشتريات!C:C, 'حركة المخزن'!B643, المشتريات!F:F)=0,"",SUMIF(المشتريات!C:C, 'حركة المخزن'!B643, المشتريات!F:F)),"")</f>
        <v/>
      </c>
      <c r="H643" s="10" t="str">
        <f>IFERROR(IF(SUMIF(المشتريات!C:C, 'حركة المخزن'!B643, المشتريات!I:I)=0,"",SUMIF(المشتريات!C:C, 'حركة المخزن'!B643, المشتريات!I:I)),"")</f>
        <v/>
      </c>
      <c r="I643" s="10" t="str">
        <f>IFERROR(IF(SUMIF('تحليل مبيعات'!C:C, 'حركة المخزن'!B643, 'تحليل مبيعات'!H:H)=0,"",SUMIF('تحليل مبيعات'!C:C, 'حركة المخزن'!B643, 'تحليل مبيعات'!H:H)),"")</f>
        <v/>
      </c>
      <c r="J643" s="10" t="str">
        <f>IFERROR(IF(SUMIF('تحليل مبيعات'!C:C, 'حركة المخزن'!B643, 'تحليل مبيعات'!L:L)=0,"",SUMIF('تحليل مبيعات'!C:C, 'حركة المخزن'!B643, 'تحليل مبيعات'!L:L)),"")</f>
        <v/>
      </c>
      <c r="K643" s="10" t="str">
        <f t="shared" si="33"/>
        <v/>
      </c>
      <c r="L643" s="10" t="str">
        <f t="shared" si="34"/>
        <v/>
      </c>
      <c r="M643">
        <v>5</v>
      </c>
      <c r="N643" t="str">
        <f t="shared" si="35"/>
        <v>يوجد رصيد كافى</v>
      </c>
    </row>
    <row r="644" spans="7:14" x14ac:dyDescent="0.3">
      <c r="G644" t="str">
        <f>IFERROR(IF(SUMIF(المشتريات!C:C, 'حركة المخزن'!B644, المشتريات!F:F)=0,"",SUMIF(المشتريات!C:C, 'حركة المخزن'!B644, المشتريات!F:F)),"")</f>
        <v/>
      </c>
      <c r="H644" s="10" t="str">
        <f>IFERROR(IF(SUMIF(المشتريات!C:C, 'حركة المخزن'!B644, المشتريات!I:I)=0,"",SUMIF(المشتريات!C:C, 'حركة المخزن'!B644, المشتريات!I:I)),"")</f>
        <v/>
      </c>
      <c r="I644" s="10" t="str">
        <f>IFERROR(IF(SUMIF('تحليل مبيعات'!C:C, 'حركة المخزن'!B644, 'تحليل مبيعات'!H:H)=0,"",SUMIF('تحليل مبيعات'!C:C, 'حركة المخزن'!B644, 'تحليل مبيعات'!H:H)),"")</f>
        <v/>
      </c>
      <c r="J644" s="10" t="str">
        <f>IFERROR(IF(SUMIF('تحليل مبيعات'!C:C, 'حركة المخزن'!B644, 'تحليل مبيعات'!L:L)=0,"",SUMIF('تحليل مبيعات'!C:C, 'حركة المخزن'!B644, 'تحليل مبيعات'!L:L)),"")</f>
        <v/>
      </c>
      <c r="K644" s="10" t="str">
        <f t="shared" si="33"/>
        <v/>
      </c>
      <c r="L644" s="10" t="str">
        <f t="shared" si="34"/>
        <v/>
      </c>
      <c r="M644">
        <v>5</v>
      </c>
      <c r="N644" t="str">
        <f t="shared" si="35"/>
        <v>يوجد رصيد كافى</v>
      </c>
    </row>
    <row r="645" spans="7:14" x14ac:dyDescent="0.3">
      <c r="G645" t="str">
        <f>IFERROR(IF(SUMIF(المشتريات!C:C, 'حركة المخزن'!B645, المشتريات!F:F)=0,"",SUMIF(المشتريات!C:C, 'حركة المخزن'!B645, المشتريات!F:F)),"")</f>
        <v/>
      </c>
      <c r="H645" s="10" t="str">
        <f>IFERROR(IF(SUMIF(المشتريات!C:C, 'حركة المخزن'!B645, المشتريات!I:I)=0,"",SUMIF(المشتريات!C:C, 'حركة المخزن'!B645, المشتريات!I:I)),"")</f>
        <v/>
      </c>
      <c r="I645" s="10" t="str">
        <f>IFERROR(IF(SUMIF('تحليل مبيعات'!C:C, 'حركة المخزن'!B645, 'تحليل مبيعات'!H:H)=0,"",SUMIF('تحليل مبيعات'!C:C, 'حركة المخزن'!B645, 'تحليل مبيعات'!H:H)),"")</f>
        <v/>
      </c>
      <c r="J645" s="10" t="str">
        <f>IFERROR(IF(SUMIF('تحليل مبيعات'!C:C, 'حركة المخزن'!B645, 'تحليل مبيعات'!L:L)=0,"",SUMIF('تحليل مبيعات'!C:C, 'حركة المخزن'!B645, 'تحليل مبيعات'!L:L)),"")</f>
        <v/>
      </c>
      <c r="K645" s="10" t="str">
        <f t="shared" si="33"/>
        <v/>
      </c>
      <c r="L645" s="10" t="str">
        <f t="shared" si="34"/>
        <v/>
      </c>
      <c r="M645">
        <v>5</v>
      </c>
      <c r="N645" t="str">
        <f t="shared" si="35"/>
        <v>يوجد رصيد كافى</v>
      </c>
    </row>
    <row r="646" spans="7:14" x14ac:dyDescent="0.3">
      <c r="G646" t="str">
        <f>IFERROR(IF(SUMIF(المشتريات!C:C, 'حركة المخزن'!B646, المشتريات!F:F)=0,"",SUMIF(المشتريات!C:C, 'حركة المخزن'!B646, المشتريات!F:F)),"")</f>
        <v/>
      </c>
      <c r="H646" s="10" t="str">
        <f>IFERROR(IF(SUMIF(المشتريات!C:C, 'حركة المخزن'!B646, المشتريات!I:I)=0,"",SUMIF(المشتريات!C:C, 'حركة المخزن'!B646, المشتريات!I:I)),"")</f>
        <v/>
      </c>
      <c r="I646" s="10" t="str">
        <f>IFERROR(IF(SUMIF('تحليل مبيعات'!C:C, 'حركة المخزن'!B646, 'تحليل مبيعات'!H:H)=0,"",SUMIF('تحليل مبيعات'!C:C, 'حركة المخزن'!B646, 'تحليل مبيعات'!H:H)),"")</f>
        <v/>
      </c>
      <c r="J646" s="10" t="str">
        <f>IFERROR(IF(SUMIF('تحليل مبيعات'!C:C, 'حركة المخزن'!B646, 'تحليل مبيعات'!L:L)=0,"",SUMIF('تحليل مبيعات'!C:C, 'حركة المخزن'!B646, 'تحليل مبيعات'!L:L)),"")</f>
        <v/>
      </c>
      <c r="K646" s="10" t="str">
        <f t="shared" si="33"/>
        <v/>
      </c>
      <c r="L646" s="10" t="str">
        <f t="shared" si="34"/>
        <v/>
      </c>
      <c r="M646">
        <v>5</v>
      </c>
      <c r="N646" t="str">
        <f t="shared" si="35"/>
        <v>يوجد رصيد كافى</v>
      </c>
    </row>
    <row r="647" spans="7:14" x14ac:dyDescent="0.3">
      <c r="G647" t="str">
        <f>IFERROR(IF(SUMIF(المشتريات!C:C, 'حركة المخزن'!B647, المشتريات!F:F)=0,"",SUMIF(المشتريات!C:C, 'حركة المخزن'!B647, المشتريات!F:F)),"")</f>
        <v/>
      </c>
      <c r="H647" s="10" t="str">
        <f>IFERROR(IF(SUMIF(المشتريات!C:C, 'حركة المخزن'!B647, المشتريات!I:I)=0,"",SUMIF(المشتريات!C:C, 'حركة المخزن'!B647, المشتريات!I:I)),"")</f>
        <v/>
      </c>
      <c r="I647" s="10" t="str">
        <f>IFERROR(IF(SUMIF('تحليل مبيعات'!C:C, 'حركة المخزن'!B647, 'تحليل مبيعات'!H:H)=0,"",SUMIF('تحليل مبيعات'!C:C, 'حركة المخزن'!B647, 'تحليل مبيعات'!H:H)),"")</f>
        <v/>
      </c>
      <c r="J647" s="10" t="str">
        <f>IFERROR(IF(SUMIF('تحليل مبيعات'!C:C, 'حركة المخزن'!B647, 'تحليل مبيعات'!L:L)=0,"",SUMIF('تحليل مبيعات'!C:C, 'حركة المخزن'!B647, 'تحليل مبيعات'!L:L)),"")</f>
        <v/>
      </c>
      <c r="K647" s="10" t="str">
        <f t="shared" si="33"/>
        <v/>
      </c>
      <c r="L647" s="10" t="str">
        <f t="shared" si="34"/>
        <v/>
      </c>
      <c r="M647">
        <v>5</v>
      </c>
      <c r="N647" t="str">
        <f t="shared" si="35"/>
        <v>يوجد رصيد كافى</v>
      </c>
    </row>
    <row r="648" spans="7:14" x14ac:dyDescent="0.3">
      <c r="G648" t="str">
        <f>IFERROR(IF(SUMIF(المشتريات!C:C, 'حركة المخزن'!B648, المشتريات!F:F)=0,"",SUMIF(المشتريات!C:C, 'حركة المخزن'!B648, المشتريات!F:F)),"")</f>
        <v/>
      </c>
      <c r="H648" s="10" t="str">
        <f>IFERROR(IF(SUMIF(المشتريات!C:C, 'حركة المخزن'!B648, المشتريات!I:I)=0,"",SUMIF(المشتريات!C:C, 'حركة المخزن'!B648, المشتريات!I:I)),"")</f>
        <v/>
      </c>
      <c r="I648" s="10" t="str">
        <f>IFERROR(IF(SUMIF('تحليل مبيعات'!C:C, 'حركة المخزن'!B648, 'تحليل مبيعات'!H:H)=0,"",SUMIF('تحليل مبيعات'!C:C, 'حركة المخزن'!B648, 'تحليل مبيعات'!H:H)),"")</f>
        <v/>
      </c>
      <c r="J648" s="10" t="str">
        <f>IFERROR(IF(SUMIF('تحليل مبيعات'!C:C, 'حركة المخزن'!B648, 'تحليل مبيعات'!L:L)=0,"",SUMIF('تحليل مبيعات'!C:C, 'حركة المخزن'!B648, 'تحليل مبيعات'!L:L)),"")</f>
        <v/>
      </c>
      <c r="K648" s="10" t="str">
        <f t="shared" si="33"/>
        <v/>
      </c>
      <c r="L648" s="10" t="str">
        <f t="shared" si="34"/>
        <v/>
      </c>
      <c r="M648">
        <v>5</v>
      </c>
      <c r="N648" t="str">
        <f t="shared" si="35"/>
        <v>يوجد رصيد كافى</v>
      </c>
    </row>
    <row r="649" spans="7:14" x14ac:dyDescent="0.3">
      <c r="G649" t="str">
        <f>IFERROR(IF(SUMIF(المشتريات!C:C, 'حركة المخزن'!B649, المشتريات!F:F)=0,"",SUMIF(المشتريات!C:C, 'حركة المخزن'!B649, المشتريات!F:F)),"")</f>
        <v/>
      </c>
      <c r="H649" s="10" t="str">
        <f>IFERROR(IF(SUMIF(المشتريات!C:C, 'حركة المخزن'!B649, المشتريات!I:I)=0,"",SUMIF(المشتريات!C:C, 'حركة المخزن'!B649, المشتريات!I:I)),"")</f>
        <v/>
      </c>
      <c r="I649" s="10" t="str">
        <f>IFERROR(IF(SUMIF('تحليل مبيعات'!C:C, 'حركة المخزن'!B649, 'تحليل مبيعات'!H:H)=0,"",SUMIF('تحليل مبيعات'!C:C, 'حركة المخزن'!B649, 'تحليل مبيعات'!H:H)),"")</f>
        <v/>
      </c>
      <c r="J649" s="10" t="str">
        <f>IFERROR(IF(SUMIF('تحليل مبيعات'!C:C, 'حركة المخزن'!B649, 'تحليل مبيعات'!L:L)=0,"",SUMIF('تحليل مبيعات'!C:C, 'حركة المخزن'!B649, 'تحليل مبيعات'!L:L)),"")</f>
        <v/>
      </c>
      <c r="K649" s="10" t="str">
        <f t="shared" ref="K649:K712" si="36">IFERROR(E649+G649-I649,"")</f>
        <v/>
      </c>
      <c r="L649" s="10" t="str">
        <f t="shared" ref="L649:L712" si="37">IFERROR(F649+H649-J649,"")</f>
        <v/>
      </c>
      <c r="M649">
        <v>5</v>
      </c>
      <c r="N649" t="str">
        <f t="shared" ref="N649:N712" si="38">IF(K649&lt;M649,"أعادة الطلب","يوجد رصيد كافى")</f>
        <v>يوجد رصيد كافى</v>
      </c>
    </row>
    <row r="650" spans="7:14" x14ac:dyDescent="0.3">
      <c r="G650" t="str">
        <f>IFERROR(IF(SUMIF(المشتريات!C:C, 'حركة المخزن'!B650, المشتريات!F:F)=0,"",SUMIF(المشتريات!C:C, 'حركة المخزن'!B650, المشتريات!F:F)),"")</f>
        <v/>
      </c>
      <c r="H650" s="10" t="str">
        <f>IFERROR(IF(SUMIF(المشتريات!C:C, 'حركة المخزن'!B650, المشتريات!I:I)=0,"",SUMIF(المشتريات!C:C, 'حركة المخزن'!B650, المشتريات!I:I)),"")</f>
        <v/>
      </c>
      <c r="I650" s="10" t="str">
        <f>IFERROR(IF(SUMIF('تحليل مبيعات'!C:C, 'حركة المخزن'!B650, 'تحليل مبيعات'!H:H)=0,"",SUMIF('تحليل مبيعات'!C:C, 'حركة المخزن'!B650, 'تحليل مبيعات'!H:H)),"")</f>
        <v/>
      </c>
      <c r="J650" s="10" t="str">
        <f>IFERROR(IF(SUMIF('تحليل مبيعات'!C:C, 'حركة المخزن'!B650, 'تحليل مبيعات'!L:L)=0,"",SUMIF('تحليل مبيعات'!C:C, 'حركة المخزن'!B650, 'تحليل مبيعات'!L:L)),"")</f>
        <v/>
      </c>
      <c r="K650" s="10" t="str">
        <f t="shared" si="36"/>
        <v/>
      </c>
      <c r="L650" s="10" t="str">
        <f t="shared" si="37"/>
        <v/>
      </c>
      <c r="M650">
        <v>5</v>
      </c>
      <c r="N650" t="str">
        <f t="shared" si="38"/>
        <v>يوجد رصيد كافى</v>
      </c>
    </row>
    <row r="651" spans="7:14" x14ac:dyDescent="0.3">
      <c r="G651" t="str">
        <f>IFERROR(IF(SUMIF(المشتريات!C:C, 'حركة المخزن'!B651, المشتريات!F:F)=0,"",SUMIF(المشتريات!C:C, 'حركة المخزن'!B651, المشتريات!F:F)),"")</f>
        <v/>
      </c>
      <c r="H651" s="10" t="str">
        <f>IFERROR(IF(SUMIF(المشتريات!C:C, 'حركة المخزن'!B651, المشتريات!I:I)=0,"",SUMIF(المشتريات!C:C, 'حركة المخزن'!B651, المشتريات!I:I)),"")</f>
        <v/>
      </c>
      <c r="I651" s="10" t="str">
        <f>IFERROR(IF(SUMIF('تحليل مبيعات'!C:C, 'حركة المخزن'!B651, 'تحليل مبيعات'!H:H)=0,"",SUMIF('تحليل مبيعات'!C:C, 'حركة المخزن'!B651, 'تحليل مبيعات'!H:H)),"")</f>
        <v/>
      </c>
      <c r="J651" s="10" t="str">
        <f>IFERROR(IF(SUMIF('تحليل مبيعات'!C:C, 'حركة المخزن'!B651, 'تحليل مبيعات'!L:L)=0,"",SUMIF('تحليل مبيعات'!C:C, 'حركة المخزن'!B651, 'تحليل مبيعات'!L:L)),"")</f>
        <v/>
      </c>
      <c r="K651" s="10" t="str">
        <f t="shared" si="36"/>
        <v/>
      </c>
      <c r="L651" s="10" t="str">
        <f t="shared" si="37"/>
        <v/>
      </c>
      <c r="M651">
        <v>5</v>
      </c>
      <c r="N651" t="str">
        <f t="shared" si="38"/>
        <v>يوجد رصيد كافى</v>
      </c>
    </row>
    <row r="652" spans="7:14" x14ac:dyDescent="0.3">
      <c r="G652" t="str">
        <f>IFERROR(IF(SUMIF(المشتريات!C:C, 'حركة المخزن'!B652, المشتريات!F:F)=0,"",SUMIF(المشتريات!C:C, 'حركة المخزن'!B652, المشتريات!F:F)),"")</f>
        <v/>
      </c>
      <c r="H652" s="10" t="str">
        <f>IFERROR(IF(SUMIF(المشتريات!C:C, 'حركة المخزن'!B652, المشتريات!I:I)=0,"",SUMIF(المشتريات!C:C, 'حركة المخزن'!B652, المشتريات!I:I)),"")</f>
        <v/>
      </c>
      <c r="I652" s="10" t="str">
        <f>IFERROR(IF(SUMIF('تحليل مبيعات'!C:C, 'حركة المخزن'!B652, 'تحليل مبيعات'!H:H)=0,"",SUMIF('تحليل مبيعات'!C:C, 'حركة المخزن'!B652, 'تحليل مبيعات'!H:H)),"")</f>
        <v/>
      </c>
      <c r="J652" s="10" t="str">
        <f>IFERROR(IF(SUMIF('تحليل مبيعات'!C:C, 'حركة المخزن'!B652, 'تحليل مبيعات'!L:L)=0,"",SUMIF('تحليل مبيعات'!C:C, 'حركة المخزن'!B652, 'تحليل مبيعات'!L:L)),"")</f>
        <v/>
      </c>
      <c r="K652" s="10" t="str">
        <f t="shared" si="36"/>
        <v/>
      </c>
      <c r="L652" s="10" t="str">
        <f t="shared" si="37"/>
        <v/>
      </c>
      <c r="M652">
        <v>5</v>
      </c>
      <c r="N652" t="str">
        <f t="shared" si="38"/>
        <v>يوجد رصيد كافى</v>
      </c>
    </row>
    <row r="653" spans="7:14" x14ac:dyDescent="0.3">
      <c r="G653" t="str">
        <f>IFERROR(IF(SUMIF(المشتريات!C:C, 'حركة المخزن'!B653, المشتريات!F:F)=0,"",SUMIF(المشتريات!C:C, 'حركة المخزن'!B653, المشتريات!F:F)),"")</f>
        <v/>
      </c>
      <c r="H653" s="10" t="str">
        <f>IFERROR(IF(SUMIF(المشتريات!C:C, 'حركة المخزن'!B653, المشتريات!I:I)=0,"",SUMIF(المشتريات!C:C, 'حركة المخزن'!B653, المشتريات!I:I)),"")</f>
        <v/>
      </c>
      <c r="I653" s="10" t="str">
        <f>IFERROR(IF(SUMIF('تحليل مبيعات'!C:C, 'حركة المخزن'!B653, 'تحليل مبيعات'!H:H)=0,"",SUMIF('تحليل مبيعات'!C:C, 'حركة المخزن'!B653, 'تحليل مبيعات'!H:H)),"")</f>
        <v/>
      </c>
      <c r="J653" s="10" t="str">
        <f>IFERROR(IF(SUMIF('تحليل مبيعات'!C:C, 'حركة المخزن'!B653, 'تحليل مبيعات'!L:L)=0,"",SUMIF('تحليل مبيعات'!C:C, 'حركة المخزن'!B653, 'تحليل مبيعات'!L:L)),"")</f>
        <v/>
      </c>
      <c r="K653" s="10" t="str">
        <f t="shared" si="36"/>
        <v/>
      </c>
      <c r="L653" s="10" t="str">
        <f t="shared" si="37"/>
        <v/>
      </c>
      <c r="M653">
        <v>5</v>
      </c>
      <c r="N653" t="str">
        <f t="shared" si="38"/>
        <v>يوجد رصيد كافى</v>
      </c>
    </row>
    <row r="654" spans="7:14" x14ac:dyDescent="0.3">
      <c r="G654" t="str">
        <f>IFERROR(IF(SUMIF(المشتريات!C:C, 'حركة المخزن'!B654, المشتريات!F:F)=0,"",SUMIF(المشتريات!C:C, 'حركة المخزن'!B654, المشتريات!F:F)),"")</f>
        <v/>
      </c>
      <c r="H654" s="10" t="str">
        <f>IFERROR(IF(SUMIF(المشتريات!C:C, 'حركة المخزن'!B654, المشتريات!I:I)=0,"",SUMIF(المشتريات!C:C, 'حركة المخزن'!B654, المشتريات!I:I)),"")</f>
        <v/>
      </c>
      <c r="I654" s="10" t="str">
        <f>IFERROR(IF(SUMIF('تحليل مبيعات'!C:C, 'حركة المخزن'!B654, 'تحليل مبيعات'!H:H)=0,"",SUMIF('تحليل مبيعات'!C:C, 'حركة المخزن'!B654, 'تحليل مبيعات'!H:H)),"")</f>
        <v/>
      </c>
      <c r="J654" s="10" t="str">
        <f>IFERROR(IF(SUMIF('تحليل مبيعات'!C:C, 'حركة المخزن'!B654, 'تحليل مبيعات'!L:L)=0,"",SUMIF('تحليل مبيعات'!C:C, 'حركة المخزن'!B654, 'تحليل مبيعات'!L:L)),"")</f>
        <v/>
      </c>
      <c r="K654" s="10" t="str">
        <f t="shared" si="36"/>
        <v/>
      </c>
      <c r="L654" s="10" t="str">
        <f t="shared" si="37"/>
        <v/>
      </c>
      <c r="M654">
        <v>5</v>
      </c>
      <c r="N654" t="str">
        <f t="shared" si="38"/>
        <v>يوجد رصيد كافى</v>
      </c>
    </row>
    <row r="655" spans="7:14" x14ac:dyDescent="0.3">
      <c r="G655" t="str">
        <f>IFERROR(IF(SUMIF(المشتريات!C:C, 'حركة المخزن'!B655, المشتريات!F:F)=0,"",SUMIF(المشتريات!C:C, 'حركة المخزن'!B655, المشتريات!F:F)),"")</f>
        <v/>
      </c>
      <c r="H655" s="10" t="str">
        <f>IFERROR(IF(SUMIF(المشتريات!C:C, 'حركة المخزن'!B655, المشتريات!I:I)=0,"",SUMIF(المشتريات!C:C, 'حركة المخزن'!B655, المشتريات!I:I)),"")</f>
        <v/>
      </c>
      <c r="I655" s="10" t="str">
        <f>IFERROR(IF(SUMIF('تحليل مبيعات'!C:C, 'حركة المخزن'!B655, 'تحليل مبيعات'!H:H)=0,"",SUMIF('تحليل مبيعات'!C:C, 'حركة المخزن'!B655, 'تحليل مبيعات'!H:H)),"")</f>
        <v/>
      </c>
      <c r="J655" s="10" t="str">
        <f>IFERROR(IF(SUMIF('تحليل مبيعات'!C:C, 'حركة المخزن'!B655, 'تحليل مبيعات'!L:L)=0,"",SUMIF('تحليل مبيعات'!C:C, 'حركة المخزن'!B655, 'تحليل مبيعات'!L:L)),"")</f>
        <v/>
      </c>
      <c r="K655" s="10" t="str">
        <f t="shared" si="36"/>
        <v/>
      </c>
      <c r="L655" s="10" t="str">
        <f t="shared" si="37"/>
        <v/>
      </c>
      <c r="M655">
        <v>5</v>
      </c>
      <c r="N655" t="str">
        <f t="shared" si="38"/>
        <v>يوجد رصيد كافى</v>
      </c>
    </row>
    <row r="656" spans="7:14" x14ac:dyDescent="0.3">
      <c r="G656" t="str">
        <f>IFERROR(IF(SUMIF(المشتريات!C:C, 'حركة المخزن'!B656, المشتريات!F:F)=0,"",SUMIF(المشتريات!C:C, 'حركة المخزن'!B656, المشتريات!F:F)),"")</f>
        <v/>
      </c>
      <c r="H656" s="10" t="str">
        <f>IFERROR(IF(SUMIF(المشتريات!C:C, 'حركة المخزن'!B656, المشتريات!I:I)=0,"",SUMIF(المشتريات!C:C, 'حركة المخزن'!B656, المشتريات!I:I)),"")</f>
        <v/>
      </c>
      <c r="I656" s="10" t="str">
        <f>IFERROR(IF(SUMIF('تحليل مبيعات'!C:C, 'حركة المخزن'!B656, 'تحليل مبيعات'!H:H)=0,"",SUMIF('تحليل مبيعات'!C:C, 'حركة المخزن'!B656, 'تحليل مبيعات'!H:H)),"")</f>
        <v/>
      </c>
      <c r="J656" s="10" t="str">
        <f>IFERROR(IF(SUMIF('تحليل مبيعات'!C:C, 'حركة المخزن'!B656, 'تحليل مبيعات'!L:L)=0,"",SUMIF('تحليل مبيعات'!C:C, 'حركة المخزن'!B656, 'تحليل مبيعات'!L:L)),"")</f>
        <v/>
      </c>
      <c r="K656" s="10" t="str">
        <f t="shared" si="36"/>
        <v/>
      </c>
      <c r="L656" s="10" t="str">
        <f t="shared" si="37"/>
        <v/>
      </c>
      <c r="M656">
        <v>5</v>
      </c>
      <c r="N656" t="str">
        <f t="shared" si="38"/>
        <v>يوجد رصيد كافى</v>
      </c>
    </row>
    <row r="657" spans="7:14" x14ac:dyDescent="0.3">
      <c r="G657" t="str">
        <f>IFERROR(IF(SUMIF(المشتريات!C:C, 'حركة المخزن'!B657, المشتريات!F:F)=0,"",SUMIF(المشتريات!C:C, 'حركة المخزن'!B657, المشتريات!F:F)),"")</f>
        <v/>
      </c>
      <c r="H657" s="10" t="str">
        <f>IFERROR(IF(SUMIF(المشتريات!C:C, 'حركة المخزن'!B657, المشتريات!I:I)=0,"",SUMIF(المشتريات!C:C, 'حركة المخزن'!B657, المشتريات!I:I)),"")</f>
        <v/>
      </c>
      <c r="I657" s="10" t="str">
        <f>IFERROR(IF(SUMIF('تحليل مبيعات'!C:C, 'حركة المخزن'!B657, 'تحليل مبيعات'!H:H)=0,"",SUMIF('تحليل مبيعات'!C:C, 'حركة المخزن'!B657, 'تحليل مبيعات'!H:H)),"")</f>
        <v/>
      </c>
      <c r="J657" s="10" t="str">
        <f>IFERROR(IF(SUMIF('تحليل مبيعات'!C:C, 'حركة المخزن'!B657, 'تحليل مبيعات'!L:L)=0,"",SUMIF('تحليل مبيعات'!C:C, 'حركة المخزن'!B657, 'تحليل مبيعات'!L:L)),"")</f>
        <v/>
      </c>
      <c r="K657" s="10" t="str">
        <f t="shared" si="36"/>
        <v/>
      </c>
      <c r="L657" s="10" t="str">
        <f t="shared" si="37"/>
        <v/>
      </c>
      <c r="M657">
        <v>5</v>
      </c>
      <c r="N657" t="str">
        <f t="shared" si="38"/>
        <v>يوجد رصيد كافى</v>
      </c>
    </row>
    <row r="658" spans="7:14" x14ac:dyDescent="0.3">
      <c r="G658" t="str">
        <f>IFERROR(IF(SUMIF(المشتريات!C:C, 'حركة المخزن'!B658, المشتريات!F:F)=0,"",SUMIF(المشتريات!C:C, 'حركة المخزن'!B658, المشتريات!F:F)),"")</f>
        <v/>
      </c>
      <c r="H658" s="10" t="str">
        <f>IFERROR(IF(SUMIF(المشتريات!C:C, 'حركة المخزن'!B658, المشتريات!I:I)=0,"",SUMIF(المشتريات!C:C, 'حركة المخزن'!B658, المشتريات!I:I)),"")</f>
        <v/>
      </c>
      <c r="I658" s="10" t="str">
        <f>IFERROR(IF(SUMIF('تحليل مبيعات'!C:C, 'حركة المخزن'!B658, 'تحليل مبيعات'!H:H)=0,"",SUMIF('تحليل مبيعات'!C:C, 'حركة المخزن'!B658, 'تحليل مبيعات'!H:H)),"")</f>
        <v/>
      </c>
      <c r="J658" s="10" t="str">
        <f>IFERROR(IF(SUMIF('تحليل مبيعات'!C:C, 'حركة المخزن'!B658, 'تحليل مبيعات'!L:L)=0,"",SUMIF('تحليل مبيعات'!C:C, 'حركة المخزن'!B658, 'تحليل مبيعات'!L:L)),"")</f>
        <v/>
      </c>
      <c r="K658" s="10" t="str">
        <f t="shared" si="36"/>
        <v/>
      </c>
      <c r="L658" s="10" t="str">
        <f t="shared" si="37"/>
        <v/>
      </c>
      <c r="M658">
        <v>5</v>
      </c>
      <c r="N658" t="str">
        <f t="shared" si="38"/>
        <v>يوجد رصيد كافى</v>
      </c>
    </row>
    <row r="659" spans="7:14" x14ac:dyDescent="0.3">
      <c r="G659" t="str">
        <f>IFERROR(IF(SUMIF(المشتريات!C:C, 'حركة المخزن'!B659, المشتريات!F:F)=0,"",SUMIF(المشتريات!C:C, 'حركة المخزن'!B659, المشتريات!F:F)),"")</f>
        <v/>
      </c>
      <c r="H659" s="10" t="str">
        <f>IFERROR(IF(SUMIF(المشتريات!C:C, 'حركة المخزن'!B659, المشتريات!I:I)=0,"",SUMIF(المشتريات!C:C, 'حركة المخزن'!B659, المشتريات!I:I)),"")</f>
        <v/>
      </c>
      <c r="I659" s="10" t="str">
        <f>IFERROR(IF(SUMIF('تحليل مبيعات'!C:C, 'حركة المخزن'!B659, 'تحليل مبيعات'!H:H)=0,"",SUMIF('تحليل مبيعات'!C:C, 'حركة المخزن'!B659, 'تحليل مبيعات'!H:H)),"")</f>
        <v/>
      </c>
      <c r="J659" s="10" t="str">
        <f>IFERROR(IF(SUMIF('تحليل مبيعات'!C:C, 'حركة المخزن'!B659, 'تحليل مبيعات'!L:L)=0,"",SUMIF('تحليل مبيعات'!C:C, 'حركة المخزن'!B659, 'تحليل مبيعات'!L:L)),"")</f>
        <v/>
      </c>
      <c r="K659" s="10" t="str">
        <f t="shared" si="36"/>
        <v/>
      </c>
      <c r="L659" s="10" t="str">
        <f t="shared" si="37"/>
        <v/>
      </c>
      <c r="M659">
        <v>5</v>
      </c>
      <c r="N659" t="str">
        <f t="shared" si="38"/>
        <v>يوجد رصيد كافى</v>
      </c>
    </row>
    <row r="660" spans="7:14" x14ac:dyDescent="0.3">
      <c r="G660" t="str">
        <f>IFERROR(IF(SUMIF(المشتريات!C:C, 'حركة المخزن'!B660, المشتريات!F:F)=0,"",SUMIF(المشتريات!C:C, 'حركة المخزن'!B660, المشتريات!F:F)),"")</f>
        <v/>
      </c>
      <c r="H660" s="10" t="str">
        <f>IFERROR(IF(SUMIF(المشتريات!C:C, 'حركة المخزن'!B660, المشتريات!I:I)=0,"",SUMIF(المشتريات!C:C, 'حركة المخزن'!B660, المشتريات!I:I)),"")</f>
        <v/>
      </c>
      <c r="I660" s="10" t="str">
        <f>IFERROR(IF(SUMIF('تحليل مبيعات'!C:C, 'حركة المخزن'!B660, 'تحليل مبيعات'!H:H)=0,"",SUMIF('تحليل مبيعات'!C:C, 'حركة المخزن'!B660, 'تحليل مبيعات'!H:H)),"")</f>
        <v/>
      </c>
      <c r="J660" s="10" t="str">
        <f>IFERROR(IF(SUMIF('تحليل مبيعات'!C:C, 'حركة المخزن'!B660, 'تحليل مبيعات'!L:L)=0,"",SUMIF('تحليل مبيعات'!C:C, 'حركة المخزن'!B660, 'تحليل مبيعات'!L:L)),"")</f>
        <v/>
      </c>
      <c r="K660" s="10" t="str">
        <f t="shared" si="36"/>
        <v/>
      </c>
      <c r="L660" s="10" t="str">
        <f t="shared" si="37"/>
        <v/>
      </c>
      <c r="M660">
        <v>5</v>
      </c>
      <c r="N660" t="str">
        <f t="shared" si="38"/>
        <v>يوجد رصيد كافى</v>
      </c>
    </row>
    <row r="661" spans="7:14" x14ac:dyDescent="0.3">
      <c r="G661" t="str">
        <f>IFERROR(IF(SUMIF(المشتريات!C:C, 'حركة المخزن'!B661, المشتريات!F:F)=0,"",SUMIF(المشتريات!C:C, 'حركة المخزن'!B661, المشتريات!F:F)),"")</f>
        <v/>
      </c>
      <c r="H661" s="10" t="str">
        <f>IFERROR(IF(SUMIF(المشتريات!C:C, 'حركة المخزن'!B661, المشتريات!I:I)=0,"",SUMIF(المشتريات!C:C, 'حركة المخزن'!B661, المشتريات!I:I)),"")</f>
        <v/>
      </c>
      <c r="I661" s="10" t="str">
        <f>IFERROR(IF(SUMIF('تحليل مبيعات'!C:C, 'حركة المخزن'!B661, 'تحليل مبيعات'!H:H)=0,"",SUMIF('تحليل مبيعات'!C:C, 'حركة المخزن'!B661, 'تحليل مبيعات'!H:H)),"")</f>
        <v/>
      </c>
      <c r="J661" s="10" t="str">
        <f>IFERROR(IF(SUMIF('تحليل مبيعات'!C:C, 'حركة المخزن'!B661, 'تحليل مبيعات'!L:L)=0,"",SUMIF('تحليل مبيعات'!C:C, 'حركة المخزن'!B661, 'تحليل مبيعات'!L:L)),"")</f>
        <v/>
      </c>
      <c r="K661" s="10" t="str">
        <f t="shared" si="36"/>
        <v/>
      </c>
      <c r="L661" s="10" t="str">
        <f t="shared" si="37"/>
        <v/>
      </c>
      <c r="M661">
        <v>5</v>
      </c>
      <c r="N661" t="str">
        <f t="shared" si="38"/>
        <v>يوجد رصيد كافى</v>
      </c>
    </row>
    <row r="662" spans="7:14" x14ac:dyDescent="0.3">
      <c r="G662" t="str">
        <f>IFERROR(IF(SUMIF(المشتريات!C:C, 'حركة المخزن'!B662, المشتريات!F:F)=0,"",SUMIF(المشتريات!C:C, 'حركة المخزن'!B662, المشتريات!F:F)),"")</f>
        <v/>
      </c>
      <c r="H662" s="10" t="str">
        <f>IFERROR(IF(SUMIF(المشتريات!C:C, 'حركة المخزن'!B662, المشتريات!I:I)=0,"",SUMIF(المشتريات!C:C, 'حركة المخزن'!B662, المشتريات!I:I)),"")</f>
        <v/>
      </c>
      <c r="I662" s="10" t="str">
        <f>IFERROR(IF(SUMIF('تحليل مبيعات'!C:C, 'حركة المخزن'!B662, 'تحليل مبيعات'!H:H)=0,"",SUMIF('تحليل مبيعات'!C:C, 'حركة المخزن'!B662, 'تحليل مبيعات'!H:H)),"")</f>
        <v/>
      </c>
      <c r="J662" s="10" t="str">
        <f>IFERROR(IF(SUMIF('تحليل مبيعات'!C:C, 'حركة المخزن'!B662, 'تحليل مبيعات'!L:L)=0,"",SUMIF('تحليل مبيعات'!C:C, 'حركة المخزن'!B662, 'تحليل مبيعات'!L:L)),"")</f>
        <v/>
      </c>
      <c r="K662" s="10" t="str">
        <f t="shared" si="36"/>
        <v/>
      </c>
      <c r="L662" s="10" t="str">
        <f t="shared" si="37"/>
        <v/>
      </c>
      <c r="M662">
        <v>5</v>
      </c>
      <c r="N662" t="str">
        <f t="shared" si="38"/>
        <v>يوجد رصيد كافى</v>
      </c>
    </row>
    <row r="663" spans="7:14" x14ac:dyDescent="0.3">
      <c r="G663" t="str">
        <f>IFERROR(IF(SUMIF(المشتريات!C:C, 'حركة المخزن'!B663, المشتريات!F:F)=0,"",SUMIF(المشتريات!C:C, 'حركة المخزن'!B663, المشتريات!F:F)),"")</f>
        <v/>
      </c>
      <c r="H663" s="10" t="str">
        <f>IFERROR(IF(SUMIF(المشتريات!C:C, 'حركة المخزن'!B663, المشتريات!I:I)=0,"",SUMIF(المشتريات!C:C, 'حركة المخزن'!B663, المشتريات!I:I)),"")</f>
        <v/>
      </c>
      <c r="I663" s="10" t="str">
        <f>IFERROR(IF(SUMIF('تحليل مبيعات'!C:C, 'حركة المخزن'!B663, 'تحليل مبيعات'!H:H)=0,"",SUMIF('تحليل مبيعات'!C:C, 'حركة المخزن'!B663, 'تحليل مبيعات'!H:H)),"")</f>
        <v/>
      </c>
      <c r="J663" s="10" t="str">
        <f>IFERROR(IF(SUMIF('تحليل مبيعات'!C:C, 'حركة المخزن'!B663, 'تحليل مبيعات'!L:L)=0,"",SUMIF('تحليل مبيعات'!C:C, 'حركة المخزن'!B663, 'تحليل مبيعات'!L:L)),"")</f>
        <v/>
      </c>
      <c r="K663" s="10" t="str">
        <f t="shared" si="36"/>
        <v/>
      </c>
      <c r="L663" s="10" t="str">
        <f t="shared" si="37"/>
        <v/>
      </c>
      <c r="M663">
        <v>5</v>
      </c>
      <c r="N663" t="str">
        <f t="shared" si="38"/>
        <v>يوجد رصيد كافى</v>
      </c>
    </row>
    <row r="664" spans="7:14" x14ac:dyDescent="0.3">
      <c r="G664" t="str">
        <f>IFERROR(IF(SUMIF(المشتريات!C:C, 'حركة المخزن'!B664, المشتريات!F:F)=0,"",SUMIF(المشتريات!C:C, 'حركة المخزن'!B664, المشتريات!F:F)),"")</f>
        <v/>
      </c>
      <c r="H664" s="10" t="str">
        <f>IFERROR(IF(SUMIF(المشتريات!C:C, 'حركة المخزن'!B664, المشتريات!I:I)=0,"",SUMIF(المشتريات!C:C, 'حركة المخزن'!B664, المشتريات!I:I)),"")</f>
        <v/>
      </c>
      <c r="I664" s="10" t="str">
        <f>IFERROR(IF(SUMIF('تحليل مبيعات'!C:C, 'حركة المخزن'!B664, 'تحليل مبيعات'!H:H)=0,"",SUMIF('تحليل مبيعات'!C:C, 'حركة المخزن'!B664, 'تحليل مبيعات'!H:H)),"")</f>
        <v/>
      </c>
      <c r="J664" s="10" t="str">
        <f>IFERROR(IF(SUMIF('تحليل مبيعات'!C:C, 'حركة المخزن'!B664, 'تحليل مبيعات'!L:L)=0,"",SUMIF('تحليل مبيعات'!C:C, 'حركة المخزن'!B664, 'تحليل مبيعات'!L:L)),"")</f>
        <v/>
      </c>
      <c r="K664" s="10" t="str">
        <f t="shared" si="36"/>
        <v/>
      </c>
      <c r="L664" s="10" t="str">
        <f t="shared" si="37"/>
        <v/>
      </c>
      <c r="M664">
        <v>5</v>
      </c>
      <c r="N664" t="str">
        <f t="shared" si="38"/>
        <v>يوجد رصيد كافى</v>
      </c>
    </row>
    <row r="665" spans="7:14" x14ac:dyDescent="0.3">
      <c r="G665" t="str">
        <f>IFERROR(IF(SUMIF(المشتريات!C:C, 'حركة المخزن'!B665, المشتريات!F:F)=0,"",SUMIF(المشتريات!C:C, 'حركة المخزن'!B665, المشتريات!F:F)),"")</f>
        <v/>
      </c>
      <c r="H665" s="10" t="str">
        <f>IFERROR(IF(SUMIF(المشتريات!C:C, 'حركة المخزن'!B665, المشتريات!I:I)=0,"",SUMIF(المشتريات!C:C, 'حركة المخزن'!B665, المشتريات!I:I)),"")</f>
        <v/>
      </c>
      <c r="I665" s="10" t="str">
        <f>IFERROR(IF(SUMIF('تحليل مبيعات'!C:C, 'حركة المخزن'!B665, 'تحليل مبيعات'!H:H)=0,"",SUMIF('تحليل مبيعات'!C:C, 'حركة المخزن'!B665, 'تحليل مبيعات'!H:H)),"")</f>
        <v/>
      </c>
      <c r="J665" s="10" t="str">
        <f>IFERROR(IF(SUMIF('تحليل مبيعات'!C:C, 'حركة المخزن'!B665, 'تحليل مبيعات'!L:L)=0,"",SUMIF('تحليل مبيعات'!C:C, 'حركة المخزن'!B665, 'تحليل مبيعات'!L:L)),"")</f>
        <v/>
      </c>
      <c r="K665" s="10" t="str">
        <f t="shared" si="36"/>
        <v/>
      </c>
      <c r="L665" s="10" t="str">
        <f t="shared" si="37"/>
        <v/>
      </c>
      <c r="M665">
        <v>5</v>
      </c>
      <c r="N665" t="str">
        <f t="shared" si="38"/>
        <v>يوجد رصيد كافى</v>
      </c>
    </row>
    <row r="666" spans="7:14" x14ac:dyDescent="0.3">
      <c r="G666" t="str">
        <f>IFERROR(IF(SUMIF(المشتريات!C:C, 'حركة المخزن'!B666, المشتريات!F:F)=0,"",SUMIF(المشتريات!C:C, 'حركة المخزن'!B666, المشتريات!F:F)),"")</f>
        <v/>
      </c>
      <c r="H666" s="10" t="str">
        <f>IFERROR(IF(SUMIF(المشتريات!C:C, 'حركة المخزن'!B666, المشتريات!I:I)=0,"",SUMIF(المشتريات!C:C, 'حركة المخزن'!B666, المشتريات!I:I)),"")</f>
        <v/>
      </c>
      <c r="I666" s="10" t="str">
        <f>IFERROR(IF(SUMIF('تحليل مبيعات'!C:C, 'حركة المخزن'!B666, 'تحليل مبيعات'!H:H)=0,"",SUMIF('تحليل مبيعات'!C:C, 'حركة المخزن'!B666, 'تحليل مبيعات'!H:H)),"")</f>
        <v/>
      </c>
      <c r="J666" s="10" t="str">
        <f>IFERROR(IF(SUMIF('تحليل مبيعات'!C:C, 'حركة المخزن'!B666, 'تحليل مبيعات'!L:L)=0,"",SUMIF('تحليل مبيعات'!C:C, 'حركة المخزن'!B666, 'تحليل مبيعات'!L:L)),"")</f>
        <v/>
      </c>
      <c r="K666" s="10" t="str">
        <f t="shared" si="36"/>
        <v/>
      </c>
      <c r="L666" s="10" t="str">
        <f t="shared" si="37"/>
        <v/>
      </c>
      <c r="M666">
        <v>5</v>
      </c>
      <c r="N666" t="str">
        <f t="shared" si="38"/>
        <v>يوجد رصيد كافى</v>
      </c>
    </row>
    <row r="667" spans="7:14" x14ac:dyDescent="0.3">
      <c r="G667" t="str">
        <f>IFERROR(IF(SUMIF(المشتريات!C:C, 'حركة المخزن'!B667, المشتريات!F:F)=0,"",SUMIF(المشتريات!C:C, 'حركة المخزن'!B667, المشتريات!F:F)),"")</f>
        <v/>
      </c>
      <c r="H667" s="10" t="str">
        <f>IFERROR(IF(SUMIF(المشتريات!C:C, 'حركة المخزن'!B667, المشتريات!I:I)=0,"",SUMIF(المشتريات!C:C, 'حركة المخزن'!B667, المشتريات!I:I)),"")</f>
        <v/>
      </c>
      <c r="I667" s="10" t="str">
        <f>IFERROR(IF(SUMIF('تحليل مبيعات'!C:C, 'حركة المخزن'!B667, 'تحليل مبيعات'!H:H)=0,"",SUMIF('تحليل مبيعات'!C:C, 'حركة المخزن'!B667, 'تحليل مبيعات'!H:H)),"")</f>
        <v/>
      </c>
      <c r="J667" s="10" t="str">
        <f>IFERROR(IF(SUMIF('تحليل مبيعات'!C:C, 'حركة المخزن'!B667, 'تحليل مبيعات'!L:L)=0,"",SUMIF('تحليل مبيعات'!C:C, 'حركة المخزن'!B667, 'تحليل مبيعات'!L:L)),"")</f>
        <v/>
      </c>
      <c r="K667" s="10" t="str">
        <f t="shared" si="36"/>
        <v/>
      </c>
      <c r="L667" s="10" t="str">
        <f t="shared" si="37"/>
        <v/>
      </c>
      <c r="M667">
        <v>5</v>
      </c>
      <c r="N667" t="str">
        <f t="shared" si="38"/>
        <v>يوجد رصيد كافى</v>
      </c>
    </row>
    <row r="668" spans="7:14" x14ac:dyDescent="0.3">
      <c r="G668" t="str">
        <f>IFERROR(IF(SUMIF(المشتريات!C:C, 'حركة المخزن'!B668, المشتريات!F:F)=0,"",SUMIF(المشتريات!C:C, 'حركة المخزن'!B668, المشتريات!F:F)),"")</f>
        <v/>
      </c>
      <c r="H668" s="10" t="str">
        <f>IFERROR(IF(SUMIF(المشتريات!C:C, 'حركة المخزن'!B668, المشتريات!I:I)=0,"",SUMIF(المشتريات!C:C, 'حركة المخزن'!B668, المشتريات!I:I)),"")</f>
        <v/>
      </c>
      <c r="I668" s="10" t="str">
        <f>IFERROR(IF(SUMIF('تحليل مبيعات'!C:C, 'حركة المخزن'!B668, 'تحليل مبيعات'!H:H)=0,"",SUMIF('تحليل مبيعات'!C:C, 'حركة المخزن'!B668, 'تحليل مبيعات'!H:H)),"")</f>
        <v/>
      </c>
      <c r="J668" s="10" t="str">
        <f>IFERROR(IF(SUMIF('تحليل مبيعات'!C:C, 'حركة المخزن'!B668, 'تحليل مبيعات'!L:L)=0,"",SUMIF('تحليل مبيعات'!C:C, 'حركة المخزن'!B668, 'تحليل مبيعات'!L:L)),"")</f>
        <v/>
      </c>
      <c r="K668" s="10" t="str">
        <f t="shared" si="36"/>
        <v/>
      </c>
      <c r="L668" s="10" t="str">
        <f t="shared" si="37"/>
        <v/>
      </c>
      <c r="M668">
        <v>5</v>
      </c>
      <c r="N668" t="str">
        <f t="shared" si="38"/>
        <v>يوجد رصيد كافى</v>
      </c>
    </row>
    <row r="669" spans="7:14" x14ac:dyDescent="0.3">
      <c r="G669" t="str">
        <f>IFERROR(IF(SUMIF(المشتريات!C:C, 'حركة المخزن'!B669, المشتريات!F:F)=0,"",SUMIF(المشتريات!C:C, 'حركة المخزن'!B669, المشتريات!F:F)),"")</f>
        <v/>
      </c>
      <c r="H669" s="10" t="str">
        <f>IFERROR(IF(SUMIF(المشتريات!C:C, 'حركة المخزن'!B669, المشتريات!I:I)=0,"",SUMIF(المشتريات!C:C, 'حركة المخزن'!B669, المشتريات!I:I)),"")</f>
        <v/>
      </c>
      <c r="I669" s="10" t="str">
        <f>IFERROR(IF(SUMIF('تحليل مبيعات'!C:C, 'حركة المخزن'!B669, 'تحليل مبيعات'!H:H)=0,"",SUMIF('تحليل مبيعات'!C:C, 'حركة المخزن'!B669, 'تحليل مبيعات'!H:H)),"")</f>
        <v/>
      </c>
      <c r="J669" s="10" t="str">
        <f>IFERROR(IF(SUMIF('تحليل مبيعات'!C:C, 'حركة المخزن'!B669, 'تحليل مبيعات'!L:L)=0,"",SUMIF('تحليل مبيعات'!C:C, 'حركة المخزن'!B669, 'تحليل مبيعات'!L:L)),"")</f>
        <v/>
      </c>
      <c r="K669" s="10" t="str">
        <f t="shared" si="36"/>
        <v/>
      </c>
      <c r="L669" s="10" t="str">
        <f t="shared" si="37"/>
        <v/>
      </c>
      <c r="M669">
        <v>5</v>
      </c>
      <c r="N669" t="str">
        <f t="shared" si="38"/>
        <v>يوجد رصيد كافى</v>
      </c>
    </row>
    <row r="670" spans="7:14" x14ac:dyDescent="0.3">
      <c r="G670" t="str">
        <f>IFERROR(IF(SUMIF(المشتريات!C:C, 'حركة المخزن'!B670, المشتريات!F:F)=0,"",SUMIF(المشتريات!C:C, 'حركة المخزن'!B670, المشتريات!F:F)),"")</f>
        <v/>
      </c>
      <c r="H670" s="10" t="str">
        <f>IFERROR(IF(SUMIF(المشتريات!C:C, 'حركة المخزن'!B670, المشتريات!I:I)=0,"",SUMIF(المشتريات!C:C, 'حركة المخزن'!B670, المشتريات!I:I)),"")</f>
        <v/>
      </c>
      <c r="I670" s="10" t="str">
        <f>IFERROR(IF(SUMIF('تحليل مبيعات'!C:C, 'حركة المخزن'!B670, 'تحليل مبيعات'!H:H)=0,"",SUMIF('تحليل مبيعات'!C:C, 'حركة المخزن'!B670, 'تحليل مبيعات'!H:H)),"")</f>
        <v/>
      </c>
      <c r="J670" s="10" t="str">
        <f>IFERROR(IF(SUMIF('تحليل مبيعات'!C:C, 'حركة المخزن'!B670, 'تحليل مبيعات'!L:L)=0,"",SUMIF('تحليل مبيعات'!C:C, 'حركة المخزن'!B670, 'تحليل مبيعات'!L:L)),"")</f>
        <v/>
      </c>
      <c r="K670" s="10" t="str">
        <f t="shared" si="36"/>
        <v/>
      </c>
      <c r="L670" s="10" t="str">
        <f t="shared" si="37"/>
        <v/>
      </c>
      <c r="M670">
        <v>5</v>
      </c>
      <c r="N670" t="str">
        <f t="shared" si="38"/>
        <v>يوجد رصيد كافى</v>
      </c>
    </row>
    <row r="671" spans="7:14" x14ac:dyDescent="0.3">
      <c r="G671" t="str">
        <f>IFERROR(IF(SUMIF(المشتريات!C:C, 'حركة المخزن'!B671, المشتريات!F:F)=0,"",SUMIF(المشتريات!C:C, 'حركة المخزن'!B671, المشتريات!F:F)),"")</f>
        <v/>
      </c>
      <c r="H671" s="10" t="str">
        <f>IFERROR(IF(SUMIF(المشتريات!C:C, 'حركة المخزن'!B671, المشتريات!I:I)=0,"",SUMIF(المشتريات!C:C, 'حركة المخزن'!B671, المشتريات!I:I)),"")</f>
        <v/>
      </c>
      <c r="I671" s="10" t="str">
        <f>IFERROR(IF(SUMIF('تحليل مبيعات'!C:C, 'حركة المخزن'!B671, 'تحليل مبيعات'!H:H)=0,"",SUMIF('تحليل مبيعات'!C:C, 'حركة المخزن'!B671, 'تحليل مبيعات'!H:H)),"")</f>
        <v/>
      </c>
      <c r="J671" s="10" t="str">
        <f>IFERROR(IF(SUMIF('تحليل مبيعات'!C:C, 'حركة المخزن'!B671, 'تحليل مبيعات'!L:L)=0,"",SUMIF('تحليل مبيعات'!C:C, 'حركة المخزن'!B671, 'تحليل مبيعات'!L:L)),"")</f>
        <v/>
      </c>
      <c r="K671" s="10" t="str">
        <f t="shared" si="36"/>
        <v/>
      </c>
      <c r="L671" s="10" t="str">
        <f t="shared" si="37"/>
        <v/>
      </c>
      <c r="M671">
        <v>5</v>
      </c>
      <c r="N671" t="str">
        <f t="shared" si="38"/>
        <v>يوجد رصيد كافى</v>
      </c>
    </row>
    <row r="672" spans="7:14" x14ac:dyDescent="0.3">
      <c r="G672" t="str">
        <f>IFERROR(IF(SUMIF(المشتريات!C:C, 'حركة المخزن'!B672, المشتريات!F:F)=0,"",SUMIF(المشتريات!C:C, 'حركة المخزن'!B672, المشتريات!F:F)),"")</f>
        <v/>
      </c>
      <c r="H672" s="10" t="str">
        <f>IFERROR(IF(SUMIF(المشتريات!C:C, 'حركة المخزن'!B672, المشتريات!I:I)=0,"",SUMIF(المشتريات!C:C, 'حركة المخزن'!B672, المشتريات!I:I)),"")</f>
        <v/>
      </c>
      <c r="I672" s="10" t="str">
        <f>IFERROR(IF(SUMIF('تحليل مبيعات'!C:C, 'حركة المخزن'!B672, 'تحليل مبيعات'!H:H)=0,"",SUMIF('تحليل مبيعات'!C:C, 'حركة المخزن'!B672, 'تحليل مبيعات'!H:H)),"")</f>
        <v/>
      </c>
      <c r="J672" s="10" t="str">
        <f>IFERROR(IF(SUMIF('تحليل مبيعات'!C:C, 'حركة المخزن'!B672, 'تحليل مبيعات'!L:L)=0,"",SUMIF('تحليل مبيعات'!C:C, 'حركة المخزن'!B672, 'تحليل مبيعات'!L:L)),"")</f>
        <v/>
      </c>
      <c r="K672" s="10" t="str">
        <f t="shared" si="36"/>
        <v/>
      </c>
      <c r="L672" s="10" t="str">
        <f t="shared" si="37"/>
        <v/>
      </c>
      <c r="M672">
        <v>5</v>
      </c>
      <c r="N672" t="str">
        <f t="shared" si="38"/>
        <v>يوجد رصيد كافى</v>
      </c>
    </row>
    <row r="673" spans="7:14" x14ac:dyDescent="0.3">
      <c r="G673" t="str">
        <f>IFERROR(IF(SUMIF(المشتريات!C:C, 'حركة المخزن'!B673, المشتريات!F:F)=0,"",SUMIF(المشتريات!C:C, 'حركة المخزن'!B673, المشتريات!F:F)),"")</f>
        <v/>
      </c>
      <c r="H673" s="10" t="str">
        <f>IFERROR(IF(SUMIF(المشتريات!C:C, 'حركة المخزن'!B673, المشتريات!I:I)=0,"",SUMIF(المشتريات!C:C, 'حركة المخزن'!B673, المشتريات!I:I)),"")</f>
        <v/>
      </c>
      <c r="I673" s="10" t="str">
        <f>IFERROR(IF(SUMIF('تحليل مبيعات'!C:C, 'حركة المخزن'!B673, 'تحليل مبيعات'!H:H)=0,"",SUMIF('تحليل مبيعات'!C:C, 'حركة المخزن'!B673, 'تحليل مبيعات'!H:H)),"")</f>
        <v/>
      </c>
      <c r="J673" s="10" t="str">
        <f>IFERROR(IF(SUMIF('تحليل مبيعات'!C:C, 'حركة المخزن'!B673, 'تحليل مبيعات'!L:L)=0,"",SUMIF('تحليل مبيعات'!C:C, 'حركة المخزن'!B673, 'تحليل مبيعات'!L:L)),"")</f>
        <v/>
      </c>
      <c r="K673" s="10" t="str">
        <f t="shared" si="36"/>
        <v/>
      </c>
      <c r="L673" s="10" t="str">
        <f t="shared" si="37"/>
        <v/>
      </c>
      <c r="M673">
        <v>5</v>
      </c>
      <c r="N673" t="str">
        <f t="shared" si="38"/>
        <v>يوجد رصيد كافى</v>
      </c>
    </row>
    <row r="674" spans="7:14" x14ac:dyDescent="0.3">
      <c r="G674" t="str">
        <f>IFERROR(IF(SUMIF(المشتريات!C:C, 'حركة المخزن'!B674, المشتريات!F:F)=0,"",SUMIF(المشتريات!C:C, 'حركة المخزن'!B674, المشتريات!F:F)),"")</f>
        <v/>
      </c>
      <c r="H674" s="10" t="str">
        <f>IFERROR(IF(SUMIF(المشتريات!C:C, 'حركة المخزن'!B674, المشتريات!I:I)=0,"",SUMIF(المشتريات!C:C, 'حركة المخزن'!B674, المشتريات!I:I)),"")</f>
        <v/>
      </c>
      <c r="I674" s="10" t="str">
        <f>IFERROR(IF(SUMIF('تحليل مبيعات'!C:C, 'حركة المخزن'!B674, 'تحليل مبيعات'!H:H)=0,"",SUMIF('تحليل مبيعات'!C:C, 'حركة المخزن'!B674, 'تحليل مبيعات'!H:H)),"")</f>
        <v/>
      </c>
      <c r="J674" s="10" t="str">
        <f>IFERROR(IF(SUMIF('تحليل مبيعات'!C:C, 'حركة المخزن'!B674, 'تحليل مبيعات'!L:L)=0,"",SUMIF('تحليل مبيعات'!C:C, 'حركة المخزن'!B674, 'تحليل مبيعات'!L:L)),"")</f>
        <v/>
      </c>
      <c r="K674" s="10" t="str">
        <f t="shared" si="36"/>
        <v/>
      </c>
      <c r="L674" s="10" t="str">
        <f t="shared" si="37"/>
        <v/>
      </c>
      <c r="M674">
        <v>5</v>
      </c>
      <c r="N674" t="str">
        <f t="shared" si="38"/>
        <v>يوجد رصيد كافى</v>
      </c>
    </row>
    <row r="675" spans="7:14" x14ac:dyDescent="0.3">
      <c r="G675" t="str">
        <f>IFERROR(IF(SUMIF(المشتريات!C:C, 'حركة المخزن'!B675, المشتريات!F:F)=0,"",SUMIF(المشتريات!C:C, 'حركة المخزن'!B675, المشتريات!F:F)),"")</f>
        <v/>
      </c>
      <c r="H675" s="10" t="str">
        <f>IFERROR(IF(SUMIF(المشتريات!C:C, 'حركة المخزن'!B675, المشتريات!I:I)=0,"",SUMIF(المشتريات!C:C, 'حركة المخزن'!B675, المشتريات!I:I)),"")</f>
        <v/>
      </c>
      <c r="I675" s="10" t="str">
        <f>IFERROR(IF(SUMIF('تحليل مبيعات'!C:C, 'حركة المخزن'!B675, 'تحليل مبيعات'!H:H)=0,"",SUMIF('تحليل مبيعات'!C:C, 'حركة المخزن'!B675, 'تحليل مبيعات'!H:H)),"")</f>
        <v/>
      </c>
      <c r="J675" s="10" t="str">
        <f>IFERROR(IF(SUMIF('تحليل مبيعات'!C:C, 'حركة المخزن'!B675, 'تحليل مبيعات'!L:L)=0,"",SUMIF('تحليل مبيعات'!C:C, 'حركة المخزن'!B675, 'تحليل مبيعات'!L:L)),"")</f>
        <v/>
      </c>
      <c r="K675" s="10" t="str">
        <f t="shared" si="36"/>
        <v/>
      </c>
      <c r="L675" s="10" t="str">
        <f t="shared" si="37"/>
        <v/>
      </c>
      <c r="M675">
        <v>5</v>
      </c>
      <c r="N675" t="str">
        <f t="shared" si="38"/>
        <v>يوجد رصيد كافى</v>
      </c>
    </row>
    <row r="676" spans="7:14" x14ac:dyDescent="0.3">
      <c r="G676" t="str">
        <f>IFERROR(IF(SUMIF(المشتريات!C:C, 'حركة المخزن'!B676, المشتريات!F:F)=0,"",SUMIF(المشتريات!C:C, 'حركة المخزن'!B676, المشتريات!F:F)),"")</f>
        <v/>
      </c>
      <c r="H676" s="10" t="str">
        <f>IFERROR(IF(SUMIF(المشتريات!C:C, 'حركة المخزن'!B676, المشتريات!I:I)=0,"",SUMIF(المشتريات!C:C, 'حركة المخزن'!B676, المشتريات!I:I)),"")</f>
        <v/>
      </c>
      <c r="I676" s="10" t="str">
        <f>IFERROR(IF(SUMIF('تحليل مبيعات'!C:C, 'حركة المخزن'!B676, 'تحليل مبيعات'!H:H)=0,"",SUMIF('تحليل مبيعات'!C:C, 'حركة المخزن'!B676, 'تحليل مبيعات'!H:H)),"")</f>
        <v/>
      </c>
      <c r="J676" s="10" t="str">
        <f>IFERROR(IF(SUMIF('تحليل مبيعات'!C:C, 'حركة المخزن'!B676, 'تحليل مبيعات'!L:L)=0,"",SUMIF('تحليل مبيعات'!C:C, 'حركة المخزن'!B676, 'تحليل مبيعات'!L:L)),"")</f>
        <v/>
      </c>
      <c r="K676" s="10" t="str">
        <f t="shared" si="36"/>
        <v/>
      </c>
      <c r="L676" s="10" t="str">
        <f t="shared" si="37"/>
        <v/>
      </c>
      <c r="M676">
        <v>5</v>
      </c>
      <c r="N676" t="str">
        <f t="shared" si="38"/>
        <v>يوجد رصيد كافى</v>
      </c>
    </row>
    <row r="677" spans="7:14" x14ac:dyDescent="0.3">
      <c r="G677" t="str">
        <f>IFERROR(IF(SUMIF(المشتريات!C:C, 'حركة المخزن'!B677, المشتريات!F:F)=0,"",SUMIF(المشتريات!C:C, 'حركة المخزن'!B677, المشتريات!F:F)),"")</f>
        <v/>
      </c>
      <c r="H677" s="10" t="str">
        <f>IFERROR(IF(SUMIF(المشتريات!C:C, 'حركة المخزن'!B677, المشتريات!I:I)=0,"",SUMIF(المشتريات!C:C, 'حركة المخزن'!B677, المشتريات!I:I)),"")</f>
        <v/>
      </c>
      <c r="I677" s="10" t="str">
        <f>IFERROR(IF(SUMIF('تحليل مبيعات'!C:C, 'حركة المخزن'!B677, 'تحليل مبيعات'!H:H)=0,"",SUMIF('تحليل مبيعات'!C:C, 'حركة المخزن'!B677, 'تحليل مبيعات'!H:H)),"")</f>
        <v/>
      </c>
      <c r="J677" s="10" t="str">
        <f>IFERROR(IF(SUMIF('تحليل مبيعات'!C:C, 'حركة المخزن'!B677, 'تحليل مبيعات'!L:L)=0,"",SUMIF('تحليل مبيعات'!C:C, 'حركة المخزن'!B677, 'تحليل مبيعات'!L:L)),"")</f>
        <v/>
      </c>
      <c r="K677" s="10" t="str">
        <f t="shared" si="36"/>
        <v/>
      </c>
      <c r="L677" s="10" t="str">
        <f t="shared" si="37"/>
        <v/>
      </c>
      <c r="M677">
        <v>5</v>
      </c>
      <c r="N677" t="str">
        <f t="shared" si="38"/>
        <v>يوجد رصيد كافى</v>
      </c>
    </row>
    <row r="678" spans="7:14" x14ac:dyDescent="0.3">
      <c r="G678" t="str">
        <f>IFERROR(IF(SUMIF(المشتريات!C:C, 'حركة المخزن'!B678, المشتريات!F:F)=0,"",SUMIF(المشتريات!C:C, 'حركة المخزن'!B678, المشتريات!F:F)),"")</f>
        <v/>
      </c>
      <c r="H678" s="10" t="str">
        <f>IFERROR(IF(SUMIF(المشتريات!C:C, 'حركة المخزن'!B678, المشتريات!I:I)=0,"",SUMIF(المشتريات!C:C, 'حركة المخزن'!B678, المشتريات!I:I)),"")</f>
        <v/>
      </c>
      <c r="I678" s="10" t="str">
        <f>IFERROR(IF(SUMIF('تحليل مبيعات'!C:C, 'حركة المخزن'!B678, 'تحليل مبيعات'!H:H)=0,"",SUMIF('تحليل مبيعات'!C:C, 'حركة المخزن'!B678, 'تحليل مبيعات'!H:H)),"")</f>
        <v/>
      </c>
      <c r="J678" s="10" t="str">
        <f>IFERROR(IF(SUMIF('تحليل مبيعات'!C:C, 'حركة المخزن'!B678, 'تحليل مبيعات'!L:L)=0,"",SUMIF('تحليل مبيعات'!C:C, 'حركة المخزن'!B678, 'تحليل مبيعات'!L:L)),"")</f>
        <v/>
      </c>
      <c r="K678" s="10" t="str">
        <f t="shared" si="36"/>
        <v/>
      </c>
      <c r="L678" s="10" t="str">
        <f t="shared" si="37"/>
        <v/>
      </c>
      <c r="M678">
        <v>5</v>
      </c>
      <c r="N678" t="str">
        <f t="shared" si="38"/>
        <v>يوجد رصيد كافى</v>
      </c>
    </row>
    <row r="679" spans="7:14" x14ac:dyDescent="0.3">
      <c r="G679" t="str">
        <f>IFERROR(IF(SUMIF(المشتريات!C:C, 'حركة المخزن'!B679, المشتريات!F:F)=0,"",SUMIF(المشتريات!C:C, 'حركة المخزن'!B679, المشتريات!F:F)),"")</f>
        <v/>
      </c>
      <c r="H679" s="10" t="str">
        <f>IFERROR(IF(SUMIF(المشتريات!C:C, 'حركة المخزن'!B679, المشتريات!I:I)=0,"",SUMIF(المشتريات!C:C, 'حركة المخزن'!B679, المشتريات!I:I)),"")</f>
        <v/>
      </c>
      <c r="I679" s="10" t="str">
        <f>IFERROR(IF(SUMIF('تحليل مبيعات'!C:C, 'حركة المخزن'!B679, 'تحليل مبيعات'!H:H)=0,"",SUMIF('تحليل مبيعات'!C:C, 'حركة المخزن'!B679, 'تحليل مبيعات'!H:H)),"")</f>
        <v/>
      </c>
      <c r="J679" s="10" t="str">
        <f>IFERROR(IF(SUMIF('تحليل مبيعات'!C:C, 'حركة المخزن'!B679, 'تحليل مبيعات'!L:L)=0,"",SUMIF('تحليل مبيعات'!C:C, 'حركة المخزن'!B679, 'تحليل مبيعات'!L:L)),"")</f>
        <v/>
      </c>
      <c r="K679" s="10" t="str">
        <f t="shared" si="36"/>
        <v/>
      </c>
      <c r="L679" s="10" t="str">
        <f t="shared" si="37"/>
        <v/>
      </c>
      <c r="M679">
        <v>5</v>
      </c>
      <c r="N679" t="str">
        <f t="shared" si="38"/>
        <v>يوجد رصيد كافى</v>
      </c>
    </row>
    <row r="680" spans="7:14" x14ac:dyDescent="0.3">
      <c r="G680" t="str">
        <f>IFERROR(IF(SUMIF(المشتريات!C:C, 'حركة المخزن'!B680, المشتريات!F:F)=0,"",SUMIF(المشتريات!C:C, 'حركة المخزن'!B680, المشتريات!F:F)),"")</f>
        <v/>
      </c>
      <c r="H680" s="10" t="str">
        <f>IFERROR(IF(SUMIF(المشتريات!C:C, 'حركة المخزن'!B680, المشتريات!I:I)=0,"",SUMIF(المشتريات!C:C, 'حركة المخزن'!B680, المشتريات!I:I)),"")</f>
        <v/>
      </c>
      <c r="I680" s="10" t="str">
        <f>IFERROR(IF(SUMIF('تحليل مبيعات'!C:C, 'حركة المخزن'!B680, 'تحليل مبيعات'!H:H)=0,"",SUMIF('تحليل مبيعات'!C:C, 'حركة المخزن'!B680, 'تحليل مبيعات'!H:H)),"")</f>
        <v/>
      </c>
      <c r="J680" s="10" t="str">
        <f>IFERROR(IF(SUMIF('تحليل مبيعات'!C:C, 'حركة المخزن'!B680, 'تحليل مبيعات'!L:L)=0,"",SUMIF('تحليل مبيعات'!C:C, 'حركة المخزن'!B680, 'تحليل مبيعات'!L:L)),"")</f>
        <v/>
      </c>
      <c r="K680" s="10" t="str">
        <f t="shared" si="36"/>
        <v/>
      </c>
      <c r="L680" s="10" t="str">
        <f t="shared" si="37"/>
        <v/>
      </c>
      <c r="M680">
        <v>5</v>
      </c>
      <c r="N680" t="str">
        <f t="shared" si="38"/>
        <v>يوجد رصيد كافى</v>
      </c>
    </row>
    <row r="681" spans="7:14" x14ac:dyDescent="0.3">
      <c r="G681" t="str">
        <f>IFERROR(IF(SUMIF(المشتريات!C:C, 'حركة المخزن'!B681, المشتريات!F:F)=0,"",SUMIF(المشتريات!C:C, 'حركة المخزن'!B681, المشتريات!F:F)),"")</f>
        <v/>
      </c>
      <c r="H681" s="10" t="str">
        <f>IFERROR(IF(SUMIF(المشتريات!C:C, 'حركة المخزن'!B681, المشتريات!I:I)=0,"",SUMIF(المشتريات!C:C, 'حركة المخزن'!B681, المشتريات!I:I)),"")</f>
        <v/>
      </c>
      <c r="I681" s="10" t="str">
        <f>IFERROR(IF(SUMIF('تحليل مبيعات'!C:C, 'حركة المخزن'!B681, 'تحليل مبيعات'!H:H)=0,"",SUMIF('تحليل مبيعات'!C:C, 'حركة المخزن'!B681, 'تحليل مبيعات'!H:H)),"")</f>
        <v/>
      </c>
      <c r="J681" s="10" t="str">
        <f>IFERROR(IF(SUMIF('تحليل مبيعات'!C:C, 'حركة المخزن'!B681, 'تحليل مبيعات'!L:L)=0,"",SUMIF('تحليل مبيعات'!C:C, 'حركة المخزن'!B681, 'تحليل مبيعات'!L:L)),"")</f>
        <v/>
      </c>
      <c r="K681" s="10" t="str">
        <f t="shared" si="36"/>
        <v/>
      </c>
      <c r="L681" s="10" t="str">
        <f t="shared" si="37"/>
        <v/>
      </c>
      <c r="M681">
        <v>5</v>
      </c>
      <c r="N681" t="str">
        <f t="shared" si="38"/>
        <v>يوجد رصيد كافى</v>
      </c>
    </row>
    <row r="682" spans="7:14" x14ac:dyDescent="0.3">
      <c r="G682" t="str">
        <f>IFERROR(IF(SUMIF(المشتريات!C:C, 'حركة المخزن'!B682, المشتريات!F:F)=0,"",SUMIF(المشتريات!C:C, 'حركة المخزن'!B682, المشتريات!F:F)),"")</f>
        <v/>
      </c>
      <c r="H682" s="10" t="str">
        <f>IFERROR(IF(SUMIF(المشتريات!C:C, 'حركة المخزن'!B682, المشتريات!I:I)=0,"",SUMIF(المشتريات!C:C, 'حركة المخزن'!B682, المشتريات!I:I)),"")</f>
        <v/>
      </c>
      <c r="I682" s="10" t="str">
        <f>IFERROR(IF(SUMIF('تحليل مبيعات'!C:C, 'حركة المخزن'!B682, 'تحليل مبيعات'!H:H)=0,"",SUMIF('تحليل مبيعات'!C:C, 'حركة المخزن'!B682, 'تحليل مبيعات'!H:H)),"")</f>
        <v/>
      </c>
      <c r="J682" s="10" t="str">
        <f>IFERROR(IF(SUMIF('تحليل مبيعات'!C:C, 'حركة المخزن'!B682, 'تحليل مبيعات'!L:L)=0,"",SUMIF('تحليل مبيعات'!C:C, 'حركة المخزن'!B682, 'تحليل مبيعات'!L:L)),"")</f>
        <v/>
      </c>
      <c r="K682" s="10" t="str">
        <f t="shared" si="36"/>
        <v/>
      </c>
      <c r="L682" s="10" t="str">
        <f t="shared" si="37"/>
        <v/>
      </c>
      <c r="M682">
        <v>5</v>
      </c>
      <c r="N682" t="str">
        <f t="shared" si="38"/>
        <v>يوجد رصيد كافى</v>
      </c>
    </row>
    <row r="683" spans="7:14" x14ac:dyDescent="0.3">
      <c r="G683" t="str">
        <f>IFERROR(IF(SUMIF(المشتريات!C:C, 'حركة المخزن'!B683, المشتريات!F:F)=0,"",SUMIF(المشتريات!C:C, 'حركة المخزن'!B683, المشتريات!F:F)),"")</f>
        <v/>
      </c>
      <c r="H683" s="10" t="str">
        <f>IFERROR(IF(SUMIF(المشتريات!C:C, 'حركة المخزن'!B683, المشتريات!I:I)=0,"",SUMIF(المشتريات!C:C, 'حركة المخزن'!B683, المشتريات!I:I)),"")</f>
        <v/>
      </c>
      <c r="I683" s="10" t="str">
        <f>IFERROR(IF(SUMIF('تحليل مبيعات'!C:C, 'حركة المخزن'!B683, 'تحليل مبيعات'!H:H)=0,"",SUMIF('تحليل مبيعات'!C:C, 'حركة المخزن'!B683, 'تحليل مبيعات'!H:H)),"")</f>
        <v/>
      </c>
      <c r="J683" s="10" t="str">
        <f>IFERROR(IF(SUMIF('تحليل مبيعات'!C:C, 'حركة المخزن'!B683, 'تحليل مبيعات'!L:L)=0,"",SUMIF('تحليل مبيعات'!C:C, 'حركة المخزن'!B683, 'تحليل مبيعات'!L:L)),"")</f>
        <v/>
      </c>
      <c r="K683" s="10" t="str">
        <f t="shared" si="36"/>
        <v/>
      </c>
      <c r="L683" s="10" t="str">
        <f t="shared" si="37"/>
        <v/>
      </c>
      <c r="M683">
        <v>5</v>
      </c>
      <c r="N683" t="str">
        <f t="shared" si="38"/>
        <v>يوجد رصيد كافى</v>
      </c>
    </row>
    <row r="684" spans="7:14" x14ac:dyDescent="0.3">
      <c r="G684" t="str">
        <f>IFERROR(IF(SUMIF(المشتريات!C:C, 'حركة المخزن'!B684, المشتريات!F:F)=0,"",SUMIF(المشتريات!C:C, 'حركة المخزن'!B684, المشتريات!F:F)),"")</f>
        <v/>
      </c>
      <c r="H684" s="10" t="str">
        <f>IFERROR(IF(SUMIF(المشتريات!C:C, 'حركة المخزن'!B684, المشتريات!I:I)=0,"",SUMIF(المشتريات!C:C, 'حركة المخزن'!B684, المشتريات!I:I)),"")</f>
        <v/>
      </c>
      <c r="I684" s="10" t="str">
        <f>IFERROR(IF(SUMIF('تحليل مبيعات'!C:C, 'حركة المخزن'!B684, 'تحليل مبيعات'!H:H)=0,"",SUMIF('تحليل مبيعات'!C:C, 'حركة المخزن'!B684, 'تحليل مبيعات'!H:H)),"")</f>
        <v/>
      </c>
      <c r="J684" s="10" t="str">
        <f>IFERROR(IF(SUMIF('تحليل مبيعات'!C:C, 'حركة المخزن'!B684, 'تحليل مبيعات'!L:L)=0,"",SUMIF('تحليل مبيعات'!C:C, 'حركة المخزن'!B684, 'تحليل مبيعات'!L:L)),"")</f>
        <v/>
      </c>
      <c r="K684" s="10" t="str">
        <f t="shared" si="36"/>
        <v/>
      </c>
      <c r="L684" s="10" t="str">
        <f t="shared" si="37"/>
        <v/>
      </c>
      <c r="M684">
        <v>5</v>
      </c>
      <c r="N684" t="str">
        <f t="shared" si="38"/>
        <v>يوجد رصيد كافى</v>
      </c>
    </row>
    <row r="685" spans="7:14" x14ac:dyDescent="0.3">
      <c r="G685" t="str">
        <f>IFERROR(IF(SUMIF(المشتريات!C:C, 'حركة المخزن'!B685, المشتريات!F:F)=0,"",SUMIF(المشتريات!C:C, 'حركة المخزن'!B685, المشتريات!F:F)),"")</f>
        <v/>
      </c>
      <c r="H685" s="10" t="str">
        <f>IFERROR(IF(SUMIF(المشتريات!C:C, 'حركة المخزن'!B685, المشتريات!I:I)=0,"",SUMIF(المشتريات!C:C, 'حركة المخزن'!B685, المشتريات!I:I)),"")</f>
        <v/>
      </c>
      <c r="I685" s="10" t="str">
        <f>IFERROR(IF(SUMIF('تحليل مبيعات'!C:C, 'حركة المخزن'!B685, 'تحليل مبيعات'!H:H)=0,"",SUMIF('تحليل مبيعات'!C:C, 'حركة المخزن'!B685, 'تحليل مبيعات'!H:H)),"")</f>
        <v/>
      </c>
      <c r="J685" s="10" t="str">
        <f>IFERROR(IF(SUMIF('تحليل مبيعات'!C:C, 'حركة المخزن'!B685, 'تحليل مبيعات'!L:L)=0,"",SUMIF('تحليل مبيعات'!C:C, 'حركة المخزن'!B685, 'تحليل مبيعات'!L:L)),"")</f>
        <v/>
      </c>
      <c r="K685" s="10" t="str">
        <f t="shared" si="36"/>
        <v/>
      </c>
      <c r="L685" s="10" t="str">
        <f t="shared" si="37"/>
        <v/>
      </c>
      <c r="M685">
        <v>5</v>
      </c>
      <c r="N685" t="str">
        <f t="shared" si="38"/>
        <v>يوجد رصيد كافى</v>
      </c>
    </row>
    <row r="686" spans="7:14" x14ac:dyDescent="0.3">
      <c r="G686" t="str">
        <f>IFERROR(IF(SUMIF(المشتريات!C:C, 'حركة المخزن'!B686, المشتريات!F:F)=0,"",SUMIF(المشتريات!C:C, 'حركة المخزن'!B686, المشتريات!F:F)),"")</f>
        <v/>
      </c>
      <c r="H686" s="10" t="str">
        <f>IFERROR(IF(SUMIF(المشتريات!C:C, 'حركة المخزن'!B686, المشتريات!I:I)=0,"",SUMIF(المشتريات!C:C, 'حركة المخزن'!B686, المشتريات!I:I)),"")</f>
        <v/>
      </c>
      <c r="I686" s="10" t="str">
        <f>IFERROR(IF(SUMIF('تحليل مبيعات'!C:C, 'حركة المخزن'!B686, 'تحليل مبيعات'!H:H)=0,"",SUMIF('تحليل مبيعات'!C:C, 'حركة المخزن'!B686, 'تحليل مبيعات'!H:H)),"")</f>
        <v/>
      </c>
      <c r="J686" s="10" t="str">
        <f>IFERROR(IF(SUMIF('تحليل مبيعات'!C:C, 'حركة المخزن'!B686, 'تحليل مبيعات'!L:L)=0,"",SUMIF('تحليل مبيعات'!C:C, 'حركة المخزن'!B686, 'تحليل مبيعات'!L:L)),"")</f>
        <v/>
      </c>
      <c r="K686" s="10" t="str">
        <f t="shared" si="36"/>
        <v/>
      </c>
      <c r="L686" s="10" t="str">
        <f t="shared" si="37"/>
        <v/>
      </c>
      <c r="M686">
        <v>5</v>
      </c>
      <c r="N686" t="str">
        <f t="shared" si="38"/>
        <v>يوجد رصيد كافى</v>
      </c>
    </row>
    <row r="687" spans="7:14" x14ac:dyDescent="0.3">
      <c r="G687" t="str">
        <f>IFERROR(IF(SUMIF(المشتريات!C:C, 'حركة المخزن'!B687, المشتريات!F:F)=0,"",SUMIF(المشتريات!C:C, 'حركة المخزن'!B687, المشتريات!F:F)),"")</f>
        <v/>
      </c>
      <c r="H687" s="10" t="str">
        <f>IFERROR(IF(SUMIF(المشتريات!C:C, 'حركة المخزن'!B687, المشتريات!I:I)=0,"",SUMIF(المشتريات!C:C, 'حركة المخزن'!B687, المشتريات!I:I)),"")</f>
        <v/>
      </c>
      <c r="I687" s="10" t="str">
        <f>IFERROR(IF(SUMIF('تحليل مبيعات'!C:C, 'حركة المخزن'!B687, 'تحليل مبيعات'!H:H)=0,"",SUMIF('تحليل مبيعات'!C:C, 'حركة المخزن'!B687, 'تحليل مبيعات'!H:H)),"")</f>
        <v/>
      </c>
      <c r="J687" s="10" t="str">
        <f>IFERROR(IF(SUMIF('تحليل مبيعات'!C:C, 'حركة المخزن'!B687, 'تحليل مبيعات'!L:L)=0,"",SUMIF('تحليل مبيعات'!C:C, 'حركة المخزن'!B687, 'تحليل مبيعات'!L:L)),"")</f>
        <v/>
      </c>
      <c r="K687" s="10" t="str">
        <f t="shared" si="36"/>
        <v/>
      </c>
      <c r="L687" s="10" t="str">
        <f t="shared" si="37"/>
        <v/>
      </c>
      <c r="M687">
        <v>5</v>
      </c>
      <c r="N687" t="str">
        <f t="shared" si="38"/>
        <v>يوجد رصيد كافى</v>
      </c>
    </row>
    <row r="688" spans="7:14" x14ac:dyDescent="0.3">
      <c r="G688" t="str">
        <f>IFERROR(IF(SUMIF(المشتريات!C:C, 'حركة المخزن'!B688, المشتريات!F:F)=0,"",SUMIF(المشتريات!C:C, 'حركة المخزن'!B688, المشتريات!F:F)),"")</f>
        <v/>
      </c>
      <c r="H688" s="10" t="str">
        <f>IFERROR(IF(SUMIF(المشتريات!C:C, 'حركة المخزن'!B688, المشتريات!I:I)=0,"",SUMIF(المشتريات!C:C, 'حركة المخزن'!B688, المشتريات!I:I)),"")</f>
        <v/>
      </c>
      <c r="I688" s="10" t="str">
        <f>IFERROR(IF(SUMIF('تحليل مبيعات'!C:C, 'حركة المخزن'!B688, 'تحليل مبيعات'!H:H)=0,"",SUMIF('تحليل مبيعات'!C:C, 'حركة المخزن'!B688, 'تحليل مبيعات'!H:H)),"")</f>
        <v/>
      </c>
      <c r="J688" s="10" t="str">
        <f>IFERROR(IF(SUMIF('تحليل مبيعات'!C:C, 'حركة المخزن'!B688, 'تحليل مبيعات'!L:L)=0,"",SUMIF('تحليل مبيعات'!C:C, 'حركة المخزن'!B688, 'تحليل مبيعات'!L:L)),"")</f>
        <v/>
      </c>
      <c r="K688" s="10" t="str">
        <f t="shared" si="36"/>
        <v/>
      </c>
      <c r="L688" s="10" t="str">
        <f t="shared" si="37"/>
        <v/>
      </c>
      <c r="M688">
        <v>5</v>
      </c>
      <c r="N688" t="str">
        <f t="shared" si="38"/>
        <v>يوجد رصيد كافى</v>
      </c>
    </row>
    <row r="689" spans="7:14" x14ac:dyDescent="0.3">
      <c r="G689" t="str">
        <f>IFERROR(IF(SUMIF(المشتريات!C:C, 'حركة المخزن'!B689, المشتريات!F:F)=0,"",SUMIF(المشتريات!C:C, 'حركة المخزن'!B689, المشتريات!F:F)),"")</f>
        <v/>
      </c>
      <c r="H689" s="10" t="str">
        <f>IFERROR(IF(SUMIF(المشتريات!C:C, 'حركة المخزن'!B689, المشتريات!I:I)=0,"",SUMIF(المشتريات!C:C, 'حركة المخزن'!B689, المشتريات!I:I)),"")</f>
        <v/>
      </c>
      <c r="I689" s="10" t="str">
        <f>IFERROR(IF(SUMIF('تحليل مبيعات'!C:C, 'حركة المخزن'!B689, 'تحليل مبيعات'!H:H)=0,"",SUMIF('تحليل مبيعات'!C:C, 'حركة المخزن'!B689, 'تحليل مبيعات'!H:H)),"")</f>
        <v/>
      </c>
      <c r="J689" s="10" t="str">
        <f>IFERROR(IF(SUMIF('تحليل مبيعات'!C:C, 'حركة المخزن'!B689, 'تحليل مبيعات'!L:L)=0,"",SUMIF('تحليل مبيعات'!C:C, 'حركة المخزن'!B689, 'تحليل مبيعات'!L:L)),"")</f>
        <v/>
      </c>
      <c r="K689" s="10" t="str">
        <f t="shared" si="36"/>
        <v/>
      </c>
      <c r="L689" s="10" t="str">
        <f t="shared" si="37"/>
        <v/>
      </c>
      <c r="M689">
        <v>5</v>
      </c>
      <c r="N689" t="str">
        <f t="shared" si="38"/>
        <v>يوجد رصيد كافى</v>
      </c>
    </row>
    <row r="690" spans="7:14" x14ac:dyDescent="0.3">
      <c r="G690" t="str">
        <f>IFERROR(IF(SUMIF(المشتريات!C:C, 'حركة المخزن'!B690, المشتريات!F:F)=0,"",SUMIF(المشتريات!C:C, 'حركة المخزن'!B690, المشتريات!F:F)),"")</f>
        <v/>
      </c>
      <c r="H690" s="10" t="str">
        <f>IFERROR(IF(SUMIF(المشتريات!C:C, 'حركة المخزن'!B690, المشتريات!I:I)=0,"",SUMIF(المشتريات!C:C, 'حركة المخزن'!B690, المشتريات!I:I)),"")</f>
        <v/>
      </c>
      <c r="I690" s="10" t="str">
        <f>IFERROR(IF(SUMIF('تحليل مبيعات'!C:C, 'حركة المخزن'!B690, 'تحليل مبيعات'!H:H)=0,"",SUMIF('تحليل مبيعات'!C:C, 'حركة المخزن'!B690, 'تحليل مبيعات'!H:H)),"")</f>
        <v/>
      </c>
      <c r="J690" s="10" t="str">
        <f>IFERROR(IF(SUMIF('تحليل مبيعات'!C:C, 'حركة المخزن'!B690, 'تحليل مبيعات'!L:L)=0,"",SUMIF('تحليل مبيعات'!C:C, 'حركة المخزن'!B690, 'تحليل مبيعات'!L:L)),"")</f>
        <v/>
      </c>
      <c r="K690" s="10" t="str">
        <f t="shared" si="36"/>
        <v/>
      </c>
      <c r="L690" s="10" t="str">
        <f t="shared" si="37"/>
        <v/>
      </c>
      <c r="M690">
        <v>5</v>
      </c>
      <c r="N690" t="str">
        <f t="shared" si="38"/>
        <v>يوجد رصيد كافى</v>
      </c>
    </row>
    <row r="691" spans="7:14" x14ac:dyDescent="0.3">
      <c r="G691" t="str">
        <f>IFERROR(IF(SUMIF(المشتريات!C:C, 'حركة المخزن'!B691, المشتريات!F:F)=0,"",SUMIF(المشتريات!C:C, 'حركة المخزن'!B691, المشتريات!F:F)),"")</f>
        <v/>
      </c>
      <c r="H691" s="10" t="str">
        <f>IFERROR(IF(SUMIF(المشتريات!C:C, 'حركة المخزن'!B691, المشتريات!I:I)=0,"",SUMIF(المشتريات!C:C, 'حركة المخزن'!B691, المشتريات!I:I)),"")</f>
        <v/>
      </c>
      <c r="I691" s="10" t="str">
        <f>IFERROR(IF(SUMIF('تحليل مبيعات'!C:C, 'حركة المخزن'!B691, 'تحليل مبيعات'!H:H)=0,"",SUMIF('تحليل مبيعات'!C:C, 'حركة المخزن'!B691, 'تحليل مبيعات'!H:H)),"")</f>
        <v/>
      </c>
      <c r="J691" s="10" t="str">
        <f>IFERROR(IF(SUMIF('تحليل مبيعات'!C:C, 'حركة المخزن'!B691, 'تحليل مبيعات'!L:L)=0,"",SUMIF('تحليل مبيعات'!C:C, 'حركة المخزن'!B691, 'تحليل مبيعات'!L:L)),"")</f>
        <v/>
      </c>
      <c r="K691" s="10" t="str">
        <f t="shared" si="36"/>
        <v/>
      </c>
      <c r="L691" s="10" t="str">
        <f t="shared" si="37"/>
        <v/>
      </c>
      <c r="M691">
        <v>5</v>
      </c>
      <c r="N691" t="str">
        <f t="shared" si="38"/>
        <v>يوجد رصيد كافى</v>
      </c>
    </row>
    <row r="692" spans="7:14" x14ac:dyDescent="0.3">
      <c r="G692" t="str">
        <f>IFERROR(IF(SUMIF(المشتريات!C:C, 'حركة المخزن'!B692, المشتريات!F:F)=0,"",SUMIF(المشتريات!C:C, 'حركة المخزن'!B692, المشتريات!F:F)),"")</f>
        <v/>
      </c>
      <c r="H692" s="10" t="str">
        <f>IFERROR(IF(SUMIF(المشتريات!C:C, 'حركة المخزن'!B692, المشتريات!I:I)=0,"",SUMIF(المشتريات!C:C, 'حركة المخزن'!B692, المشتريات!I:I)),"")</f>
        <v/>
      </c>
      <c r="I692" s="10" t="str">
        <f>IFERROR(IF(SUMIF('تحليل مبيعات'!C:C, 'حركة المخزن'!B692, 'تحليل مبيعات'!H:H)=0,"",SUMIF('تحليل مبيعات'!C:C, 'حركة المخزن'!B692, 'تحليل مبيعات'!H:H)),"")</f>
        <v/>
      </c>
      <c r="J692" s="10" t="str">
        <f>IFERROR(IF(SUMIF('تحليل مبيعات'!C:C, 'حركة المخزن'!B692, 'تحليل مبيعات'!L:L)=0,"",SUMIF('تحليل مبيعات'!C:C, 'حركة المخزن'!B692, 'تحليل مبيعات'!L:L)),"")</f>
        <v/>
      </c>
      <c r="K692" s="10" t="str">
        <f t="shared" si="36"/>
        <v/>
      </c>
      <c r="L692" s="10" t="str">
        <f t="shared" si="37"/>
        <v/>
      </c>
      <c r="M692">
        <v>5</v>
      </c>
      <c r="N692" t="str">
        <f t="shared" si="38"/>
        <v>يوجد رصيد كافى</v>
      </c>
    </row>
    <row r="693" spans="7:14" x14ac:dyDescent="0.3">
      <c r="G693" t="str">
        <f>IFERROR(IF(SUMIF(المشتريات!C:C, 'حركة المخزن'!B693, المشتريات!F:F)=0,"",SUMIF(المشتريات!C:C, 'حركة المخزن'!B693, المشتريات!F:F)),"")</f>
        <v/>
      </c>
      <c r="H693" s="10" t="str">
        <f>IFERROR(IF(SUMIF(المشتريات!C:C, 'حركة المخزن'!B693, المشتريات!I:I)=0,"",SUMIF(المشتريات!C:C, 'حركة المخزن'!B693, المشتريات!I:I)),"")</f>
        <v/>
      </c>
      <c r="I693" s="10" t="str">
        <f>IFERROR(IF(SUMIF('تحليل مبيعات'!C:C, 'حركة المخزن'!B693, 'تحليل مبيعات'!H:H)=0,"",SUMIF('تحليل مبيعات'!C:C, 'حركة المخزن'!B693, 'تحليل مبيعات'!H:H)),"")</f>
        <v/>
      </c>
      <c r="J693" s="10" t="str">
        <f>IFERROR(IF(SUMIF('تحليل مبيعات'!C:C, 'حركة المخزن'!B693, 'تحليل مبيعات'!L:L)=0,"",SUMIF('تحليل مبيعات'!C:C, 'حركة المخزن'!B693, 'تحليل مبيعات'!L:L)),"")</f>
        <v/>
      </c>
      <c r="K693" s="10" t="str">
        <f t="shared" si="36"/>
        <v/>
      </c>
      <c r="L693" s="10" t="str">
        <f t="shared" si="37"/>
        <v/>
      </c>
      <c r="M693">
        <v>5</v>
      </c>
      <c r="N693" t="str">
        <f t="shared" si="38"/>
        <v>يوجد رصيد كافى</v>
      </c>
    </row>
    <row r="694" spans="7:14" x14ac:dyDescent="0.3">
      <c r="G694" t="str">
        <f>IFERROR(IF(SUMIF(المشتريات!C:C, 'حركة المخزن'!B694, المشتريات!F:F)=0,"",SUMIF(المشتريات!C:C, 'حركة المخزن'!B694, المشتريات!F:F)),"")</f>
        <v/>
      </c>
      <c r="H694" s="10" t="str">
        <f>IFERROR(IF(SUMIF(المشتريات!C:C, 'حركة المخزن'!B694, المشتريات!I:I)=0,"",SUMIF(المشتريات!C:C, 'حركة المخزن'!B694, المشتريات!I:I)),"")</f>
        <v/>
      </c>
      <c r="I694" s="10" t="str">
        <f>IFERROR(IF(SUMIF('تحليل مبيعات'!C:C, 'حركة المخزن'!B694, 'تحليل مبيعات'!H:H)=0,"",SUMIF('تحليل مبيعات'!C:C, 'حركة المخزن'!B694, 'تحليل مبيعات'!H:H)),"")</f>
        <v/>
      </c>
      <c r="J694" s="10" t="str">
        <f>IFERROR(IF(SUMIF('تحليل مبيعات'!C:C, 'حركة المخزن'!B694, 'تحليل مبيعات'!L:L)=0,"",SUMIF('تحليل مبيعات'!C:C, 'حركة المخزن'!B694, 'تحليل مبيعات'!L:L)),"")</f>
        <v/>
      </c>
      <c r="K694" s="10" t="str">
        <f t="shared" si="36"/>
        <v/>
      </c>
      <c r="L694" s="10" t="str">
        <f t="shared" si="37"/>
        <v/>
      </c>
      <c r="M694">
        <v>5</v>
      </c>
      <c r="N694" t="str">
        <f t="shared" si="38"/>
        <v>يوجد رصيد كافى</v>
      </c>
    </row>
    <row r="695" spans="7:14" x14ac:dyDescent="0.3">
      <c r="G695" t="str">
        <f>IFERROR(IF(SUMIF(المشتريات!C:C, 'حركة المخزن'!B695, المشتريات!F:F)=0,"",SUMIF(المشتريات!C:C, 'حركة المخزن'!B695, المشتريات!F:F)),"")</f>
        <v/>
      </c>
      <c r="H695" s="10" t="str">
        <f>IFERROR(IF(SUMIF(المشتريات!C:C, 'حركة المخزن'!B695, المشتريات!I:I)=0,"",SUMIF(المشتريات!C:C, 'حركة المخزن'!B695, المشتريات!I:I)),"")</f>
        <v/>
      </c>
      <c r="I695" s="10" t="str">
        <f>IFERROR(IF(SUMIF('تحليل مبيعات'!C:C, 'حركة المخزن'!B695, 'تحليل مبيعات'!H:H)=0,"",SUMIF('تحليل مبيعات'!C:C, 'حركة المخزن'!B695, 'تحليل مبيعات'!H:H)),"")</f>
        <v/>
      </c>
      <c r="J695" s="10" t="str">
        <f>IFERROR(IF(SUMIF('تحليل مبيعات'!C:C, 'حركة المخزن'!B695, 'تحليل مبيعات'!L:L)=0,"",SUMIF('تحليل مبيعات'!C:C, 'حركة المخزن'!B695, 'تحليل مبيعات'!L:L)),"")</f>
        <v/>
      </c>
      <c r="K695" s="10" t="str">
        <f t="shared" si="36"/>
        <v/>
      </c>
      <c r="L695" s="10" t="str">
        <f t="shared" si="37"/>
        <v/>
      </c>
      <c r="M695">
        <v>5</v>
      </c>
      <c r="N695" t="str">
        <f t="shared" si="38"/>
        <v>يوجد رصيد كافى</v>
      </c>
    </row>
    <row r="696" spans="7:14" x14ac:dyDescent="0.3">
      <c r="G696" t="str">
        <f>IFERROR(IF(SUMIF(المشتريات!C:C, 'حركة المخزن'!B696, المشتريات!F:F)=0,"",SUMIF(المشتريات!C:C, 'حركة المخزن'!B696, المشتريات!F:F)),"")</f>
        <v/>
      </c>
      <c r="H696" s="10" t="str">
        <f>IFERROR(IF(SUMIF(المشتريات!C:C, 'حركة المخزن'!B696, المشتريات!I:I)=0,"",SUMIF(المشتريات!C:C, 'حركة المخزن'!B696, المشتريات!I:I)),"")</f>
        <v/>
      </c>
      <c r="I696" s="10" t="str">
        <f>IFERROR(IF(SUMIF('تحليل مبيعات'!C:C, 'حركة المخزن'!B696, 'تحليل مبيعات'!H:H)=0,"",SUMIF('تحليل مبيعات'!C:C, 'حركة المخزن'!B696, 'تحليل مبيعات'!H:H)),"")</f>
        <v/>
      </c>
      <c r="J696" s="10" t="str">
        <f>IFERROR(IF(SUMIF('تحليل مبيعات'!C:C, 'حركة المخزن'!B696, 'تحليل مبيعات'!L:L)=0,"",SUMIF('تحليل مبيعات'!C:C, 'حركة المخزن'!B696, 'تحليل مبيعات'!L:L)),"")</f>
        <v/>
      </c>
      <c r="K696" s="10" t="str">
        <f t="shared" si="36"/>
        <v/>
      </c>
      <c r="L696" s="10" t="str">
        <f t="shared" si="37"/>
        <v/>
      </c>
      <c r="M696">
        <v>5</v>
      </c>
      <c r="N696" t="str">
        <f t="shared" si="38"/>
        <v>يوجد رصيد كافى</v>
      </c>
    </row>
    <row r="697" spans="7:14" x14ac:dyDescent="0.3">
      <c r="G697" t="str">
        <f>IFERROR(IF(SUMIF(المشتريات!C:C, 'حركة المخزن'!B697, المشتريات!F:F)=0,"",SUMIF(المشتريات!C:C, 'حركة المخزن'!B697, المشتريات!F:F)),"")</f>
        <v/>
      </c>
      <c r="H697" s="10" t="str">
        <f>IFERROR(IF(SUMIF(المشتريات!C:C, 'حركة المخزن'!B697, المشتريات!I:I)=0,"",SUMIF(المشتريات!C:C, 'حركة المخزن'!B697, المشتريات!I:I)),"")</f>
        <v/>
      </c>
      <c r="I697" s="10" t="str">
        <f>IFERROR(IF(SUMIF('تحليل مبيعات'!C:C, 'حركة المخزن'!B697, 'تحليل مبيعات'!H:H)=0,"",SUMIF('تحليل مبيعات'!C:C, 'حركة المخزن'!B697, 'تحليل مبيعات'!H:H)),"")</f>
        <v/>
      </c>
      <c r="J697" s="10" t="str">
        <f>IFERROR(IF(SUMIF('تحليل مبيعات'!C:C, 'حركة المخزن'!B697, 'تحليل مبيعات'!L:L)=0,"",SUMIF('تحليل مبيعات'!C:C, 'حركة المخزن'!B697, 'تحليل مبيعات'!L:L)),"")</f>
        <v/>
      </c>
      <c r="K697" s="10" t="str">
        <f t="shared" si="36"/>
        <v/>
      </c>
      <c r="L697" s="10" t="str">
        <f t="shared" si="37"/>
        <v/>
      </c>
      <c r="M697">
        <v>5</v>
      </c>
      <c r="N697" t="str">
        <f t="shared" si="38"/>
        <v>يوجد رصيد كافى</v>
      </c>
    </row>
    <row r="698" spans="7:14" x14ac:dyDescent="0.3">
      <c r="G698" t="str">
        <f>IFERROR(IF(SUMIF(المشتريات!C:C, 'حركة المخزن'!B698, المشتريات!F:F)=0,"",SUMIF(المشتريات!C:C, 'حركة المخزن'!B698, المشتريات!F:F)),"")</f>
        <v/>
      </c>
      <c r="H698" s="10" t="str">
        <f>IFERROR(IF(SUMIF(المشتريات!C:C, 'حركة المخزن'!B698, المشتريات!I:I)=0,"",SUMIF(المشتريات!C:C, 'حركة المخزن'!B698, المشتريات!I:I)),"")</f>
        <v/>
      </c>
      <c r="I698" s="10" t="str">
        <f>IFERROR(IF(SUMIF('تحليل مبيعات'!C:C, 'حركة المخزن'!B698, 'تحليل مبيعات'!H:H)=0,"",SUMIF('تحليل مبيعات'!C:C, 'حركة المخزن'!B698, 'تحليل مبيعات'!H:H)),"")</f>
        <v/>
      </c>
      <c r="J698" s="10" t="str">
        <f>IFERROR(IF(SUMIF('تحليل مبيعات'!C:C, 'حركة المخزن'!B698, 'تحليل مبيعات'!L:L)=0,"",SUMIF('تحليل مبيعات'!C:C, 'حركة المخزن'!B698, 'تحليل مبيعات'!L:L)),"")</f>
        <v/>
      </c>
      <c r="K698" s="10" t="str">
        <f t="shared" si="36"/>
        <v/>
      </c>
      <c r="L698" s="10" t="str">
        <f t="shared" si="37"/>
        <v/>
      </c>
      <c r="M698">
        <v>5</v>
      </c>
      <c r="N698" t="str">
        <f t="shared" si="38"/>
        <v>يوجد رصيد كافى</v>
      </c>
    </row>
    <row r="699" spans="7:14" x14ac:dyDescent="0.3">
      <c r="G699" t="str">
        <f>IFERROR(IF(SUMIF(المشتريات!C:C, 'حركة المخزن'!B699, المشتريات!F:F)=0,"",SUMIF(المشتريات!C:C, 'حركة المخزن'!B699, المشتريات!F:F)),"")</f>
        <v/>
      </c>
      <c r="H699" s="10" t="str">
        <f>IFERROR(IF(SUMIF(المشتريات!C:C, 'حركة المخزن'!B699, المشتريات!I:I)=0,"",SUMIF(المشتريات!C:C, 'حركة المخزن'!B699, المشتريات!I:I)),"")</f>
        <v/>
      </c>
      <c r="I699" s="10" t="str">
        <f>IFERROR(IF(SUMIF('تحليل مبيعات'!C:C, 'حركة المخزن'!B699, 'تحليل مبيعات'!H:H)=0,"",SUMIF('تحليل مبيعات'!C:C, 'حركة المخزن'!B699, 'تحليل مبيعات'!H:H)),"")</f>
        <v/>
      </c>
      <c r="J699" s="10" t="str">
        <f>IFERROR(IF(SUMIF('تحليل مبيعات'!C:C, 'حركة المخزن'!B699, 'تحليل مبيعات'!L:L)=0,"",SUMIF('تحليل مبيعات'!C:C, 'حركة المخزن'!B699, 'تحليل مبيعات'!L:L)),"")</f>
        <v/>
      </c>
      <c r="K699" s="10" t="str">
        <f t="shared" si="36"/>
        <v/>
      </c>
      <c r="L699" s="10" t="str">
        <f t="shared" si="37"/>
        <v/>
      </c>
      <c r="M699">
        <v>5</v>
      </c>
      <c r="N699" t="str">
        <f t="shared" si="38"/>
        <v>يوجد رصيد كافى</v>
      </c>
    </row>
    <row r="700" spans="7:14" x14ac:dyDescent="0.3">
      <c r="G700" t="str">
        <f>IFERROR(IF(SUMIF(المشتريات!C:C, 'حركة المخزن'!B700, المشتريات!F:F)=0,"",SUMIF(المشتريات!C:C, 'حركة المخزن'!B700, المشتريات!F:F)),"")</f>
        <v/>
      </c>
      <c r="H700" s="10" t="str">
        <f>IFERROR(IF(SUMIF(المشتريات!C:C, 'حركة المخزن'!B700, المشتريات!I:I)=0,"",SUMIF(المشتريات!C:C, 'حركة المخزن'!B700, المشتريات!I:I)),"")</f>
        <v/>
      </c>
      <c r="I700" s="10" t="str">
        <f>IFERROR(IF(SUMIF('تحليل مبيعات'!C:C, 'حركة المخزن'!B700, 'تحليل مبيعات'!H:H)=0,"",SUMIF('تحليل مبيعات'!C:C, 'حركة المخزن'!B700, 'تحليل مبيعات'!H:H)),"")</f>
        <v/>
      </c>
      <c r="J700" s="10" t="str">
        <f>IFERROR(IF(SUMIF('تحليل مبيعات'!C:C, 'حركة المخزن'!B700, 'تحليل مبيعات'!L:L)=0,"",SUMIF('تحليل مبيعات'!C:C, 'حركة المخزن'!B700, 'تحليل مبيعات'!L:L)),"")</f>
        <v/>
      </c>
      <c r="K700" s="10" t="str">
        <f t="shared" si="36"/>
        <v/>
      </c>
      <c r="L700" s="10" t="str">
        <f t="shared" si="37"/>
        <v/>
      </c>
      <c r="M700">
        <v>5</v>
      </c>
      <c r="N700" t="str">
        <f t="shared" si="38"/>
        <v>يوجد رصيد كافى</v>
      </c>
    </row>
    <row r="701" spans="7:14" x14ac:dyDescent="0.3">
      <c r="G701" t="str">
        <f>IFERROR(IF(SUMIF(المشتريات!C:C, 'حركة المخزن'!B701, المشتريات!F:F)=0,"",SUMIF(المشتريات!C:C, 'حركة المخزن'!B701, المشتريات!F:F)),"")</f>
        <v/>
      </c>
      <c r="H701" s="10" t="str">
        <f>IFERROR(IF(SUMIF(المشتريات!C:C, 'حركة المخزن'!B701, المشتريات!I:I)=0,"",SUMIF(المشتريات!C:C, 'حركة المخزن'!B701, المشتريات!I:I)),"")</f>
        <v/>
      </c>
      <c r="I701" s="10" t="str">
        <f>IFERROR(IF(SUMIF('تحليل مبيعات'!C:C, 'حركة المخزن'!B701, 'تحليل مبيعات'!H:H)=0,"",SUMIF('تحليل مبيعات'!C:C, 'حركة المخزن'!B701, 'تحليل مبيعات'!H:H)),"")</f>
        <v/>
      </c>
      <c r="J701" s="10" t="str">
        <f>IFERROR(IF(SUMIF('تحليل مبيعات'!C:C, 'حركة المخزن'!B701, 'تحليل مبيعات'!L:L)=0,"",SUMIF('تحليل مبيعات'!C:C, 'حركة المخزن'!B701, 'تحليل مبيعات'!L:L)),"")</f>
        <v/>
      </c>
      <c r="K701" s="10" t="str">
        <f t="shared" si="36"/>
        <v/>
      </c>
      <c r="L701" s="10" t="str">
        <f t="shared" si="37"/>
        <v/>
      </c>
      <c r="M701">
        <v>5</v>
      </c>
      <c r="N701" t="str">
        <f t="shared" si="38"/>
        <v>يوجد رصيد كافى</v>
      </c>
    </row>
    <row r="702" spans="7:14" x14ac:dyDescent="0.3">
      <c r="G702" t="str">
        <f>IFERROR(IF(SUMIF(المشتريات!C:C, 'حركة المخزن'!B702, المشتريات!F:F)=0,"",SUMIF(المشتريات!C:C, 'حركة المخزن'!B702, المشتريات!F:F)),"")</f>
        <v/>
      </c>
      <c r="H702" s="10" t="str">
        <f>IFERROR(IF(SUMIF(المشتريات!C:C, 'حركة المخزن'!B702, المشتريات!I:I)=0,"",SUMIF(المشتريات!C:C, 'حركة المخزن'!B702, المشتريات!I:I)),"")</f>
        <v/>
      </c>
      <c r="I702" s="10" t="str">
        <f>IFERROR(IF(SUMIF('تحليل مبيعات'!C:C, 'حركة المخزن'!B702, 'تحليل مبيعات'!H:H)=0,"",SUMIF('تحليل مبيعات'!C:C, 'حركة المخزن'!B702, 'تحليل مبيعات'!H:H)),"")</f>
        <v/>
      </c>
      <c r="J702" s="10" t="str">
        <f>IFERROR(IF(SUMIF('تحليل مبيعات'!C:C, 'حركة المخزن'!B702, 'تحليل مبيعات'!L:L)=0,"",SUMIF('تحليل مبيعات'!C:C, 'حركة المخزن'!B702, 'تحليل مبيعات'!L:L)),"")</f>
        <v/>
      </c>
      <c r="K702" s="10" t="str">
        <f t="shared" si="36"/>
        <v/>
      </c>
      <c r="L702" s="10" t="str">
        <f t="shared" si="37"/>
        <v/>
      </c>
      <c r="M702">
        <v>5</v>
      </c>
      <c r="N702" t="str">
        <f t="shared" si="38"/>
        <v>يوجد رصيد كافى</v>
      </c>
    </row>
    <row r="703" spans="7:14" x14ac:dyDescent="0.3">
      <c r="G703" t="str">
        <f>IFERROR(IF(SUMIF(المشتريات!C:C, 'حركة المخزن'!B703, المشتريات!F:F)=0,"",SUMIF(المشتريات!C:C, 'حركة المخزن'!B703, المشتريات!F:F)),"")</f>
        <v/>
      </c>
      <c r="H703" s="10" t="str">
        <f>IFERROR(IF(SUMIF(المشتريات!C:C, 'حركة المخزن'!B703, المشتريات!I:I)=0,"",SUMIF(المشتريات!C:C, 'حركة المخزن'!B703, المشتريات!I:I)),"")</f>
        <v/>
      </c>
      <c r="I703" s="10" t="str">
        <f>IFERROR(IF(SUMIF('تحليل مبيعات'!C:C, 'حركة المخزن'!B703, 'تحليل مبيعات'!H:H)=0,"",SUMIF('تحليل مبيعات'!C:C, 'حركة المخزن'!B703, 'تحليل مبيعات'!H:H)),"")</f>
        <v/>
      </c>
      <c r="J703" s="10" t="str">
        <f>IFERROR(IF(SUMIF('تحليل مبيعات'!C:C, 'حركة المخزن'!B703, 'تحليل مبيعات'!L:L)=0,"",SUMIF('تحليل مبيعات'!C:C, 'حركة المخزن'!B703, 'تحليل مبيعات'!L:L)),"")</f>
        <v/>
      </c>
      <c r="K703" s="10" t="str">
        <f t="shared" si="36"/>
        <v/>
      </c>
      <c r="L703" s="10" t="str">
        <f t="shared" si="37"/>
        <v/>
      </c>
      <c r="M703">
        <v>5</v>
      </c>
      <c r="N703" t="str">
        <f t="shared" si="38"/>
        <v>يوجد رصيد كافى</v>
      </c>
    </row>
    <row r="704" spans="7:14" x14ac:dyDescent="0.3">
      <c r="G704" t="str">
        <f>IFERROR(IF(SUMIF(المشتريات!C:C, 'حركة المخزن'!B704, المشتريات!F:F)=0,"",SUMIF(المشتريات!C:C, 'حركة المخزن'!B704, المشتريات!F:F)),"")</f>
        <v/>
      </c>
      <c r="H704" s="10" t="str">
        <f>IFERROR(IF(SUMIF(المشتريات!C:C, 'حركة المخزن'!B704, المشتريات!I:I)=0,"",SUMIF(المشتريات!C:C, 'حركة المخزن'!B704, المشتريات!I:I)),"")</f>
        <v/>
      </c>
      <c r="I704" s="10" t="str">
        <f>IFERROR(IF(SUMIF('تحليل مبيعات'!C:C, 'حركة المخزن'!B704, 'تحليل مبيعات'!H:H)=0,"",SUMIF('تحليل مبيعات'!C:C, 'حركة المخزن'!B704, 'تحليل مبيعات'!H:H)),"")</f>
        <v/>
      </c>
      <c r="J704" s="10" t="str">
        <f>IFERROR(IF(SUMIF('تحليل مبيعات'!C:C, 'حركة المخزن'!B704, 'تحليل مبيعات'!L:L)=0,"",SUMIF('تحليل مبيعات'!C:C, 'حركة المخزن'!B704, 'تحليل مبيعات'!L:L)),"")</f>
        <v/>
      </c>
      <c r="K704" s="10" t="str">
        <f t="shared" si="36"/>
        <v/>
      </c>
      <c r="L704" s="10" t="str">
        <f t="shared" si="37"/>
        <v/>
      </c>
      <c r="M704">
        <v>5</v>
      </c>
      <c r="N704" t="str">
        <f t="shared" si="38"/>
        <v>يوجد رصيد كافى</v>
      </c>
    </row>
    <row r="705" spans="7:14" x14ac:dyDescent="0.3">
      <c r="G705" t="str">
        <f>IFERROR(IF(SUMIF(المشتريات!C:C, 'حركة المخزن'!B705, المشتريات!F:F)=0,"",SUMIF(المشتريات!C:C, 'حركة المخزن'!B705, المشتريات!F:F)),"")</f>
        <v/>
      </c>
      <c r="H705" s="10" t="str">
        <f>IFERROR(IF(SUMIF(المشتريات!C:C, 'حركة المخزن'!B705, المشتريات!I:I)=0,"",SUMIF(المشتريات!C:C, 'حركة المخزن'!B705, المشتريات!I:I)),"")</f>
        <v/>
      </c>
      <c r="I705" s="10" t="str">
        <f>IFERROR(IF(SUMIF('تحليل مبيعات'!C:C, 'حركة المخزن'!B705, 'تحليل مبيعات'!H:H)=0,"",SUMIF('تحليل مبيعات'!C:C, 'حركة المخزن'!B705, 'تحليل مبيعات'!H:H)),"")</f>
        <v/>
      </c>
      <c r="J705" s="10" t="str">
        <f>IFERROR(IF(SUMIF('تحليل مبيعات'!C:C, 'حركة المخزن'!B705, 'تحليل مبيعات'!L:L)=0,"",SUMIF('تحليل مبيعات'!C:C, 'حركة المخزن'!B705, 'تحليل مبيعات'!L:L)),"")</f>
        <v/>
      </c>
      <c r="K705" s="10" t="str">
        <f t="shared" si="36"/>
        <v/>
      </c>
      <c r="L705" s="10" t="str">
        <f t="shared" si="37"/>
        <v/>
      </c>
      <c r="M705">
        <v>5</v>
      </c>
      <c r="N705" t="str">
        <f t="shared" si="38"/>
        <v>يوجد رصيد كافى</v>
      </c>
    </row>
    <row r="706" spans="7:14" x14ac:dyDescent="0.3">
      <c r="G706" t="str">
        <f>IFERROR(IF(SUMIF(المشتريات!C:C, 'حركة المخزن'!B706, المشتريات!F:F)=0,"",SUMIF(المشتريات!C:C, 'حركة المخزن'!B706, المشتريات!F:F)),"")</f>
        <v/>
      </c>
      <c r="H706" s="10" t="str">
        <f>IFERROR(IF(SUMIF(المشتريات!C:C, 'حركة المخزن'!B706, المشتريات!I:I)=0,"",SUMIF(المشتريات!C:C, 'حركة المخزن'!B706, المشتريات!I:I)),"")</f>
        <v/>
      </c>
      <c r="I706" s="10" t="str">
        <f>IFERROR(IF(SUMIF('تحليل مبيعات'!C:C, 'حركة المخزن'!B706, 'تحليل مبيعات'!H:H)=0,"",SUMIF('تحليل مبيعات'!C:C, 'حركة المخزن'!B706, 'تحليل مبيعات'!H:H)),"")</f>
        <v/>
      </c>
      <c r="J706" s="10" t="str">
        <f>IFERROR(IF(SUMIF('تحليل مبيعات'!C:C, 'حركة المخزن'!B706, 'تحليل مبيعات'!L:L)=0,"",SUMIF('تحليل مبيعات'!C:C, 'حركة المخزن'!B706, 'تحليل مبيعات'!L:L)),"")</f>
        <v/>
      </c>
      <c r="K706" s="10" t="str">
        <f t="shared" si="36"/>
        <v/>
      </c>
      <c r="L706" s="10" t="str">
        <f t="shared" si="37"/>
        <v/>
      </c>
      <c r="M706">
        <v>5</v>
      </c>
      <c r="N706" t="str">
        <f t="shared" si="38"/>
        <v>يوجد رصيد كافى</v>
      </c>
    </row>
    <row r="707" spans="7:14" x14ac:dyDescent="0.3">
      <c r="G707" t="str">
        <f>IFERROR(IF(SUMIF(المشتريات!C:C, 'حركة المخزن'!B707, المشتريات!F:F)=0,"",SUMIF(المشتريات!C:C, 'حركة المخزن'!B707, المشتريات!F:F)),"")</f>
        <v/>
      </c>
      <c r="H707" s="10" t="str">
        <f>IFERROR(IF(SUMIF(المشتريات!C:C, 'حركة المخزن'!B707, المشتريات!I:I)=0,"",SUMIF(المشتريات!C:C, 'حركة المخزن'!B707, المشتريات!I:I)),"")</f>
        <v/>
      </c>
      <c r="I707" s="10" t="str">
        <f>IFERROR(IF(SUMIF('تحليل مبيعات'!C:C, 'حركة المخزن'!B707, 'تحليل مبيعات'!H:H)=0,"",SUMIF('تحليل مبيعات'!C:C, 'حركة المخزن'!B707, 'تحليل مبيعات'!H:H)),"")</f>
        <v/>
      </c>
      <c r="J707" s="10" t="str">
        <f>IFERROR(IF(SUMIF('تحليل مبيعات'!C:C, 'حركة المخزن'!B707, 'تحليل مبيعات'!L:L)=0,"",SUMIF('تحليل مبيعات'!C:C, 'حركة المخزن'!B707, 'تحليل مبيعات'!L:L)),"")</f>
        <v/>
      </c>
      <c r="K707" s="10" t="str">
        <f t="shared" si="36"/>
        <v/>
      </c>
      <c r="L707" s="10" t="str">
        <f t="shared" si="37"/>
        <v/>
      </c>
      <c r="M707">
        <v>5</v>
      </c>
      <c r="N707" t="str">
        <f t="shared" si="38"/>
        <v>يوجد رصيد كافى</v>
      </c>
    </row>
    <row r="708" spans="7:14" x14ac:dyDescent="0.3">
      <c r="G708" t="str">
        <f>IFERROR(IF(SUMIF(المشتريات!C:C, 'حركة المخزن'!B708, المشتريات!F:F)=0,"",SUMIF(المشتريات!C:C, 'حركة المخزن'!B708, المشتريات!F:F)),"")</f>
        <v/>
      </c>
      <c r="H708" s="10" t="str">
        <f>IFERROR(IF(SUMIF(المشتريات!C:C, 'حركة المخزن'!B708, المشتريات!I:I)=0,"",SUMIF(المشتريات!C:C, 'حركة المخزن'!B708, المشتريات!I:I)),"")</f>
        <v/>
      </c>
      <c r="I708" s="10" t="str">
        <f>IFERROR(IF(SUMIF('تحليل مبيعات'!C:C, 'حركة المخزن'!B708, 'تحليل مبيعات'!H:H)=0,"",SUMIF('تحليل مبيعات'!C:C, 'حركة المخزن'!B708, 'تحليل مبيعات'!H:H)),"")</f>
        <v/>
      </c>
      <c r="J708" s="10" t="str">
        <f>IFERROR(IF(SUMIF('تحليل مبيعات'!C:C, 'حركة المخزن'!B708, 'تحليل مبيعات'!L:L)=0,"",SUMIF('تحليل مبيعات'!C:C, 'حركة المخزن'!B708, 'تحليل مبيعات'!L:L)),"")</f>
        <v/>
      </c>
      <c r="K708" s="10" t="str">
        <f t="shared" si="36"/>
        <v/>
      </c>
      <c r="L708" s="10" t="str">
        <f t="shared" si="37"/>
        <v/>
      </c>
      <c r="M708">
        <v>5</v>
      </c>
      <c r="N708" t="str">
        <f t="shared" si="38"/>
        <v>يوجد رصيد كافى</v>
      </c>
    </row>
    <row r="709" spans="7:14" x14ac:dyDescent="0.3">
      <c r="G709" t="str">
        <f>IFERROR(IF(SUMIF(المشتريات!C:C, 'حركة المخزن'!B709, المشتريات!F:F)=0,"",SUMIF(المشتريات!C:C, 'حركة المخزن'!B709, المشتريات!F:F)),"")</f>
        <v/>
      </c>
      <c r="H709" s="10" t="str">
        <f>IFERROR(IF(SUMIF(المشتريات!C:C, 'حركة المخزن'!B709, المشتريات!I:I)=0,"",SUMIF(المشتريات!C:C, 'حركة المخزن'!B709, المشتريات!I:I)),"")</f>
        <v/>
      </c>
      <c r="I709" s="10" t="str">
        <f>IFERROR(IF(SUMIF('تحليل مبيعات'!C:C, 'حركة المخزن'!B709, 'تحليل مبيعات'!H:H)=0,"",SUMIF('تحليل مبيعات'!C:C, 'حركة المخزن'!B709, 'تحليل مبيعات'!H:H)),"")</f>
        <v/>
      </c>
      <c r="J709" s="10" t="str">
        <f>IFERROR(IF(SUMIF('تحليل مبيعات'!C:C, 'حركة المخزن'!B709, 'تحليل مبيعات'!L:L)=0,"",SUMIF('تحليل مبيعات'!C:C, 'حركة المخزن'!B709, 'تحليل مبيعات'!L:L)),"")</f>
        <v/>
      </c>
      <c r="K709" s="10" t="str">
        <f t="shared" si="36"/>
        <v/>
      </c>
      <c r="L709" s="10" t="str">
        <f t="shared" si="37"/>
        <v/>
      </c>
      <c r="M709">
        <v>5</v>
      </c>
      <c r="N709" t="str">
        <f t="shared" si="38"/>
        <v>يوجد رصيد كافى</v>
      </c>
    </row>
    <row r="710" spans="7:14" x14ac:dyDescent="0.3">
      <c r="G710" t="str">
        <f>IFERROR(IF(SUMIF(المشتريات!C:C, 'حركة المخزن'!B710, المشتريات!F:F)=0,"",SUMIF(المشتريات!C:C, 'حركة المخزن'!B710, المشتريات!F:F)),"")</f>
        <v/>
      </c>
      <c r="H710" s="10" t="str">
        <f>IFERROR(IF(SUMIF(المشتريات!C:C, 'حركة المخزن'!B710, المشتريات!I:I)=0,"",SUMIF(المشتريات!C:C, 'حركة المخزن'!B710, المشتريات!I:I)),"")</f>
        <v/>
      </c>
      <c r="I710" s="10" t="str">
        <f>IFERROR(IF(SUMIF('تحليل مبيعات'!C:C, 'حركة المخزن'!B710, 'تحليل مبيعات'!H:H)=0,"",SUMIF('تحليل مبيعات'!C:C, 'حركة المخزن'!B710, 'تحليل مبيعات'!H:H)),"")</f>
        <v/>
      </c>
      <c r="J710" s="10" t="str">
        <f>IFERROR(IF(SUMIF('تحليل مبيعات'!C:C, 'حركة المخزن'!B710, 'تحليل مبيعات'!L:L)=0,"",SUMIF('تحليل مبيعات'!C:C, 'حركة المخزن'!B710, 'تحليل مبيعات'!L:L)),"")</f>
        <v/>
      </c>
      <c r="K710" s="10" t="str">
        <f t="shared" si="36"/>
        <v/>
      </c>
      <c r="L710" s="10" t="str">
        <f t="shared" si="37"/>
        <v/>
      </c>
      <c r="M710">
        <v>5</v>
      </c>
      <c r="N710" t="str">
        <f t="shared" si="38"/>
        <v>يوجد رصيد كافى</v>
      </c>
    </row>
    <row r="711" spans="7:14" x14ac:dyDescent="0.3">
      <c r="G711" t="str">
        <f>IFERROR(IF(SUMIF(المشتريات!C:C, 'حركة المخزن'!B711, المشتريات!F:F)=0,"",SUMIF(المشتريات!C:C, 'حركة المخزن'!B711, المشتريات!F:F)),"")</f>
        <v/>
      </c>
      <c r="H711" s="10" t="str">
        <f>IFERROR(IF(SUMIF(المشتريات!C:C, 'حركة المخزن'!B711, المشتريات!I:I)=0,"",SUMIF(المشتريات!C:C, 'حركة المخزن'!B711, المشتريات!I:I)),"")</f>
        <v/>
      </c>
      <c r="I711" s="10" t="str">
        <f>IFERROR(IF(SUMIF('تحليل مبيعات'!C:C, 'حركة المخزن'!B711, 'تحليل مبيعات'!H:H)=0,"",SUMIF('تحليل مبيعات'!C:C, 'حركة المخزن'!B711, 'تحليل مبيعات'!H:H)),"")</f>
        <v/>
      </c>
      <c r="J711" s="10" t="str">
        <f>IFERROR(IF(SUMIF('تحليل مبيعات'!C:C, 'حركة المخزن'!B711, 'تحليل مبيعات'!L:L)=0,"",SUMIF('تحليل مبيعات'!C:C, 'حركة المخزن'!B711, 'تحليل مبيعات'!L:L)),"")</f>
        <v/>
      </c>
      <c r="K711" s="10" t="str">
        <f t="shared" si="36"/>
        <v/>
      </c>
      <c r="L711" s="10" t="str">
        <f t="shared" si="37"/>
        <v/>
      </c>
      <c r="M711">
        <v>5</v>
      </c>
      <c r="N711" t="str">
        <f t="shared" si="38"/>
        <v>يوجد رصيد كافى</v>
      </c>
    </row>
    <row r="712" spans="7:14" x14ac:dyDescent="0.3">
      <c r="G712" t="str">
        <f>IFERROR(IF(SUMIF(المشتريات!C:C, 'حركة المخزن'!B712, المشتريات!F:F)=0,"",SUMIF(المشتريات!C:C, 'حركة المخزن'!B712, المشتريات!F:F)),"")</f>
        <v/>
      </c>
      <c r="H712" s="10" t="str">
        <f>IFERROR(IF(SUMIF(المشتريات!C:C, 'حركة المخزن'!B712, المشتريات!I:I)=0,"",SUMIF(المشتريات!C:C, 'حركة المخزن'!B712, المشتريات!I:I)),"")</f>
        <v/>
      </c>
      <c r="I712" s="10" t="str">
        <f>IFERROR(IF(SUMIF('تحليل مبيعات'!C:C, 'حركة المخزن'!B712, 'تحليل مبيعات'!H:H)=0,"",SUMIF('تحليل مبيعات'!C:C, 'حركة المخزن'!B712, 'تحليل مبيعات'!H:H)),"")</f>
        <v/>
      </c>
      <c r="J712" s="10" t="str">
        <f>IFERROR(IF(SUMIF('تحليل مبيعات'!C:C, 'حركة المخزن'!B712, 'تحليل مبيعات'!L:L)=0,"",SUMIF('تحليل مبيعات'!C:C, 'حركة المخزن'!B712, 'تحليل مبيعات'!L:L)),"")</f>
        <v/>
      </c>
      <c r="K712" s="10" t="str">
        <f t="shared" si="36"/>
        <v/>
      </c>
      <c r="L712" s="10" t="str">
        <f t="shared" si="37"/>
        <v/>
      </c>
      <c r="M712">
        <v>5</v>
      </c>
      <c r="N712" t="str">
        <f t="shared" si="38"/>
        <v>يوجد رصيد كافى</v>
      </c>
    </row>
    <row r="713" spans="7:14" x14ac:dyDescent="0.3">
      <c r="G713" t="str">
        <f>IFERROR(IF(SUMIF(المشتريات!C:C, 'حركة المخزن'!B713, المشتريات!F:F)=0,"",SUMIF(المشتريات!C:C, 'حركة المخزن'!B713, المشتريات!F:F)),"")</f>
        <v/>
      </c>
      <c r="H713" s="10" t="str">
        <f>IFERROR(IF(SUMIF(المشتريات!C:C, 'حركة المخزن'!B713, المشتريات!I:I)=0,"",SUMIF(المشتريات!C:C, 'حركة المخزن'!B713, المشتريات!I:I)),"")</f>
        <v/>
      </c>
      <c r="I713" s="10" t="str">
        <f>IFERROR(IF(SUMIF('تحليل مبيعات'!C:C, 'حركة المخزن'!B713, 'تحليل مبيعات'!H:H)=0,"",SUMIF('تحليل مبيعات'!C:C, 'حركة المخزن'!B713, 'تحليل مبيعات'!H:H)),"")</f>
        <v/>
      </c>
      <c r="J713" s="10" t="str">
        <f>IFERROR(IF(SUMIF('تحليل مبيعات'!C:C, 'حركة المخزن'!B713, 'تحليل مبيعات'!L:L)=0,"",SUMIF('تحليل مبيعات'!C:C, 'حركة المخزن'!B713, 'تحليل مبيعات'!L:L)),"")</f>
        <v/>
      </c>
      <c r="K713" s="10" t="str">
        <f t="shared" ref="K713:K776" si="39">IFERROR(E713+G713-I713,"")</f>
        <v/>
      </c>
      <c r="L713" s="10" t="str">
        <f t="shared" ref="L713:L776" si="40">IFERROR(F713+H713-J713,"")</f>
        <v/>
      </c>
      <c r="M713">
        <v>5</v>
      </c>
      <c r="N713" t="str">
        <f t="shared" ref="N713:N776" si="41">IF(K713&lt;M713,"أعادة الطلب","يوجد رصيد كافى")</f>
        <v>يوجد رصيد كافى</v>
      </c>
    </row>
    <row r="714" spans="7:14" x14ac:dyDescent="0.3">
      <c r="G714" t="str">
        <f>IFERROR(IF(SUMIF(المشتريات!C:C, 'حركة المخزن'!B714, المشتريات!F:F)=0,"",SUMIF(المشتريات!C:C, 'حركة المخزن'!B714, المشتريات!F:F)),"")</f>
        <v/>
      </c>
      <c r="H714" s="10" t="str">
        <f>IFERROR(IF(SUMIF(المشتريات!C:C, 'حركة المخزن'!B714, المشتريات!I:I)=0,"",SUMIF(المشتريات!C:C, 'حركة المخزن'!B714, المشتريات!I:I)),"")</f>
        <v/>
      </c>
      <c r="I714" s="10" t="str">
        <f>IFERROR(IF(SUMIF('تحليل مبيعات'!C:C, 'حركة المخزن'!B714, 'تحليل مبيعات'!H:H)=0,"",SUMIF('تحليل مبيعات'!C:C, 'حركة المخزن'!B714, 'تحليل مبيعات'!H:H)),"")</f>
        <v/>
      </c>
      <c r="J714" s="10" t="str">
        <f>IFERROR(IF(SUMIF('تحليل مبيعات'!C:C, 'حركة المخزن'!B714, 'تحليل مبيعات'!L:L)=0,"",SUMIF('تحليل مبيعات'!C:C, 'حركة المخزن'!B714, 'تحليل مبيعات'!L:L)),"")</f>
        <v/>
      </c>
      <c r="K714" s="10" t="str">
        <f t="shared" si="39"/>
        <v/>
      </c>
      <c r="L714" s="10" t="str">
        <f t="shared" si="40"/>
        <v/>
      </c>
      <c r="M714">
        <v>5</v>
      </c>
      <c r="N714" t="str">
        <f t="shared" si="41"/>
        <v>يوجد رصيد كافى</v>
      </c>
    </row>
    <row r="715" spans="7:14" x14ac:dyDescent="0.3">
      <c r="G715" t="str">
        <f>IFERROR(IF(SUMIF(المشتريات!C:C, 'حركة المخزن'!B715, المشتريات!F:F)=0,"",SUMIF(المشتريات!C:C, 'حركة المخزن'!B715, المشتريات!F:F)),"")</f>
        <v/>
      </c>
      <c r="H715" s="10" t="str">
        <f>IFERROR(IF(SUMIF(المشتريات!C:C, 'حركة المخزن'!B715, المشتريات!I:I)=0,"",SUMIF(المشتريات!C:C, 'حركة المخزن'!B715, المشتريات!I:I)),"")</f>
        <v/>
      </c>
      <c r="I715" s="10" t="str">
        <f>IFERROR(IF(SUMIF('تحليل مبيعات'!C:C, 'حركة المخزن'!B715, 'تحليل مبيعات'!H:H)=0,"",SUMIF('تحليل مبيعات'!C:C, 'حركة المخزن'!B715, 'تحليل مبيعات'!H:H)),"")</f>
        <v/>
      </c>
      <c r="J715" s="10" t="str">
        <f>IFERROR(IF(SUMIF('تحليل مبيعات'!C:C, 'حركة المخزن'!B715, 'تحليل مبيعات'!L:L)=0,"",SUMIF('تحليل مبيعات'!C:C, 'حركة المخزن'!B715, 'تحليل مبيعات'!L:L)),"")</f>
        <v/>
      </c>
      <c r="K715" s="10" t="str">
        <f t="shared" si="39"/>
        <v/>
      </c>
      <c r="L715" s="10" t="str">
        <f t="shared" si="40"/>
        <v/>
      </c>
      <c r="M715">
        <v>5</v>
      </c>
      <c r="N715" t="str">
        <f t="shared" si="41"/>
        <v>يوجد رصيد كافى</v>
      </c>
    </row>
    <row r="716" spans="7:14" x14ac:dyDescent="0.3">
      <c r="G716" t="str">
        <f>IFERROR(IF(SUMIF(المشتريات!C:C, 'حركة المخزن'!B716, المشتريات!F:F)=0,"",SUMIF(المشتريات!C:C, 'حركة المخزن'!B716, المشتريات!F:F)),"")</f>
        <v/>
      </c>
      <c r="H716" s="10" t="str">
        <f>IFERROR(IF(SUMIF(المشتريات!C:C, 'حركة المخزن'!B716, المشتريات!I:I)=0,"",SUMIF(المشتريات!C:C, 'حركة المخزن'!B716, المشتريات!I:I)),"")</f>
        <v/>
      </c>
      <c r="I716" s="10" t="str">
        <f>IFERROR(IF(SUMIF('تحليل مبيعات'!C:C, 'حركة المخزن'!B716, 'تحليل مبيعات'!H:H)=0,"",SUMIF('تحليل مبيعات'!C:C, 'حركة المخزن'!B716, 'تحليل مبيعات'!H:H)),"")</f>
        <v/>
      </c>
      <c r="J716" s="10" t="str">
        <f>IFERROR(IF(SUMIF('تحليل مبيعات'!C:C, 'حركة المخزن'!B716, 'تحليل مبيعات'!L:L)=0,"",SUMIF('تحليل مبيعات'!C:C, 'حركة المخزن'!B716, 'تحليل مبيعات'!L:L)),"")</f>
        <v/>
      </c>
      <c r="K716" s="10" t="str">
        <f t="shared" si="39"/>
        <v/>
      </c>
      <c r="L716" s="10" t="str">
        <f t="shared" si="40"/>
        <v/>
      </c>
      <c r="M716">
        <v>5</v>
      </c>
      <c r="N716" t="str">
        <f t="shared" si="41"/>
        <v>يوجد رصيد كافى</v>
      </c>
    </row>
    <row r="717" spans="7:14" x14ac:dyDescent="0.3">
      <c r="G717" t="str">
        <f>IFERROR(IF(SUMIF(المشتريات!C:C, 'حركة المخزن'!B717, المشتريات!F:F)=0,"",SUMIF(المشتريات!C:C, 'حركة المخزن'!B717, المشتريات!F:F)),"")</f>
        <v/>
      </c>
      <c r="H717" s="10" t="str">
        <f>IFERROR(IF(SUMIF(المشتريات!C:C, 'حركة المخزن'!B717, المشتريات!I:I)=0,"",SUMIF(المشتريات!C:C, 'حركة المخزن'!B717, المشتريات!I:I)),"")</f>
        <v/>
      </c>
      <c r="I717" s="10" t="str">
        <f>IFERROR(IF(SUMIF('تحليل مبيعات'!C:C, 'حركة المخزن'!B717, 'تحليل مبيعات'!H:H)=0,"",SUMIF('تحليل مبيعات'!C:C, 'حركة المخزن'!B717, 'تحليل مبيعات'!H:H)),"")</f>
        <v/>
      </c>
      <c r="J717" s="10" t="str">
        <f>IFERROR(IF(SUMIF('تحليل مبيعات'!C:C, 'حركة المخزن'!B717, 'تحليل مبيعات'!L:L)=0,"",SUMIF('تحليل مبيعات'!C:C, 'حركة المخزن'!B717, 'تحليل مبيعات'!L:L)),"")</f>
        <v/>
      </c>
      <c r="K717" s="10" t="str">
        <f t="shared" si="39"/>
        <v/>
      </c>
      <c r="L717" s="10" t="str">
        <f t="shared" si="40"/>
        <v/>
      </c>
      <c r="M717">
        <v>5</v>
      </c>
      <c r="N717" t="str">
        <f t="shared" si="41"/>
        <v>يوجد رصيد كافى</v>
      </c>
    </row>
    <row r="718" spans="7:14" x14ac:dyDescent="0.3">
      <c r="G718" t="str">
        <f>IFERROR(IF(SUMIF(المشتريات!C:C, 'حركة المخزن'!B718, المشتريات!F:F)=0,"",SUMIF(المشتريات!C:C, 'حركة المخزن'!B718, المشتريات!F:F)),"")</f>
        <v/>
      </c>
      <c r="H718" s="10" t="str">
        <f>IFERROR(IF(SUMIF(المشتريات!C:C, 'حركة المخزن'!B718, المشتريات!I:I)=0,"",SUMIF(المشتريات!C:C, 'حركة المخزن'!B718, المشتريات!I:I)),"")</f>
        <v/>
      </c>
      <c r="I718" s="10" t="str">
        <f>IFERROR(IF(SUMIF('تحليل مبيعات'!C:C, 'حركة المخزن'!B718, 'تحليل مبيعات'!H:H)=0,"",SUMIF('تحليل مبيعات'!C:C, 'حركة المخزن'!B718, 'تحليل مبيعات'!H:H)),"")</f>
        <v/>
      </c>
      <c r="J718" s="10" t="str">
        <f>IFERROR(IF(SUMIF('تحليل مبيعات'!C:C, 'حركة المخزن'!B718, 'تحليل مبيعات'!L:L)=0,"",SUMIF('تحليل مبيعات'!C:C, 'حركة المخزن'!B718, 'تحليل مبيعات'!L:L)),"")</f>
        <v/>
      </c>
      <c r="K718" s="10" t="str">
        <f t="shared" si="39"/>
        <v/>
      </c>
      <c r="L718" s="10" t="str">
        <f t="shared" si="40"/>
        <v/>
      </c>
      <c r="M718">
        <v>5</v>
      </c>
      <c r="N718" t="str">
        <f t="shared" si="41"/>
        <v>يوجد رصيد كافى</v>
      </c>
    </row>
    <row r="719" spans="7:14" x14ac:dyDescent="0.3">
      <c r="G719" t="str">
        <f>IFERROR(IF(SUMIF(المشتريات!C:C, 'حركة المخزن'!B719, المشتريات!F:F)=0,"",SUMIF(المشتريات!C:C, 'حركة المخزن'!B719, المشتريات!F:F)),"")</f>
        <v/>
      </c>
      <c r="H719" s="10" t="str">
        <f>IFERROR(IF(SUMIF(المشتريات!C:C, 'حركة المخزن'!B719, المشتريات!I:I)=0,"",SUMIF(المشتريات!C:C, 'حركة المخزن'!B719, المشتريات!I:I)),"")</f>
        <v/>
      </c>
      <c r="I719" s="10" t="str">
        <f>IFERROR(IF(SUMIF('تحليل مبيعات'!C:C, 'حركة المخزن'!B719, 'تحليل مبيعات'!H:H)=0,"",SUMIF('تحليل مبيعات'!C:C, 'حركة المخزن'!B719, 'تحليل مبيعات'!H:H)),"")</f>
        <v/>
      </c>
      <c r="J719" s="10" t="str">
        <f>IFERROR(IF(SUMIF('تحليل مبيعات'!C:C, 'حركة المخزن'!B719, 'تحليل مبيعات'!L:L)=0,"",SUMIF('تحليل مبيعات'!C:C, 'حركة المخزن'!B719, 'تحليل مبيعات'!L:L)),"")</f>
        <v/>
      </c>
      <c r="K719" s="10" t="str">
        <f t="shared" si="39"/>
        <v/>
      </c>
      <c r="L719" s="10" t="str">
        <f t="shared" si="40"/>
        <v/>
      </c>
      <c r="M719">
        <v>5</v>
      </c>
      <c r="N719" t="str">
        <f t="shared" si="41"/>
        <v>يوجد رصيد كافى</v>
      </c>
    </row>
    <row r="720" spans="7:14" x14ac:dyDescent="0.3">
      <c r="G720" t="str">
        <f>IFERROR(IF(SUMIF(المشتريات!C:C, 'حركة المخزن'!B720, المشتريات!F:F)=0,"",SUMIF(المشتريات!C:C, 'حركة المخزن'!B720, المشتريات!F:F)),"")</f>
        <v/>
      </c>
      <c r="H720" s="10" t="str">
        <f>IFERROR(IF(SUMIF(المشتريات!C:C, 'حركة المخزن'!B720, المشتريات!I:I)=0,"",SUMIF(المشتريات!C:C, 'حركة المخزن'!B720, المشتريات!I:I)),"")</f>
        <v/>
      </c>
      <c r="I720" s="10" t="str">
        <f>IFERROR(IF(SUMIF('تحليل مبيعات'!C:C, 'حركة المخزن'!B720, 'تحليل مبيعات'!H:H)=0,"",SUMIF('تحليل مبيعات'!C:C, 'حركة المخزن'!B720, 'تحليل مبيعات'!H:H)),"")</f>
        <v/>
      </c>
      <c r="J720" s="10" t="str">
        <f>IFERROR(IF(SUMIF('تحليل مبيعات'!C:C, 'حركة المخزن'!B720, 'تحليل مبيعات'!L:L)=0,"",SUMIF('تحليل مبيعات'!C:C, 'حركة المخزن'!B720, 'تحليل مبيعات'!L:L)),"")</f>
        <v/>
      </c>
      <c r="K720" s="10" t="str">
        <f t="shared" si="39"/>
        <v/>
      </c>
      <c r="L720" s="10" t="str">
        <f t="shared" si="40"/>
        <v/>
      </c>
      <c r="M720">
        <v>5</v>
      </c>
      <c r="N720" t="str">
        <f t="shared" si="41"/>
        <v>يوجد رصيد كافى</v>
      </c>
    </row>
    <row r="721" spans="7:14" x14ac:dyDescent="0.3">
      <c r="G721" t="str">
        <f>IFERROR(IF(SUMIF(المشتريات!C:C, 'حركة المخزن'!B721, المشتريات!F:F)=0,"",SUMIF(المشتريات!C:C, 'حركة المخزن'!B721, المشتريات!F:F)),"")</f>
        <v/>
      </c>
      <c r="H721" s="10" t="str">
        <f>IFERROR(IF(SUMIF(المشتريات!C:C, 'حركة المخزن'!B721, المشتريات!I:I)=0,"",SUMIF(المشتريات!C:C, 'حركة المخزن'!B721, المشتريات!I:I)),"")</f>
        <v/>
      </c>
      <c r="I721" s="10" t="str">
        <f>IFERROR(IF(SUMIF('تحليل مبيعات'!C:C, 'حركة المخزن'!B721, 'تحليل مبيعات'!H:H)=0,"",SUMIF('تحليل مبيعات'!C:C, 'حركة المخزن'!B721, 'تحليل مبيعات'!H:H)),"")</f>
        <v/>
      </c>
      <c r="J721" s="10" t="str">
        <f>IFERROR(IF(SUMIF('تحليل مبيعات'!C:C, 'حركة المخزن'!B721, 'تحليل مبيعات'!L:L)=0,"",SUMIF('تحليل مبيعات'!C:C, 'حركة المخزن'!B721, 'تحليل مبيعات'!L:L)),"")</f>
        <v/>
      </c>
      <c r="K721" s="10" t="str">
        <f t="shared" si="39"/>
        <v/>
      </c>
      <c r="L721" s="10" t="str">
        <f t="shared" si="40"/>
        <v/>
      </c>
      <c r="M721">
        <v>5</v>
      </c>
      <c r="N721" t="str">
        <f t="shared" si="41"/>
        <v>يوجد رصيد كافى</v>
      </c>
    </row>
    <row r="722" spans="7:14" x14ac:dyDescent="0.3">
      <c r="G722" t="str">
        <f>IFERROR(IF(SUMIF(المشتريات!C:C, 'حركة المخزن'!B722, المشتريات!F:F)=0,"",SUMIF(المشتريات!C:C, 'حركة المخزن'!B722, المشتريات!F:F)),"")</f>
        <v/>
      </c>
      <c r="H722" s="10" t="str">
        <f>IFERROR(IF(SUMIF(المشتريات!C:C, 'حركة المخزن'!B722, المشتريات!I:I)=0,"",SUMIF(المشتريات!C:C, 'حركة المخزن'!B722, المشتريات!I:I)),"")</f>
        <v/>
      </c>
      <c r="I722" s="10" t="str">
        <f>IFERROR(IF(SUMIF('تحليل مبيعات'!C:C, 'حركة المخزن'!B722, 'تحليل مبيعات'!H:H)=0,"",SUMIF('تحليل مبيعات'!C:C, 'حركة المخزن'!B722, 'تحليل مبيعات'!H:H)),"")</f>
        <v/>
      </c>
      <c r="J722" s="10" t="str">
        <f>IFERROR(IF(SUMIF('تحليل مبيعات'!C:C, 'حركة المخزن'!B722, 'تحليل مبيعات'!L:L)=0,"",SUMIF('تحليل مبيعات'!C:C, 'حركة المخزن'!B722, 'تحليل مبيعات'!L:L)),"")</f>
        <v/>
      </c>
      <c r="K722" s="10" t="str">
        <f t="shared" si="39"/>
        <v/>
      </c>
      <c r="L722" s="10" t="str">
        <f t="shared" si="40"/>
        <v/>
      </c>
      <c r="M722">
        <v>5</v>
      </c>
      <c r="N722" t="str">
        <f t="shared" si="41"/>
        <v>يوجد رصيد كافى</v>
      </c>
    </row>
    <row r="723" spans="7:14" x14ac:dyDescent="0.3">
      <c r="G723" t="str">
        <f>IFERROR(IF(SUMIF(المشتريات!C:C, 'حركة المخزن'!B723, المشتريات!F:F)=0,"",SUMIF(المشتريات!C:C, 'حركة المخزن'!B723, المشتريات!F:F)),"")</f>
        <v/>
      </c>
      <c r="H723" s="10" t="str">
        <f>IFERROR(IF(SUMIF(المشتريات!C:C, 'حركة المخزن'!B723, المشتريات!I:I)=0,"",SUMIF(المشتريات!C:C, 'حركة المخزن'!B723, المشتريات!I:I)),"")</f>
        <v/>
      </c>
      <c r="I723" s="10" t="str">
        <f>IFERROR(IF(SUMIF('تحليل مبيعات'!C:C, 'حركة المخزن'!B723, 'تحليل مبيعات'!H:H)=0,"",SUMIF('تحليل مبيعات'!C:C, 'حركة المخزن'!B723, 'تحليل مبيعات'!H:H)),"")</f>
        <v/>
      </c>
      <c r="J723" s="10" t="str">
        <f>IFERROR(IF(SUMIF('تحليل مبيعات'!C:C, 'حركة المخزن'!B723, 'تحليل مبيعات'!L:L)=0,"",SUMIF('تحليل مبيعات'!C:C, 'حركة المخزن'!B723, 'تحليل مبيعات'!L:L)),"")</f>
        <v/>
      </c>
      <c r="K723" s="10" t="str">
        <f t="shared" si="39"/>
        <v/>
      </c>
      <c r="L723" s="10" t="str">
        <f t="shared" si="40"/>
        <v/>
      </c>
      <c r="M723">
        <v>5</v>
      </c>
      <c r="N723" t="str">
        <f t="shared" si="41"/>
        <v>يوجد رصيد كافى</v>
      </c>
    </row>
    <row r="724" spans="7:14" x14ac:dyDescent="0.3">
      <c r="G724" t="str">
        <f>IFERROR(IF(SUMIF(المشتريات!C:C, 'حركة المخزن'!B724, المشتريات!F:F)=0,"",SUMIF(المشتريات!C:C, 'حركة المخزن'!B724, المشتريات!F:F)),"")</f>
        <v/>
      </c>
      <c r="H724" s="10" t="str">
        <f>IFERROR(IF(SUMIF(المشتريات!C:C, 'حركة المخزن'!B724, المشتريات!I:I)=0,"",SUMIF(المشتريات!C:C, 'حركة المخزن'!B724, المشتريات!I:I)),"")</f>
        <v/>
      </c>
      <c r="I724" s="10" t="str">
        <f>IFERROR(IF(SUMIF('تحليل مبيعات'!C:C, 'حركة المخزن'!B724, 'تحليل مبيعات'!H:H)=0,"",SUMIF('تحليل مبيعات'!C:C, 'حركة المخزن'!B724, 'تحليل مبيعات'!H:H)),"")</f>
        <v/>
      </c>
      <c r="J724" s="10" t="str">
        <f>IFERROR(IF(SUMIF('تحليل مبيعات'!C:C, 'حركة المخزن'!B724, 'تحليل مبيعات'!L:L)=0,"",SUMIF('تحليل مبيعات'!C:C, 'حركة المخزن'!B724, 'تحليل مبيعات'!L:L)),"")</f>
        <v/>
      </c>
      <c r="K724" s="10" t="str">
        <f t="shared" si="39"/>
        <v/>
      </c>
      <c r="L724" s="10" t="str">
        <f t="shared" si="40"/>
        <v/>
      </c>
      <c r="M724">
        <v>5</v>
      </c>
      <c r="N724" t="str">
        <f t="shared" si="41"/>
        <v>يوجد رصيد كافى</v>
      </c>
    </row>
    <row r="725" spans="7:14" x14ac:dyDescent="0.3">
      <c r="G725" t="str">
        <f>IFERROR(IF(SUMIF(المشتريات!C:C, 'حركة المخزن'!B725, المشتريات!F:F)=0,"",SUMIF(المشتريات!C:C, 'حركة المخزن'!B725, المشتريات!F:F)),"")</f>
        <v/>
      </c>
      <c r="H725" s="10" t="str">
        <f>IFERROR(IF(SUMIF(المشتريات!C:C, 'حركة المخزن'!B725, المشتريات!I:I)=0,"",SUMIF(المشتريات!C:C, 'حركة المخزن'!B725, المشتريات!I:I)),"")</f>
        <v/>
      </c>
      <c r="I725" s="10" t="str">
        <f>IFERROR(IF(SUMIF('تحليل مبيعات'!C:C, 'حركة المخزن'!B725, 'تحليل مبيعات'!H:H)=0,"",SUMIF('تحليل مبيعات'!C:C, 'حركة المخزن'!B725, 'تحليل مبيعات'!H:H)),"")</f>
        <v/>
      </c>
      <c r="J725" s="10" t="str">
        <f>IFERROR(IF(SUMIF('تحليل مبيعات'!C:C, 'حركة المخزن'!B725, 'تحليل مبيعات'!L:L)=0,"",SUMIF('تحليل مبيعات'!C:C, 'حركة المخزن'!B725, 'تحليل مبيعات'!L:L)),"")</f>
        <v/>
      </c>
      <c r="K725" s="10" t="str">
        <f t="shared" si="39"/>
        <v/>
      </c>
      <c r="L725" s="10" t="str">
        <f t="shared" si="40"/>
        <v/>
      </c>
      <c r="M725">
        <v>5</v>
      </c>
      <c r="N725" t="str">
        <f t="shared" si="41"/>
        <v>يوجد رصيد كافى</v>
      </c>
    </row>
    <row r="726" spans="7:14" x14ac:dyDescent="0.3">
      <c r="G726" t="str">
        <f>IFERROR(IF(SUMIF(المشتريات!C:C, 'حركة المخزن'!B726, المشتريات!F:F)=0,"",SUMIF(المشتريات!C:C, 'حركة المخزن'!B726, المشتريات!F:F)),"")</f>
        <v/>
      </c>
      <c r="H726" s="10" t="str">
        <f>IFERROR(IF(SUMIF(المشتريات!C:C, 'حركة المخزن'!B726, المشتريات!I:I)=0,"",SUMIF(المشتريات!C:C, 'حركة المخزن'!B726, المشتريات!I:I)),"")</f>
        <v/>
      </c>
      <c r="I726" s="10" t="str">
        <f>IFERROR(IF(SUMIF('تحليل مبيعات'!C:C, 'حركة المخزن'!B726, 'تحليل مبيعات'!H:H)=0,"",SUMIF('تحليل مبيعات'!C:C, 'حركة المخزن'!B726, 'تحليل مبيعات'!H:H)),"")</f>
        <v/>
      </c>
      <c r="J726" s="10" t="str">
        <f>IFERROR(IF(SUMIF('تحليل مبيعات'!C:C, 'حركة المخزن'!B726, 'تحليل مبيعات'!L:L)=0,"",SUMIF('تحليل مبيعات'!C:C, 'حركة المخزن'!B726, 'تحليل مبيعات'!L:L)),"")</f>
        <v/>
      </c>
      <c r="K726" s="10" t="str">
        <f t="shared" si="39"/>
        <v/>
      </c>
      <c r="L726" s="10" t="str">
        <f t="shared" si="40"/>
        <v/>
      </c>
      <c r="M726">
        <v>5</v>
      </c>
      <c r="N726" t="str">
        <f t="shared" si="41"/>
        <v>يوجد رصيد كافى</v>
      </c>
    </row>
    <row r="727" spans="7:14" x14ac:dyDescent="0.3">
      <c r="G727" t="str">
        <f>IFERROR(IF(SUMIF(المشتريات!C:C, 'حركة المخزن'!B727, المشتريات!F:F)=0,"",SUMIF(المشتريات!C:C, 'حركة المخزن'!B727, المشتريات!F:F)),"")</f>
        <v/>
      </c>
      <c r="H727" s="10" t="str">
        <f>IFERROR(IF(SUMIF(المشتريات!C:C, 'حركة المخزن'!B727, المشتريات!I:I)=0,"",SUMIF(المشتريات!C:C, 'حركة المخزن'!B727, المشتريات!I:I)),"")</f>
        <v/>
      </c>
      <c r="I727" s="10" t="str">
        <f>IFERROR(IF(SUMIF('تحليل مبيعات'!C:C, 'حركة المخزن'!B727, 'تحليل مبيعات'!H:H)=0,"",SUMIF('تحليل مبيعات'!C:C, 'حركة المخزن'!B727, 'تحليل مبيعات'!H:H)),"")</f>
        <v/>
      </c>
      <c r="J727" s="10" t="str">
        <f>IFERROR(IF(SUMIF('تحليل مبيعات'!C:C, 'حركة المخزن'!B727, 'تحليل مبيعات'!L:L)=0,"",SUMIF('تحليل مبيعات'!C:C, 'حركة المخزن'!B727, 'تحليل مبيعات'!L:L)),"")</f>
        <v/>
      </c>
      <c r="K727" s="10" t="str">
        <f t="shared" si="39"/>
        <v/>
      </c>
      <c r="L727" s="10" t="str">
        <f t="shared" si="40"/>
        <v/>
      </c>
      <c r="M727">
        <v>5</v>
      </c>
      <c r="N727" t="str">
        <f t="shared" si="41"/>
        <v>يوجد رصيد كافى</v>
      </c>
    </row>
    <row r="728" spans="7:14" x14ac:dyDescent="0.3">
      <c r="G728" t="str">
        <f>IFERROR(IF(SUMIF(المشتريات!C:C, 'حركة المخزن'!B728, المشتريات!F:F)=0,"",SUMIF(المشتريات!C:C, 'حركة المخزن'!B728, المشتريات!F:F)),"")</f>
        <v/>
      </c>
      <c r="H728" s="10" t="str">
        <f>IFERROR(IF(SUMIF(المشتريات!C:C, 'حركة المخزن'!B728, المشتريات!I:I)=0,"",SUMIF(المشتريات!C:C, 'حركة المخزن'!B728, المشتريات!I:I)),"")</f>
        <v/>
      </c>
      <c r="I728" s="10" t="str">
        <f>IFERROR(IF(SUMIF('تحليل مبيعات'!C:C, 'حركة المخزن'!B728, 'تحليل مبيعات'!H:H)=0,"",SUMIF('تحليل مبيعات'!C:C, 'حركة المخزن'!B728, 'تحليل مبيعات'!H:H)),"")</f>
        <v/>
      </c>
      <c r="J728" s="10" t="str">
        <f>IFERROR(IF(SUMIF('تحليل مبيعات'!C:C, 'حركة المخزن'!B728, 'تحليل مبيعات'!L:L)=0,"",SUMIF('تحليل مبيعات'!C:C, 'حركة المخزن'!B728, 'تحليل مبيعات'!L:L)),"")</f>
        <v/>
      </c>
      <c r="K728" s="10" t="str">
        <f t="shared" si="39"/>
        <v/>
      </c>
      <c r="L728" s="10" t="str">
        <f t="shared" si="40"/>
        <v/>
      </c>
      <c r="M728">
        <v>5</v>
      </c>
      <c r="N728" t="str">
        <f t="shared" si="41"/>
        <v>يوجد رصيد كافى</v>
      </c>
    </row>
    <row r="729" spans="7:14" x14ac:dyDescent="0.3">
      <c r="G729" t="str">
        <f>IFERROR(IF(SUMIF(المشتريات!C:C, 'حركة المخزن'!B729, المشتريات!F:F)=0,"",SUMIF(المشتريات!C:C, 'حركة المخزن'!B729, المشتريات!F:F)),"")</f>
        <v/>
      </c>
      <c r="H729" s="10" t="str">
        <f>IFERROR(IF(SUMIF(المشتريات!C:C, 'حركة المخزن'!B729, المشتريات!I:I)=0,"",SUMIF(المشتريات!C:C, 'حركة المخزن'!B729, المشتريات!I:I)),"")</f>
        <v/>
      </c>
      <c r="I729" s="10" t="str">
        <f>IFERROR(IF(SUMIF('تحليل مبيعات'!C:C, 'حركة المخزن'!B729, 'تحليل مبيعات'!H:H)=0,"",SUMIF('تحليل مبيعات'!C:C, 'حركة المخزن'!B729, 'تحليل مبيعات'!H:H)),"")</f>
        <v/>
      </c>
      <c r="J729" s="10" t="str">
        <f>IFERROR(IF(SUMIF('تحليل مبيعات'!C:C, 'حركة المخزن'!B729, 'تحليل مبيعات'!L:L)=0,"",SUMIF('تحليل مبيعات'!C:C, 'حركة المخزن'!B729, 'تحليل مبيعات'!L:L)),"")</f>
        <v/>
      </c>
      <c r="K729" s="10" t="str">
        <f t="shared" si="39"/>
        <v/>
      </c>
      <c r="L729" s="10" t="str">
        <f t="shared" si="40"/>
        <v/>
      </c>
      <c r="M729">
        <v>5</v>
      </c>
      <c r="N729" t="str">
        <f t="shared" si="41"/>
        <v>يوجد رصيد كافى</v>
      </c>
    </row>
    <row r="730" spans="7:14" x14ac:dyDescent="0.3">
      <c r="G730" t="str">
        <f>IFERROR(IF(SUMIF(المشتريات!C:C, 'حركة المخزن'!B730, المشتريات!F:F)=0,"",SUMIF(المشتريات!C:C, 'حركة المخزن'!B730, المشتريات!F:F)),"")</f>
        <v/>
      </c>
      <c r="H730" s="10" t="str">
        <f>IFERROR(IF(SUMIF(المشتريات!C:C, 'حركة المخزن'!B730, المشتريات!I:I)=0,"",SUMIF(المشتريات!C:C, 'حركة المخزن'!B730, المشتريات!I:I)),"")</f>
        <v/>
      </c>
      <c r="I730" s="10" t="str">
        <f>IFERROR(IF(SUMIF('تحليل مبيعات'!C:C, 'حركة المخزن'!B730, 'تحليل مبيعات'!H:H)=0,"",SUMIF('تحليل مبيعات'!C:C, 'حركة المخزن'!B730, 'تحليل مبيعات'!H:H)),"")</f>
        <v/>
      </c>
      <c r="J730" s="10" t="str">
        <f>IFERROR(IF(SUMIF('تحليل مبيعات'!C:C, 'حركة المخزن'!B730, 'تحليل مبيعات'!L:L)=0,"",SUMIF('تحليل مبيعات'!C:C, 'حركة المخزن'!B730, 'تحليل مبيعات'!L:L)),"")</f>
        <v/>
      </c>
      <c r="K730" s="10" t="str">
        <f t="shared" si="39"/>
        <v/>
      </c>
      <c r="L730" s="10" t="str">
        <f t="shared" si="40"/>
        <v/>
      </c>
      <c r="M730">
        <v>5</v>
      </c>
      <c r="N730" t="str">
        <f t="shared" si="41"/>
        <v>يوجد رصيد كافى</v>
      </c>
    </row>
    <row r="731" spans="7:14" x14ac:dyDescent="0.3">
      <c r="G731" t="str">
        <f>IFERROR(IF(SUMIF(المشتريات!C:C, 'حركة المخزن'!B731, المشتريات!F:F)=0,"",SUMIF(المشتريات!C:C, 'حركة المخزن'!B731, المشتريات!F:F)),"")</f>
        <v/>
      </c>
      <c r="H731" s="10" t="str">
        <f>IFERROR(IF(SUMIF(المشتريات!C:C, 'حركة المخزن'!B731, المشتريات!I:I)=0,"",SUMIF(المشتريات!C:C, 'حركة المخزن'!B731, المشتريات!I:I)),"")</f>
        <v/>
      </c>
      <c r="I731" s="10" t="str">
        <f>IFERROR(IF(SUMIF('تحليل مبيعات'!C:C, 'حركة المخزن'!B731, 'تحليل مبيعات'!H:H)=0,"",SUMIF('تحليل مبيعات'!C:C, 'حركة المخزن'!B731, 'تحليل مبيعات'!H:H)),"")</f>
        <v/>
      </c>
      <c r="J731" s="10" t="str">
        <f>IFERROR(IF(SUMIF('تحليل مبيعات'!C:C, 'حركة المخزن'!B731, 'تحليل مبيعات'!L:L)=0,"",SUMIF('تحليل مبيعات'!C:C, 'حركة المخزن'!B731, 'تحليل مبيعات'!L:L)),"")</f>
        <v/>
      </c>
      <c r="K731" s="10" t="str">
        <f t="shared" si="39"/>
        <v/>
      </c>
      <c r="L731" s="10" t="str">
        <f t="shared" si="40"/>
        <v/>
      </c>
      <c r="M731">
        <v>5</v>
      </c>
      <c r="N731" t="str">
        <f t="shared" si="41"/>
        <v>يوجد رصيد كافى</v>
      </c>
    </row>
    <row r="732" spans="7:14" x14ac:dyDescent="0.3">
      <c r="G732" t="str">
        <f>IFERROR(IF(SUMIF(المشتريات!C:C, 'حركة المخزن'!B732, المشتريات!F:F)=0,"",SUMIF(المشتريات!C:C, 'حركة المخزن'!B732, المشتريات!F:F)),"")</f>
        <v/>
      </c>
      <c r="H732" s="10" t="str">
        <f>IFERROR(IF(SUMIF(المشتريات!C:C, 'حركة المخزن'!B732, المشتريات!I:I)=0,"",SUMIF(المشتريات!C:C, 'حركة المخزن'!B732, المشتريات!I:I)),"")</f>
        <v/>
      </c>
      <c r="I732" s="10" t="str">
        <f>IFERROR(IF(SUMIF('تحليل مبيعات'!C:C, 'حركة المخزن'!B732, 'تحليل مبيعات'!H:H)=0,"",SUMIF('تحليل مبيعات'!C:C, 'حركة المخزن'!B732, 'تحليل مبيعات'!H:H)),"")</f>
        <v/>
      </c>
      <c r="J732" s="10" t="str">
        <f>IFERROR(IF(SUMIF('تحليل مبيعات'!C:C, 'حركة المخزن'!B732, 'تحليل مبيعات'!L:L)=0,"",SUMIF('تحليل مبيعات'!C:C, 'حركة المخزن'!B732, 'تحليل مبيعات'!L:L)),"")</f>
        <v/>
      </c>
      <c r="K732" s="10" t="str">
        <f t="shared" si="39"/>
        <v/>
      </c>
      <c r="L732" s="10" t="str">
        <f t="shared" si="40"/>
        <v/>
      </c>
      <c r="M732">
        <v>5</v>
      </c>
      <c r="N732" t="str">
        <f t="shared" si="41"/>
        <v>يوجد رصيد كافى</v>
      </c>
    </row>
    <row r="733" spans="7:14" x14ac:dyDescent="0.3">
      <c r="G733" t="str">
        <f>IFERROR(IF(SUMIF(المشتريات!C:C, 'حركة المخزن'!B733, المشتريات!F:F)=0,"",SUMIF(المشتريات!C:C, 'حركة المخزن'!B733, المشتريات!F:F)),"")</f>
        <v/>
      </c>
      <c r="H733" s="10" t="str">
        <f>IFERROR(IF(SUMIF(المشتريات!C:C, 'حركة المخزن'!B733, المشتريات!I:I)=0,"",SUMIF(المشتريات!C:C, 'حركة المخزن'!B733, المشتريات!I:I)),"")</f>
        <v/>
      </c>
      <c r="I733" s="10" t="str">
        <f>IFERROR(IF(SUMIF('تحليل مبيعات'!C:C, 'حركة المخزن'!B733, 'تحليل مبيعات'!H:H)=0,"",SUMIF('تحليل مبيعات'!C:C, 'حركة المخزن'!B733, 'تحليل مبيعات'!H:H)),"")</f>
        <v/>
      </c>
      <c r="J733" s="10" t="str">
        <f>IFERROR(IF(SUMIF('تحليل مبيعات'!C:C, 'حركة المخزن'!B733, 'تحليل مبيعات'!L:L)=0,"",SUMIF('تحليل مبيعات'!C:C, 'حركة المخزن'!B733, 'تحليل مبيعات'!L:L)),"")</f>
        <v/>
      </c>
      <c r="K733" s="10" t="str">
        <f t="shared" si="39"/>
        <v/>
      </c>
      <c r="L733" s="10" t="str">
        <f t="shared" si="40"/>
        <v/>
      </c>
      <c r="M733">
        <v>5</v>
      </c>
      <c r="N733" t="str">
        <f t="shared" si="41"/>
        <v>يوجد رصيد كافى</v>
      </c>
    </row>
    <row r="734" spans="7:14" x14ac:dyDescent="0.3">
      <c r="G734" t="str">
        <f>IFERROR(IF(SUMIF(المشتريات!C:C, 'حركة المخزن'!B734, المشتريات!F:F)=0,"",SUMIF(المشتريات!C:C, 'حركة المخزن'!B734, المشتريات!F:F)),"")</f>
        <v/>
      </c>
      <c r="H734" s="10" t="str">
        <f>IFERROR(IF(SUMIF(المشتريات!C:C, 'حركة المخزن'!B734, المشتريات!I:I)=0,"",SUMIF(المشتريات!C:C, 'حركة المخزن'!B734, المشتريات!I:I)),"")</f>
        <v/>
      </c>
      <c r="I734" s="10" t="str">
        <f>IFERROR(IF(SUMIF('تحليل مبيعات'!C:C, 'حركة المخزن'!B734, 'تحليل مبيعات'!H:H)=0,"",SUMIF('تحليل مبيعات'!C:C, 'حركة المخزن'!B734, 'تحليل مبيعات'!H:H)),"")</f>
        <v/>
      </c>
      <c r="J734" s="10" t="str">
        <f>IFERROR(IF(SUMIF('تحليل مبيعات'!C:C, 'حركة المخزن'!B734, 'تحليل مبيعات'!L:L)=0,"",SUMIF('تحليل مبيعات'!C:C, 'حركة المخزن'!B734, 'تحليل مبيعات'!L:L)),"")</f>
        <v/>
      </c>
      <c r="K734" s="10" t="str">
        <f t="shared" si="39"/>
        <v/>
      </c>
      <c r="L734" s="10" t="str">
        <f t="shared" si="40"/>
        <v/>
      </c>
      <c r="M734">
        <v>5</v>
      </c>
      <c r="N734" t="str">
        <f t="shared" si="41"/>
        <v>يوجد رصيد كافى</v>
      </c>
    </row>
    <row r="735" spans="7:14" x14ac:dyDescent="0.3">
      <c r="G735" t="str">
        <f>IFERROR(IF(SUMIF(المشتريات!C:C, 'حركة المخزن'!B735, المشتريات!F:F)=0,"",SUMIF(المشتريات!C:C, 'حركة المخزن'!B735, المشتريات!F:F)),"")</f>
        <v/>
      </c>
      <c r="H735" s="10" t="str">
        <f>IFERROR(IF(SUMIF(المشتريات!C:C, 'حركة المخزن'!B735, المشتريات!I:I)=0,"",SUMIF(المشتريات!C:C, 'حركة المخزن'!B735, المشتريات!I:I)),"")</f>
        <v/>
      </c>
      <c r="I735" s="10" t="str">
        <f>IFERROR(IF(SUMIF('تحليل مبيعات'!C:C, 'حركة المخزن'!B735, 'تحليل مبيعات'!H:H)=0,"",SUMIF('تحليل مبيعات'!C:C, 'حركة المخزن'!B735, 'تحليل مبيعات'!H:H)),"")</f>
        <v/>
      </c>
      <c r="J735" s="10" t="str">
        <f>IFERROR(IF(SUMIF('تحليل مبيعات'!C:C, 'حركة المخزن'!B735, 'تحليل مبيعات'!L:L)=0,"",SUMIF('تحليل مبيعات'!C:C, 'حركة المخزن'!B735, 'تحليل مبيعات'!L:L)),"")</f>
        <v/>
      </c>
      <c r="K735" s="10" t="str">
        <f t="shared" si="39"/>
        <v/>
      </c>
      <c r="L735" s="10" t="str">
        <f t="shared" si="40"/>
        <v/>
      </c>
      <c r="M735">
        <v>5</v>
      </c>
      <c r="N735" t="str">
        <f t="shared" si="41"/>
        <v>يوجد رصيد كافى</v>
      </c>
    </row>
    <row r="736" spans="7:14" x14ac:dyDescent="0.3">
      <c r="G736" t="str">
        <f>IFERROR(IF(SUMIF(المشتريات!C:C, 'حركة المخزن'!B736, المشتريات!F:F)=0,"",SUMIF(المشتريات!C:C, 'حركة المخزن'!B736, المشتريات!F:F)),"")</f>
        <v/>
      </c>
      <c r="H736" s="10" t="str">
        <f>IFERROR(IF(SUMIF(المشتريات!C:C, 'حركة المخزن'!B736, المشتريات!I:I)=0,"",SUMIF(المشتريات!C:C, 'حركة المخزن'!B736, المشتريات!I:I)),"")</f>
        <v/>
      </c>
      <c r="I736" s="10" t="str">
        <f>IFERROR(IF(SUMIF('تحليل مبيعات'!C:C, 'حركة المخزن'!B736, 'تحليل مبيعات'!H:H)=0,"",SUMIF('تحليل مبيعات'!C:C, 'حركة المخزن'!B736, 'تحليل مبيعات'!H:H)),"")</f>
        <v/>
      </c>
      <c r="J736" s="10" t="str">
        <f>IFERROR(IF(SUMIF('تحليل مبيعات'!C:C, 'حركة المخزن'!B736, 'تحليل مبيعات'!L:L)=0,"",SUMIF('تحليل مبيعات'!C:C, 'حركة المخزن'!B736, 'تحليل مبيعات'!L:L)),"")</f>
        <v/>
      </c>
      <c r="K736" s="10" t="str">
        <f t="shared" si="39"/>
        <v/>
      </c>
      <c r="L736" s="10" t="str">
        <f t="shared" si="40"/>
        <v/>
      </c>
      <c r="M736">
        <v>5</v>
      </c>
      <c r="N736" t="str">
        <f t="shared" si="41"/>
        <v>يوجد رصيد كافى</v>
      </c>
    </row>
    <row r="737" spans="7:14" x14ac:dyDescent="0.3">
      <c r="G737" t="str">
        <f>IFERROR(IF(SUMIF(المشتريات!C:C, 'حركة المخزن'!B737, المشتريات!F:F)=0,"",SUMIF(المشتريات!C:C, 'حركة المخزن'!B737, المشتريات!F:F)),"")</f>
        <v/>
      </c>
      <c r="H737" s="10" t="str">
        <f>IFERROR(IF(SUMIF(المشتريات!C:C, 'حركة المخزن'!B737, المشتريات!I:I)=0,"",SUMIF(المشتريات!C:C, 'حركة المخزن'!B737, المشتريات!I:I)),"")</f>
        <v/>
      </c>
      <c r="I737" s="10" t="str">
        <f>IFERROR(IF(SUMIF('تحليل مبيعات'!C:C, 'حركة المخزن'!B737, 'تحليل مبيعات'!H:H)=0,"",SUMIF('تحليل مبيعات'!C:C, 'حركة المخزن'!B737, 'تحليل مبيعات'!H:H)),"")</f>
        <v/>
      </c>
      <c r="J737" s="10" t="str">
        <f>IFERROR(IF(SUMIF('تحليل مبيعات'!C:C, 'حركة المخزن'!B737, 'تحليل مبيعات'!L:L)=0,"",SUMIF('تحليل مبيعات'!C:C, 'حركة المخزن'!B737, 'تحليل مبيعات'!L:L)),"")</f>
        <v/>
      </c>
      <c r="K737" s="10" t="str">
        <f t="shared" si="39"/>
        <v/>
      </c>
      <c r="L737" s="10" t="str">
        <f t="shared" si="40"/>
        <v/>
      </c>
      <c r="M737">
        <v>5</v>
      </c>
      <c r="N737" t="str">
        <f t="shared" si="41"/>
        <v>يوجد رصيد كافى</v>
      </c>
    </row>
    <row r="738" spans="7:14" x14ac:dyDescent="0.3">
      <c r="G738" t="str">
        <f>IFERROR(IF(SUMIF(المشتريات!C:C, 'حركة المخزن'!B738, المشتريات!F:F)=0,"",SUMIF(المشتريات!C:C, 'حركة المخزن'!B738, المشتريات!F:F)),"")</f>
        <v/>
      </c>
      <c r="H738" s="10" t="str">
        <f>IFERROR(IF(SUMIF(المشتريات!C:C, 'حركة المخزن'!B738, المشتريات!I:I)=0,"",SUMIF(المشتريات!C:C, 'حركة المخزن'!B738, المشتريات!I:I)),"")</f>
        <v/>
      </c>
      <c r="I738" s="10" t="str">
        <f>IFERROR(IF(SUMIF('تحليل مبيعات'!C:C, 'حركة المخزن'!B738, 'تحليل مبيعات'!H:H)=0,"",SUMIF('تحليل مبيعات'!C:C, 'حركة المخزن'!B738, 'تحليل مبيعات'!H:H)),"")</f>
        <v/>
      </c>
      <c r="J738" s="10" t="str">
        <f>IFERROR(IF(SUMIF('تحليل مبيعات'!C:C, 'حركة المخزن'!B738, 'تحليل مبيعات'!L:L)=0,"",SUMIF('تحليل مبيعات'!C:C, 'حركة المخزن'!B738, 'تحليل مبيعات'!L:L)),"")</f>
        <v/>
      </c>
      <c r="K738" s="10" t="str">
        <f t="shared" si="39"/>
        <v/>
      </c>
      <c r="L738" s="10" t="str">
        <f t="shared" si="40"/>
        <v/>
      </c>
      <c r="M738">
        <v>5</v>
      </c>
      <c r="N738" t="str">
        <f t="shared" si="41"/>
        <v>يوجد رصيد كافى</v>
      </c>
    </row>
    <row r="739" spans="7:14" x14ac:dyDescent="0.3">
      <c r="G739" t="str">
        <f>IFERROR(IF(SUMIF(المشتريات!C:C, 'حركة المخزن'!B739, المشتريات!F:F)=0,"",SUMIF(المشتريات!C:C, 'حركة المخزن'!B739, المشتريات!F:F)),"")</f>
        <v/>
      </c>
      <c r="H739" s="10" t="str">
        <f>IFERROR(IF(SUMIF(المشتريات!C:C, 'حركة المخزن'!B739, المشتريات!I:I)=0,"",SUMIF(المشتريات!C:C, 'حركة المخزن'!B739, المشتريات!I:I)),"")</f>
        <v/>
      </c>
      <c r="I739" s="10" t="str">
        <f>IFERROR(IF(SUMIF('تحليل مبيعات'!C:C, 'حركة المخزن'!B739, 'تحليل مبيعات'!H:H)=0,"",SUMIF('تحليل مبيعات'!C:C, 'حركة المخزن'!B739, 'تحليل مبيعات'!H:H)),"")</f>
        <v/>
      </c>
      <c r="J739" s="10" t="str">
        <f>IFERROR(IF(SUMIF('تحليل مبيعات'!C:C, 'حركة المخزن'!B739, 'تحليل مبيعات'!L:L)=0,"",SUMIF('تحليل مبيعات'!C:C, 'حركة المخزن'!B739, 'تحليل مبيعات'!L:L)),"")</f>
        <v/>
      </c>
      <c r="K739" s="10" t="str">
        <f t="shared" si="39"/>
        <v/>
      </c>
      <c r="L739" s="10" t="str">
        <f t="shared" si="40"/>
        <v/>
      </c>
      <c r="M739">
        <v>5</v>
      </c>
      <c r="N739" t="str">
        <f t="shared" si="41"/>
        <v>يوجد رصيد كافى</v>
      </c>
    </row>
    <row r="740" spans="7:14" x14ac:dyDescent="0.3">
      <c r="G740" t="str">
        <f>IFERROR(IF(SUMIF(المشتريات!C:C, 'حركة المخزن'!B740, المشتريات!F:F)=0,"",SUMIF(المشتريات!C:C, 'حركة المخزن'!B740, المشتريات!F:F)),"")</f>
        <v/>
      </c>
      <c r="H740" s="10" t="str">
        <f>IFERROR(IF(SUMIF(المشتريات!C:C, 'حركة المخزن'!B740, المشتريات!I:I)=0,"",SUMIF(المشتريات!C:C, 'حركة المخزن'!B740, المشتريات!I:I)),"")</f>
        <v/>
      </c>
      <c r="I740" s="10" t="str">
        <f>IFERROR(IF(SUMIF('تحليل مبيعات'!C:C, 'حركة المخزن'!B740, 'تحليل مبيعات'!H:H)=0,"",SUMIF('تحليل مبيعات'!C:C, 'حركة المخزن'!B740, 'تحليل مبيعات'!H:H)),"")</f>
        <v/>
      </c>
      <c r="J740" s="10" t="str">
        <f>IFERROR(IF(SUMIF('تحليل مبيعات'!C:C, 'حركة المخزن'!B740, 'تحليل مبيعات'!L:L)=0,"",SUMIF('تحليل مبيعات'!C:C, 'حركة المخزن'!B740, 'تحليل مبيعات'!L:L)),"")</f>
        <v/>
      </c>
      <c r="K740" s="10" t="str">
        <f t="shared" si="39"/>
        <v/>
      </c>
      <c r="L740" s="10" t="str">
        <f t="shared" si="40"/>
        <v/>
      </c>
      <c r="M740">
        <v>5</v>
      </c>
      <c r="N740" t="str">
        <f t="shared" si="41"/>
        <v>يوجد رصيد كافى</v>
      </c>
    </row>
    <row r="741" spans="7:14" x14ac:dyDescent="0.3">
      <c r="G741" t="str">
        <f>IFERROR(IF(SUMIF(المشتريات!C:C, 'حركة المخزن'!B741, المشتريات!F:F)=0,"",SUMIF(المشتريات!C:C, 'حركة المخزن'!B741, المشتريات!F:F)),"")</f>
        <v/>
      </c>
      <c r="H741" s="10" t="str">
        <f>IFERROR(IF(SUMIF(المشتريات!C:C, 'حركة المخزن'!B741, المشتريات!I:I)=0,"",SUMIF(المشتريات!C:C, 'حركة المخزن'!B741, المشتريات!I:I)),"")</f>
        <v/>
      </c>
      <c r="I741" s="10" t="str">
        <f>IFERROR(IF(SUMIF('تحليل مبيعات'!C:C, 'حركة المخزن'!B741, 'تحليل مبيعات'!H:H)=0,"",SUMIF('تحليل مبيعات'!C:C, 'حركة المخزن'!B741, 'تحليل مبيعات'!H:H)),"")</f>
        <v/>
      </c>
      <c r="J741" s="10" t="str">
        <f>IFERROR(IF(SUMIF('تحليل مبيعات'!C:C, 'حركة المخزن'!B741, 'تحليل مبيعات'!L:L)=0,"",SUMIF('تحليل مبيعات'!C:C, 'حركة المخزن'!B741, 'تحليل مبيعات'!L:L)),"")</f>
        <v/>
      </c>
      <c r="K741" s="10" t="str">
        <f t="shared" si="39"/>
        <v/>
      </c>
      <c r="L741" s="10" t="str">
        <f t="shared" si="40"/>
        <v/>
      </c>
      <c r="M741">
        <v>5</v>
      </c>
      <c r="N741" t="str">
        <f t="shared" si="41"/>
        <v>يوجد رصيد كافى</v>
      </c>
    </row>
    <row r="742" spans="7:14" x14ac:dyDescent="0.3">
      <c r="G742" t="str">
        <f>IFERROR(IF(SUMIF(المشتريات!C:C, 'حركة المخزن'!B742, المشتريات!F:F)=0,"",SUMIF(المشتريات!C:C, 'حركة المخزن'!B742, المشتريات!F:F)),"")</f>
        <v/>
      </c>
      <c r="H742" s="10" t="str">
        <f>IFERROR(IF(SUMIF(المشتريات!C:C, 'حركة المخزن'!B742, المشتريات!I:I)=0,"",SUMIF(المشتريات!C:C, 'حركة المخزن'!B742, المشتريات!I:I)),"")</f>
        <v/>
      </c>
      <c r="I742" s="10" t="str">
        <f>IFERROR(IF(SUMIF('تحليل مبيعات'!C:C, 'حركة المخزن'!B742, 'تحليل مبيعات'!H:H)=0,"",SUMIF('تحليل مبيعات'!C:C, 'حركة المخزن'!B742, 'تحليل مبيعات'!H:H)),"")</f>
        <v/>
      </c>
      <c r="J742" s="10" t="str">
        <f>IFERROR(IF(SUMIF('تحليل مبيعات'!C:C, 'حركة المخزن'!B742, 'تحليل مبيعات'!L:L)=0,"",SUMIF('تحليل مبيعات'!C:C, 'حركة المخزن'!B742, 'تحليل مبيعات'!L:L)),"")</f>
        <v/>
      </c>
      <c r="K742" s="10" t="str">
        <f t="shared" si="39"/>
        <v/>
      </c>
      <c r="L742" s="10" t="str">
        <f t="shared" si="40"/>
        <v/>
      </c>
      <c r="M742">
        <v>5</v>
      </c>
      <c r="N742" t="str">
        <f t="shared" si="41"/>
        <v>يوجد رصيد كافى</v>
      </c>
    </row>
    <row r="743" spans="7:14" x14ac:dyDescent="0.3">
      <c r="G743" t="str">
        <f>IFERROR(IF(SUMIF(المشتريات!C:C, 'حركة المخزن'!B743, المشتريات!F:F)=0,"",SUMIF(المشتريات!C:C, 'حركة المخزن'!B743, المشتريات!F:F)),"")</f>
        <v/>
      </c>
      <c r="H743" s="10" t="str">
        <f>IFERROR(IF(SUMIF(المشتريات!C:C, 'حركة المخزن'!B743, المشتريات!I:I)=0,"",SUMIF(المشتريات!C:C, 'حركة المخزن'!B743, المشتريات!I:I)),"")</f>
        <v/>
      </c>
      <c r="I743" s="10" t="str">
        <f>IFERROR(IF(SUMIF('تحليل مبيعات'!C:C, 'حركة المخزن'!B743, 'تحليل مبيعات'!H:H)=0,"",SUMIF('تحليل مبيعات'!C:C, 'حركة المخزن'!B743, 'تحليل مبيعات'!H:H)),"")</f>
        <v/>
      </c>
      <c r="J743" s="10" t="str">
        <f>IFERROR(IF(SUMIF('تحليل مبيعات'!C:C, 'حركة المخزن'!B743, 'تحليل مبيعات'!L:L)=0,"",SUMIF('تحليل مبيعات'!C:C, 'حركة المخزن'!B743, 'تحليل مبيعات'!L:L)),"")</f>
        <v/>
      </c>
      <c r="K743" s="10" t="str">
        <f t="shared" si="39"/>
        <v/>
      </c>
      <c r="L743" s="10" t="str">
        <f t="shared" si="40"/>
        <v/>
      </c>
      <c r="M743">
        <v>5</v>
      </c>
      <c r="N743" t="str">
        <f t="shared" si="41"/>
        <v>يوجد رصيد كافى</v>
      </c>
    </row>
    <row r="744" spans="7:14" x14ac:dyDescent="0.3">
      <c r="G744" t="str">
        <f>IFERROR(IF(SUMIF(المشتريات!C:C, 'حركة المخزن'!B744, المشتريات!F:F)=0,"",SUMIF(المشتريات!C:C, 'حركة المخزن'!B744, المشتريات!F:F)),"")</f>
        <v/>
      </c>
      <c r="H744" s="10" t="str">
        <f>IFERROR(IF(SUMIF(المشتريات!C:C, 'حركة المخزن'!B744, المشتريات!I:I)=0,"",SUMIF(المشتريات!C:C, 'حركة المخزن'!B744, المشتريات!I:I)),"")</f>
        <v/>
      </c>
      <c r="I744" s="10" t="str">
        <f>IFERROR(IF(SUMIF('تحليل مبيعات'!C:C, 'حركة المخزن'!B744, 'تحليل مبيعات'!H:H)=0,"",SUMIF('تحليل مبيعات'!C:C, 'حركة المخزن'!B744, 'تحليل مبيعات'!H:H)),"")</f>
        <v/>
      </c>
      <c r="J744" s="10" t="str">
        <f>IFERROR(IF(SUMIF('تحليل مبيعات'!C:C, 'حركة المخزن'!B744, 'تحليل مبيعات'!L:L)=0,"",SUMIF('تحليل مبيعات'!C:C, 'حركة المخزن'!B744, 'تحليل مبيعات'!L:L)),"")</f>
        <v/>
      </c>
      <c r="K744" s="10" t="str">
        <f t="shared" si="39"/>
        <v/>
      </c>
      <c r="L744" s="10" t="str">
        <f t="shared" si="40"/>
        <v/>
      </c>
      <c r="M744">
        <v>5</v>
      </c>
      <c r="N744" t="str">
        <f t="shared" si="41"/>
        <v>يوجد رصيد كافى</v>
      </c>
    </row>
    <row r="745" spans="7:14" x14ac:dyDescent="0.3">
      <c r="G745" t="str">
        <f>IFERROR(IF(SUMIF(المشتريات!C:C, 'حركة المخزن'!B745, المشتريات!F:F)=0,"",SUMIF(المشتريات!C:C, 'حركة المخزن'!B745, المشتريات!F:F)),"")</f>
        <v/>
      </c>
      <c r="H745" s="10" t="str">
        <f>IFERROR(IF(SUMIF(المشتريات!C:C, 'حركة المخزن'!B745, المشتريات!I:I)=0,"",SUMIF(المشتريات!C:C, 'حركة المخزن'!B745, المشتريات!I:I)),"")</f>
        <v/>
      </c>
      <c r="I745" s="10" t="str">
        <f>IFERROR(IF(SUMIF('تحليل مبيعات'!C:C, 'حركة المخزن'!B745, 'تحليل مبيعات'!H:H)=0,"",SUMIF('تحليل مبيعات'!C:C, 'حركة المخزن'!B745, 'تحليل مبيعات'!H:H)),"")</f>
        <v/>
      </c>
      <c r="J745" s="10" t="str">
        <f>IFERROR(IF(SUMIF('تحليل مبيعات'!C:C, 'حركة المخزن'!B745, 'تحليل مبيعات'!L:L)=0,"",SUMIF('تحليل مبيعات'!C:C, 'حركة المخزن'!B745, 'تحليل مبيعات'!L:L)),"")</f>
        <v/>
      </c>
      <c r="K745" s="10" t="str">
        <f t="shared" si="39"/>
        <v/>
      </c>
      <c r="L745" s="10" t="str">
        <f t="shared" si="40"/>
        <v/>
      </c>
      <c r="M745">
        <v>5</v>
      </c>
      <c r="N745" t="str">
        <f t="shared" si="41"/>
        <v>يوجد رصيد كافى</v>
      </c>
    </row>
    <row r="746" spans="7:14" x14ac:dyDescent="0.3">
      <c r="G746" t="str">
        <f>IFERROR(IF(SUMIF(المشتريات!C:C, 'حركة المخزن'!B746, المشتريات!F:F)=0,"",SUMIF(المشتريات!C:C, 'حركة المخزن'!B746, المشتريات!F:F)),"")</f>
        <v/>
      </c>
      <c r="H746" s="10" t="str">
        <f>IFERROR(IF(SUMIF(المشتريات!C:C, 'حركة المخزن'!B746, المشتريات!I:I)=0,"",SUMIF(المشتريات!C:C, 'حركة المخزن'!B746, المشتريات!I:I)),"")</f>
        <v/>
      </c>
      <c r="I746" s="10" t="str">
        <f>IFERROR(IF(SUMIF('تحليل مبيعات'!C:C, 'حركة المخزن'!B746, 'تحليل مبيعات'!H:H)=0,"",SUMIF('تحليل مبيعات'!C:C, 'حركة المخزن'!B746, 'تحليل مبيعات'!H:H)),"")</f>
        <v/>
      </c>
      <c r="J746" s="10" t="str">
        <f>IFERROR(IF(SUMIF('تحليل مبيعات'!C:C, 'حركة المخزن'!B746, 'تحليل مبيعات'!L:L)=0,"",SUMIF('تحليل مبيعات'!C:C, 'حركة المخزن'!B746, 'تحليل مبيعات'!L:L)),"")</f>
        <v/>
      </c>
      <c r="K746" s="10" t="str">
        <f t="shared" si="39"/>
        <v/>
      </c>
      <c r="L746" s="10" t="str">
        <f t="shared" si="40"/>
        <v/>
      </c>
      <c r="M746">
        <v>5</v>
      </c>
      <c r="N746" t="str">
        <f t="shared" si="41"/>
        <v>يوجد رصيد كافى</v>
      </c>
    </row>
    <row r="747" spans="7:14" x14ac:dyDescent="0.3">
      <c r="G747" t="str">
        <f>IFERROR(IF(SUMIF(المشتريات!C:C, 'حركة المخزن'!B747, المشتريات!F:F)=0,"",SUMIF(المشتريات!C:C, 'حركة المخزن'!B747, المشتريات!F:F)),"")</f>
        <v/>
      </c>
      <c r="H747" s="10" t="str">
        <f>IFERROR(IF(SUMIF(المشتريات!C:C, 'حركة المخزن'!B747, المشتريات!I:I)=0,"",SUMIF(المشتريات!C:C, 'حركة المخزن'!B747, المشتريات!I:I)),"")</f>
        <v/>
      </c>
      <c r="I747" s="10" t="str">
        <f>IFERROR(IF(SUMIF('تحليل مبيعات'!C:C, 'حركة المخزن'!B747, 'تحليل مبيعات'!H:H)=0,"",SUMIF('تحليل مبيعات'!C:C, 'حركة المخزن'!B747, 'تحليل مبيعات'!H:H)),"")</f>
        <v/>
      </c>
      <c r="J747" s="10" t="str">
        <f>IFERROR(IF(SUMIF('تحليل مبيعات'!C:C, 'حركة المخزن'!B747, 'تحليل مبيعات'!L:L)=0,"",SUMIF('تحليل مبيعات'!C:C, 'حركة المخزن'!B747, 'تحليل مبيعات'!L:L)),"")</f>
        <v/>
      </c>
      <c r="K747" s="10" t="str">
        <f t="shared" si="39"/>
        <v/>
      </c>
      <c r="L747" s="10" t="str">
        <f t="shared" si="40"/>
        <v/>
      </c>
      <c r="M747">
        <v>5</v>
      </c>
      <c r="N747" t="str">
        <f t="shared" si="41"/>
        <v>يوجد رصيد كافى</v>
      </c>
    </row>
    <row r="748" spans="7:14" x14ac:dyDescent="0.3">
      <c r="G748" t="str">
        <f>IFERROR(IF(SUMIF(المشتريات!C:C, 'حركة المخزن'!B748, المشتريات!F:F)=0,"",SUMIF(المشتريات!C:C, 'حركة المخزن'!B748, المشتريات!F:F)),"")</f>
        <v/>
      </c>
      <c r="H748" s="10" t="str">
        <f>IFERROR(IF(SUMIF(المشتريات!C:C, 'حركة المخزن'!B748, المشتريات!I:I)=0,"",SUMIF(المشتريات!C:C, 'حركة المخزن'!B748, المشتريات!I:I)),"")</f>
        <v/>
      </c>
      <c r="I748" s="10" t="str">
        <f>IFERROR(IF(SUMIF('تحليل مبيعات'!C:C, 'حركة المخزن'!B748, 'تحليل مبيعات'!H:H)=0,"",SUMIF('تحليل مبيعات'!C:C, 'حركة المخزن'!B748, 'تحليل مبيعات'!H:H)),"")</f>
        <v/>
      </c>
      <c r="J748" s="10" t="str">
        <f>IFERROR(IF(SUMIF('تحليل مبيعات'!C:C, 'حركة المخزن'!B748, 'تحليل مبيعات'!L:L)=0,"",SUMIF('تحليل مبيعات'!C:C, 'حركة المخزن'!B748, 'تحليل مبيعات'!L:L)),"")</f>
        <v/>
      </c>
      <c r="K748" s="10" t="str">
        <f t="shared" si="39"/>
        <v/>
      </c>
      <c r="L748" s="10" t="str">
        <f t="shared" si="40"/>
        <v/>
      </c>
      <c r="M748">
        <v>5</v>
      </c>
      <c r="N748" t="str">
        <f t="shared" si="41"/>
        <v>يوجد رصيد كافى</v>
      </c>
    </row>
    <row r="749" spans="7:14" x14ac:dyDescent="0.3">
      <c r="G749" t="str">
        <f>IFERROR(IF(SUMIF(المشتريات!C:C, 'حركة المخزن'!B749, المشتريات!F:F)=0,"",SUMIF(المشتريات!C:C, 'حركة المخزن'!B749, المشتريات!F:F)),"")</f>
        <v/>
      </c>
      <c r="H749" s="10" t="str">
        <f>IFERROR(IF(SUMIF(المشتريات!C:C, 'حركة المخزن'!B749, المشتريات!I:I)=0,"",SUMIF(المشتريات!C:C, 'حركة المخزن'!B749, المشتريات!I:I)),"")</f>
        <v/>
      </c>
      <c r="I749" s="10" t="str">
        <f>IFERROR(IF(SUMIF('تحليل مبيعات'!C:C, 'حركة المخزن'!B749, 'تحليل مبيعات'!H:H)=0,"",SUMIF('تحليل مبيعات'!C:C, 'حركة المخزن'!B749, 'تحليل مبيعات'!H:H)),"")</f>
        <v/>
      </c>
      <c r="J749" s="10" t="str">
        <f>IFERROR(IF(SUMIF('تحليل مبيعات'!C:C, 'حركة المخزن'!B749, 'تحليل مبيعات'!L:L)=0,"",SUMIF('تحليل مبيعات'!C:C, 'حركة المخزن'!B749, 'تحليل مبيعات'!L:L)),"")</f>
        <v/>
      </c>
      <c r="K749" s="10" t="str">
        <f t="shared" si="39"/>
        <v/>
      </c>
      <c r="L749" s="10" t="str">
        <f t="shared" si="40"/>
        <v/>
      </c>
      <c r="M749">
        <v>5</v>
      </c>
      <c r="N749" t="str">
        <f t="shared" si="41"/>
        <v>يوجد رصيد كافى</v>
      </c>
    </row>
    <row r="750" spans="7:14" x14ac:dyDescent="0.3">
      <c r="G750" t="str">
        <f>IFERROR(IF(SUMIF(المشتريات!C:C, 'حركة المخزن'!B750, المشتريات!F:F)=0,"",SUMIF(المشتريات!C:C, 'حركة المخزن'!B750, المشتريات!F:F)),"")</f>
        <v/>
      </c>
      <c r="H750" s="10" t="str">
        <f>IFERROR(IF(SUMIF(المشتريات!C:C, 'حركة المخزن'!B750, المشتريات!I:I)=0,"",SUMIF(المشتريات!C:C, 'حركة المخزن'!B750, المشتريات!I:I)),"")</f>
        <v/>
      </c>
      <c r="I750" s="10" t="str">
        <f>IFERROR(IF(SUMIF('تحليل مبيعات'!C:C, 'حركة المخزن'!B750, 'تحليل مبيعات'!H:H)=0,"",SUMIF('تحليل مبيعات'!C:C, 'حركة المخزن'!B750, 'تحليل مبيعات'!H:H)),"")</f>
        <v/>
      </c>
      <c r="J750" s="10" t="str">
        <f>IFERROR(IF(SUMIF('تحليل مبيعات'!C:C, 'حركة المخزن'!B750, 'تحليل مبيعات'!L:L)=0,"",SUMIF('تحليل مبيعات'!C:C, 'حركة المخزن'!B750, 'تحليل مبيعات'!L:L)),"")</f>
        <v/>
      </c>
      <c r="K750" s="10" t="str">
        <f t="shared" si="39"/>
        <v/>
      </c>
      <c r="L750" s="10" t="str">
        <f t="shared" si="40"/>
        <v/>
      </c>
      <c r="M750">
        <v>5</v>
      </c>
      <c r="N750" t="str">
        <f t="shared" si="41"/>
        <v>يوجد رصيد كافى</v>
      </c>
    </row>
    <row r="751" spans="7:14" x14ac:dyDescent="0.3">
      <c r="G751" t="str">
        <f>IFERROR(IF(SUMIF(المشتريات!C:C, 'حركة المخزن'!B751, المشتريات!F:F)=0,"",SUMIF(المشتريات!C:C, 'حركة المخزن'!B751, المشتريات!F:F)),"")</f>
        <v/>
      </c>
      <c r="H751" s="10" t="str">
        <f>IFERROR(IF(SUMIF(المشتريات!C:C, 'حركة المخزن'!B751, المشتريات!I:I)=0,"",SUMIF(المشتريات!C:C, 'حركة المخزن'!B751, المشتريات!I:I)),"")</f>
        <v/>
      </c>
      <c r="I751" s="10" t="str">
        <f>IFERROR(IF(SUMIF('تحليل مبيعات'!C:C, 'حركة المخزن'!B751, 'تحليل مبيعات'!H:H)=0,"",SUMIF('تحليل مبيعات'!C:C, 'حركة المخزن'!B751, 'تحليل مبيعات'!H:H)),"")</f>
        <v/>
      </c>
      <c r="J751" s="10" t="str">
        <f>IFERROR(IF(SUMIF('تحليل مبيعات'!C:C, 'حركة المخزن'!B751, 'تحليل مبيعات'!L:L)=0,"",SUMIF('تحليل مبيعات'!C:C, 'حركة المخزن'!B751, 'تحليل مبيعات'!L:L)),"")</f>
        <v/>
      </c>
      <c r="K751" s="10" t="str">
        <f t="shared" si="39"/>
        <v/>
      </c>
      <c r="L751" s="10" t="str">
        <f t="shared" si="40"/>
        <v/>
      </c>
      <c r="M751">
        <v>5</v>
      </c>
      <c r="N751" t="str">
        <f t="shared" si="41"/>
        <v>يوجد رصيد كافى</v>
      </c>
    </row>
    <row r="752" spans="7:14" x14ac:dyDescent="0.3">
      <c r="G752" t="str">
        <f>IFERROR(IF(SUMIF(المشتريات!C:C, 'حركة المخزن'!B752, المشتريات!F:F)=0,"",SUMIF(المشتريات!C:C, 'حركة المخزن'!B752, المشتريات!F:F)),"")</f>
        <v/>
      </c>
      <c r="H752" s="10" t="str">
        <f>IFERROR(IF(SUMIF(المشتريات!C:C, 'حركة المخزن'!B752, المشتريات!I:I)=0,"",SUMIF(المشتريات!C:C, 'حركة المخزن'!B752, المشتريات!I:I)),"")</f>
        <v/>
      </c>
      <c r="I752" s="10" t="str">
        <f>IFERROR(IF(SUMIF('تحليل مبيعات'!C:C, 'حركة المخزن'!B752, 'تحليل مبيعات'!H:H)=0,"",SUMIF('تحليل مبيعات'!C:C, 'حركة المخزن'!B752, 'تحليل مبيعات'!H:H)),"")</f>
        <v/>
      </c>
      <c r="J752" s="10" t="str">
        <f>IFERROR(IF(SUMIF('تحليل مبيعات'!C:C, 'حركة المخزن'!B752, 'تحليل مبيعات'!L:L)=0,"",SUMIF('تحليل مبيعات'!C:C, 'حركة المخزن'!B752, 'تحليل مبيعات'!L:L)),"")</f>
        <v/>
      </c>
      <c r="K752" s="10" t="str">
        <f t="shared" si="39"/>
        <v/>
      </c>
      <c r="L752" s="10" t="str">
        <f t="shared" si="40"/>
        <v/>
      </c>
      <c r="M752">
        <v>5</v>
      </c>
      <c r="N752" t="str">
        <f t="shared" si="41"/>
        <v>يوجد رصيد كافى</v>
      </c>
    </row>
    <row r="753" spans="7:14" x14ac:dyDescent="0.3">
      <c r="G753" t="str">
        <f>IFERROR(IF(SUMIF(المشتريات!C:C, 'حركة المخزن'!B753, المشتريات!F:F)=0,"",SUMIF(المشتريات!C:C, 'حركة المخزن'!B753, المشتريات!F:F)),"")</f>
        <v/>
      </c>
      <c r="H753" s="10" t="str">
        <f>IFERROR(IF(SUMIF(المشتريات!C:C, 'حركة المخزن'!B753, المشتريات!I:I)=0,"",SUMIF(المشتريات!C:C, 'حركة المخزن'!B753, المشتريات!I:I)),"")</f>
        <v/>
      </c>
      <c r="I753" s="10" t="str">
        <f>IFERROR(IF(SUMIF('تحليل مبيعات'!C:C, 'حركة المخزن'!B753, 'تحليل مبيعات'!H:H)=0,"",SUMIF('تحليل مبيعات'!C:C, 'حركة المخزن'!B753, 'تحليل مبيعات'!H:H)),"")</f>
        <v/>
      </c>
      <c r="J753" s="10" t="str">
        <f>IFERROR(IF(SUMIF('تحليل مبيعات'!C:C, 'حركة المخزن'!B753, 'تحليل مبيعات'!L:L)=0,"",SUMIF('تحليل مبيعات'!C:C, 'حركة المخزن'!B753, 'تحليل مبيعات'!L:L)),"")</f>
        <v/>
      </c>
      <c r="K753" s="10" t="str">
        <f t="shared" si="39"/>
        <v/>
      </c>
      <c r="L753" s="10" t="str">
        <f t="shared" si="40"/>
        <v/>
      </c>
      <c r="M753">
        <v>5</v>
      </c>
      <c r="N753" t="str">
        <f t="shared" si="41"/>
        <v>يوجد رصيد كافى</v>
      </c>
    </row>
    <row r="754" spans="7:14" x14ac:dyDescent="0.3">
      <c r="G754" t="str">
        <f>IFERROR(IF(SUMIF(المشتريات!C:C, 'حركة المخزن'!B754, المشتريات!F:F)=0,"",SUMIF(المشتريات!C:C, 'حركة المخزن'!B754, المشتريات!F:F)),"")</f>
        <v/>
      </c>
      <c r="H754" s="10" t="str">
        <f>IFERROR(IF(SUMIF(المشتريات!C:C, 'حركة المخزن'!B754, المشتريات!I:I)=0,"",SUMIF(المشتريات!C:C, 'حركة المخزن'!B754, المشتريات!I:I)),"")</f>
        <v/>
      </c>
      <c r="I754" s="10" t="str">
        <f>IFERROR(IF(SUMIF('تحليل مبيعات'!C:C, 'حركة المخزن'!B754, 'تحليل مبيعات'!H:H)=0,"",SUMIF('تحليل مبيعات'!C:C, 'حركة المخزن'!B754, 'تحليل مبيعات'!H:H)),"")</f>
        <v/>
      </c>
      <c r="J754" s="10" t="str">
        <f>IFERROR(IF(SUMIF('تحليل مبيعات'!C:C, 'حركة المخزن'!B754, 'تحليل مبيعات'!L:L)=0,"",SUMIF('تحليل مبيعات'!C:C, 'حركة المخزن'!B754, 'تحليل مبيعات'!L:L)),"")</f>
        <v/>
      </c>
      <c r="K754" s="10" t="str">
        <f t="shared" si="39"/>
        <v/>
      </c>
      <c r="L754" s="10" t="str">
        <f t="shared" si="40"/>
        <v/>
      </c>
      <c r="M754">
        <v>5</v>
      </c>
      <c r="N754" t="str">
        <f t="shared" si="41"/>
        <v>يوجد رصيد كافى</v>
      </c>
    </row>
    <row r="755" spans="7:14" x14ac:dyDescent="0.3">
      <c r="G755" t="str">
        <f>IFERROR(IF(SUMIF(المشتريات!C:C, 'حركة المخزن'!B755, المشتريات!F:F)=0,"",SUMIF(المشتريات!C:C, 'حركة المخزن'!B755, المشتريات!F:F)),"")</f>
        <v/>
      </c>
      <c r="H755" s="10" t="str">
        <f>IFERROR(IF(SUMIF(المشتريات!C:C, 'حركة المخزن'!B755, المشتريات!I:I)=0,"",SUMIF(المشتريات!C:C, 'حركة المخزن'!B755, المشتريات!I:I)),"")</f>
        <v/>
      </c>
      <c r="I755" s="10" t="str">
        <f>IFERROR(IF(SUMIF('تحليل مبيعات'!C:C, 'حركة المخزن'!B755, 'تحليل مبيعات'!H:H)=0,"",SUMIF('تحليل مبيعات'!C:C, 'حركة المخزن'!B755, 'تحليل مبيعات'!H:H)),"")</f>
        <v/>
      </c>
      <c r="J755" s="10" t="str">
        <f>IFERROR(IF(SUMIF('تحليل مبيعات'!C:C, 'حركة المخزن'!B755, 'تحليل مبيعات'!L:L)=0,"",SUMIF('تحليل مبيعات'!C:C, 'حركة المخزن'!B755, 'تحليل مبيعات'!L:L)),"")</f>
        <v/>
      </c>
      <c r="K755" s="10" t="str">
        <f t="shared" si="39"/>
        <v/>
      </c>
      <c r="L755" s="10" t="str">
        <f t="shared" si="40"/>
        <v/>
      </c>
      <c r="M755">
        <v>5</v>
      </c>
      <c r="N755" t="str">
        <f t="shared" si="41"/>
        <v>يوجد رصيد كافى</v>
      </c>
    </row>
    <row r="756" spans="7:14" x14ac:dyDescent="0.3">
      <c r="G756" t="str">
        <f>IFERROR(IF(SUMIF(المشتريات!C:C, 'حركة المخزن'!B756, المشتريات!F:F)=0,"",SUMIF(المشتريات!C:C, 'حركة المخزن'!B756, المشتريات!F:F)),"")</f>
        <v/>
      </c>
      <c r="H756" s="10" t="str">
        <f>IFERROR(IF(SUMIF(المشتريات!C:C, 'حركة المخزن'!B756, المشتريات!I:I)=0,"",SUMIF(المشتريات!C:C, 'حركة المخزن'!B756, المشتريات!I:I)),"")</f>
        <v/>
      </c>
      <c r="I756" s="10" t="str">
        <f>IFERROR(IF(SUMIF('تحليل مبيعات'!C:C, 'حركة المخزن'!B756, 'تحليل مبيعات'!H:H)=0,"",SUMIF('تحليل مبيعات'!C:C, 'حركة المخزن'!B756, 'تحليل مبيعات'!H:H)),"")</f>
        <v/>
      </c>
      <c r="J756" s="10" t="str">
        <f>IFERROR(IF(SUMIF('تحليل مبيعات'!C:C, 'حركة المخزن'!B756, 'تحليل مبيعات'!L:L)=0,"",SUMIF('تحليل مبيعات'!C:C, 'حركة المخزن'!B756, 'تحليل مبيعات'!L:L)),"")</f>
        <v/>
      </c>
      <c r="K756" s="10" t="str">
        <f t="shared" si="39"/>
        <v/>
      </c>
      <c r="L756" s="10" t="str">
        <f t="shared" si="40"/>
        <v/>
      </c>
      <c r="M756">
        <v>5</v>
      </c>
      <c r="N756" t="str">
        <f t="shared" si="41"/>
        <v>يوجد رصيد كافى</v>
      </c>
    </row>
    <row r="757" spans="7:14" x14ac:dyDescent="0.3">
      <c r="G757" t="str">
        <f>IFERROR(IF(SUMIF(المشتريات!C:C, 'حركة المخزن'!B757, المشتريات!F:F)=0,"",SUMIF(المشتريات!C:C, 'حركة المخزن'!B757, المشتريات!F:F)),"")</f>
        <v/>
      </c>
      <c r="H757" s="10" t="str">
        <f>IFERROR(IF(SUMIF(المشتريات!C:C, 'حركة المخزن'!B757, المشتريات!I:I)=0,"",SUMIF(المشتريات!C:C, 'حركة المخزن'!B757, المشتريات!I:I)),"")</f>
        <v/>
      </c>
      <c r="I757" s="10" t="str">
        <f>IFERROR(IF(SUMIF('تحليل مبيعات'!C:C, 'حركة المخزن'!B757, 'تحليل مبيعات'!H:H)=0,"",SUMIF('تحليل مبيعات'!C:C, 'حركة المخزن'!B757, 'تحليل مبيعات'!H:H)),"")</f>
        <v/>
      </c>
      <c r="J757" s="10" t="str">
        <f>IFERROR(IF(SUMIF('تحليل مبيعات'!C:C, 'حركة المخزن'!B757, 'تحليل مبيعات'!L:L)=0,"",SUMIF('تحليل مبيعات'!C:C, 'حركة المخزن'!B757, 'تحليل مبيعات'!L:L)),"")</f>
        <v/>
      </c>
      <c r="K757" s="10" t="str">
        <f t="shared" si="39"/>
        <v/>
      </c>
      <c r="L757" s="10" t="str">
        <f t="shared" si="40"/>
        <v/>
      </c>
      <c r="M757">
        <v>5</v>
      </c>
      <c r="N757" t="str">
        <f t="shared" si="41"/>
        <v>يوجد رصيد كافى</v>
      </c>
    </row>
    <row r="758" spans="7:14" x14ac:dyDescent="0.3">
      <c r="G758" t="str">
        <f>IFERROR(IF(SUMIF(المشتريات!C:C, 'حركة المخزن'!B758, المشتريات!F:F)=0,"",SUMIF(المشتريات!C:C, 'حركة المخزن'!B758, المشتريات!F:F)),"")</f>
        <v/>
      </c>
      <c r="H758" s="10" t="str">
        <f>IFERROR(IF(SUMIF(المشتريات!C:C, 'حركة المخزن'!B758, المشتريات!I:I)=0,"",SUMIF(المشتريات!C:C, 'حركة المخزن'!B758, المشتريات!I:I)),"")</f>
        <v/>
      </c>
      <c r="I758" s="10" t="str">
        <f>IFERROR(IF(SUMIF('تحليل مبيعات'!C:C, 'حركة المخزن'!B758, 'تحليل مبيعات'!H:H)=0,"",SUMIF('تحليل مبيعات'!C:C, 'حركة المخزن'!B758, 'تحليل مبيعات'!H:H)),"")</f>
        <v/>
      </c>
      <c r="J758" s="10" t="str">
        <f>IFERROR(IF(SUMIF('تحليل مبيعات'!C:C, 'حركة المخزن'!B758, 'تحليل مبيعات'!L:L)=0,"",SUMIF('تحليل مبيعات'!C:C, 'حركة المخزن'!B758, 'تحليل مبيعات'!L:L)),"")</f>
        <v/>
      </c>
      <c r="K758" s="10" t="str">
        <f t="shared" si="39"/>
        <v/>
      </c>
      <c r="L758" s="10" t="str">
        <f t="shared" si="40"/>
        <v/>
      </c>
      <c r="M758">
        <v>5</v>
      </c>
      <c r="N758" t="str">
        <f t="shared" si="41"/>
        <v>يوجد رصيد كافى</v>
      </c>
    </row>
    <row r="759" spans="7:14" x14ac:dyDescent="0.3">
      <c r="G759" t="str">
        <f>IFERROR(IF(SUMIF(المشتريات!C:C, 'حركة المخزن'!B759, المشتريات!F:F)=0,"",SUMIF(المشتريات!C:C, 'حركة المخزن'!B759, المشتريات!F:F)),"")</f>
        <v/>
      </c>
      <c r="H759" s="10" t="str">
        <f>IFERROR(IF(SUMIF(المشتريات!C:C, 'حركة المخزن'!B759, المشتريات!I:I)=0,"",SUMIF(المشتريات!C:C, 'حركة المخزن'!B759, المشتريات!I:I)),"")</f>
        <v/>
      </c>
      <c r="I759" s="10" t="str">
        <f>IFERROR(IF(SUMIF('تحليل مبيعات'!C:C, 'حركة المخزن'!B759, 'تحليل مبيعات'!H:H)=0,"",SUMIF('تحليل مبيعات'!C:C, 'حركة المخزن'!B759, 'تحليل مبيعات'!H:H)),"")</f>
        <v/>
      </c>
      <c r="J759" s="10" t="str">
        <f>IFERROR(IF(SUMIF('تحليل مبيعات'!C:C, 'حركة المخزن'!B759, 'تحليل مبيعات'!L:L)=0,"",SUMIF('تحليل مبيعات'!C:C, 'حركة المخزن'!B759, 'تحليل مبيعات'!L:L)),"")</f>
        <v/>
      </c>
      <c r="K759" s="10" t="str">
        <f t="shared" si="39"/>
        <v/>
      </c>
      <c r="L759" s="10" t="str">
        <f t="shared" si="40"/>
        <v/>
      </c>
      <c r="M759">
        <v>5</v>
      </c>
      <c r="N759" t="str">
        <f t="shared" si="41"/>
        <v>يوجد رصيد كافى</v>
      </c>
    </row>
    <row r="760" spans="7:14" x14ac:dyDescent="0.3">
      <c r="G760" t="str">
        <f>IFERROR(IF(SUMIF(المشتريات!C:C, 'حركة المخزن'!B760, المشتريات!F:F)=0,"",SUMIF(المشتريات!C:C, 'حركة المخزن'!B760, المشتريات!F:F)),"")</f>
        <v/>
      </c>
      <c r="H760" s="10" t="str">
        <f>IFERROR(IF(SUMIF(المشتريات!C:C, 'حركة المخزن'!B760, المشتريات!I:I)=0,"",SUMIF(المشتريات!C:C, 'حركة المخزن'!B760, المشتريات!I:I)),"")</f>
        <v/>
      </c>
      <c r="I760" s="10" t="str">
        <f>IFERROR(IF(SUMIF('تحليل مبيعات'!C:C, 'حركة المخزن'!B760, 'تحليل مبيعات'!H:H)=0,"",SUMIF('تحليل مبيعات'!C:C, 'حركة المخزن'!B760, 'تحليل مبيعات'!H:H)),"")</f>
        <v/>
      </c>
      <c r="J760" s="10" t="str">
        <f>IFERROR(IF(SUMIF('تحليل مبيعات'!C:C, 'حركة المخزن'!B760, 'تحليل مبيعات'!L:L)=0,"",SUMIF('تحليل مبيعات'!C:C, 'حركة المخزن'!B760, 'تحليل مبيعات'!L:L)),"")</f>
        <v/>
      </c>
      <c r="K760" s="10" t="str">
        <f t="shared" si="39"/>
        <v/>
      </c>
      <c r="L760" s="10" t="str">
        <f t="shared" si="40"/>
        <v/>
      </c>
      <c r="M760">
        <v>5</v>
      </c>
      <c r="N760" t="str">
        <f t="shared" si="41"/>
        <v>يوجد رصيد كافى</v>
      </c>
    </row>
    <row r="761" spans="7:14" x14ac:dyDescent="0.3">
      <c r="G761" t="str">
        <f>IFERROR(IF(SUMIF(المشتريات!C:C, 'حركة المخزن'!B761, المشتريات!F:F)=0,"",SUMIF(المشتريات!C:C, 'حركة المخزن'!B761, المشتريات!F:F)),"")</f>
        <v/>
      </c>
      <c r="H761" s="10" t="str">
        <f>IFERROR(IF(SUMIF(المشتريات!C:C, 'حركة المخزن'!B761, المشتريات!I:I)=0,"",SUMIF(المشتريات!C:C, 'حركة المخزن'!B761, المشتريات!I:I)),"")</f>
        <v/>
      </c>
      <c r="I761" s="10" t="str">
        <f>IFERROR(IF(SUMIF('تحليل مبيعات'!C:C, 'حركة المخزن'!B761, 'تحليل مبيعات'!H:H)=0,"",SUMIF('تحليل مبيعات'!C:C, 'حركة المخزن'!B761, 'تحليل مبيعات'!H:H)),"")</f>
        <v/>
      </c>
      <c r="J761" s="10" t="str">
        <f>IFERROR(IF(SUMIF('تحليل مبيعات'!C:C, 'حركة المخزن'!B761, 'تحليل مبيعات'!L:L)=0,"",SUMIF('تحليل مبيعات'!C:C, 'حركة المخزن'!B761, 'تحليل مبيعات'!L:L)),"")</f>
        <v/>
      </c>
      <c r="K761" s="10" t="str">
        <f t="shared" si="39"/>
        <v/>
      </c>
      <c r="L761" s="10" t="str">
        <f t="shared" si="40"/>
        <v/>
      </c>
      <c r="M761">
        <v>5</v>
      </c>
      <c r="N761" t="str">
        <f t="shared" si="41"/>
        <v>يوجد رصيد كافى</v>
      </c>
    </row>
    <row r="762" spans="7:14" x14ac:dyDescent="0.3">
      <c r="G762" t="str">
        <f>IFERROR(IF(SUMIF(المشتريات!C:C, 'حركة المخزن'!B762, المشتريات!F:F)=0,"",SUMIF(المشتريات!C:C, 'حركة المخزن'!B762, المشتريات!F:F)),"")</f>
        <v/>
      </c>
      <c r="H762" s="10" t="str">
        <f>IFERROR(IF(SUMIF(المشتريات!C:C, 'حركة المخزن'!B762, المشتريات!I:I)=0,"",SUMIF(المشتريات!C:C, 'حركة المخزن'!B762, المشتريات!I:I)),"")</f>
        <v/>
      </c>
      <c r="I762" s="10" t="str">
        <f>IFERROR(IF(SUMIF('تحليل مبيعات'!C:C, 'حركة المخزن'!B762, 'تحليل مبيعات'!H:H)=0,"",SUMIF('تحليل مبيعات'!C:C, 'حركة المخزن'!B762, 'تحليل مبيعات'!H:H)),"")</f>
        <v/>
      </c>
      <c r="J762" s="10" t="str">
        <f>IFERROR(IF(SUMIF('تحليل مبيعات'!C:C, 'حركة المخزن'!B762, 'تحليل مبيعات'!L:L)=0,"",SUMIF('تحليل مبيعات'!C:C, 'حركة المخزن'!B762, 'تحليل مبيعات'!L:L)),"")</f>
        <v/>
      </c>
      <c r="K762" s="10" t="str">
        <f t="shared" si="39"/>
        <v/>
      </c>
      <c r="L762" s="10" t="str">
        <f t="shared" si="40"/>
        <v/>
      </c>
      <c r="M762">
        <v>5</v>
      </c>
      <c r="N762" t="str">
        <f t="shared" si="41"/>
        <v>يوجد رصيد كافى</v>
      </c>
    </row>
    <row r="763" spans="7:14" x14ac:dyDescent="0.3">
      <c r="G763" t="str">
        <f>IFERROR(IF(SUMIF(المشتريات!C:C, 'حركة المخزن'!B763, المشتريات!F:F)=0,"",SUMIF(المشتريات!C:C, 'حركة المخزن'!B763, المشتريات!F:F)),"")</f>
        <v/>
      </c>
      <c r="H763" s="10" t="str">
        <f>IFERROR(IF(SUMIF(المشتريات!C:C, 'حركة المخزن'!B763, المشتريات!I:I)=0,"",SUMIF(المشتريات!C:C, 'حركة المخزن'!B763, المشتريات!I:I)),"")</f>
        <v/>
      </c>
      <c r="I763" s="10" t="str">
        <f>IFERROR(IF(SUMIF('تحليل مبيعات'!C:C, 'حركة المخزن'!B763, 'تحليل مبيعات'!H:H)=0,"",SUMIF('تحليل مبيعات'!C:C, 'حركة المخزن'!B763, 'تحليل مبيعات'!H:H)),"")</f>
        <v/>
      </c>
      <c r="J763" s="10" t="str">
        <f>IFERROR(IF(SUMIF('تحليل مبيعات'!C:C, 'حركة المخزن'!B763, 'تحليل مبيعات'!L:L)=0,"",SUMIF('تحليل مبيعات'!C:C, 'حركة المخزن'!B763, 'تحليل مبيعات'!L:L)),"")</f>
        <v/>
      </c>
      <c r="K763" s="10" t="str">
        <f t="shared" si="39"/>
        <v/>
      </c>
      <c r="L763" s="10" t="str">
        <f t="shared" si="40"/>
        <v/>
      </c>
      <c r="M763">
        <v>5</v>
      </c>
      <c r="N763" t="str">
        <f t="shared" si="41"/>
        <v>يوجد رصيد كافى</v>
      </c>
    </row>
    <row r="764" spans="7:14" x14ac:dyDescent="0.3">
      <c r="G764" t="str">
        <f>IFERROR(IF(SUMIF(المشتريات!C:C, 'حركة المخزن'!B764, المشتريات!F:F)=0,"",SUMIF(المشتريات!C:C, 'حركة المخزن'!B764, المشتريات!F:F)),"")</f>
        <v/>
      </c>
      <c r="H764" s="10" t="str">
        <f>IFERROR(IF(SUMIF(المشتريات!C:C, 'حركة المخزن'!B764, المشتريات!I:I)=0,"",SUMIF(المشتريات!C:C, 'حركة المخزن'!B764, المشتريات!I:I)),"")</f>
        <v/>
      </c>
      <c r="I764" s="10" t="str">
        <f>IFERROR(IF(SUMIF('تحليل مبيعات'!C:C, 'حركة المخزن'!B764, 'تحليل مبيعات'!H:H)=0,"",SUMIF('تحليل مبيعات'!C:C, 'حركة المخزن'!B764, 'تحليل مبيعات'!H:H)),"")</f>
        <v/>
      </c>
      <c r="J764" s="10" t="str">
        <f>IFERROR(IF(SUMIF('تحليل مبيعات'!C:C, 'حركة المخزن'!B764, 'تحليل مبيعات'!L:L)=0,"",SUMIF('تحليل مبيعات'!C:C, 'حركة المخزن'!B764, 'تحليل مبيعات'!L:L)),"")</f>
        <v/>
      </c>
      <c r="K764" s="10" t="str">
        <f t="shared" si="39"/>
        <v/>
      </c>
      <c r="L764" s="10" t="str">
        <f t="shared" si="40"/>
        <v/>
      </c>
      <c r="M764">
        <v>5</v>
      </c>
      <c r="N764" t="str">
        <f t="shared" si="41"/>
        <v>يوجد رصيد كافى</v>
      </c>
    </row>
    <row r="765" spans="7:14" x14ac:dyDescent="0.3">
      <c r="G765" t="str">
        <f>IFERROR(IF(SUMIF(المشتريات!C:C, 'حركة المخزن'!B765, المشتريات!F:F)=0,"",SUMIF(المشتريات!C:C, 'حركة المخزن'!B765, المشتريات!F:F)),"")</f>
        <v/>
      </c>
      <c r="H765" s="10" t="str">
        <f>IFERROR(IF(SUMIF(المشتريات!C:C, 'حركة المخزن'!B765, المشتريات!I:I)=0,"",SUMIF(المشتريات!C:C, 'حركة المخزن'!B765, المشتريات!I:I)),"")</f>
        <v/>
      </c>
      <c r="I765" s="10" t="str">
        <f>IFERROR(IF(SUMIF('تحليل مبيعات'!C:C, 'حركة المخزن'!B765, 'تحليل مبيعات'!H:H)=0,"",SUMIF('تحليل مبيعات'!C:C, 'حركة المخزن'!B765, 'تحليل مبيعات'!H:H)),"")</f>
        <v/>
      </c>
      <c r="J765" s="10" t="str">
        <f>IFERROR(IF(SUMIF('تحليل مبيعات'!C:C, 'حركة المخزن'!B765, 'تحليل مبيعات'!L:L)=0,"",SUMIF('تحليل مبيعات'!C:C, 'حركة المخزن'!B765, 'تحليل مبيعات'!L:L)),"")</f>
        <v/>
      </c>
      <c r="K765" s="10" t="str">
        <f t="shared" si="39"/>
        <v/>
      </c>
      <c r="L765" s="10" t="str">
        <f t="shared" si="40"/>
        <v/>
      </c>
      <c r="M765">
        <v>5</v>
      </c>
      <c r="N765" t="str">
        <f t="shared" si="41"/>
        <v>يوجد رصيد كافى</v>
      </c>
    </row>
    <row r="766" spans="7:14" x14ac:dyDescent="0.3">
      <c r="G766" t="str">
        <f>IFERROR(IF(SUMIF(المشتريات!C:C, 'حركة المخزن'!B766, المشتريات!F:F)=0,"",SUMIF(المشتريات!C:C, 'حركة المخزن'!B766, المشتريات!F:F)),"")</f>
        <v/>
      </c>
      <c r="H766" s="10" t="str">
        <f>IFERROR(IF(SUMIF(المشتريات!C:C, 'حركة المخزن'!B766, المشتريات!I:I)=0,"",SUMIF(المشتريات!C:C, 'حركة المخزن'!B766, المشتريات!I:I)),"")</f>
        <v/>
      </c>
      <c r="I766" s="10" t="str">
        <f>IFERROR(IF(SUMIF('تحليل مبيعات'!C:C, 'حركة المخزن'!B766, 'تحليل مبيعات'!H:H)=0,"",SUMIF('تحليل مبيعات'!C:C, 'حركة المخزن'!B766, 'تحليل مبيعات'!H:H)),"")</f>
        <v/>
      </c>
      <c r="J766" s="10" t="str">
        <f>IFERROR(IF(SUMIF('تحليل مبيعات'!C:C, 'حركة المخزن'!B766, 'تحليل مبيعات'!L:L)=0,"",SUMIF('تحليل مبيعات'!C:C, 'حركة المخزن'!B766, 'تحليل مبيعات'!L:L)),"")</f>
        <v/>
      </c>
      <c r="K766" s="10" t="str">
        <f t="shared" si="39"/>
        <v/>
      </c>
      <c r="L766" s="10" t="str">
        <f t="shared" si="40"/>
        <v/>
      </c>
      <c r="M766">
        <v>5</v>
      </c>
      <c r="N766" t="str">
        <f t="shared" si="41"/>
        <v>يوجد رصيد كافى</v>
      </c>
    </row>
    <row r="767" spans="7:14" x14ac:dyDescent="0.3">
      <c r="G767" t="str">
        <f>IFERROR(IF(SUMIF(المشتريات!C:C, 'حركة المخزن'!B767, المشتريات!F:F)=0,"",SUMIF(المشتريات!C:C, 'حركة المخزن'!B767, المشتريات!F:F)),"")</f>
        <v/>
      </c>
      <c r="H767" s="10" t="str">
        <f>IFERROR(IF(SUMIF(المشتريات!C:C, 'حركة المخزن'!B767, المشتريات!I:I)=0,"",SUMIF(المشتريات!C:C, 'حركة المخزن'!B767, المشتريات!I:I)),"")</f>
        <v/>
      </c>
      <c r="I767" s="10" t="str">
        <f>IFERROR(IF(SUMIF('تحليل مبيعات'!C:C, 'حركة المخزن'!B767, 'تحليل مبيعات'!H:H)=0,"",SUMIF('تحليل مبيعات'!C:C, 'حركة المخزن'!B767, 'تحليل مبيعات'!H:H)),"")</f>
        <v/>
      </c>
      <c r="J767" s="10" t="str">
        <f>IFERROR(IF(SUMIF('تحليل مبيعات'!C:C, 'حركة المخزن'!B767, 'تحليل مبيعات'!L:L)=0,"",SUMIF('تحليل مبيعات'!C:C, 'حركة المخزن'!B767, 'تحليل مبيعات'!L:L)),"")</f>
        <v/>
      </c>
      <c r="K767" s="10" t="str">
        <f t="shared" si="39"/>
        <v/>
      </c>
      <c r="L767" s="10" t="str">
        <f t="shared" si="40"/>
        <v/>
      </c>
      <c r="M767">
        <v>5</v>
      </c>
      <c r="N767" t="str">
        <f t="shared" si="41"/>
        <v>يوجد رصيد كافى</v>
      </c>
    </row>
    <row r="768" spans="7:14" x14ac:dyDescent="0.3">
      <c r="G768" t="str">
        <f>IFERROR(IF(SUMIF(المشتريات!C:C, 'حركة المخزن'!B768, المشتريات!F:F)=0,"",SUMIF(المشتريات!C:C, 'حركة المخزن'!B768, المشتريات!F:F)),"")</f>
        <v/>
      </c>
      <c r="H768" s="10" t="str">
        <f>IFERROR(IF(SUMIF(المشتريات!C:C, 'حركة المخزن'!B768, المشتريات!I:I)=0,"",SUMIF(المشتريات!C:C, 'حركة المخزن'!B768, المشتريات!I:I)),"")</f>
        <v/>
      </c>
      <c r="I768" s="10" t="str">
        <f>IFERROR(IF(SUMIF('تحليل مبيعات'!C:C, 'حركة المخزن'!B768, 'تحليل مبيعات'!H:H)=0,"",SUMIF('تحليل مبيعات'!C:C, 'حركة المخزن'!B768, 'تحليل مبيعات'!H:H)),"")</f>
        <v/>
      </c>
      <c r="J768" s="10" t="str">
        <f>IFERROR(IF(SUMIF('تحليل مبيعات'!C:C, 'حركة المخزن'!B768, 'تحليل مبيعات'!L:L)=0,"",SUMIF('تحليل مبيعات'!C:C, 'حركة المخزن'!B768, 'تحليل مبيعات'!L:L)),"")</f>
        <v/>
      </c>
      <c r="K768" s="10" t="str">
        <f t="shared" si="39"/>
        <v/>
      </c>
      <c r="L768" s="10" t="str">
        <f t="shared" si="40"/>
        <v/>
      </c>
      <c r="M768">
        <v>5</v>
      </c>
      <c r="N768" t="str">
        <f t="shared" si="41"/>
        <v>يوجد رصيد كافى</v>
      </c>
    </row>
    <row r="769" spans="7:14" x14ac:dyDescent="0.3">
      <c r="G769" t="str">
        <f>IFERROR(IF(SUMIF(المشتريات!C:C, 'حركة المخزن'!B769, المشتريات!F:F)=0,"",SUMIF(المشتريات!C:C, 'حركة المخزن'!B769, المشتريات!F:F)),"")</f>
        <v/>
      </c>
      <c r="H769" s="10" t="str">
        <f>IFERROR(IF(SUMIF(المشتريات!C:C, 'حركة المخزن'!B769, المشتريات!I:I)=0,"",SUMIF(المشتريات!C:C, 'حركة المخزن'!B769, المشتريات!I:I)),"")</f>
        <v/>
      </c>
      <c r="I769" s="10" t="str">
        <f>IFERROR(IF(SUMIF('تحليل مبيعات'!C:C, 'حركة المخزن'!B769, 'تحليل مبيعات'!H:H)=0,"",SUMIF('تحليل مبيعات'!C:C, 'حركة المخزن'!B769, 'تحليل مبيعات'!H:H)),"")</f>
        <v/>
      </c>
      <c r="J769" s="10" t="str">
        <f>IFERROR(IF(SUMIF('تحليل مبيعات'!C:C, 'حركة المخزن'!B769, 'تحليل مبيعات'!L:L)=0,"",SUMIF('تحليل مبيعات'!C:C, 'حركة المخزن'!B769, 'تحليل مبيعات'!L:L)),"")</f>
        <v/>
      </c>
      <c r="K769" s="10" t="str">
        <f t="shared" si="39"/>
        <v/>
      </c>
      <c r="L769" s="10" t="str">
        <f t="shared" si="40"/>
        <v/>
      </c>
      <c r="M769">
        <v>5</v>
      </c>
      <c r="N769" t="str">
        <f t="shared" si="41"/>
        <v>يوجد رصيد كافى</v>
      </c>
    </row>
    <row r="770" spans="7:14" x14ac:dyDescent="0.3">
      <c r="G770" t="str">
        <f>IFERROR(IF(SUMIF(المشتريات!C:C, 'حركة المخزن'!B770, المشتريات!F:F)=0,"",SUMIF(المشتريات!C:C, 'حركة المخزن'!B770, المشتريات!F:F)),"")</f>
        <v/>
      </c>
      <c r="H770" s="10" t="str">
        <f>IFERROR(IF(SUMIF(المشتريات!C:C, 'حركة المخزن'!B770, المشتريات!I:I)=0,"",SUMIF(المشتريات!C:C, 'حركة المخزن'!B770, المشتريات!I:I)),"")</f>
        <v/>
      </c>
      <c r="I770" s="10" t="str">
        <f>IFERROR(IF(SUMIF('تحليل مبيعات'!C:C, 'حركة المخزن'!B770, 'تحليل مبيعات'!H:H)=0,"",SUMIF('تحليل مبيعات'!C:C, 'حركة المخزن'!B770, 'تحليل مبيعات'!H:H)),"")</f>
        <v/>
      </c>
      <c r="J770" s="10" t="str">
        <f>IFERROR(IF(SUMIF('تحليل مبيعات'!C:C, 'حركة المخزن'!B770, 'تحليل مبيعات'!L:L)=0,"",SUMIF('تحليل مبيعات'!C:C, 'حركة المخزن'!B770, 'تحليل مبيعات'!L:L)),"")</f>
        <v/>
      </c>
      <c r="K770" s="10" t="str">
        <f t="shared" si="39"/>
        <v/>
      </c>
      <c r="L770" s="10" t="str">
        <f t="shared" si="40"/>
        <v/>
      </c>
      <c r="M770">
        <v>5</v>
      </c>
      <c r="N770" t="str">
        <f t="shared" si="41"/>
        <v>يوجد رصيد كافى</v>
      </c>
    </row>
    <row r="771" spans="7:14" x14ac:dyDescent="0.3">
      <c r="G771" t="str">
        <f>IFERROR(IF(SUMIF(المشتريات!C:C, 'حركة المخزن'!B771, المشتريات!F:F)=0,"",SUMIF(المشتريات!C:C, 'حركة المخزن'!B771, المشتريات!F:F)),"")</f>
        <v/>
      </c>
      <c r="H771" s="10" t="str">
        <f>IFERROR(IF(SUMIF(المشتريات!C:C, 'حركة المخزن'!B771, المشتريات!I:I)=0,"",SUMIF(المشتريات!C:C, 'حركة المخزن'!B771, المشتريات!I:I)),"")</f>
        <v/>
      </c>
      <c r="I771" s="10" t="str">
        <f>IFERROR(IF(SUMIF('تحليل مبيعات'!C:C, 'حركة المخزن'!B771, 'تحليل مبيعات'!H:H)=0,"",SUMIF('تحليل مبيعات'!C:C, 'حركة المخزن'!B771, 'تحليل مبيعات'!H:H)),"")</f>
        <v/>
      </c>
      <c r="J771" s="10" t="str">
        <f>IFERROR(IF(SUMIF('تحليل مبيعات'!C:C, 'حركة المخزن'!B771, 'تحليل مبيعات'!L:L)=0,"",SUMIF('تحليل مبيعات'!C:C, 'حركة المخزن'!B771, 'تحليل مبيعات'!L:L)),"")</f>
        <v/>
      </c>
      <c r="K771" s="10" t="str">
        <f t="shared" si="39"/>
        <v/>
      </c>
      <c r="L771" s="10" t="str">
        <f t="shared" si="40"/>
        <v/>
      </c>
      <c r="M771">
        <v>5</v>
      </c>
      <c r="N771" t="str">
        <f t="shared" si="41"/>
        <v>يوجد رصيد كافى</v>
      </c>
    </row>
    <row r="772" spans="7:14" x14ac:dyDescent="0.3">
      <c r="G772" t="str">
        <f>IFERROR(IF(SUMIF(المشتريات!C:C, 'حركة المخزن'!B772, المشتريات!F:F)=0,"",SUMIF(المشتريات!C:C, 'حركة المخزن'!B772, المشتريات!F:F)),"")</f>
        <v/>
      </c>
      <c r="H772" s="10" t="str">
        <f>IFERROR(IF(SUMIF(المشتريات!C:C, 'حركة المخزن'!B772, المشتريات!I:I)=0,"",SUMIF(المشتريات!C:C, 'حركة المخزن'!B772, المشتريات!I:I)),"")</f>
        <v/>
      </c>
      <c r="I772" s="10" t="str">
        <f>IFERROR(IF(SUMIF('تحليل مبيعات'!C:C, 'حركة المخزن'!B772, 'تحليل مبيعات'!H:H)=0,"",SUMIF('تحليل مبيعات'!C:C, 'حركة المخزن'!B772, 'تحليل مبيعات'!H:H)),"")</f>
        <v/>
      </c>
      <c r="J772" s="10" t="str">
        <f>IFERROR(IF(SUMIF('تحليل مبيعات'!C:C, 'حركة المخزن'!B772, 'تحليل مبيعات'!L:L)=0,"",SUMIF('تحليل مبيعات'!C:C, 'حركة المخزن'!B772, 'تحليل مبيعات'!L:L)),"")</f>
        <v/>
      </c>
      <c r="K772" s="10" t="str">
        <f t="shared" si="39"/>
        <v/>
      </c>
      <c r="L772" s="10" t="str">
        <f t="shared" si="40"/>
        <v/>
      </c>
      <c r="M772">
        <v>5</v>
      </c>
      <c r="N772" t="str">
        <f t="shared" si="41"/>
        <v>يوجد رصيد كافى</v>
      </c>
    </row>
    <row r="773" spans="7:14" x14ac:dyDescent="0.3">
      <c r="G773" t="str">
        <f>IFERROR(IF(SUMIF(المشتريات!C:C, 'حركة المخزن'!B773, المشتريات!F:F)=0,"",SUMIF(المشتريات!C:C, 'حركة المخزن'!B773, المشتريات!F:F)),"")</f>
        <v/>
      </c>
      <c r="H773" s="10" t="str">
        <f>IFERROR(IF(SUMIF(المشتريات!C:C, 'حركة المخزن'!B773, المشتريات!I:I)=0,"",SUMIF(المشتريات!C:C, 'حركة المخزن'!B773, المشتريات!I:I)),"")</f>
        <v/>
      </c>
      <c r="I773" s="10" t="str">
        <f>IFERROR(IF(SUMIF('تحليل مبيعات'!C:C, 'حركة المخزن'!B773, 'تحليل مبيعات'!H:H)=0,"",SUMIF('تحليل مبيعات'!C:C, 'حركة المخزن'!B773, 'تحليل مبيعات'!H:H)),"")</f>
        <v/>
      </c>
      <c r="J773" s="10" t="str">
        <f>IFERROR(IF(SUMIF('تحليل مبيعات'!C:C, 'حركة المخزن'!B773, 'تحليل مبيعات'!L:L)=0,"",SUMIF('تحليل مبيعات'!C:C, 'حركة المخزن'!B773, 'تحليل مبيعات'!L:L)),"")</f>
        <v/>
      </c>
      <c r="K773" s="10" t="str">
        <f t="shared" si="39"/>
        <v/>
      </c>
      <c r="L773" s="10" t="str">
        <f t="shared" si="40"/>
        <v/>
      </c>
      <c r="M773">
        <v>5</v>
      </c>
      <c r="N773" t="str">
        <f t="shared" si="41"/>
        <v>يوجد رصيد كافى</v>
      </c>
    </row>
    <row r="774" spans="7:14" x14ac:dyDescent="0.3">
      <c r="G774" t="str">
        <f>IFERROR(IF(SUMIF(المشتريات!C:C, 'حركة المخزن'!B774, المشتريات!F:F)=0,"",SUMIF(المشتريات!C:C, 'حركة المخزن'!B774, المشتريات!F:F)),"")</f>
        <v/>
      </c>
      <c r="H774" s="10" t="str">
        <f>IFERROR(IF(SUMIF(المشتريات!C:C, 'حركة المخزن'!B774, المشتريات!I:I)=0,"",SUMIF(المشتريات!C:C, 'حركة المخزن'!B774, المشتريات!I:I)),"")</f>
        <v/>
      </c>
      <c r="I774" s="10" t="str">
        <f>IFERROR(IF(SUMIF('تحليل مبيعات'!C:C, 'حركة المخزن'!B774, 'تحليل مبيعات'!H:H)=0,"",SUMIF('تحليل مبيعات'!C:C, 'حركة المخزن'!B774, 'تحليل مبيعات'!H:H)),"")</f>
        <v/>
      </c>
      <c r="J774" s="10" t="str">
        <f>IFERROR(IF(SUMIF('تحليل مبيعات'!C:C, 'حركة المخزن'!B774, 'تحليل مبيعات'!L:L)=0,"",SUMIF('تحليل مبيعات'!C:C, 'حركة المخزن'!B774, 'تحليل مبيعات'!L:L)),"")</f>
        <v/>
      </c>
      <c r="K774" s="10" t="str">
        <f t="shared" si="39"/>
        <v/>
      </c>
      <c r="L774" s="10" t="str">
        <f t="shared" si="40"/>
        <v/>
      </c>
      <c r="M774">
        <v>5</v>
      </c>
      <c r="N774" t="str">
        <f t="shared" si="41"/>
        <v>يوجد رصيد كافى</v>
      </c>
    </row>
    <row r="775" spans="7:14" x14ac:dyDescent="0.3">
      <c r="G775" t="str">
        <f>IFERROR(IF(SUMIF(المشتريات!C:C, 'حركة المخزن'!B775, المشتريات!F:F)=0,"",SUMIF(المشتريات!C:C, 'حركة المخزن'!B775, المشتريات!F:F)),"")</f>
        <v/>
      </c>
      <c r="H775" s="10" t="str">
        <f>IFERROR(IF(SUMIF(المشتريات!C:C, 'حركة المخزن'!B775, المشتريات!I:I)=0,"",SUMIF(المشتريات!C:C, 'حركة المخزن'!B775, المشتريات!I:I)),"")</f>
        <v/>
      </c>
      <c r="I775" s="10" t="str">
        <f>IFERROR(IF(SUMIF('تحليل مبيعات'!C:C, 'حركة المخزن'!B775, 'تحليل مبيعات'!H:H)=0,"",SUMIF('تحليل مبيعات'!C:C, 'حركة المخزن'!B775, 'تحليل مبيعات'!H:H)),"")</f>
        <v/>
      </c>
      <c r="J775" s="10" t="str">
        <f>IFERROR(IF(SUMIF('تحليل مبيعات'!C:C, 'حركة المخزن'!B775, 'تحليل مبيعات'!L:L)=0,"",SUMIF('تحليل مبيعات'!C:C, 'حركة المخزن'!B775, 'تحليل مبيعات'!L:L)),"")</f>
        <v/>
      </c>
      <c r="K775" s="10" t="str">
        <f t="shared" si="39"/>
        <v/>
      </c>
      <c r="L775" s="10" t="str">
        <f t="shared" si="40"/>
        <v/>
      </c>
      <c r="M775">
        <v>5</v>
      </c>
      <c r="N775" t="str">
        <f t="shared" si="41"/>
        <v>يوجد رصيد كافى</v>
      </c>
    </row>
    <row r="776" spans="7:14" x14ac:dyDescent="0.3">
      <c r="G776" t="str">
        <f>IFERROR(IF(SUMIF(المشتريات!C:C, 'حركة المخزن'!B776, المشتريات!F:F)=0,"",SUMIF(المشتريات!C:C, 'حركة المخزن'!B776, المشتريات!F:F)),"")</f>
        <v/>
      </c>
      <c r="H776" s="10" t="str">
        <f>IFERROR(IF(SUMIF(المشتريات!C:C, 'حركة المخزن'!B776, المشتريات!I:I)=0,"",SUMIF(المشتريات!C:C, 'حركة المخزن'!B776, المشتريات!I:I)),"")</f>
        <v/>
      </c>
      <c r="I776" s="10" t="str">
        <f>IFERROR(IF(SUMIF('تحليل مبيعات'!C:C, 'حركة المخزن'!B776, 'تحليل مبيعات'!H:H)=0,"",SUMIF('تحليل مبيعات'!C:C, 'حركة المخزن'!B776, 'تحليل مبيعات'!H:H)),"")</f>
        <v/>
      </c>
      <c r="J776" s="10" t="str">
        <f>IFERROR(IF(SUMIF('تحليل مبيعات'!C:C, 'حركة المخزن'!B776, 'تحليل مبيعات'!L:L)=0,"",SUMIF('تحليل مبيعات'!C:C, 'حركة المخزن'!B776, 'تحليل مبيعات'!L:L)),"")</f>
        <v/>
      </c>
      <c r="K776" s="10" t="str">
        <f t="shared" si="39"/>
        <v/>
      </c>
      <c r="L776" s="10" t="str">
        <f t="shared" si="40"/>
        <v/>
      </c>
      <c r="M776">
        <v>5</v>
      </c>
      <c r="N776" t="str">
        <f t="shared" si="41"/>
        <v>يوجد رصيد كافى</v>
      </c>
    </row>
    <row r="777" spans="7:14" x14ac:dyDescent="0.3">
      <c r="G777" t="str">
        <f>IFERROR(IF(SUMIF(المشتريات!C:C, 'حركة المخزن'!B777, المشتريات!F:F)=0,"",SUMIF(المشتريات!C:C, 'حركة المخزن'!B777, المشتريات!F:F)),"")</f>
        <v/>
      </c>
      <c r="H777" s="10" t="str">
        <f>IFERROR(IF(SUMIF(المشتريات!C:C, 'حركة المخزن'!B777, المشتريات!I:I)=0,"",SUMIF(المشتريات!C:C, 'حركة المخزن'!B777, المشتريات!I:I)),"")</f>
        <v/>
      </c>
      <c r="I777" s="10" t="str">
        <f>IFERROR(IF(SUMIF('تحليل مبيعات'!C:C, 'حركة المخزن'!B777, 'تحليل مبيعات'!H:H)=0,"",SUMIF('تحليل مبيعات'!C:C, 'حركة المخزن'!B777, 'تحليل مبيعات'!H:H)),"")</f>
        <v/>
      </c>
      <c r="J777" s="10" t="str">
        <f>IFERROR(IF(SUMIF('تحليل مبيعات'!C:C, 'حركة المخزن'!B777, 'تحليل مبيعات'!L:L)=0,"",SUMIF('تحليل مبيعات'!C:C, 'حركة المخزن'!B777, 'تحليل مبيعات'!L:L)),"")</f>
        <v/>
      </c>
      <c r="K777" s="10" t="str">
        <f t="shared" ref="K777:K840" si="42">IFERROR(E777+G777-I777,"")</f>
        <v/>
      </c>
      <c r="L777" s="10" t="str">
        <f t="shared" ref="L777:L840" si="43">IFERROR(F777+H777-J777,"")</f>
        <v/>
      </c>
      <c r="M777">
        <v>5</v>
      </c>
      <c r="N777" t="str">
        <f t="shared" ref="N777:N840" si="44">IF(K777&lt;M777,"أعادة الطلب","يوجد رصيد كافى")</f>
        <v>يوجد رصيد كافى</v>
      </c>
    </row>
    <row r="778" spans="7:14" x14ac:dyDescent="0.3">
      <c r="G778" t="str">
        <f>IFERROR(IF(SUMIF(المشتريات!C:C, 'حركة المخزن'!B778, المشتريات!F:F)=0,"",SUMIF(المشتريات!C:C, 'حركة المخزن'!B778, المشتريات!F:F)),"")</f>
        <v/>
      </c>
      <c r="H778" s="10" t="str">
        <f>IFERROR(IF(SUMIF(المشتريات!C:C, 'حركة المخزن'!B778, المشتريات!I:I)=0,"",SUMIF(المشتريات!C:C, 'حركة المخزن'!B778, المشتريات!I:I)),"")</f>
        <v/>
      </c>
      <c r="I778" s="10" t="str">
        <f>IFERROR(IF(SUMIF('تحليل مبيعات'!C:C, 'حركة المخزن'!B778, 'تحليل مبيعات'!H:H)=0,"",SUMIF('تحليل مبيعات'!C:C, 'حركة المخزن'!B778, 'تحليل مبيعات'!H:H)),"")</f>
        <v/>
      </c>
      <c r="J778" s="10" t="str">
        <f>IFERROR(IF(SUMIF('تحليل مبيعات'!C:C, 'حركة المخزن'!B778, 'تحليل مبيعات'!L:L)=0,"",SUMIF('تحليل مبيعات'!C:C, 'حركة المخزن'!B778, 'تحليل مبيعات'!L:L)),"")</f>
        <v/>
      </c>
      <c r="K778" s="10" t="str">
        <f t="shared" si="42"/>
        <v/>
      </c>
      <c r="L778" s="10" t="str">
        <f t="shared" si="43"/>
        <v/>
      </c>
      <c r="M778">
        <v>5</v>
      </c>
      <c r="N778" t="str">
        <f t="shared" si="44"/>
        <v>يوجد رصيد كافى</v>
      </c>
    </row>
    <row r="779" spans="7:14" x14ac:dyDescent="0.3">
      <c r="G779" t="str">
        <f>IFERROR(IF(SUMIF(المشتريات!C:C, 'حركة المخزن'!B779, المشتريات!F:F)=0,"",SUMIF(المشتريات!C:C, 'حركة المخزن'!B779, المشتريات!F:F)),"")</f>
        <v/>
      </c>
      <c r="H779" s="10" t="str">
        <f>IFERROR(IF(SUMIF(المشتريات!C:C, 'حركة المخزن'!B779, المشتريات!I:I)=0,"",SUMIF(المشتريات!C:C, 'حركة المخزن'!B779, المشتريات!I:I)),"")</f>
        <v/>
      </c>
      <c r="I779" s="10" t="str">
        <f>IFERROR(IF(SUMIF('تحليل مبيعات'!C:C, 'حركة المخزن'!B779, 'تحليل مبيعات'!H:H)=0,"",SUMIF('تحليل مبيعات'!C:C, 'حركة المخزن'!B779, 'تحليل مبيعات'!H:H)),"")</f>
        <v/>
      </c>
      <c r="J779" s="10" t="str">
        <f>IFERROR(IF(SUMIF('تحليل مبيعات'!C:C, 'حركة المخزن'!B779, 'تحليل مبيعات'!L:L)=0,"",SUMIF('تحليل مبيعات'!C:C, 'حركة المخزن'!B779, 'تحليل مبيعات'!L:L)),"")</f>
        <v/>
      </c>
      <c r="K779" s="10" t="str">
        <f t="shared" si="42"/>
        <v/>
      </c>
      <c r="L779" s="10" t="str">
        <f t="shared" si="43"/>
        <v/>
      </c>
      <c r="M779">
        <v>5</v>
      </c>
      <c r="N779" t="str">
        <f t="shared" si="44"/>
        <v>يوجد رصيد كافى</v>
      </c>
    </row>
    <row r="780" spans="7:14" x14ac:dyDescent="0.3">
      <c r="G780" t="str">
        <f>IFERROR(IF(SUMIF(المشتريات!C:C, 'حركة المخزن'!B780, المشتريات!F:F)=0,"",SUMIF(المشتريات!C:C, 'حركة المخزن'!B780, المشتريات!F:F)),"")</f>
        <v/>
      </c>
      <c r="H780" s="10" t="str">
        <f>IFERROR(IF(SUMIF(المشتريات!C:C, 'حركة المخزن'!B780, المشتريات!I:I)=0,"",SUMIF(المشتريات!C:C, 'حركة المخزن'!B780, المشتريات!I:I)),"")</f>
        <v/>
      </c>
      <c r="I780" s="10" t="str">
        <f>IFERROR(IF(SUMIF('تحليل مبيعات'!C:C, 'حركة المخزن'!B780, 'تحليل مبيعات'!H:H)=0,"",SUMIF('تحليل مبيعات'!C:C, 'حركة المخزن'!B780, 'تحليل مبيعات'!H:H)),"")</f>
        <v/>
      </c>
      <c r="J780" s="10" t="str">
        <f>IFERROR(IF(SUMIF('تحليل مبيعات'!C:C, 'حركة المخزن'!B780, 'تحليل مبيعات'!L:L)=0,"",SUMIF('تحليل مبيعات'!C:C, 'حركة المخزن'!B780, 'تحليل مبيعات'!L:L)),"")</f>
        <v/>
      </c>
      <c r="K780" s="10" t="str">
        <f t="shared" si="42"/>
        <v/>
      </c>
      <c r="L780" s="10" t="str">
        <f t="shared" si="43"/>
        <v/>
      </c>
      <c r="M780">
        <v>5</v>
      </c>
      <c r="N780" t="str">
        <f t="shared" si="44"/>
        <v>يوجد رصيد كافى</v>
      </c>
    </row>
    <row r="781" spans="7:14" x14ac:dyDescent="0.3">
      <c r="G781" t="str">
        <f>IFERROR(IF(SUMIF(المشتريات!C:C, 'حركة المخزن'!B781, المشتريات!F:F)=0,"",SUMIF(المشتريات!C:C, 'حركة المخزن'!B781, المشتريات!F:F)),"")</f>
        <v/>
      </c>
      <c r="H781" s="10" t="str">
        <f>IFERROR(IF(SUMIF(المشتريات!C:C, 'حركة المخزن'!B781, المشتريات!I:I)=0,"",SUMIF(المشتريات!C:C, 'حركة المخزن'!B781, المشتريات!I:I)),"")</f>
        <v/>
      </c>
      <c r="I781" s="10" t="str">
        <f>IFERROR(IF(SUMIF('تحليل مبيعات'!C:C, 'حركة المخزن'!B781, 'تحليل مبيعات'!H:H)=0,"",SUMIF('تحليل مبيعات'!C:C, 'حركة المخزن'!B781, 'تحليل مبيعات'!H:H)),"")</f>
        <v/>
      </c>
      <c r="J781" s="10" t="str">
        <f>IFERROR(IF(SUMIF('تحليل مبيعات'!C:C, 'حركة المخزن'!B781, 'تحليل مبيعات'!L:L)=0,"",SUMIF('تحليل مبيعات'!C:C, 'حركة المخزن'!B781, 'تحليل مبيعات'!L:L)),"")</f>
        <v/>
      </c>
      <c r="K781" s="10" t="str">
        <f t="shared" si="42"/>
        <v/>
      </c>
      <c r="L781" s="10" t="str">
        <f t="shared" si="43"/>
        <v/>
      </c>
      <c r="M781">
        <v>5</v>
      </c>
      <c r="N781" t="str">
        <f t="shared" si="44"/>
        <v>يوجد رصيد كافى</v>
      </c>
    </row>
    <row r="782" spans="7:14" x14ac:dyDescent="0.3">
      <c r="G782" t="str">
        <f>IFERROR(IF(SUMIF(المشتريات!C:C, 'حركة المخزن'!B782, المشتريات!F:F)=0,"",SUMIF(المشتريات!C:C, 'حركة المخزن'!B782, المشتريات!F:F)),"")</f>
        <v/>
      </c>
      <c r="H782" s="10" t="str">
        <f>IFERROR(IF(SUMIF(المشتريات!C:C, 'حركة المخزن'!B782, المشتريات!I:I)=0,"",SUMIF(المشتريات!C:C, 'حركة المخزن'!B782, المشتريات!I:I)),"")</f>
        <v/>
      </c>
      <c r="I782" s="10" t="str">
        <f>IFERROR(IF(SUMIF('تحليل مبيعات'!C:C, 'حركة المخزن'!B782, 'تحليل مبيعات'!H:H)=0,"",SUMIF('تحليل مبيعات'!C:C, 'حركة المخزن'!B782, 'تحليل مبيعات'!H:H)),"")</f>
        <v/>
      </c>
      <c r="J782" s="10" t="str">
        <f>IFERROR(IF(SUMIF('تحليل مبيعات'!C:C, 'حركة المخزن'!B782, 'تحليل مبيعات'!L:L)=0,"",SUMIF('تحليل مبيعات'!C:C, 'حركة المخزن'!B782, 'تحليل مبيعات'!L:L)),"")</f>
        <v/>
      </c>
      <c r="K782" s="10" t="str">
        <f t="shared" si="42"/>
        <v/>
      </c>
      <c r="L782" s="10" t="str">
        <f t="shared" si="43"/>
        <v/>
      </c>
      <c r="M782">
        <v>5</v>
      </c>
      <c r="N782" t="str">
        <f t="shared" si="44"/>
        <v>يوجد رصيد كافى</v>
      </c>
    </row>
    <row r="783" spans="7:14" x14ac:dyDescent="0.3">
      <c r="G783" t="str">
        <f>IFERROR(IF(SUMIF(المشتريات!C:C, 'حركة المخزن'!B783, المشتريات!F:F)=0,"",SUMIF(المشتريات!C:C, 'حركة المخزن'!B783, المشتريات!F:F)),"")</f>
        <v/>
      </c>
      <c r="H783" s="10" t="str">
        <f>IFERROR(IF(SUMIF(المشتريات!C:C, 'حركة المخزن'!B783, المشتريات!I:I)=0,"",SUMIF(المشتريات!C:C, 'حركة المخزن'!B783, المشتريات!I:I)),"")</f>
        <v/>
      </c>
      <c r="I783" s="10" t="str">
        <f>IFERROR(IF(SUMIF('تحليل مبيعات'!C:C, 'حركة المخزن'!B783, 'تحليل مبيعات'!H:H)=0,"",SUMIF('تحليل مبيعات'!C:C, 'حركة المخزن'!B783, 'تحليل مبيعات'!H:H)),"")</f>
        <v/>
      </c>
      <c r="J783" s="10" t="str">
        <f>IFERROR(IF(SUMIF('تحليل مبيعات'!C:C, 'حركة المخزن'!B783, 'تحليل مبيعات'!L:L)=0,"",SUMIF('تحليل مبيعات'!C:C, 'حركة المخزن'!B783, 'تحليل مبيعات'!L:L)),"")</f>
        <v/>
      </c>
      <c r="K783" s="10" t="str">
        <f t="shared" si="42"/>
        <v/>
      </c>
      <c r="L783" s="10" t="str">
        <f t="shared" si="43"/>
        <v/>
      </c>
      <c r="M783">
        <v>5</v>
      </c>
      <c r="N783" t="str">
        <f t="shared" si="44"/>
        <v>يوجد رصيد كافى</v>
      </c>
    </row>
    <row r="784" spans="7:14" x14ac:dyDescent="0.3">
      <c r="G784" t="str">
        <f>IFERROR(IF(SUMIF(المشتريات!C:C, 'حركة المخزن'!B784, المشتريات!F:F)=0,"",SUMIF(المشتريات!C:C, 'حركة المخزن'!B784, المشتريات!F:F)),"")</f>
        <v/>
      </c>
      <c r="H784" s="10" t="str">
        <f>IFERROR(IF(SUMIF(المشتريات!C:C, 'حركة المخزن'!B784, المشتريات!I:I)=0,"",SUMIF(المشتريات!C:C, 'حركة المخزن'!B784, المشتريات!I:I)),"")</f>
        <v/>
      </c>
      <c r="I784" s="10" t="str">
        <f>IFERROR(IF(SUMIF('تحليل مبيعات'!C:C, 'حركة المخزن'!B784, 'تحليل مبيعات'!H:H)=0,"",SUMIF('تحليل مبيعات'!C:C, 'حركة المخزن'!B784, 'تحليل مبيعات'!H:H)),"")</f>
        <v/>
      </c>
      <c r="J784" s="10" t="str">
        <f>IFERROR(IF(SUMIF('تحليل مبيعات'!C:C, 'حركة المخزن'!B784, 'تحليل مبيعات'!L:L)=0,"",SUMIF('تحليل مبيعات'!C:C, 'حركة المخزن'!B784, 'تحليل مبيعات'!L:L)),"")</f>
        <v/>
      </c>
      <c r="K784" s="10" t="str">
        <f t="shared" si="42"/>
        <v/>
      </c>
      <c r="L784" s="10" t="str">
        <f t="shared" si="43"/>
        <v/>
      </c>
      <c r="M784">
        <v>5</v>
      </c>
      <c r="N784" t="str">
        <f t="shared" si="44"/>
        <v>يوجد رصيد كافى</v>
      </c>
    </row>
    <row r="785" spans="7:14" x14ac:dyDescent="0.3">
      <c r="G785" t="str">
        <f>IFERROR(IF(SUMIF(المشتريات!C:C, 'حركة المخزن'!B785, المشتريات!F:F)=0,"",SUMIF(المشتريات!C:C, 'حركة المخزن'!B785, المشتريات!F:F)),"")</f>
        <v/>
      </c>
      <c r="H785" s="10" t="str">
        <f>IFERROR(IF(SUMIF(المشتريات!C:C, 'حركة المخزن'!B785, المشتريات!I:I)=0,"",SUMIF(المشتريات!C:C, 'حركة المخزن'!B785, المشتريات!I:I)),"")</f>
        <v/>
      </c>
      <c r="I785" s="10" t="str">
        <f>IFERROR(IF(SUMIF('تحليل مبيعات'!C:C, 'حركة المخزن'!B785, 'تحليل مبيعات'!H:H)=0,"",SUMIF('تحليل مبيعات'!C:C, 'حركة المخزن'!B785, 'تحليل مبيعات'!H:H)),"")</f>
        <v/>
      </c>
      <c r="J785" s="10" t="str">
        <f>IFERROR(IF(SUMIF('تحليل مبيعات'!C:C, 'حركة المخزن'!B785, 'تحليل مبيعات'!L:L)=0,"",SUMIF('تحليل مبيعات'!C:C, 'حركة المخزن'!B785, 'تحليل مبيعات'!L:L)),"")</f>
        <v/>
      </c>
      <c r="K785" s="10" t="str">
        <f t="shared" si="42"/>
        <v/>
      </c>
      <c r="L785" s="10" t="str">
        <f t="shared" si="43"/>
        <v/>
      </c>
      <c r="M785">
        <v>5</v>
      </c>
      <c r="N785" t="str">
        <f t="shared" si="44"/>
        <v>يوجد رصيد كافى</v>
      </c>
    </row>
    <row r="786" spans="7:14" x14ac:dyDescent="0.3">
      <c r="G786" t="str">
        <f>IFERROR(IF(SUMIF(المشتريات!C:C, 'حركة المخزن'!B786, المشتريات!F:F)=0,"",SUMIF(المشتريات!C:C, 'حركة المخزن'!B786, المشتريات!F:F)),"")</f>
        <v/>
      </c>
      <c r="H786" s="10" t="str">
        <f>IFERROR(IF(SUMIF(المشتريات!C:C, 'حركة المخزن'!B786, المشتريات!I:I)=0,"",SUMIF(المشتريات!C:C, 'حركة المخزن'!B786, المشتريات!I:I)),"")</f>
        <v/>
      </c>
      <c r="I786" s="10" t="str">
        <f>IFERROR(IF(SUMIF('تحليل مبيعات'!C:C, 'حركة المخزن'!B786, 'تحليل مبيعات'!H:H)=0,"",SUMIF('تحليل مبيعات'!C:C, 'حركة المخزن'!B786, 'تحليل مبيعات'!H:H)),"")</f>
        <v/>
      </c>
      <c r="J786" s="10" t="str">
        <f>IFERROR(IF(SUMIF('تحليل مبيعات'!C:C, 'حركة المخزن'!B786, 'تحليل مبيعات'!L:L)=0,"",SUMIF('تحليل مبيعات'!C:C, 'حركة المخزن'!B786, 'تحليل مبيعات'!L:L)),"")</f>
        <v/>
      </c>
      <c r="K786" s="10" t="str">
        <f t="shared" si="42"/>
        <v/>
      </c>
      <c r="L786" s="10" t="str">
        <f t="shared" si="43"/>
        <v/>
      </c>
      <c r="M786">
        <v>5</v>
      </c>
      <c r="N786" t="str">
        <f t="shared" si="44"/>
        <v>يوجد رصيد كافى</v>
      </c>
    </row>
    <row r="787" spans="7:14" x14ac:dyDescent="0.3">
      <c r="G787" t="str">
        <f>IFERROR(IF(SUMIF(المشتريات!C:C, 'حركة المخزن'!B787, المشتريات!F:F)=0,"",SUMIF(المشتريات!C:C, 'حركة المخزن'!B787, المشتريات!F:F)),"")</f>
        <v/>
      </c>
      <c r="H787" s="10" t="str">
        <f>IFERROR(IF(SUMIF(المشتريات!C:C, 'حركة المخزن'!B787, المشتريات!I:I)=0,"",SUMIF(المشتريات!C:C, 'حركة المخزن'!B787, المشتريات!I:I)),"")</f>
        <v/>
      </c>
      <c r="I787" s="10" t="str">
        <f>IFERROR(IF(SUMIF('تحليل مبيعات'!C:C, 'حركة المخزن'!B787, 'تحليل مبيعات'!H:H)=0,"",SUMIF('تحليل مبيعات'!C:C, 'حركة المخزن'!B787, 'تحليل مبيعات'!H:H)),"")</f>
        <v/>
      </c>
      <c r="J787" s="10" t="str">
        <f>IFERROR(IF(SUMIF('تحليل مبيعات'!C:C, 'حركة المخزن'!B787, 'تحليل مبيعات'!L:L)=0,"",SUMIF('تحليل مبيعات'!C:C, 'حركة المخزن'!B787, 'تحليل مبيعات'!L:L)),"")</f>
        <v/>
      </c>
      <c r="K787" s="10" t="str">
        <f t="shared" si="42"/>
        <v/>
      </c>
      <c r="L787" s="10" t="str">
        <f t="shared" si="43"/>
        <v/>
      </c>
      <c r="M787">
        <v>5</v>
      </c>
      <c r="N787" t="str">
        <f t="shared" si="44"/>
        <v>يوجد رصيد كافى</v>
      </c>
    </row>
    <row r="788" spans="7:14" x14ac:dyDescent="0.3">
      <c r="G788" t="str">
        <f>IFERROR(IF(SUMIF(المشتريات!C:C, 'حركة المخزن'!B788, المشتريات!F:F)=0,"",SUMIF(المشتريات!C:C, 'حركة المخزن'!B788, المشتريات!F:F)),"")</f>
        <v/>
      </c>
      <c r="H788" s="10" t="str">
        <f>IFERROR(IF(SUMIF(المشتريات!C:C, 'حركة المخزن'!B788, المشتريات!I:I)=0,"",SUMIF(المشتريات!C:C, 'حركة المخزن'!B788, المشتريات!I:I)),"")</f>
        <v/>
      </c>
      <c r="I788" s="10" t="str">
        <f>IFERROR(IF(SUMIF('تحليل مبيعات'!C:C, 'حركة المخزن'!B788, 'تحليل مبيعات'!H:H)=0,"",SUMIF('تحليل مبيعات'!C:C, 'حركة المخزن'!B788, 'تحليل مبيعات'!H:H)),"")</f>
        <v/>
      </c>
      <c r="J788" s="10" t="str">
        <f>IFERROR(IF(SUMIF('تحليل مبيعات'!C:C, 'حركة المخزن'!B788, 'تحليل مبيعات'!L:L)=0,"",SUMIF('تحليل مبيعات'!C:C, 'حركة المخزن'!B788, 'تحليل مبيعات'!L:L)),"")</f>
        <v/>
      </c>
      <c r="K788" s="10" t="str">
        <f t="shared" si="42"/>
        <v/>
      </c>
      <c r="L788" s="10" t="str">
        <f t="shared" si="43"/>
        <v/>
      </c>
      <c r="M788">
        <v>5</v>
      </c>
      <c r="N788" t="str">
        <f t="shared" si="44"/>
        <v>يوجد رصيد كافى</v>
      </c>
    </row>
    <row r="789" spans="7:14" x14ac:dyDescent="0.3">
      <c r="G789" t="str">
        <f>IFERROR(IF(SUMIF(المشتريات!C:C, 'حركة المخزن'!B789, المشتريات!F:F)=0,"",SUMIF(المشتريات!C:C, 'حركة المخزن'!B789, المشتريات!F:F)),"")</f>
        <v/>
      </c>
      <c r="H789" s="10" t="str">
        <f>IFERROR(IF(SUMIF(المشتريات!C:C, 'حركة المخزن'!B789, المشتريات!I:I)=0,"",SUMIF(المشتريات!C:C, 'حركة المخزن'!B789, المشتريات!I:I)),"")</f>
        <v/>
      </c>
      <c r="I789" s="10" t="str">
        <f>IFERROR(IF(SUMIF('تحليل مبيعات'!C:C, 'حركة المخزن'!B789, 'تحليل مبيعات'!H:H)=0,"",SUMIF('تحليل مبيعات'!C:C, 'حركة المخزن'!B789, 'تحليل مبيعات'!H:H)),"")</f>
        <v/>
      </c>
      <c r="J789" s="10" t="str">
        <f>IFERROR(IF(SUMIF('تحليل مبيعات'!C:C, 'حركة المخزن'!B789, 'تحليل مبيعات'!L:L)=0,"",SUMIF('تحليل مبيعات'!C:C, 'حركة المخزن'!B789, 'تحليل مبيعات'!L:L)),"")</f>
        <v/>
      </c>
      <c r="K789" s="10" t="str">
        <f t="shared" si="42"/>
        <v/>
      </c>
      <c r="L789" s="10" t="str">
        <f t="shared" si="43"/>
        <v/>
      </c>
      <c r="M789">
        <v>5</v>
      </c>
      <c r="N789" t="str">
        <f t="shared" si="44"/>
        <v>يوجد رصيد كافى</v>
      </c>
    </row>
    <row r="790" spans="7:14" x14ac:dyDescent="0.3">
      <c r="G790" t="str">
        <f>IFERROR(IF(SUMIF(المشتريات!C:C, 'حركة المخزن'!B790, المشتريات!F:F)=0,"",SUMIF(المشتريات!C:C, 'حركة المخزن'!B790, المشتريات!F:F)),"")</f>
        <v/>
      </c>
      <c r="H790" s="10" t="str">
        <f>IFERROR(IF(SUMIF(المشتريات!C:C, 'حركة المخزن'!B790, المشتريات!I:I)=0,"",SUMIF(المشتريات!C:C, 'حركة المخزن'!B790, المشتريات!I:I)),"")</f>
        <v/>
      </c>
      <c r="I790" s="10" t="str">
        <f>IFERROR(IF(SUMIF('تحليل مبيعات'!C:C, 'حركة المخزن'!B790, 'تحليل مبيعات'!H:H)=0,"",SUMIF('تحليل مبيعات'!C:C, 'حركة المخزن'!B790, 'تحليل مبيعات'!H:H)),"")</f>
        <v/>
      </c>
      <c r="J790" s="10" t="str">
        <f>IFERROR(IF(SUMIF('تحليل مبيعات'!C:C, 'حركة المخزن'!B790, 'تحليل مبيعات'!L:L)=0,"",SUMIF('تحليل مبيعات'!C:C, 'حركة المخزن'!B790, 'تحليل مبيعات'!L:L)),"")</f>
        <v/>
      </c>
      <c r="K790" s="10" t="str">
        <f t="shared" si="42"/>
        <v/>
      </c>
      <c r="L790" s="10" t="str">
        <f t="shared" si="43"/>
        <v/>
      </c>
      <c r="M790">
        <v>5</v>
      </c>
      <c r="N790" t="str">
        <f t="shared" si="44"/>
        <v>يوجد رصيد كافى</v>
      </c>
    </row>
    <row r="791" spans="7:14" x14ac:dyDescent="0.3">
      <c r="G791" t="str">
        <f>IFERROR(IF(SUMIF(المشتريات!C:C, 'حركة المخزن'!B791, المشتريات!F:F)=0,"",SUMIF(المشتريات!C:C, 'حركة المخزن'!B791, المشتريات!F:F)),"")</f>
        <v/>
      </c>
      <c r="H791" s="10" t="str">
        <f>IFERROR(IF(SUMIF(المشتريات!C:C, 'حركة المخزن'!B791, المشتريات!I:I)=0,"",SUMIF(المشتريات!C:C, 'حركة المخزن'!B791, المشتريات!I:I)),"")</f>
        <v/>
      </c>
      <c r="I791" s="10" t="str">
        <f>IFERROR(IF(SUMIF('تحليل مبيعات'!C:C, 'حركة المخزن'!B791, 'تحليل مبيعات'!H:H)=0,"",SUMIF('تحليل مبيعات'!C:C, 'حركة المخزن'!B791, 'تحليل مبيعات'!H:H)),"")</f>
        <v/>
      </c>
      <c r="J791" s="10" t="str">
        <f>IFERROR(IF(SUMIF('تحليل مبيعات'!C:C, 'حركة المخزن'!B791, 'تحليل مبيعات'!L:L)=0,"",SUMIF('تحليل مبيعات'!C:C, 'حركة المخزن'!B791, 'تحليل مبيعات'!L:L)),"")</f>
        <v/>
      </c>
      <c r="K791" s="10" t="str">
        <f t="shared" si="42"/>
        <v/>
      </c>
      <c r="L791" s="10" t="str">
        <f t="shared" si="43"/>
        <v/>
      </c>
      <c r="M791">
        <v>5</v>
      </c>
      <c r="N791" t="str">
        <f t="shared" si="44"/>
        <v>يوجد رصيد كافى</v>
      </c>
    </row>
    <row r="792" spans="7:14" x14ac:dyDescent="0.3">
      <c r="G792" t="str">
        <f>IFERROR(IF(SUMIF(المشتريات!C:C, 'حركة المخزن'!B792, المشتريات!F:F)=0,"",SUMIF(المشتريات!C:C, 'حركة المخزن'!B792, المشتريات!F:F)),"")</f>
        <v/>
      </c>
      <c r="H792" s="10" t="str">
        <f>IFERROR(IF(SUMIF(المشتريات!C:C, 'حركة المخزن'!B792, المشتريات!I:I)=0,"",SUMIF(المشتريات!C:C, 'حركة المخزن'!B792, المشتريات!I:I)),"")</f>
        <v/>
      </c>
      <c r="I792" s="10" t="str">
        <f>IFERROR(IF(SUMIF('تحليل مبيعات'!C:C, 'حركة المخزن'!B792, 'تحليل مبيعات'!H:H)=0,"",SUMIF('تحليل مبيعات'!C:C, 'حركة المخزن'!B792, 'تحليل مبيعات'!H:H)),"")</f>
        <v/>
      </c>
      <c r="J792" s="10" t="str">
        <f>IFERROR(IF(SUMIF('تحليل مبيعات'!C:C, 'حركة المخزن'!B792, 'تحليل مبيعات'!L:L)=0,"",SUMIF('تحليل مبيعات'!C:C, 'حركة المخزن'!B792, 'تحليل مبيعات'!L:L)),"")</f>
        <v/>
      </c>
      <c r="K792" s="10" t="str">
        <f t="shared" si="42"/>
        <v/>
      </c>
      <c r="L792" s="10" t="str">
        <f t="shared" si="43"/>
        <v/>
      </c>
      <c r="M792">
        <v>5</v>
      </c>
      <c r="N792" t="str">
        <f t="shared" si="44"/>
        <v>يوجد رصيد كافى</v>
      </c>
    </row>
    <row r="793" spans="7:14" x14ac:dyDescent="0.3">
      <c r="G793" t="str">
        <f>IFERROR(IF(SUMIF(المشتريات!C:C, 'حركة المخزن'!B793, المشتريات!F:F)=0,"",SUMIF(المشتريات!C:C, 'حركة المخزن'!B793, المشتريات!F:F)),"")</f>
        <v/>
      </c>
      <c r="H793" s="10" t="str">
        <f>IFERROR(IF(SUMIF(المشتريات!C:C, 'حركة المخزن'!B793, المشتريات!I:I)=0,"",SUMIF(المشتريات!C:C, 'حركة المخزن'!B793, المشتريات!I:I)),"")</f>
        <v/>
      </c>
      <c r="I793" s="10" t="str">
        <f>IFERROR(IF(SUMIF('تحليل مبيعات'!C:C, 'حركة المخزن'!B793, 'تحليل مبيعات'!H:H)=0,"",SUMIF('تحليل مبيعات'!C:C, 'حركة المخزن'!B793, 'تحليل مبيعات'!H:H)),"")</f>
        <v/>
      </c>
      <c r="J793" s="10" t="str">
        <f>IFERROR(IF(SUMIF('تحليل مبيعات'!C:C, 'حركة المخزن'!B793, 'تحليل مبيعات'!L:L)=0,"",SUMIF('تحليل مبيعات'!C:C, 'حركة المخزن'!B793, 'تحليل مبيعات'!L:L)),"")</f>
        <v/>
      </c>
      <c r="K793" s="10" t="str">
        <f t="shared" si="42"/>
        <v/>
      </c>
      <c r="L793" s="10" t="str">
        <f t="shared" si="43"/>
        <v/>
      </c>
      <c r="M793">
        <v>5</v>
      </c>
      <c r="N793" t="str">
        <f t="shared" si="44"/>
        <v>يوجد رصيد كافى</v>
      </c>
    </row>
    <row r="794" spans="7:14" x14ac:dyDescent="0.3">
      <c r="G794" t="str">
        <f>IFERROR(IF(SUMIF(المشتريات!C:C, 'حركة المخزن'!B794, المشتريات!F:F)=0,"",SUMIF(المشتريات!C:C, 'حركة المخزن'!B794, المشتريات!F:F)),"")</f>
        <v/>
      </c>
      <c r="H794" s="10" t="str">
        <f>IFERROR(IF(SUMIF(المشتريات!C:C, 'حركة المخزن'!B794, المشتريات!I:I)=0,"",SUMIF(المشتريات!C:C, 'حركة المخزن'!B794, المشتريات!I:I)),"")</f>
        <v/>
      </c>
      <c r="I794" s="10" t="str">
        <f>IFERROR(IF(SUMIF('تحليل مبيعات'!C:C, 'حركة المخزن'!B794, 'تحليل مبيعات'!H:H)=0,"",SUMIF('تحليل مبيعات'!C:C, 'حركة المخزن'!B794, 'تحليل مبيعات'!H:H)),"")</f>
        <v/>
      </c>
      <c r="J794" s="10" t="str">
        <f>IFERROR(IF(SUMIF('تحليل مبيعات'!C:C, 'حركة المخزن'!B794, 'تحليل مبيعات'!L:L)=0,"",SUMIF('تحليل مبيعات'!C:C, 'حركة المخزن'!B794, 'تحليل مبيعات'!L:L)),"")</f>
        <v/>
      </c>
      <c r="K794" s="10" t="str">
        <f t="shared" si="42"/>
        <v/>
      </c>
      <c r="L794" s="10" t="str">
        <f t="shared" si="43"/>
        <v/>
      </c>
      <c r="M794">
        <v>5</v>
      </c>
      <c r="N794" t="str">
        <f t="shared" si="44"/>
        <v>يوجد رصيد كافى</v>
      </c>
    </row>
    <row r="795" spans="7:14" x14ac:dyDescent="0.3">
      <c r="G795" t="str">
        <f>IFERROR(IF(SUMIF(المشتريات!C:C, 'حركة المخزن'!B795, المشتريات!F:F)=0,"",SUMIF(المشتريات!C:C, 'حركة المخزن'!B795, المشتريات!F:F)),"")</f>
        <v/>
      </c>
      <c r="H795" s="10" t="str">
        <f>IFERROR(IF(SUMIF(المشتريات!C:C, 'حركة المخزن'!B795, المشتريات!I:I)=0,"",SUMIF(المشتريات!C:C, 'حركة المخزن'!B795, المشتريات!I:I)),"")</f>
        <v/>
      </c>
      <c r="I795" s="10" t="str">
        <f>IFERROR(IF(SUMIF('تحليل مبيعات'!C:C, 'حركة المخزن'!B795, 'تحليل مبيعات'!H:H)=0,"",SUMIF('تحليل مبيعات'!C:C, 'حركة المخزن'!B795, 'تحليل مبيعات'!H:H)),"")</f>
        <v/>
      </c>
      <c r="J795" s="10" t="str">
        <f>IFERROR(IF(SUMIF('تحليل مبيعات'!C:C, 'حركة المخزن'!B795, 'تحليل مبيعات'!L:L)=0,"",SUMIF('تحليل مبيعات'!C:C, 'حركة المخزن'!B795, 'تحليل مبيعات'!L:L)),"")</f>
        <v/>
      </c>
      <c r="K795" s="10" t="str">
        <f t="shared" si="42"/>
        <v/>
      </c>
      <c r="L795" s="10" t="str">
        <f t="shared" si="43"/>
        <v/>
      </c>
      <c r="M795">
        <v>5</v>
      </c>
      <c r="N795" t="str">
        <f t="shared" si="44"/>
        <v>يوجد رصيد كافى</v>
      </c>
    </row>
    <row r="796" spans="7:14" x14ac:dyDescent="0.3">
      <c r="G796" t="str">
        <f>IFERROR(IF(SUMIF(المشتريات!C:C, 'حركة المخزن'!B796, المشتريات!F:F)=0,"",SUMIF(المشتريات!C:C, 'حركة المخزن'!B796, المشتريات!F:F)),"")</f>
        <v/>
      </c>
      <c r="H796" s="10" t="str">
        <f>IFERROR(IF(SUMIF(المشتريات!C:C, 'حركة المخزن'!B796, المشتريات!I:I)=0,"",SUMIF(المشتريات!C:C, 'حركة المخزن'!B796, المشتريات!I:I)),"")</f>
        <v/>
      </c>
      <c r="I796" s="10" t="str">
        <f>IFERROR(IF(SUMIF('تحليل مبيعات'!C:C, 'حركة المخزن'!B796, 'تحليل مبيعات'!H:H)=0,"",SUMIF('تحليل مبيعات'!C:C, 'حركة المخزن'!B796, 'تحليل مبيعات'!H:H)),"")</f>
        <v/>
      </c>
      <c r="J796" s="10" t="str">
        <f>IFERROR(IF(SUMIF('تحليل مبيعات'!C:C, 'حركة المخزن'!B796, 'تحليل مبيعات'!L:L)=0,"",SUMIF('تحليل مبيعات'!C:C, 'حركة المخزن'!B796, 'تحليل مبيعات'!L:L)),"")</f>
        <v/>
      </c>
      <c r="K796" s="10" t="str">
        <f t="shared" si="42"/>
        <v/>
      </c>
      <c r="L796" s="10" t="str">
        <f t="shared" si="43"/>
        <v/>
      </c>
      <c r="M796">
        <v>5</v>
      </c>
      <c r="N796" t="str">
        <f t="shared" si="44"/>
        <v>يوجد رصيد كافى</v>
      </c>
    </row>
    <row r="797" spans="7:14" x14ac:dyDescent="0.3">
      <c r="G797" t="str">
        <f>IFERROR(IF(SUMIF(المشتريات!C:C, 'حركة المخزن'!B797, المشتريات!F:F)=0,"",SUMIF(المشتريات!C:C, 'حركة المخزن'!B797, المشتريات!F:F)),"")</f>
        <v/>
      </c>
      <c r="H797" s="10" t="str">
        <f>IFERROR(IF(SUMIF(المشتريات!C:C, 'حركة المخزن'!B797, المشتريات!I:I)=0,"",SUMIF(المشتريات!C:C, 'حركة المخزن'!B797, المشتريات!I:I)),"")</f>
        <v/>
      </c>
      <c r="I797" s="10" t="str">
        <f>IFERROR(IF(SUMIF('تحليل مبيعات'!C:C, 'حركة المخزن'!B797, 'تحليل مبيعات'!H:H)=0,"",SUMIF('تحليل مبيعات'!C:C, 'حركة المخزن'!B797, 'تحليل مبيعات'!H:H)),"")</f>
        <v/>
      </c>
      <c r="J797" s="10" t="str">
        <f>IFERROR(IF(SUMIF('تحليل مبيعات'!C:C, 'حركة المخزن'!B797, 'تحليل مبيعات'!L:L)=0,"",SUMIF('تحليل مبيعات'!C:C, 'حركة المخزن'!B797, 'تحليل مبيعات'!L:L)),"")</f>
        <v/>
      </c>
      <c r="K797" s="10" t="str">
        <f t="shared" si="42"/>
        <v/>
      </c>
      <c r="L797" s="10" t="str">
        <f t="shared" si="43"/>
        <v/>
      </c>
      <c r="M797">
        <v>5</v>
      </c>
      <c r="N797" t="str">
        <f t="shared" si="44"/>
        <v>يوجد رصيد كافى</v>
      </c>
    </row>
    <row r="798" spans="7:14" x14ac:dyDescent="0.3">
      <c r="G798" t="str">
        <f>IFERROR(IF(SUMIF(المشتريات!C:C, 'حركة المخزن'!B798, المشتريات!F:F)=0,"",SUMIF(المشتريات!C:C, 'حركة المخزن'!B798, المشتريات!F:F)),"")</f>
        <v/>
      </c>
      <c r="H798" s="10" t="str">
        <f>IFERROR(IF(SUMIF(المشتريات!C:C, 'حركة المخزن'!B798, المشتريات!I:I)=0,"",SUMIF(المشتريات!C:C, 'حركة المخزن'!B798, المشتريات!I:I)),"")</f>
        <v/>
      </c>
      <c r="I798" s="10" t="str">
        <f>IFERROR(IF(SUMIF('تحليل مبيعات'!C:C, 'حركة المخزن'!B798, 'تحليل مبيعات'!H:H)=0,"",SUMIF('تحليل مبيعات'!C:C, 'حركة المخزن'!B798, 'تحليل مبيعات'!H:H)),"")</f>
        <v/>
      </c>
      <c r="J798" s="10" t="str">
        <f>IFERROR(IF(SUMIF('تحليل مبيعات'!C:C, 'حركة المخزن'!B798, 'تحليل مبيعات'!L:L)=0,"",SUMIF('تحليل مبيعات'!C:C, 'حركة المخزن'!B798, 'تحليل مبيعات'!L:L)),"")</f>
        <v/>
      </c>
      <c r="K798" s="10" t="str">
        <f t="shared" si="42"/>
        <v/>
      </c>
      <c r="L798" s="10" t="str">
        <f t="shared" si="43"/>
        <v/>
      </c>
      <c r="M798">
        <v>5</v>
      </c>
      <c r="N798" t="str">
        <f t="shared" si="44"/>
        <v>يوجد رصيد كافى</v>
      </c>
    </row>
    <row r="799" spans="7:14" x14ac:dyDescent="0.3">
      <c r="G799" t="str">
        <f>IFERROR(IF(SUMIF(المشتريات!C:C, 'حركة المخزن'!B799, المشتريات!F:F)=0,"",SUMIF(المشتريات!C:C, 'حركة المخزن'!B799, المشتريات!F:F)),"")</f>
        <v/>
      </c>
      <c r="H799" s="10" t="str">
        <f>IFERROR(IF(SUMIF(المشتريات!C:C, 'حركة المخزن'!B799, المشتريات!I:I)=0,"",SUMIF(المشتريات!C:C, 'حركة المخزن'!B799, المشتريات!I:I)),"")</f>
        <v/>
      </c>
      <c r="I799" s="10" t="str">
        <f>IFERROR(IF(SUMIF('تحليل مبيعات'!C:C, 'حركة المخزن'!B799, 'تحليل مبيعات'!H:H)=0,"",SUMIF('تحليل مبيعات'!C:C, 'حركة المخزن'!B799, 'تحليل مبيعات'!H:H)),"")</f>
        <v/>
      </c>
      <c r="J799" s="10" t="str">
        <f>IFERROR(IF(SUMIF('تحليل مبيعات'!C:C, 'حركة المخزن'!B799, 'تحليل مبيعات'!L:L)=0,"",SUMIF('تحليل مبيعات'!C:C, 'حركة المخزن'!B799, 'تحليل مبيعات'!L:L)),"")</f>
        <v/>
      </c>
      <c r="K799" s="10" t="str">
        <f t="shared" si="42"/>
        <v/>
      </c>
      <c r="L799" s="10" t="str">
        <f t="shared" si="43"/>
        <v/>
      </c>
      <c r="M799">
        <v>5</v>
      </c>
      <c r="N799" t="str">
        <f t="shared" si="44"/>
        <v>يوجد رصيد كافى</v>
      </c>
    </row>
    <row r="800" spans="7:14" x14ac:dyDescent="0.3">
      <c r="G800" t="str">
        <f>IFERROR(IF(SUMIF(المشتريات!C:C, 'حركة المخزن'!B800, المشتريات!F:F)=0,"",SUMIF(المشتريات!C:C, 'حركة المخزن'!B800, المشتريات!F:F)),"")</f>
        <v/>
      </c>
      <c r="H800" s="10" t="str">
        <f>IFERROR(IF(SUMIF(المشتريات!C:C, 'حركة المخزن'!B800, المشتريات!I:I)=0,"",SUMIF(المشتريات!C:C, 'حركة المخزن'!B800, المشتريات!I:I)),"")</f>
        <v/>
      </c>
      <c r="I800" s="10" t="str">
        <f>IFERROR(IF(SUMIF('تحليل مبيعات'!C:C, 'حركة المخزن'!B800, 'تحليل مبيعات'!H:H)=0,"",SUMIF('تحليل مبيعات'!C:C, 'حركة المخزن'!B800, 'تحليل مبيعات'!H:H)),"")</f>
        <v/>
      </c>
      <c r="J800" s="10" t="str">
        <f>IFERROR(IF(SUMIF('تحليل مبيعات'!C:C, 'حركة المخزن'!B800, 'تحليل مبيعات'!L:L)=0,"",SUMIF('تحليل مبيعات'!C:C, 'حركة المخزن'!B800, 'تحليل مبيعات'!L:L)),"")</f>
        <v/>
      </c>
      <c r="K800" s="10" t="str">
        <f t="shared" si="42"/>
        <v/>
      </c>
      <c r="L800" s="10" t="str">
        <f t="shared" si="43"/>
        <v/>
      </c>
      <c r="M800">
        <v>5</v>
      </c>
      <c r="N800" t="str">
        <f t="shared" si="44"/>
        <v>يوجد رصيد كافى</v>
      </c>
    </row>
    <row r="801" spans="7:14" x14ac:dyDescent="0.3">
      <c r="G801" t="str">
        <f>IFERROR(IF(SUMIF(المشتريات!C:C, 'حركة المخزن'!B801, المشتريات!F:F)=0,"",SUMIF(المشتريات!C:C, 'حركة المخزن'!B801, المشتريات!F:F)),"")</f>
        <v/>
      </c>
      <c r="H801" s="10" t="str">
        <f>IFERROR(IF(SUMIF(المشتريات!C:C, 'حركة المخزن'!B801, المشتريات!I:I)=0,"",SUMIF(المشتريات!C:C, 'حركة المخزن'!B801, المشتريات!I:I)),"")</f>
        <v/>
      </c>
      <c r="I801" s="10" t="str">
        <f>IFERROR(IF(SUMIF('تحليل مبيعات'!C:C, 'حركة المخزن'!B801, 'تحليل مبيعات'!H:H)=0,"",SUMIF('تحليل مبيعات'!C:C, 'حركة المخزن'!B801, 'تحليل مبيعات'!H:H)),"")</f>
        <v/>
      </c>
      <c r="J801" s="10" t="str">
        <f>IFERROR(IF(SUMIF('تحليل مبيعات'!C:C, 'حركة المخزن'!B801, 'تحليل مبيعات'!L:L)=0,"",SUMIF('تحليل مبيعات'!C:C, 'حركة المخزن'!B801, 'تحليل مبيعات'!L:L)),"")</f>
        <v/>
      </c>
      <c r="K801" s="10" t="str">
        <f t="shared" si="42"/>
        <v/>
      </c>
      <c r="L801" s="10" t="str">
        <f t="shared" si="43"/>
        <v/>
      </c>
      <c r="M801">
        <v>5</v>
      </c>
      <c r="N801" t="str">
        <f t="shared" si="44"/>
        <v>يوجد رصيد كافى</v>
      </c>
    </row>
    <row r="802" spans="7:14" x14ac:dyDescent="0.3">
      <c r="G802" t="str">
        <f>IFERROR(IF(SUMIF(المشتريات!C:C, 'حركة المخزن'!B802, المشتريات!F:F)=0,"",SUMIF(المشتريات!C:C, 'حركة المخزن'!B802, المشتريات!F:F)),"")</f>
        <v/>
      </c>
      <c r="H802" s="10" t="str">
        <f>IFERROR(IF(SUMIF(المشتريات!C:C, 'حركة المخزن'!B802, المشتريات!I:I)=0,"",SUMIF(المشتريات!C:C, 'حركة المخزن'!B802, المشتريات!I:I)),"")</f>
        <v/>
      </c>
      <c r="I802" s="10" t="str">
        <f>IFERROR(IF(SUMIF('تحليل مبيعات'!C:C, 'حركة المخزن'!B802, 'تحليل مبيعات'!H:H)=0,"",SUMIF('تحليل مبيعات'!C:C, 'حركة المخزن'!B802, 'تحليل مبيعات'!H:H)),"")</f>
        <v/>
      </c>
      <c r="J802" s="10" t="str">
        <f>IFERROR(IF(SUMIF('تحليل مبيعات'!C:C, 'حركة المخزن'!B802, 'تحليل مبيعات'!L:L)=0,"",SUMIF('تحليل مبيعات'!C:C, 'حركة المخزن'!B802, 'تحليل مبيعات'!L:L)),"")</f>
        <v/>
      </c>
      <c r="K802" s="10" t="str">
        <f t="shared" si="42"/>
        <v/>
      </c>
      <c r="L802" s="10" t="str">
        <f t="shared" si="43"/>
        <v/>
      </c>
      <c r="M802">
        <v>5</v>
      </c>
      <c r="N802" t="str">
        <f t="shared" si="44"/>
        <v>يوجد رصيد كافى</v>
      </c>
    </row>
    <row r="803" spans="7:14" x14ac:dyDescent="0.3">
      <c r="G803" t="str">
        <f>IFERROR(IF(SUMIF(المشتريات!C:C, 'حركة المخزن'!B803, المشتريات!F:F)=0,"",SUMIF(المشتريات!C:C, 'حركة المخزن'!B803, المشتريات!F:F)),"")</f>
        <v/>
      </c>
      <c r="H803" s="10" t="str">
        <f>IFERROR(IF(SUMIF(المشتريات!C:C, 'حركة المخزن'!B803, المشتريات!I:I)=0,"",SUMIF(المشتريات!C:C, 'حركة المخزن'!B803, المشتريات!I:I)),"")</f>
        <v/>
      </c>
      <c r="I803" s="10" t="str">
        <f>IFERROR(IF(SUMIF('تحليل مبيعات'!C:C, 'حركة المخزن'!B803, 'تحليل مبيعات'!H:H)=0,"",SUMIF('تحليل مبيعات'!C:C, 'حركة المخزن'!B803, 'تحليل مبيعات'!H:H)),"")</f>
        <v/>
      </c>
      <c r="J803" s="10" t="str">
        <f>IFERROR(IF(SUMIF('تحليل مبيعات'!C:C, 'حركة المخزن'!B803, 'تحليل مبيعات'!L:L)=0,"",SUMIF('تحليل مبيعات'!C:C, 'حركة المخزن'!B803, 'تحليل مبيعات'!L:L)),"")</f>
        <v/>
      </c>
      <c r="K803" s="10" t="str">
        <f t="shared" si="42"/>
        <v/>
      </c>
      <c r="L803" s="10" t="str">
        <f t="shared" si="43"/>
        <v/>
      </c>
      <c r="M803">
        <v>5</v>
      </c>
      <c r="N803" t="str">
        <f t="shared" si="44"/>
        <v>يوجد رصيد كافى</v>
      </c>
    </row>
    <row r="804" spans="7:14" x14ac:dyDescent="0.3">
      <c r="G804" t="str">
        <f>IFERROR(IF(SUMIF(المشتريات!C:C, 'حركة المخزن'!B804, المشتريات!F:F)=0,"",SUMIF(المشتريات!C:C, 'حركة المخزن'!B804, المشتريات!F:F)),"")</f>
        <v/>
      </c>
      <c r="H804" s="10" t="str">
        <f>IFERROR(IF(SUMIF(المشتريات!C:C, 'حركة المخزن'!B804, المشتريات!I:I)=0,"",SUMIF(المشتريات!C:C, 'حركة المخزن'!B804, المشتريات!I:I)),"")</f>
        <v/>
      </c>
      <c r="I804" s="10" t="str">
        <f>IFERROR(IF(SUMIF('تحليل مبيعات'!C:C, 'حركة المخزن'!B804, 'تحليل مبيعات'!H:H)=0,"",SUMIF('تحليل مبيعات'!C:C, 'حركة المخزن'!B804, 'تحليل مبيعات'!H:H)),"")</f>
        <v/>
      </c>
      <c r="J804" s="10" t="str">
        <f>IFERROR(IF(SUMIF('تحليل مبيعات'!C:C, 'حركة المخزن'!B804, 'تحليل مبيعات'!L:L)=0,"",SUMIF('تحليل مبيعات'!C:C, 'حركة المخزن'!B804, 'تحليل مبيعات'!L:L)),"")</f>
        <v/>
      </c>
      <c r="K804" s="10" t="str">
        <f t="shared" si="42"/>
        <v/>
      </c>
      <c r="L804" s="10" t="str">
        <f t="shared" si="43"/>
        <v/>
      </c>
      <c r="M804">
        <v>5</v>
      </c>
      <c r="N804" t="str">
        <f t="shared" si="44"/>
        <v>يوجد رصيد كافى</v>
      </c>
    </row>
    <row r="805" spans="7:14" x14ac:dyDescent="0.3">
      <c r="G805" t="str">
        <f>IFERROR(IF(SUMIF(المشتريات!C:C, 'حركة المخزن'!B805, المشتريات!F:F)=0,"",SUMIF(المشتريات!C:C, 'حركة المخزن'!B805, المشتريات!F:F)),"")</f>
        <v/>
      </c>
      <c r="H805" s="10" t="str">
        <f>IFERROR(IF(SUMIF(المشتريات!C:C, 'حركة المخزن'!B805, المشتريات!I:I)=0,"",SUMIF(المشتريات!C:C, 'حركة المخزن'!B805, المشتريات!I:I)),"")</f>
        <v/>
      </c>
      <c r="I805" s="10" t="str">
        <f>IFERROR(IF(SUMIF('تحليل مبيعات'!C:C, 'حركة المخزن'!B805, 'تحليل مبيعات'!H:H)=0,"",SUMIF('تحليل مبيعات'!C:C, 'حركة المخزن'!B805, 'تحليل مبيعات'!H:H)),"")</f>
        <v/>
      </c>
      <c r="J805" s="10" t="str">
        <f>IFERROR(IF(SUMIF('تحليل مبيعات'!C:C, 'حركة المخزن'!B805, 'تحليل مبيعات'!L:L)=0,"",SUMIF('تحليل مبيعات'!C:C, 'حركة المخزن'!B805, 'تحليل مبيعات'!L:L)),"")</f>
        <v/>
      </c>
      <c r="K805" s="10" t="str">
        <f t="shared" si="42"/>
        <v/>
      </c>
      <c r="L805" s="10" t="str">
        <f t="shared" si="43"/>
        <v/>
      </c>
      <c r="M805">
        <v>5</v>
      </c>
      <c r="N805" t="str">
        <f t="shared" si="44"/>
        <v>يوجد رصيد كافى</v>
      </c>
    </row>
    <row r="806" spans="7:14" x14ac:dyDescent="0.3">
      <c r="G806" t="str">
        <f>IFERROR(IF(SUMIF(المشتريات!C:C, 'حركة المخزن'!B806, المشتريات!F:F)=0,"",SUMIF(المشتريات!C:C, 'حركة المخزن'!B806, المشتريات!F:F)),"")</f>
        <v/>
      </c>
      <c r="H806" s="10" t="str">
        <f>IFERROR(IF(SUMIF(المشتريات!C:C, 'حركة المخزن'!B806, المشتريات!I:I)=0,"",SUMIF(المشتريات!C:C, 'حركة المخزن'!B806, المشتريات!I:I)),"")</f>
        <v/>
      </c>
      <c r="I806" s="10" t="str">
        <f>IFERROR(IF(SUMIF('تحليل مبيعات'!C:C, 'حركة المخزن'!B806, 'تحليل مبيعات'!H:H)=0,"",SUMIF('تحليل مبيعات'!C:C, 'حركة المخزن'!B806, 'تحليل مبيعات'!H:H)),"")</f>
        <v/>
      </c>
      <c r="J806" s="10" t="str">
        <f>IFERROR(IF(SUMIF('تحليل مبيعات'!C:C, 'حركة المخزن'!B806, 'تحليل مبيعات'!L:L)=0,"",SUMIF('تحليل مبيعات'!C:C, 'حركة المخزن'!B806, 'تحليل مبيعات'!L:L)),"")</f>
        <v/>
      </c>
      <c r="K806" s="10" t="str">
        <f t="shared" si="42"/>
        <v/>
      </c>
      <c r="L806" s="10" t="str">
        <f t="shared" si="43"/>
        <v/>
      </c>
      <c r="M806">
        <v>5</v>
      </c>
      <c r="N806" t="str">
        <f t="shared" si="44"/>
        <v>يوجد رصيد كافى</v>
      </c>
    </row>
    <row r="807" spans="7:14" x14ac:dyDescent="0.3">
      <c r="G807" t="str">
        <f>IFERROR(IF(SUMIF(المشتريات!C:C, 'حركة المخزن'!B807, المشتريات!F:F)=0,"",SUMIF(المشتريات!C:C, 'حركة المخزن'!B807, المشتريات!F:F)),"")</f>
        <v/>
      </c>
      <c r="H807" s="10" t="str">
        <f>IFERROR(IF(SUMIF(المشتريات!C:C, 'حركة المخزن'!B807, المشتريات!I:I)=0,"",SUMIF(المشتريات!C:C, 'حركة المخزن'!B807, المشتريات!I:I)),"")</f>
        <v/>
      </c>
      <c r="I807" s="10" t="str">
        <f>IFERROR(IF(SUMIF('تحليل مبيعات'!C:C, 'حركة المخزن'!B807, 'تحليل مبيعات'!H:H)=0,"",SUMIF('تحليل مبيعات'!C:C, 'حركة المخزن'!B807, 'تحليل مبيعات'!H:H)),"")</f>
        <v/>
      </c>
      <c r="J807" s="10" t="str">
        <f>IFERROR(IF(SUMIF('تحليل مبيعات'!C:C, 'حركة المخزن'!B807, 'تحليل مبيعات'!L:L)=0,"",SUMIF('تحليل مبيعات'!C:C, 'حركة المخزن'!B807, 'تحليل مبيعات'!L:L)),"")</f>
        <v/>
      </c>
      <c r="K807" s="10" t="str">
        <f t="shared" si="42"/>
        <v/>
      </c>
      <c r="L807" s="10" t="str">
        <f t="shared" si="43"/>
        <v/>
      </c>
      <c r="M807">
        <v>5</v>
      </c>
      <c r="N807" t="str">
        <f t="shared" si="44"/>
        <v>يوجد رصيد كافى</v>
      </c>
    </row>
    <row r="808" spans="7:14" x14ac:dyDescent="0.3">
      <c r="G808" t="str">
        <f>IFERROR(IF(SUMIF(المشتريات!C:C, 'حركة المخزن'!B808, المشتريات!F:F)=0,"",SUMIF(المشتريات!C:C, 'حركة المخزن'!B808, المشتريات!F:F)),"")</f>
        <v/>
      </c>
      <c r="H808" s="10" t="str">
        <f>IFERROR(IF(SUMIF(المشتريات!C:C, 'حركة المخزن'!B808, المشتريات!I:I)=0,"",SUMIF(المشتريات!C:C, 'حركة المخزن'!B808, المشتريات!I:I)),"")</f>
        <v/>
      </c>
      <c r="I808" s="10" t="str">
        <f>IFERROR(IF(SUMIF('تحليل مبيعات'!C:C, 'حركة المخزن'!B808, 'تحليل مبيعات'!H:H)=0,"",SUMIF('تحليل مبيعات'!C:C, 'حركة المخزن'!B808, 'تحليل مبيعات'!H:H)),"")</f>
        <v/>
      </c>
      <c r="J808" s="10" t="str">
        <f>IFERROR(IF(SUMIF('تحليل مبيعات'!C:C, 'حركة المخزن'!B808, 'تحليل مبيعات'!L:L)=0,"",SUMIF('تحليل مبيعات'!C:C, 'حركة المخزن'!B808, 'تحليل مبيعات'!L:L)),"")</f>
        <v/>
      </c>
      <c r="K808" s="10" t="str">
        <f t="shared" si="42"/>
        <v/>
      </c>
      <c r="L808" s="10" t="str">
        <f t="shared" si="43"/>
        <v/>
      </c>
      <c r="M808">
        <v>5</v>
      </c>
      <c r="N808" t="str">
        <f t="shared" si="44"/>
        <v>يوجد رصيد كافى</v>
      </c>
    </row>
    <row r="809" spans="7:14" x14ac:dyDescent="0.3">
      <c r="G809" t="str">
        <f>IFERROR(IF(SUMIF(المشتريات!C:C, 'حركة المخزن'!B809, المشتريات!F:F)=0,"",SUMIF(المشتريات!C:C, 'حركة المخزن'!B809, المشتريات!F:F)),"")</f>
        <v/>
      </c>
      <c r="H809" s="10" t="str">
        <f>IFERROR(IF(SUMIF(المشتريات!C:C, 'حركة المخزن'!B809, المشتريات!I:I)=0,"",SUMIF(المشتريات!C:C, 'حركة المخزن'!B809, المشتريات!I:I)),"")</f>
        <v/>
      </c>
      <c r="I809" s="10" t="str">
        <f>IFERROR(IF(SUMIF('تحليل مبيعات'!C:C, 'حركة المخزن'!B809, 'تحليل مبيعات'!H:H)=0,"",SUMIF('تحليل مبيعات'!C:C, 'حركة المخزن'!B809, 'تحليل مبيعات'!H:H)),"")</f>
        <v/>
      </c>
      <c r="J809" s="10" t="str">
        <f>IFERROR(IF(SUMIF('تحليل مبيعات'!C:C, 'حركة المخزن'!B809, 'تحليل مبيعات'!L:L)=0,"",SUMIF('تحليل مبيعات'!C:C, 'حركة المخزن'!B809, 'تحليل مبيعات'!L:L)),"")</f>
        <v/>
      </c>
      <c r="K809" s="10" t="str">
        <f t="shared" si="42"/>
        <v/>
      </c>
      <c r="L809" s="10" t="str">
        <f t="shared" si="43"/>
        <v/>
      </c>
      <c r="M809">
        <v>5</v>
      </c>
      <c r="N809" t="str">
        <f t="shared" si="44"/>
        <v>يوجد رصيد كافى</v>
      </c>
    </row>
    <row r="810" spans="7:14" x14ac:dyDescent="0.3">
      <c r="G810" t="str">
        <f>IFERROR(IF(SUMIF(المشتريات!C:C, 'حركة المخزن'!B810, المشتريات!F:F)=0,"",SUMIF(المشتريات!C:C, 'حركة المخزن'!B810, المشتريات!F:F)),"")</f>
        <v/>
      </c>
      <c r="H810" s="10" t="str">
        <f>IFERROR(IF(SUMIF(المشتريات!C:C, 'حركة المخزن'!B810, المشتريات!I:I)=0,"",SUMIF(المشتريات!C:C, 'حركة المخزن'!B810, المشتريات!I:I)),"")</f>
        <v/>
      </c>
      <c r="I810" s="10" t="str">
        <f>IFERROR(IF(SUMIF('تحليل مبيعات'!C:C, 'حركة المخزن'!B810, 'تحليل مبيعات'!H:H)=0,"",SUMIF('تحليل مبيعات'!C:C, 'حركة المخزن'!B810, 'تحليل مبيعات'!H:H)),"")</f>
        <v/>
      </c>
      <c r="J810" s="10" t="str">
        <f>IFERROR(IF(SUMIF('تحليل مبيعات'!C:C, 'حركة المخزن'!B810, 'تحليل مبيعات'!L:L)=0,"",SUMIF('تحليل مبيعات'!C:C, 'حركة المخزن'!B810, 'تحليل مبيعات'!L:L)),"")</f>
        <v/>
      </c>
      <c r="K810" s="10" t="str">
        <f t="shared" si="42"/>
        <v/>
      </c>
      <c r="L810" s="10" t="str">
        <f t="shared" si="43"/>
        <v/>
      </c>
      <c r="M810">
        <v>5</v>
      </c>
      <c r="N810" t="str">
        <f t="shared" si="44"/>
        <v>يوجد رصيد كافى</v>
      </c>
    </row>
    <row r="811" spans="7:14" x14ac:dyDescent="0.3">
      <c r="G811" t="str">
        <f>IFERROR(IF(SUMIF(المشتريات!C:C, 'حركة المخزن'!B811, المشتريات!F:F)=0,"",SUMIF(المشتريات!C:C, 'حركة المخزن'!B811, المشتريات!F:F)),"")</f>
        <v/>
      </c>
      <c r="H811" s="10" t="str">
        <f>IFERROR(IF(SUMIF(المشتريات!C:C, 'حركة المخزن'!B811, المشتريات!I:I)=0,"",SUMIF(المشتريات!C:C, 'حركة المخزن'!B811, المشتريات!I:I)),"")</f>
        <v/>
      </c>
      <c r="I811" s="10" t="str">
        <f>IFERROR(IF(SUMIF('تحليل مبيعات'!C:C, 'حركة المخزن'!B811, 'تحليل مبيعات'!H:H)=0,"",SUMIF('تحليل مبيعات'!C:C, 'حركة المخزن'!B811, 'تحليل مبيعات'!H:H)),"")</f>
        <v/>
      </c>
      <c r="J811" s="10" t="str">
        <f>IFERROR(IF(SUMIF('تحليل مبيعات'!C:C, 'حركة المخزن'!B811, 'تحليل مبيعات'!L:L)=0,"",SUMIF('تحليل مبيعات'!C:C, 'حركة المخزن'!B811, 'تحليل مبيعات'!L:L)),"")</f>
        <v/>
      </c>
      <c r="K811" s="10" t="str">
        <f t="shared" si="42"/>
        <v/>
      </c>
      <c r="L811" s="10" t="str">
        <f t="shared" si="43"/>
        <v/>
      </c>
      <c r="M811">
        <v>5</v>
      </c>
      <c r="N811" t="str">
        <f t="shared" si="44"/>
        <v>يوجد رصيد كافى</v>
      </c>
    </row>
    <row r="812" spans="7:14" x14ac:dyDescent="0.3">
      <c r="G812" t="str">
        <f>IFERROR(IF(SUMIF(المشتريات!C:C, 'حركة المخزن'!B812, المشتريات!F:F)=0,"",SUMIF(المشتريات!C:C, 'حركة المخزن'!B812, المشتريات!F:F)),"")</f>
        <v/>
      </c>
      <c r="H812" s="10" t="str">
        <f>IFERROR(IF(SUMIF(المشتريات!C:C, 'حركة المخزن'!B812, المشتريات!I:I)=0,"",SUMIF(المشتريات!C:C, 'حركة المخزن'!B812, المشتريات!I:I)),"")</f>
        <v/>
      </c>
      <c r="I812" s="10" t="str">
        <f>IFERROR(IF(SUMIF('تحليل مبيعات'!C:C, 'حركة المخزن'!B812, 'تحليل مبيعات'!H:H)=0,"",SUMIF('تحليل مبيعات'!C:C, 'حركة المخزن'!B812, 'تحليل مبيعات'!H:H)),"")</f>
        <v/>
      </c>
      <c r="J812" s="10" t="str">
        <f>IFERROR(IF(SUMIF('تحليل مبيعات'!C:C, 'حركة المخزن'!B812, 'تحليل مبيعات'!L:L)=0,"",SUMIF('تحليل مبيعات'!C:C, 'حركة المخزن'!B812, 'تحليل مبيعات'!L:L)),"")</f>
        <v/>
      </c>
      <c r="K812" s="10" t="str">
        <f t="shared" si="42"/>
        <v/>
      </c>
      <c r="L812" s="10" t="str">
        <f t="shared" si="43"/>
        <v/>
      </c>
      <c r="M812">
        <v>5</v>
      </c>
      <c r="N812" t="str">
        <f t="shared" si="44"/>
        <v>يوجد رصيد كافى</v>
      </c>
    </row>
    <row r="813" spans="7:14" x14ac:dyDescent="0.3">
      <c r="G813" t="str">
        <f>IFERROR(IF(SUMIF(المشتريات!C:C, 'حركة المخزن'!B813, المشتريات!F:F)=0,"",SUMIF(المشتريات!C:C, 'حركة المخزن'!B813, المشتريات!F:F)),"")</f>
        <v/>
      </c>
      <c r="H813" s="10" t="str">
        <f>IFERROR(IF(SUMIF(المشتريات!C:C, 'حركة المخزن'!B813, المشتريات!I:I)=0,"",SUMIF(المشتريات!C:C, 'حركة المخزن'!B813, المشتريات!I:I)),"")</f>
        <v/>
      </c>
      <c r="I813" s="10" t="str">
        <f>IFERROR(IF(SUMIF('تحليل مبيعات'!C:C, 'حركة المخزن'!B813, 'تحليل مبيعات'!H:H)=0,"",SUMIF('تحليل مبيعات'!C:C, 'حركة المخزن'!B813, 'تحليل مبيعات'!H:H)),"")</f>
        <v/>
      </c>
      <c r="J813" s="10" t="str">
        <f>IFERROR(IF(SUMIF('تحليل مبيعات'!C:C, 'حركة المخزن'!B813, 'تحليل مبيعات'!L:L)=0,"",SUMIF('تحليل مبيعات'!C:C, 'حركة المخزن'!B813, 'تحليل مبيعات'!L:L)),"")</f>
        <v/>
      </c>
      <c r="K813" s="10" t="str">
        <f t="shared" si="42"/>
        <v/>
      </c>
      <c r="L813" s="10" t="str">
        <f t="shared" si="43"/>
        <v/>
      </c>
      <c r="M813">
        <v>5</v>
      </c>
      <c r="N813" t="str">
        <f t="shared" si="44"/>
        <v>يوجد رصيد كافى</v>
      </c>
    </row>
    <row r="814" spans="7:14" x14ac:dyDescent="0.3">
      <c r="G814" t="str">
        <f>IFERROR(IF(SUMIF(المشتريات!C:C, 'حركة المخزن'!B814, المشتريات!F:F)=0,"",SUMIF(المشتريات!C:C, 'حركة المخزن'!B814, المشتريات!F:F)),"")</f>
        <v/>
      </c>
      <c r="H814" s="10" t="str">
        <f>IFERROR(IF(SUMIF(المشتريات!C:C, 'حركة المخزن'!B814, المشتريات!I:I)=0,"",SUMIF(المشتريات!C:C, 'حركة المخزن'!B814, المشتريات!I:I)),"")</f>
        <v/>
      </c>
      <c r="I814" s="10" t="str">
        <f>IFERROR(IF(SUMIF('تحليل مبيعات'!C:C, 'حركة المخزن'!B814, 'تحليل مبيعات'!H:H)=0,"",SUMIF('تحليل مبيعات'!C:C, 'حركة المخزن'!B814, 'تحليل مبيعات'!H:H)),"")</f>
        <v/>
      </c>
      <c r="J814" s="10" t="str">
        <f>IFERROR(IF(SUMIF('تحليل مبيعات'!C:C, 'حركة المخزن'!B814, 'تحليل مبيعات'!L:L)=0,"",SUMIF('تحليل مبيعات'!C:C, 'حركة المخزن'!B814, 'تحليل مبيعات'!L:L)),"")</f>
        <v/>
      </c>
      <c r="K814" s="10" t="str">
        <f t="shared" si="42"/>
        <v/>
      </c>
      <c r="L814" s="10" t="str">
        <f t="shared" si="43"/>
        <v/>
      </c>
      <c r="M814">
        <v>5</v>
      </c>
      <c r="N814" t="str">
        <f t="shared" si="44"/>
        <v>يوجد رصيد كافى</v>
      </c>
    </row>
    <row r="815" spans="7:14" x14ac:dyDescent="0.3">
      <c r="G815" t="str">
        <f>IFERROR(IF(SUMIF(المشتريات!C:C, 'حركة المخزن'!B815, المشتريات!F:F)=0,"",SUMIF(المشتريات!C:C, 'حركة المخزن'!B815, المشتريات!F:F)),"")</f>
        <v/>
      </c>
      <c r="H815" s="10" t="str">
        <f>IFERROR(IF(SUMIF(المشتريات!C:C, 'حركة المخزن'!B815, المشتريات!I:I)=0,"",SUMIF(المشتريات!C:C, 'حركة المخزن'!B815, المشتريات!I:I)),"")</f>
        <v/>
      </c>
      <c r="I815" s="10" t="str">
        <f>IFERROR(IF(SUMIF('تحليل مبيعات'!C:C, 'حركة المخزن'!B815, 'تحليل مبيعات'!H:H)=0,"",SUMIF('تحليل مبيعات'!C:C, 'حركة المخزن'!B815, 'تحليل مبيعات'!H:H)),"")</f>
        <v/>
      </c>
      <c r="J815" s="10" t="str">
        <f>IFERROR(IF(SUMIF('تحليل مبيعات'!C:C, 'حركة المخزن'!B815, 'تحليل مبيعات'!L:L)=0,"",SUMIF('تحليل مبيعات'!C:C, 'حركة المخزن'!B815, 'تحليل مبيعات'!L:L)),"")</f>
        <v/>
      </c>
      <c r="K815" s="10" t="str">
        <f t="shared" si="42"/>
        <v/>
      </c>
      <c r="L815" s="10" t="str">
        <f t="shared" si="43"/>
        <v/>
      </c>
      <c r="M815">
        <v>5</v>
      </c>
      <c r="N815" t="str">
        <f t="shared" si="44"/>
        <v>يوجد رصيد كافى</v>
      </c>
    </row>
    <row r="816" spans="7:14" x14ac:dyDescent="0.3">
      <c r="G816" t="str">
        <f>IFERROR(IF(SUMIF(المشتريات!C:C, 'حركة المخزن'!B816, المشتريات!F:F)=0,"",SUMIF(المشتريات!C:C, 'حركة المخزن'!B816, المشتريات!F:F)),"")</f>
        <v/>
      </c>
      <c r="H816" s="10" t="str">
        <f>IFERROR(IF(SUMIF(المشتريات!C:C, 'حركة المخزن'!B816, المشتريات!I:I)=0,"",SUMIF(المشتريات!C:C, 'حركة المخزن'!B816, المشتريات!I:I)),"")</f>
        <v/>
      </c>
      <c r="I816" s="10" t="str">
        <f>IFERROR(IF(SUMIF('تحليل مبيعات'!C:C, 'حركة المخزن'!B816, 'تحليل مبيعات'!H:H)=0,"",SUMIF('تحليل مبيعات'!C:C, 'حركة المخزن'!B816, 'تحليل مبيعات'!H:H)),"")</f>
        <v/>
      </c>
      <c r="J816" s="10" t="str">
        <f>IFERROR(IF(SUMIF('تحليل مبيعات'!C:C, 'حركة المخزن'!B816, 'تحليل مبيعات'!L:L)=0,"",SUMIF('تحليل مبيعات'!C:C, 'حركة المخزن'!B816, 'تحليل مبيعات'!L:L)),"")</f>
        <v/>
      </c>
      <c r="K816" s="10" t="str">
        <f t="shared" si="42"/>
        <v/>
      </c>
      <c r="L816" s="10" t="str">
        <f t="shared" si="43"/>
        <v/>
      </c>
      <c r="M816">
        <v>5</v>
      </c>
      <c r="N816" t="str">
        <f t="shared" si="44"/>
        <v>يوجد رصيد كافى</v>
      </c>
    </row>
    <row r="817" spans="7:14" x14ac:dyDescent="0.3">
      <c r="G817" t="str">
        <f>IFERROR(IF(SUMIF(المشتريات!C:C, 'حركة المخزن'!B817, المشتريات!F:F)=0,"",SUMIF(المشتريات!C:C, 'حركة المخزن'!B817, المشتريات!F:F)),"")</f>
        <v/>
      </c>
      <c r="H817" s="10" t="str">
        <f>IFERROR(IF(SUMIF(المشتريات!C:C, 'حركة المخزن'!B817, المشتريات!I:I)=0,"",SUMIF(المشتريات!C:C, 'حركة المخزن'!B817, المشتريات!I:I)),"")</f>
        <v/>
      </c>
      <c r="I817" s="10" t="str">
        <f>IFERROR(IF(SUMIF('تحليل مبيعات'!C:C, 'حركة المخزن'!B817, 'تحليل مبيعات'!H:H)=0,"",SUMIF('تحليل مبيعات'!C:C, 'حركة المخزن'!B817, 'تحليل مبيعات'!H:H)),"")</f>
        <v/>
      </c>
      <c r="J817" s="10" t="str">
        <f>IFERROR(IF(SUMIF('تحليل مبيعات'!C:C, 'حركة المخزن'!B817, 'تحليل مبيعات'!L:L)=0,"",SUMIF('تحليل مبيعات'!C:C, 'حركة المخزن'!B817, 'تحليل مبيعات'!L:L)),"")</f>
        <v/>
      </c>
      <c r="K817" s="10" t="str">
        <f t="shared" si="42"/>
        <v/>
      </c>
      <c r="L817" s="10" t="str">
        <f t="shared" si="43"/>
        <v/>
      </c>
      <c r="M817">
        <v>5</v>
      </c>
      <c r="N817" t="str">
        <f t="shared" si="44"/>
        <v>يوجد رصيد كافى</v>
      </c>
    </row>
    <row r="818" spans="7:14" x14ac:dyDescent="0.3">
      <c r="G818" t="str">
        <f>IFERROR(IF(SUMIF(المشتريات!C:C, 'حركة المخزن'!B818, المشتريات!F:F)=0,"",SUMIF(المشتريات!C:C, 'حركة المخزن'!B818, المشتريات!F:F)),"")</f>
        <v/>
      </c>
      <c r="H818" s="10" t="str">
        <f>IFERROR(IF(SUMIF(المشتريات!C:C, 'حركة المخزن'!B818, المشتريات!I:I)=0,"",SUMIF(المشتريات!C:C, 'حركة المخزن'!B818, المشتريات!I:I)),"")</f>
        <v/>
      </c>
      <c r="I818" s="10" t="str">
        <f>IFERROR(IF(SUMIF('تحليل مبيعات'!C:C, 'حركة المخزن'!B818, 'تحليل مبيعات'!H:H)=0,"",SUMIF('تحليل مبيعات'!C:C, 'حركة المخزن'!B818, 'تحليل مبيعات'!H:H)),"")</f>
        <v/>
      </c>
      <c r="J818" s="10" t="str">
        <f>IFERROR(IF(SUMIF('تحليل مبيعات'!C:C, 'حركة المخزن'!B818, 'تحليل مبيعات'!L:L)=0,"",SUMIF('تحليل مبيعات'!C:C, 'حركة المخزن'!B818, 'تحليل مبيعات'!L:L)),"")</f>
        <v/>
      </c>
      <c r="K818" s="10" t="str">
        <f t="shared" si="42"/>
        <v/>
      </c>
      <c r="L818" s="10" t="str">
        <f t="shared" si="43"/>
        <v/>
      </c>
      <c r="M818">
        <v>5</v>
      </c>
      <c r="N818" t="str">
        <f t="shared" si="44"/>
        <v>يوجد رصيد كافى</v>
      </c>
    </row>
    <row r="819" spans="7:14" x14ac:dyDescent="0.3">
      <c r="G819" t="str">
        <f>IFERROR(IF(SUMIF(المشتريات!C:C, 'حركة المخزن'!B819, المشتريات!F:F)=0,"",SUMIF(المشتريات!C:C, 'حركة المخزن'!B819, المشتريات!F:F)),"")</f>
        <v/>
      </c>
      <c r="H819" s="10" t="str">
        <f>IFERROR(IF(SUMIF(المشتريات!C:C, 'حركة المخزن'!B819, المشتريات!I:I)=0,"",SUMIF(المشتريات!C:C, 'حركة المخزن'!B819, المشتريات!I:I)),"")</f>
        <v/>
      </c>
      <c r="I819" s="10" t="str">
        <f>IFERROR(IF(SUMIF('تحليل مبيعات'!C:C, 'حركة المخزن'!B819, 'تحليل مبيعات'!H:H)=0,"",SUMIF('تحليل مبيعات'!C:C, 'حركة المخزن'!B819, 'تحليل مبيعات'!H:H)),"")</f>
        <v/>
      </c>
      <c r="J819" s="10" t="str">
        <f>IFERROR(IF(SUMIF('تحليل مبيعات'!C:C, 'حركة المخزن'!B819, 'تحليل مبيعات'!L:L)=0,"",SUMIF('تحليل مبيعات'!C:C, 'حركة المخزن'!B819, 'تحليل مبيعات'!L:L)),"")</f>
        <v/>
      </c>
      <c r="K819" s="10" t="str">
        <f t="shared" si="42"/>
        <v/>
      </c>
      <c r="L819" s="10" t="str">
        <f t="shared" si="43"/>
        <v/>
      </c>
      <c r="M819">
        <v>5</v>
      </c>
      <c r="N819" t="str">
        <f t="shared" si="44"/>
        <v>يوجد رصيد كافى</v>
      </c>
    </row>
    <row r="820" spans="7:14" x14ac:dyDescent="0.3">
      <c r="G820" t="str">
        <f>IFERROR(IF(SUMIF(المشتريات!C:C, 'حركة المخزن'!B820, المشتريات!F:F)=0,"",SUMIF(المشتريات!C:C, 'حركة المخزن'!B820, المشتريات!F:F)),"")</f>
        <v/>
      </c>
      <c r="H820" s="10" t="str">
        <f>IFERROR(IF(SUMIF(المشتريات!C:C, 'حركة المخزن'!B820, المشتريات!I:I)=0,"",SUMIF(المشتريات!C:C, 'حركة المخزن'!B820, المشتريات!I:I)),"")</f>
        <v/>
      </c>
      <c r="I820" s="10" t="str">
        <f>IFERROR(IF(SUMIF('تحليل مبيعات'!C:C, 'حركة المخزن'!B820, 'تحليل مبيعات'!H:H)=0,"",SUMIF('تحليل مبيعات'!C:C, 'حركة المخزن'!B820, 'تحليل مبيعات'!H:H)),"")</f>
        <v/>
      </c>
      <c r="J820" s="10" t="str">
        <f>IFERROR(IF(SUMIF('تحليل مبيعات'!C:C, 'حركة المخزن'!B820, 'تحليل مبيعات'!L:L)=0,"",SUMIF('تحليل مبيعات'!C:C, 'حركة المخزن'!B820, 'تحليل مبيعات'!L:L)),"")</f>
        <v/>
      </c>
      <c r="K820" s="10" t="str">
        <f t="shared" si="42"/>
        <v/>
      </c>
      <c r="L820" s="10" t="str">
        <f t="shared" si="43"/>
        <v/>
      </c>
      <c r="M820">
        <v>5</v>
      </c>
      <c r="N820" t="str">
        <f t="shared" si="44"/>
        <v>يوجد رصيد كافى</v>
      </c>
    </row>
    <row r="821" spans="7:14" x14ac:dyDescent="0.3">
      <c r="G821" t="str">
        <f>IFERROR(IF(SUMIF(المشتريات!C:C, 'حركة المخزن'!B821, المشتريات!F:F)=0,"",SUMIF(المشتريات!C:C, 'حركة المخزن'!B821, المشتريات!F:F)),"")</f>
        <v/>
      </c>
      <c r="H821" s="10" t="str">
        <f>IFERROR(IF(SUMIF(المشتريات!C:C, 'حركة المخزن'!B821, المشتريات!I:I)=0,"",SUMIF(المشتريات!C:C, 'حركة المخزن'!B821, المشتريات!I:I)),"")</f>
        <v/>
      </c>
      <c r="I821" s="10" t="str">
        <f>IFERROR(IF(SUMIF('تحليل مبيعات'!C:C, 'حركة المخزن'!B821, 'تحليل مبيعات'!H:H)=0,"",SUMIF('تحليل مبيعات'!C:C, 'حركة المخزن'!B821, 'تحليل مبيعات'!H:H)),"")</f>
        <v/>
      </c>
      <c r="J821" s="10" t="str">
        <f>IFERROR(IF(SUMIF('تحليل مبيعات'!C:C, 'حركة المخزن'!B821, 'تحليل مبيعات'!L:L)=0,"",SUMIF('تحليل مبيعات'!C:C, 'حركة المخزن'!B821, 'تحليل مبيعات'!L:L)),"")</f>
        <v/>
      </c>
      <c r="K821" s="10" t="str">
        <f t="shared" si="42"/>
        <v/>
      </c>
      <c r="L821" s="10" t="str">
        <f t="shared" si="43"/>
        <v/>
      </c>
      <c r="M821">
        <v>5</v>
      </c>
      <c r="N821" t="str">
        <f t="shared" si="44"/>
        <v>يوجد رصيد كافى</v>
      </c>
    </row>
    <row r="822" spans="7:14" x14ac:dyDescent="0.3">
      <c r="G822" t="str">
        <f>IFERROR(IF(SUMIF(المشتريات!C:C, 'حركة المخزن'!B822, المشتريات!F:F)=0,"",SUMIF(المشتريات!C:C, 'حركة المخزن'!B822, المشتريات!F:F)),"")</f>
        <v/>
      </c>
      <c r="H822" s="10" t="str">
        <f>IFERROR(IF(SUMIF(المشتريات!C:C, 'حركة المخزن'!B822, المشتريات!I:I)=0,"",SUMIF(المشتريات!C:C, 'حركة المخزن'!B822, المشتريات!I:I)),"")</f>
        <v/>
      </c>
      <c r="I822" s="10" t="str">
        <f>IFERROR(IF(SUMIF('تحليل مبيعات'!C:C, 'حركة المخزن'!B822, 'تحليل مبيعات'!H:H)=0,"",SUMIF('تحليل مبيعات'!C:C, 'حركة المخزن'!B822, 'تحليل مبيعات'!H:H)),"")</f>
        <v/>
      </c>
      <c r="J822" s="10" t="str">
        <f>IFERROR(IF(SUMIF('تحليل مبيعات'!C:C, 'حركة المخزن'!B822, 'تحليل مبيعات'!L:L)=0,"",SUMIF('تحليل مبيعات'!C:C, 'حركة المخزن'!B822, 'تحليل مبيعات'!L:L)),"")</f>
        <v/>
      </c>
      <c r="K822" s="10" t="str">
        <f t="shared" si="42"/>
        <v/>
      </c>
      <c r="L822" s="10" t="str">
        <f t="shared" si="43"/>
        <v/>
      </c>
      <c r="M822">
        <v>5</v>
      </c>
      <c r="N822" t="str">
        <f t="shared" si="44"/>
        <v>يوجد رصيد كافى</v>
      </c>
    </row>
    <row r="823" spans="7:14" x14ac:dyDescent="0.3">
      <c r="G823" t="str">
        <f>IFERROR(IF(SUMIF(المشتريات!C:C, 'حركة المخزن'!B823, المشتريات!F:F)=0,"",SUMIF(المشتريات!C:C, 'حركة المخزن'!B823, المشتريات!F:F)),"")</f>
        <v/>
      </c>
      <c r="H823" s="10" t="str">
        <f>IFERROR(IF(SUMIF(المشتريات!C:C, 'حركة المخزن'!B823, المشتريات!I:I)=0,"",SUMIF(المشتريات!C:C, 'حركة المخزن'!B823, المشتريات!I:I)),"")</f>
        <v/>
      </c>
      <c r="I823" s="10" t="str">
        <f>IFERROR(IF(SUMIF('تحليل مبيعات'!C:C, 'حركة المخزن'!B823, 'تحليل مبيعات'!H:H)=0,"",SUMIF('تحليل مبيعات'!C:C, 'حركة المخزن'!B823, 'تحليل مبيعات'!H:H)),"")</f>
        <v/>
      </c>
      <c r="J823" s="10" t="str">
        <f>IFERROR(IF(SUMIF('تحليل مبيعات'!C:C, 'حركة المخزن'!B823, 'تحليل مبيعات'!L:L)=0,"",SUMIF('تحليل مبيعات'!C:C, 'حركة المخزن'!B823, 'تحليل مبيعات'!L:L)),"")</f>
        <v/>
      </c>
      <c r="K823" s="10" t="str">
        <f t="shared" si="42"/>
        <v/>
      </c>
      <c r="L823" s="10" t="str">
        <f t="shared" si="43"/>
        <v/>
      </c>
      <c r="M823">
        <v>5</v>
      </c>
      <c r="N823" t="str">
        <f t="shared" si="44"/>
        <v>يوجد رصيد كافى</v>
      </c>
    </row>
    <row r="824" spans="7:14" x14ac:dyDescent="0.3">
      <c r="G824" t="str">
        <f>IFERROR(IF(SUMIF(المشتريات!C:C, 'حركة المخزن'!B824, المشتريات!F:F)=0,"",SUMIF(المشتريات!C:C, 'حركة المخزن'!B824, المشتريات!F:F)),"")</f>
        <v/>
      </c>
      <c r="H824" s="10" t="str">
        <f>IFERROR(IF(SUMIF(المشتريات!C:C, 'حركة المخزن'!B824, المشتريات!I:I)=0,"",SUMIF(المشتريات!C:C, 'حركة المخزن'!B824, المشتريات!I:I)),"")</f>
        <v/>
      </c>
      <c r="I824" s="10" t="str">
        <f>IFERROR(IF(SUMIF('تحليل مبيعات'!C:C, 'حركة المخزن'!B824, 'تحليل مبيعات'!H:H)=0,"",SUMIF('تحليل مبيعات'!C:C, 'حركة المخزن'!B824, 'تحليل مبيعات'!H:H)),"")</f>
        <v/>
      </c>
      <c r="J824" s="10" t="str">
        <f>IFERROR(IF(SUMIF('تحليل مبيعات'!C:C, 'حركة المخزن'!B824, 'تحليل مبيعات'!L:L)=0,"",SUMIF('تحليل مبيعات'!C:C, 'حركة المخزن'!B824, 'تحليل مبيعات'!L:L)),"")</f>
        <v/>
      </c>
      <c r="K824" s="10" t="str">
        <f t="shared" si="42"/>
        <v/>
      </c>
      <c r="L824" s="10" t="str">
        <f t="shared" si="43"/>
        <v/>
      </c>
      <c r="M824">
        <v>5</v>
      </c>
      <c r="N824" t="str">
        <f t="shared" si="44"/>
        <v>يوجد رصيد كافى</v>
      </c>
    </row>
    <row r="825" spans="7:14" x14ac:dyDescent="0.3">
      <c r="G825" t="str">
        <f>IFERROR(IF(SUMIF(المشتريات!C:C, 'حركة المخزن'!B825, المشتريات!F:F)=0,"",SUMIF(المشتريات!C:C, 'حركة المخزن'!B825, المشتريات!F:F)),"")</f>
        <v/>
      </c>
      <c r="H825" s="10" t="str">
        <f>IFERROR(IF(SUMIF(المشتريات!C:C, 'حركة المخزن'!B825, المشتريات!I:I)=0,"",SUMIF(المشتريات!C:C, 'حركة المخزن'!B825, المشتريات!I:I)),"")</f>
        <v/>
      </c>
      <c r="I825" s="10" t="str">
        <f>IFERROR(IF(SUMIF('تحليل مبيعات'!C:C, 'حركة المخزن'!B825, 'تحليل مبيعات'!H:H)=0,"",SUMIF('تحليل مبيعات'!C:C, 'حركة المخزن'!B825, 'تحليل مبيعات'!H:H)),"")</f>
        <v/>
      </c>
      <c r="J825" s="10" t="str">
        <f>IFERROR(IF(SUMIF('تحليل مبيعات'!C:C, 'حركة المخزن'!B825, 'تحليل مبيعات'!L:L)=0,"",SUMIF('تحليل مبيعات'!C:C, 'حركة المخزن'!B825, 'تحليل مبيعات'!L:L)),"")</f>
        <v/>
      </c>
      <c r="K825" s="10" t="str">
        <f t="shared" si="42"/>
        <v/>
      </c>
      <c r="L825" s="10" t="str">
        <f t="shared" si="43"/>
        <v/>
      </c>
      <c r="M825">
        <v>5</v>
      </c>
      <c r="N825" t="str">
        <f t="shared" si="44"/>
        <v>يوجد رصيد كافى</v>
      </c>
    </row>
    <row r="826" spans="7:14" x14ac:dyDescent="0.3">
      <c r="G826" t="str">
        <f>IFERROR(IF(SUMIF(المشتريات!C:C, 'حركة المخزن'!B826, المشتريات!F:F)=0,"",SUMIF(المشتريات!C:C, 'حركة المخزن'!B826, المشتريات!F:F)),"")</f>
        <v/>
      </c>
      <c r="H826" s="10" t="str">
        <f>IFERROR(IF(SUMIF(المشتريات!C:C, 'حركة المخزن'!B826, المشتريات!I:I)=0,"",SUMIF(المشتريات!C:C, 'حركة المخزن'!B826, المشتريات!I:I)),"")</f>
        <v/>
      </c>
      <c r="I826" s="10" t="str">
        <f>IFERROR(IF(SUMIF('تحليل مبيعات'!C:C, 'حركة المخزن'!B826, 'تحليل مبيعات'!H:H)=0,"",SUMIF('تحليل مبيعات'!C:C, 'حركة المخزن'!B826, 'تحليل مبيعات'!H:H)),"")</f>
        <v/>
      </c>
      <c r="J826" s="10" t="str">
        <f>IFERROR(IF(SUMIF('تحليل مبيعات'!C:C, 'حركة المخزن'!B826, 'تحليل مبيعات'!L:L)=0,"",SUMIF('تحليل مبيعات'!C:C, 'حركة المخزن'!B826, 'تحليل مبيعات'!L:L)),"")</f>
        <v/>
      </c>
      <c r="K826" s="10" t="str">
        <f t="shared" si="42"/>
        <v/>
      </c>
      <c r="L826" s="10" t="str">
        <f t="shared" si="43"/>
        <v/>
      </c>
      <c r="M826">
        <v>5</v>
      </c>
      <c r="N826" t="str">
        <f t="shared" si="44"/>
        <v>يوجد رصيد كافى</v>
      </c>
    </row>
    <row r="827" spans="7:14" x14ac:dyDescent="0.3">
      <c r="G827" t="str">
        <f>IFERROR(IF(SUMIF(المشتريات!C:C, 'حركة المخزن'!B827, المشتريات!F:F)=0,"",SUMIF(المشتريات!C:C, 'حركة المخزن'!B827, المشتريات!F:F)),"")</f>
        <v/>
      </c>
      <c r="H827" s="10" t="str">
        <f>IFERROR(IF(SUMIF(المشتريات!C:C, 'حركة المخزن'!B827, المشتريات!I:I)=0,"",SUMIF(المشتريات!C:C, 'حركة المخزن'!B827, المشتريات!I:I)),"")</f>
        <v/>
      </c>
      <c r="I827" s="10" t="str">
        <f>IFERROR(IF(SUMIF('تحليل مبيعات'!C:C, 'حركة المخزن'!B827, 'تحليل مبيعات'!H:H)=0,"",SUMIF('تحليل مبيعات'!C:C, 'حركة المخزن'!B827, 'تحليل مبيعات'!H:H)),"")</f>
        <v/>
      </c>
      <c r="J827" s="10" t="str">
        <f>IFERROR(IF(SUMIF('تحليل مبيعات'!C:C, 'حركة المخزن'!B827, 'تحليل مبيعات'!L:L)=0,"",SUMIF('تحليل مبيعات'!C:C, 'حركة المخزن'!B827, 'تحليل مبيعات'!L:L)),"")</f>
        <v/>
      </c>
      <c r="K827" s="10" t="str">
        <f t="shared" si="42"/>
        <v/>
      </c>
      <c r="L827" s="10" t="str">
        <f t="shared" si="43"/>
        <v/>
      </c>
      <c r="M827">
        <v>5</v>
      </c>
      <c r="N827" t="str">
        <f t="shared" si="44"/>
        <v>يوجد رصيد كافى</v>
      </c>
    </row>
    <row r="828" spans="7:14" x14ac:dyDescent="0.3">
      <c r="G828" t="str">
        <f>IFERROR(IF(SUMIF(المشتريات!C:C, 'حركة المخزن'!B828, المشتريات!F:F)=0,"",SUMIF(المشتريات!C:C, 'حركة المخزن'!B828, المشتريات!F:F)),"")</f>
        <v/>
      </c>
      <c r="H828" s="10" t="str">
        <f>IFERROR(IF(SUMIF(المشتريات!C:C, 'حركة المخزن'!B828, المشتريات!I:I)=0,"",SUMIF(المشتريات!C:C, 'حركة المخزن'!B828, المشتريات!I:I)),"")</f>
        <v/>
      </c>
      <c r="I828" s="10" t="str">
        <f>IFERROR(IF(SUMIF('تحليل مبيعات'!C:C, 'حركة المخزن'!B828, 'تحليل مبيعات'!H:H)=0,"",SUMIF('تحليل مبيعات'!C:C, 'حركة المخزن'!B828, 'تحليل مبيعات'!H:H)),"")</f>
        <v/>
      </c>
      <c r="J828" s="10" t="str">
        <f>IFERROR(IF(SUMIF('تحليل مبيعات'!C:C, 'حركة المخزن'!B828, 'تحليل مبيعات'!L:L)=0,"",SUMIF('تحليل مبيعات'!C:C, 'حركة المخزن'!B828, 'تحليل مبيعات'!L:L)),"")</f>
        <v/>
      </c>
      <c r="K828" s="10" t="str">
        <f t="shared" si="42"/>
        <v/>
      </c>
      <c r="L828" s="10" t="str">
        <f t="shared" si="43"/>
        <v/>
      </c>
      <c r="M828">
        <v>5</v>
      </c>
      <c r="N828" t="str">
        <f t="shared" si="44"/>
        <v>يوجد رصيد كافى</v>
      </c>
    </row>
    <row r="829" spans="7:14" x14ac:dyDescent="0.3">
      <c r="G829" t="str">
        <f>IFERROR(IF(SUMIF(المشتريات!C:C, 'حركة المخزن'!B829, المشتريات!F:F)=0,"",SUMIF(المشتريات!C:C, 'حركة المخزن'!B829, المشتريات!F:F)),"")</f>
        <v/>
      </c>
      <c r="H829" s="10" t="str">
        <f>IFERROR(IF(SUMIF(المشتريات!C:C, 'حركة المخزن'!B829, المشتريات!I:I)=0,"",SUMIF(المشتريات!C:C, 'حركة المخزن'!B829, المشتريات!I:I)),"")</f>
        <v/>
      </c>
      <c r="I829" s="10" t="str">
        <f>IFERROR(IF(SUMIF('تحليل مبيعات'!C:C, 'حركة المخزن'!B829, 'تحليل مبيعات'!H:H)=0,"",SUMIF('تحليل مبيعات'!C:C, 'حركة المخزن'!B829, 'تحليل مبيعات'!H:H)),"")</f>
        <v/>
      </c>
      <c r="J829" s="10" t="str">
        <f>IFERROR(IF(SUMIF('تحليل مبيعات'!C:C, 'حركة المخزن'!B829, 'تحليل مبيعات'!L:L)=0,"",SUMIF('تحليل مبيعات'!C:C, 'حركة المخزن'!B829, 'تحليل مبيعات'!L:L)),"")</f>
        <v/>
      </c>
      <c r="K829" s="10" t="str">
        <f t="shared" si="42"/>
        <v/>
      </c>
      <c r="L829" s="10" t="str">
        <f t="shared" si="43"/>
        <v/>
      </c>
      <c r="M829">
        <v>5</v>
      </c>
      <c r="N829" t="str">
        <f t="shared" si="44"/>
        <v>يوجد رصيد كافى</v>
      </c>
    </row>
    <row r="830" spans="7:14" x14ac:dyDescent="0.3">
      <c r="G830" t="str">
        <f>IFERROR(IF(SUMIF(المشتريات!C:C, 'حركة المخزن'!B830, المشتريات!F:F)=0,"",SUMIF(المشتريات!C:C, 'حركة المخزن'!B830, المشتريات!F:F)),"")</f>
        <v/>
      </c>
      <c r="H830" s="10" t="str">
        <f>IFERROR(IF(SUMIF(المشتريات!C:C, 'حركة المخزن'!B830, المشتريات!I:I)=0,"",SUMIF(المشتريات!C:C, 'حركة المخزن'!B830, المشتريات!I:I)),"")</f>
        <v/>
      </c>
      <c r="I830" s="10" t="str">
        <f>IFERROR(IF(SUMIF('تحليل مبيعات'!C:C, 'حركة المخزن'!B830, 'تحليل مبيعات'!H:H)=0,"",SUMIF('تحليل مبيعات'!C:C, 'حركة المخزن'!B830, 'تحليل مبيعات'!H:H)),"")</f>
        <v/>
      </c>
      <c r="J830" s="10" t="str">
        <f>IFERROR(IF(SUMIF('تحليل مبيعات'!C:C, 'حركة المخزن'!B830, 'تحليل مبيعات'!L:L)=0,"",SUMIF('تحليل مبيعات'!C:C, 'حركة المخزن'!B830, 'تحليل مبيعات'!L:L)),"")</f>
        <v/>
      </c>
      <c r="K830" s="10" t="str">
        <f t="shared" si="42"/>
        <v/>
      </c>
      <c r="L830" s="10" t="str">
        <f t="shared" si="43"/>
        <v/>
      </c>
      <c r="M830">
        <v>5</v>
      </c>
      <c r="N830" t="str">
        <f t="shared" si="44"/>
        <v>يوجد رصيد كافى</v>
      </c>
    </row>
    <row r="831" spans="7:14" x14ac:dyDescent="0.3">
      <c r="G831" t="str">
        <f>IFERROR(IF(SUMIF(المشتريات!C:C, 'حركة المخزن'!B831, المشتريات!F:F)=0,"",SUMIF(المشتريات!C:C, 'حركة المخزن'!B831, المشتريات!F:F)),"")</f>
        <v/>
      </c>
      <c r="H831" s="10" t="str">
        <f>IFERROR(IF(SUMIF(المشتريات!C:C, 'حركة المخزن'!B831, المشتريات!I:I)=0,"",SUMIF(المشتريات!C:C, 'حركة المخزن'!B831, المشتريات!I:I)),"")</f>
        <v/>
      </c>
      <c r="I831" s="10" t="str">
        <f>IFERROR(IF(SUMIF('تحليل مبيعات'!C:C, 'حركة المخزن'!B831, 'تحليل مبيعات'!H:H)=0,"",SUMIF('تحليل مبيعات'!C:C, 'حركة المخزن'!B831, 'تحليل مبيعات'!H:H)),"")</f>
        <v/>
      </c>
      <c r="J831" s="10" t="str">
        <f>IFERROR(IF(SUMIF('تحليل مبيعات'!C:C, 'حركة المخزن'!B831, 'تحليل مبيعات'!L:L)=0,"",SUMIF('تحليل مبيعات'!C:C, 'حركة المخزن'!B831, 'تحليل مبيعات'!L:L)),"")</f>
        <v/>
      </c>
      <c r="K831" s="10" t="str">
        <f t="shared" si="42"/>
        <v/>
      </c>
      <c r="L831" s="10" t="str">
        <f t="shared" si="43"/>
        <v/>
      </c>
      <c r="M831">
        <v>5</v>
      </c>
      <c r="N831" t="str">
        <f t="shared" si="44"/>
        <v>يوجد رصيد كافى</v>
      </c>
    </row>
    <row r="832" spans="7:14" x14ac:dyDescent="0.3">
      <c r="G832" t="str">
        <f>IFERROR(IF(SUMIF(المشتريات!C:C, 'حركة المخزن'!B832, المشتريات!F:F)=0,"",SUMIF(المشتريات!C:C, 'حركة المخزن'!B832, المشتريات!F:F)),"")</f>
        <v/>
      </c>
      <c r="H832" s="10" t="str">
        <f>IFERROR(IF(SUMIF(المشتريات!C:C, 'حركة المخزن'!B832, المشتريات!I:I)=0,"",SUMIF(المشتريات!C:C, 'حركة المخزن'!B832, المشتريات!I:I)),"")</f>
        <v/>
      </c>
      <c r="I832" s="10" t="str">
        <f>IFERROR(IF(SUMIF('تحليل مبيعات'!C:C, 'حركة المخزن'!B832, 'تحليل مبيعات'!H:H)=0,"",SUMIF('تحليل مبيعات'!C:C, 'حركة المخزن'!B832, 'تحليل مبيعات'!H:H)),"")</f>
        <v/>
      </c>
      <c r="J832" s="10" t="str">
        <f>IFERROR(IF(SUMIF('تحليل مبيعات'!C:C, 'حركة المخزن'!B832, 'تحليل مبيعات'!L:L)=0,"",SUMIF('تحليل مبيعات'!C:C, 'حركة المخزن'!B832, 'تحليل مبيعات'!L:L)),"")</f>
        <v/>
      </c>
      <c r="K832" s="10" t="str">
        <f t="shared" si="42"/>
        <v/>
      </c>
      <c r="L832" s="10" t="str">
        <f t="shared" si="43"/>
        <v/>
      </c>
      <c r="M832">
        <v>5</v>
      </c>
      <c r="N832" t="str">
        <f t="shared" si="44"/>
        <v>يوجد رصيد كافى</v>
      </c>
    </row>
    <row r="833" spans="7:14" x14ac:dyDescent="0.3">
      <c r="G833" t="str">
        <f>IFERROR(IF(SUMIF(المشتريات!C:C, 'حركة المخزن'!B833, المشتريات!F:F)=0,"",SUMIF(المشتريات!C:C, 'حركة المخزن'!B833, المشتريات!F:F)),"")</f>
        <v/>
      </c>
      <c r="H833" s="10" t="str">
        <f>IFERROR(IF(SUMIF(المشتريات!C:C, 'حركة المخزن'!B833, المشتريات!I:I)=0,"",SUMIF(المشتريات!C:C, 'حركة المخزن'!B833, المشتريات!I:I)),"")</f>
        <v/>
      </c>
      <c r="I833" s="10" t="str">
        <f>IFERROR(IF(SUMIF('تحليل مبيعات'!C:C, 'حركة المخزن'!B833, 'تحليل مبيعات'!H:H)=0,"",SUMIF('تحليل مبيعات'!C:C, 'حركة المخزن'!B833, 'تحليل مبيعات'!H:H)),"")</f>
        <v/>
      </c>
      <c r="J833" s="10" t="str">
        <f>IFERROR(IF(SUMIF('تحليل مبيعات'!C:C, 'حركة المخزن'!B833, 'تحليل مبيعات'!L:L)=0,"",SUMIF('تحليل مبيعات'!C:C, 'حركة المخزن'!B833, 'تحليل مبيعات'!L:L)),"")</f>
        <v/>
      </c>
      <c r="K833" s="10" t="str">
        <f t="shared" si="42"/>
        <v/>
      </c>
      <c r="L833" s="10" t="str">
        <f t="shared" si="43"/>
        <v/>
      </c>
      <c r="M833">
        <v>5</v>
      </c>
      <c r="N833" t="str">
        <f t="shared" si="44"/>
        <v>يوجد رصيد كافى</v>
      </c>
    </row>
    <row r="834" spans="7:14" x14ac:dyDescent="0.3">
      <c r="G834" t="str">
        <f>IFERROR(IF(SUMIF(المشتريات!C:C, 'حركة المخزن'!B834, المشتريات!F:F)=0,"",SUMIF(المشتريات!C:C, 'حركة المخزن'!B834, المشتريات!F:F)),"")</f>
        <v/>
      </c>
      <c r="H834" s="10" t="str">
        <f>IFERROR(IF(SUMIF(المشتريات!C:C, 'حركة المخزن'!B834, المشتريات!I:I)=0,"",SUMIF(المشتريات!C:C, 'حركة المخزن'!B834, المشتريات!I:I)),"")</f>
        <v/>
      </c>
      <c r="I834" s="10" t="str">
        <f>IFERROR(IF(SUMIF('تحليل مبيعات'!C:C, 'حركة المخزن'!B834, 'تحليل مبيعات'!H:H)=0,"",SUMIF('تحليل مبيعات'!C:C, 'حركة المخزن'!B834, 'تحليل مبيعات'!H:H)),"")</f>
        <v/>
      </c>
      <c r="J834" s="10" t="str">
        <f>IFERROR(IF(SUMIF('تحليل مبيعات'!C:C, 'حركة المخزن'!B834, 'تحليل مبيعات'!L:L)=0,"",SUMIF('تحليل مبيعات'!C:C, 'حركة المخزن'!B834, 'تحليل مبيعات'!L:L)),"")</f>
        <v/>
      </c>
      <c r="K834" s="10" t="str">
        <f t="shared" si="42"/>
        <v/>
      </c>
      <c r="L834" s="10" t="str">
        <f t="shared" si="43"/>
        <v/>
      </c>
      <c r="M834">
        <v>5</v>
      </c>
      <c r="N834" t="str">
        <f t="shared" si="44"/>
        <v>يوجد رصيد كافى</v>
      </c>
    </row>
    <row r="835" spans="7:14" x14ac:dyDescent="0.3">
      <c r="G835" t="str">
        <f>IFERROR(IF(SUMIF(المشتريات!C:C, 'حركة المخزن'!B835, المشتريات!F:F)=0,"",SUMIF(المشتريات!C:C, 'حركة المخزن'!B835, المشتريات!F:F)),"")</f>
        <v/>
      </c>
      <c r="H835" s="10" t="str">
        <f>IFERROR(IF(SUMIF(المشتريات!C:C, 'حركة المخزن'!B835, المشتريات!I:I)=0,"",SUMIF(المشتريات!C:C, 'حركة المخزن'!B835, المشتريات!I:I)),"")</f>
        <v/>
      </c>
      <c r="I835" s="10" t="str">
        <f>IFERROR(IF(SUMIF('تحليل مبيعات'!C:C, 'حركة المخزن'!B835, 'تحليل مبيعات'!H:H)=0,"",SUMIF('تحليل مبيعات'!C:C, 'حركة المخزن'!B835, 'تحليل مبيعات'!H:H)),"")</f>
        <v/>
      </c>
      <c r="J835" s="10" t="str">
        <f>IFERROR(IF(SUMIF('تحليل مبيعات'!C:C, 'حركة المخزن'!B835, 'تحليل مبيعات'!L:L)=0,"",SUMIF('تحليل مبيعات'!C:C, 'حركة المخزن'!B835, 'تحليل مبيعات'!L:L)),"")</f>
        <v/>
      </c>
      <c r="K835" s="10" t="str">
        <f t="shared" si="42"/>
        <v/>
      </c>
      <c r="L835" s="10" t="str">
        <f t="shared" si="43"/>
        <v/>
      </c>
      <c r="M835">
        <v>5</v>
      </c>
      <c r="N835" t="str">
        <f t="shared" si="44"/>
        <v>يوجد رصيد كافى</v>
      </c>
    </row>
    <row r="836" spans="7:14" x14ac:dyDescent="0.3">
      <c r="G836" t="str">
        <f>IFERROR(IF(SUMIF(المشتريات!C:C, 'حركة المخزن'!B836, المشتريات!F:F)=0,"",SUMIF(المشتريات!C:C, 'حركة المخزن'!B836, المشتريات!F:F)),"")</f>
        <v/>
      </c>
      <c r="H836" s="10" t="str">
        <f>IFERROR(IF(SUMIF(المشتريات!C:C, 'حركة المخزن'!B836, المشتريات!I:I)=0,"",SUMIF(المشتريات!C:C, 'حركة المخزن'!B836, المشتريات!I:I)),"")</f>
        <v/>
      </c>
      <c r="I836" s="10" t="str">
        <f>IFERROR(IF(SUMIF('تحليل مبيعات'!C:C, 'حركة المخزن'!B836, 'تحليل مبيعات'!H:H)=0,"",SUMIF('تحليل مبيعات'!C:C, 'حركة المخزن'!B836, 'تحليل مبيعات'!H:H)),"")</f>
        <v/>
      </c>
      <c r="J836" s="10" t="str">
        <f>IFERROR(IF(SUMIF('تحليل مبيعات'!C:C, 'حركة المخزن'!B836, 'تحليل مبيعات'!L:L)=0,"",SUMIF('تحليل مبيعات'!C:C, 'حركة المخزن'!B836, 'تحليل مبيعات'!L:L)),"")</f>
        <v/>
      </c>
      <c r="K836" s="10" t="str">
        <f t="shared" si="42"/>
        <v/>
      </c>
      <c r="L836" s="10" t="str">
        <f t="shared" si="43"/>
        <v/>
      </c>
      <c r="M836">
        <v>5</v>
      </c>
      <c r="N836" t="str">
        <f t="shared" si="44"/>
        <v>يوجد رصيد كافى</v>
      </c>
    </row>
    <row r="837" spans="7:14" x14ac:dyDescent="0.3">
      <c r="G837" t="str">
        <f>IFERROR(IF(SUMIF(المشتريات!C:C, 'حركة المخزن'!B837, المشتريات!F:F)=0,"",SUMIF(المشتريات!C:C, 'حركة المخزن'!B837, المشتريات!F:F)),"")</f>
        <v/>
      </c>
      <c r="H837" s="10" t="str">
        <f>IFERROR(IF(SUMIF(المشتريات!C:C, 'حركة المخزن'!B837, المشتريات!I:I)=0,"",SUMIF(المشتريات!C:C, 'حركة المخزن'!B837, المشتريات!I:I)),"")</f>
        <v/>
      </c>
      <c r="I837" s="10" t="str">
        <f>IFERROR(IF(SUMIF('تحليل مبيعات'!C:C, 'حركة المخزن'!B837, 'تحليل مبيعات'!H:H)=0,"",SUMIF('تحليل مبيعات'!C:C, 'حركة المخزن'!B837, 'تحليل مبيعات'!H:H)),"")</f>
        <v/>
      </c>
      <c r="J837" s="10" t="str">
        <f>IFERROR(IF(SUMIF('تحليل مبيعات'!C:C, 'حركة المخزن'!B837, 'تحليل مبيعات'!L:L)=0,"",SUMIF('تحليل مبيعات'!C:C, 'حركة المخزن'!B837, 'تحليل مبيعات'!L:L)),"")</f>
        <v/>
      </c>
      <c r="K837" s="10" t="str">
        <f t="shared" si="42"/>
        <v/>
      </c>
      <c r="L837" s="10" t="str">
        <f t="shared" si="43"/>
        <v/>
      </c>
      <c r="M837">
        <v>5</v>
      </c>
      <c r="N837" t="str">
        <f t="shared" si="44"/>
        <v>يوجد رصيد كافى</v>
      </c>
    </row>
    <row r="838" spans="7:14" x14ac:dyDescent="0.3">
      <c r="G838" t="str">
        <f>IFERROR(IF(SUMIF(المشتريات!C:C, 'حركة المخزن'!B838, المشتريات!F:F)=0,"",SUMIF(المشتريات!C:C, 'حركة المخزن'!B838, المشتريات!F:F)),"")</f>
        <v/>
      </c>
      <c r="H838" s="10" t="str">
        <f>IFERROR(IF(SUMIF(المشتريات!C:C, 'حركة المخزن'!B838, المشتريات!I:I)=0,"",SUMIF(المشتريات!C:C, 'حركة المخزن'!B838, المشتريات!I:I)),"")</f>
        <v/>
      </c>
      <c r="I838" s="10" t="str">
        <f>IFERROR(IF(SUMIF('تحليل مبيعات'!C:C, 'حركة المخزن'!B838, 'تحليل مبيعات'!H:H)=0,"",SUMIF('تحليل مبيعات'!C:C, 'حركة المخزن'!B838, 'تحليل مبيعات'!H:H)),"")</f>
        <v/>
      </c>
      <c r="J838" s="10" t="str">
        <f>IFERROR(IF(SUMIF('تحليل مبيعات'!C:C, 'حركة المخزن'!B838, 'تحليل مبيعات'!L:L)=0,"",SUMIF('تحليل مبيعات'!C:C, 'حركة المخزن'!B838, 'تحليل مبيعات'!L:L)),"")</f>
        <v/>
      </c>
      <c r="K838" s="10" t="str">
        <f t="shared" si="42"/>
        <v/>
      </c>
      <c r="L838" s="10" t="str">
        <f t="shared" si="43"/>
        <v/>
      </c>
      <c r="M838">
        <v>5</v>
      </c>
      <c r="N838" t="str">
        <f t="shared" si="44"/>
        <v>يوجد رصيد كافى</v>
      </c>
    </row>
    <row r="839" spans="7:14" x14ac:dyDescent="0.3">
      <c r="G839" t="str">
        <f>IFERROR(IF(SUMIF(المشتريات!C:C, 'حركة المخزن'!B839, المشتريات!F:F)=0,"",SUMIF(المشتريات!C:C, 'حركة المخزن'!B839, المشتريات!F:F)),"")</f>
        <v/>
      </c>
      <c r="H839" s="10" t="str">
        <f>IFERROR(IF(SUMIF(المشتريات!C:C, 'حركة المخزن'!B839, المشتريات!I:I)=0,"",SUMIF(المشتريات!C:C, 'حركة المخزن'!B839, المشتريات!I:I)),"")</f>
        <v/>
      </c>
      <c r="I839" s="10" t="str">
        <f>IFERROR(IF(SUMIF('تحليل مبيعات'!C:C, 'حركة المخزن'!B839, 'تحليل مبيعات'!H:H)=0,"",SUMIF('تحليل مبيعات'!C:C, 'حركة المخزن'!B839, 'تحليل مبيعات'!H:H)),"")</f>
        <v/>
      </c>
      <c r="J839" s="10" t="str">
        <f>IFERROR(IF(SUMIF('تحليل مبيعات'!C:C, 'حركة المخزن'!B839, 'تحليل مبيعات'!L:L)=0,"",SUMIF('تحليل مبيعات'!C:C, 'حركة المخزن'!B839, 'تحليل مبيعات'!L:L)),"")</f>
        <v/>
      </c>
      <c r="K839" s="10" t="str">
        <f t="shared" si="42"/>
        <v/>
      </c>
      <c r="L839" s="10" t="str">
        <f t="shared" si="43"/>
        <v/>
      </c>
      <c r="M839">
        <v>5</v>
      </c>
      <c r="N839" t="str">
        <f t="shared" si="44"/>
        <v>يوجد رصيد كافى</v>
      </c>
    </row>
    <row r="840" spans="7:14" x14ac:dyDescent="0.3">
      <c r="G840" t="str">
        <f>IFERROR(IF(SUMIF(المشتريات!C:C, 'حركة المخزن'!B840, المشتريات!F:F)=0,"",SUMIF(المشتريات!C:C, 'حركة المخزن'!B840, المشتريات!F:F)),"")</f>
        <v/>
      </c>
      <c r="H840" s="10" t="str">
        <f>IFERROR(IF(SUMIF(المشتريات!C:C, 'حركة المخزن'!B840, المشتريات!I:I)=0,"",SUMIF(المشتريات!C:C, 'حركة المخزن'!B840, المشتريات!I:I)),"")</f>
        <v/>
      </c>
      <c r="I840" s="10" t="str">
        <f>IFERROR(IF(SUMIF('تحليل مبيعات'!C:C, 'حركة المخزن'!B840, 'تحليل مبيعات'!H:H)=0,"",SUMIF('تحليل مبيعات'!C:C, 'حركة المخزن'!B840, 'تحليل مبيعات'!H:H)),"")</f>
        <v/>
      </c>
      <c r="J840" s="10" t="str">
        <f>IFERROR(IF(SUMIF('تحليل مبيعات'!C:C, 'حركة المخزن'!B840, 'تحليل مبيعات'!L:L)=0,"",SUMIF('تحليل مبيعات'!C:C, 'حركة المخزن'!B840, 'تحليل مبيعات'!L:L)),"")</f>
        <v/>
      </c>
      <c r="K840" s="10" t="str">
        <f t="shared" si="42"/>
        <v/>
      </c>
      <c r="L840" s="10" t="str">
        <f t="shared" si="43"/>
        <v/>
      </c>
      <c r="M840">
        <v>5</v>
      </c>
      <c r="N840" t="str">
        <f t="shared" si="44"/>
        <v>يوجد رصيد كافى</v>
      </c>
    </row>
    <row r="841" spans="7:14" x14ac:dyDescent="0.3">
      <c r="G841" t="str">
        <f>IFERROR(IF(SUMIF(المشتريات!C:C, 'حركة المخزن'!B841, المشتريات!F:F)=0,"",SUMIF(المشتريات!C:C, 'حركة المخزن'!B841, المشتريات!F:F)),"")</f>
        <v/>
      </c>
      <c r="H841" s="10" t="str">
        <f>IFERROR(IF(SUMIF(المشتريات!C:C, 'حركة المخزن'!B841, المشتريات!I:I)=0,"",SUMIF(المشتريات!C:C, 'حركة المخزن'!B841, المشتريات!I:I)),"")</f>
        <v/>
      </c>
      <c r="I841" s="10" t="str">
        <f>IFERROR(IF(SUMIF('تحليل مبيعات'!C:C, 'حركة المخزن'!B841, 'تحليل مبيعات'!H:H)=0,"",SUMIF('تحليل مبيعات'!C:C, 'حركة المخزن'!B841, 'تحليل مبيعات'!H:H)),"")</f>
        <v/>
      </c>
      <c r="J841" s="10" t="str">
        <f>IFERROR(IF(SUMIF('تحليل مبيعات'!C:C, 'حركة المخزن'!B841, 'تحليل مبيعات'!L:L)=0,"",SUMIF('تحليل مبيعات'!C:C, 'حركة المخزن'!B841, 'تحليل مبيعات'!L:L)),"")</f>
        <v/>
      </c>
      <c r="K841" s="10" t="str">
        <f t="shared" ref="K841:K904" si="45">IFERROR(E841+G841-I841,"")</f>
        <v/>
      </c>
      <c r="L841" s="10" t="str">
        <f t="shared" ref="L841:L904" si="46">IFERROR(F841+H841-J841,"")</f>
        <v/>
      </c>
      <c r="M841">
        <v>5</v>
      </c>
      <c r="N841" t="str">
        <f t="shared" ref="N841:N904" si="47">IF(K841&lt;M841,"أعادة الطلب","يوجد رصيد كافى")</f>
        <v>يوجد رصيد كافى</v>
      </c>
    </row>
    <row r="842" spans="7:14" x14ac:dyDescent="0.3">
      <c r="G842" t="str">
        <f>IFERROR(IF(SUMIF(المشتريات!C:C, 'حركة المخزن'!B842, المشتريات!F:F)=0,"",SUMIF(المشتريات!C:C, 'حركة المخزن'!B842, المشتريات!F:F)),"")</f>
        <v/>
      </c>
      <c r="H842" s="10" t="str">
        <f>IFERROR(IF(SUMIF(المشتريات!C:C, 'حركة المخزن'!B842, المشتريات!I:I)=0,"",SUMIF(المشتريات!C:C, 'حركة المخزن'!B842, المشتريات!I:I)),"")</f>
        <v/>
      </c>
      <c r="I842" s="10" t="str">
        <f>IFERROR(IF(SUMIF('تحليل مبيعات'!C:C, 'حركة المخزن'!B842, 'تحليل مبيعات'!H:H)=0,"",SUMIF('تحليل مبيعات'!C:C, 'حركة المخزن'!B842, 'تحليل مبيعات'!H:H)),"")</f>
        <v/>
      </c>
      <c r="J842" s="10" t="str">
        <f>IFERROR(IF(SUMIF('تحليل مبيعات'!C:C, 'حركة المخزن'!B842, 'تحليل مبيعات'!L:L)=0,"",SUMIF('تحليل مبيعات'!C:C, 'حركة المخزن'!B842, 'تحليل مبيعات'!L:L)),"")</f>
        <v/>
      </c>
      <c r="K842" s="10" t="str">
        <f t="shared" si="45"/>
        <v/>
      </c>
      <c r="L842" s="10" t="str">
        <f t="shared" si="46"/>
        <v/>
      </c>
      <c r="M842">
        <v>5</v>
      </c>
      <c r="N842" t="str">
        <f t="shared" si="47"/>
        <v>يوجد رصيد كافى</v>
      </c>
    </row>
    <row r="843" spans="7:14" x14ac:dyDescent="0.3">
      <c r="G843" t="str">
        <f>IFERROR(IF(SUMIF(المشتريات!C:C, 'حركة المخزن'!B843, المشتريات!F:F)=0,"",SUMIF(المشتريات!C:C, 'حركة المخزن'!B843, المشتريات!F:F)),"")</f>
        <v/>
      </c>
      <c r="H843" s="10" t="str">
        <f>IFERROR(IF(SUMIF(المشتريات!C:C, 'حركة المخزن'!B843, المشتريات!I:I)=0,"",SUMIF(المشتريات!C:C, 'حركة المخزن'!B843, المشتريات!I:I)),"")</f>
        <v/>
      </c>
      <c r="I843" s="10" t="str">
        <f>IFERROR(IF(SUMIF('تحليل مبيعات'!C:C, 'حركة المخزن'!B843, 'تحليل مبيعات'!H:H)=0,"",SUMIF('تحليل مبيعات'!C:C, 'حركة المخزن'!B843, 'تحليل مبيعات'!H:H)),"")</f>
        <v/>
      </c>
      <c r="J843" s="10" t="str">
        <f>IFERROR(IF(SUMIF('تحليل مبيعات'!C:C, 'حركة المخزن'!B843, 'تحليل مبيعات'!L:L)=0,"",SUMIF('تحليل مبيعات'!C:C, 'حركة المخزن'!B843, 'تحليل مبيعات'!L:L)),"")</f>
        <v/>
      </c>
      <c r="K843" s="10" t="str">
        <f t="shared" si="45"/>
        <v/>
      </c>
      <c r="L843" s="10" t="str">
        <f t="shared" si="46"/>
        <v/>
      </c>
      <c r="M843">
        <v>5</v>
      </c>
      <c r="N843" t="str">
        <f t="shared" si="47"/>
        <v>يوجد رصيد كافى</v>
      </c>
    </row>
    <row r="844" spans="7:14" x14ac:dyDescent="0.3">
      <c r="G844" t="str">
        <f>IFERROR(IF(SUMIF(المشتريات!C:C, 'حركة المخزن'!B844, المشتريات!F:F)=0,"",SUMIF(المشتريات!C:C, 'حركة المخزن'!B844, المشتريات!F:F)),"")</f>
        <v/>
      </c>
      <c r="H844" s="10" t="str">
        <f>IFERROR(IF(SUMIF(المشتريات!C:C, 'حركة المخزن'!B844, المشتريات!I:I)=0,"",SUMIF(المشتريات!C:C, 'حركة المخزن'!B844, المشتريات!I:I)),"")</f>
        <v/>
      </c>
      <c r="I844" s="10" t="str">
        <f>IFERROR(IF(SUMIF('تحليل مبيعات'!C:C, 'حركة المخزن'!B844, 'تحليل مبيعات'!H:H)=0,"",SUMIF('تحليل مبيعات'!C:C, 'حركة المخزن'!B844, 'تحليل مبيعات'!H:H)),"")</f>
        <v/>
      </c>
      <c r="J844" s="10" t="str">
        <f>IFERROR(IF(SUMIF('تحليل مبيعات'!C:C, 'حركة المخزن'!B844, 'تحليل مبيعات'!L:L)=0,"",SUMIF('تحليل مبيعات'!C:C, 'حركة المخزن'!B844, 'تحليل مبيعات'!L:L)),"")</f>
        <v/>
      </c>
      <c r="K844" s="10" t="str">
        <f t="shared" si="45"/>
        <v/>
      </c>
      <c r="L844" s="10" t="str">
        <f t="shared" si="46"/>
        <v/>
      </c>
      <c r="M844">
        <v>5</v>
      </c>
      <c r="N844" t="str">
        <f t="shared" si="47"/>
        <v>يوجد رصيد كافى</v>
      </c>
    </row>
    <row r="845" spans="7:14" x14ac:dyDescent="0.3">
      <c r="G845" t="str">
        <f>IFERROR(IF(SUMIF(المشتريات!C:C, 'حركة المخزن'!B845, المشتريات!F:F)=0,"",SUMIF(المشتريات!C:C, 'حركة المخزن'!B845, المشتريات!F:F)),"")</f>
        <v/>
      </c>
      <c r="H845" s="10" t="str">
        <f>IFERROR(IF(SUMIF(المشتريات!C:C, 'حركة المخزن'!B845, المشتريات!I:I)=0,"",SUMIF(المشتريات!C:C, 'حركة المخزن'!B845, المشتريات!I:I)),"")</f>
        <v/>
      </c>
      <c r="I845" s="10" t="str">
        <f>IFERROR(IF(SUMIF('تحليل مبيعات'!C:C, 'حركة المخزن'!B845, 'تحليل مبيعات'!H:H)=0,"",SUMIF('تحليل مبيعات'!C:C, 'حركة المخزن'!B845, 'تحليل مبيعات'!H:H)),"")</f>
        <v/>
      </c>
      <c r="J845" s="10" t="str">
        <f>IFERROR(IF(SUMIF('تحليل مبيعات'!C:C, 'حركة المخزن'!B845, 'تحليل مبيعات'!L:L)=0,"",SUMIF('تحليل مبيعات'!C:C, 'حركة المخزن'!B845, 'تحليل مبيعات'!L:L)),"")</f>
        <v/>
      </c>
      <c r="K845" s="10" t="str">
        <f t="shared" si="45"/>
        <v/>
      </c>
      <c r="L845" s="10" t="str">
        <f t="shared" si="46"/>
        <v/>
      </c>
      <c r="M845">
        <v>5</v>
      </c>
      <c r="N845" t="str">
        <f t="shared" si="47"/>
        <v>يوجد رصيد كافى</v>
      </c>
    </row>
    <row r="846" spans="7:14" x14ac:dyDescent="0.3">
      <c r="G846" t="str">
        <f>IFERROR(IF(SUMIF(المشتريات!C:C, 'حركة المخزن'!B846, المشتريات!F:F)=0,"",SUMIF(المشتريات!C:C, 'حركة المخزن'!B846, المشتريات!F:F)),"")</f>
        <v/>
      </c>
      <c r="H846" s="10" t="str">
        <f>IFERROR(IF(SUMIF(المشتريات!C:C, 'حركة المخزن'!B846, المشتريات!I:I)=0,"",SUMIF(المشتريات!C:C, 'حركة المخزن'!B846, المشتريات!I:I)),"")</f>
        <v/>
      </c>
      <c r="I846" s="10" t="str">
        <f>IFERROR(IF(SUMIF('تحليل مبيعات'!C:C, 'حركة المخزن'!B846, 'تحليل مبيعات'!H:H)=0,"",SUMIF('تحليل مبيعات'!C:C, 'حركة المخزن'!B846, 'تحليل مبيعات'!H:H)),"")</f>
        <v/>
      </c>
      <c r="J846" s="10" t="str">
        <f>IFERROR(IF(SUMIF('تحليل مبيعات'!C:C, 'حركة المخزن'!B846, 'تحليل مبيعات'!L:L)=0,"",SUMIF('تحليل مبيعات'!C:C, 'حركة المخزن'!B846, 'تحليل مبيعات'!L:L)),"")</f>
        <v/>
      </c>
      <c r="K846" s="10" t="str">
        <f t="shared" si="45"/>
        <v/>
      </c>
      <c r="L846" s="10" t="str">
        <f t="shared" si="46"/>
        <v/>
      </c>
      <c r="M846">
        <v>5</v>
      </c>
      <c r="N846" t="str">
        <f t="shared" si="47"/>
        <v>يوجد رصيد كافى</v>
      </c>
    </row>
    <row r="847" spans="7:14" x14ac:dyDescent="0.3">
      <c r="G847" t="str">
        <f>IFERROR(IF(SUMIF(المشتريات!C:C, 'حركة المخزن'!B847, المشتريات!F:F)=0,"",SUMIF(المشتريات!C:C, 'حركة المخزن'!B847, المشتريات!F:F)),"")</f>
        <v/>
      </c>
      <c r="H847" s="10" t="str">
        <f>IFERROR(IF(SUMIF(المشتريات!C:C, 'حركة المخزن'!B847, المشتريات!I:I)=0,"",SUMIF(المشتريات!C:C, 'حركة المخزن'!B847, المشتريات!I:I)),"")</f>
        <v/>
      </c>
      <c r="I847" s="10" t="str">
        <f>IFERROR(IF(SUMIF('تحليل مبيعات'!C:C, 'حركة المخزن'!B847, 'تحليل مبيعات'!H:H)=0,"",SUMIF('تحليل مبيعات'!C:C, 'حركة المخزن'!B847, 'تحليل مبيعات'!H:H)),"")</f>
        <v/>
      </c>
      <c r="J847" s="10" t="str">
        <f>IFERROR(IF(SUMIF('تحليل مبيعات'!C:C, 'حركة المخزن'!B847, 'تحليل مبيعات'!L:L)=0,"",SUMIF('تحليل مبيعات'!C:C, 'حركة المخزن'!B847, 'تحليل مبيعات'!L:L)),"")</f>
        <v/>
      </c>
      <c r="K847" s="10" t="str">
        <f t="shared" si="45"/>
        <v/>
      </c>
      <c r="L847" s="10" t="str">
        <f t="shared" si="46"/>
        <v/>
      </c>
      <c r="M847">
        <v>5</v>
      </c>
      <c r="N847" t="str">
        <f t="shared" si="47"/>
        <v>يوجد رصيد كافى</v>
      </c>
    </row>
    <row r="848" spans="7:14" x14ac:dyDescent="0.3">
      <c r="G848" t="str">
        <f>IFERROR(IF(SUMIF(المشتريات!C:C, 'حركة المخزن'!B848, المشتريات!F:F)=0,"",SUMIF(المشتريات!C:C, 'حركة المخزن'!B848, المشتريات!F:F)),"")</f>
        <v/>
      </c>
      <c r="H848" s="10" t="str">
        <f>IFERROR(IF(SUMIF(المشتريات!C:C, 'حركة المخزن'!B848, المشتريات!I:I)=0,"",SUMIF(المشتريات!C:C, 'حركة المخزن'!B848, المشتريات!I:I)),"")</f>
        <v/>
      </c>
      <c r="I848" s="10" t="str">
        <f>IFERROR(IF(SUMIF('تحليل مبيعات'!C:C, 'حركة المخزن'!B848, 'تحليل مبيعات'!H:H)=0,"",SUMIF('تحليل مبيعات'!C:C, 'حركة المخزن'!B848, 'تحليل مبيعات'!H:H)),"")</f>
        <v/>
      </c>
      <c r="J848" s="10" t="str">
        <f>IFERROR(IF(SUMIF('تحليل مبيعات'!C:C, 'حركة المخزن'!B848, 'تحليل مبيعات'!L:L)=0,"",SUMIF('تحليل مبيعات'!C:C, 'حركة المخزن'!B848, 'تحليل مبيعات'!L:L)),"")</f>
        <v/>
      </c>
      <c r="K848" s="10" t="str">
        <f t="shared" si="45"/>
        <v/>
      </c>
      <c r="L848" s="10" t="str">
        <f t="shared" si="46"/>
        <v/>
      </c>
      <c r="M848">
        <v>5</v>
      </c>
      <c r="N848" t="str">
        <f t="shared" si="47"/>
        <v>يوجد رصيد كافى</v>
      </c>
    </row>
    <row r="849" spans="7:14" x14ac:dyDescent="0.3">
      <c r="G849" t="str">
        <f>IFERROR(IF(SUMIF(المشتريات!C:C, 'حركة المخزن'!B849, المشتريات!F:F)=0,"",SUMIF(المشتريات!C:C, 'حركة المخزن'!B849, المشتريات!F:F)),"")</f>
        <v/>
      </c>
      <c r="H849" s="10" t="str">
        <f>IFERROR(IF(SUMIF(المشتريات!C:C, 'حركة المخزن'!B849, المشتريات!I:I)=0,"",SUMIF(المشتريات!C:C, 'حركة المخزن'!B849, المشتريات!I:I)),"")</f>
        <v/>
      </c>
      <c r="I849" s="10" t="str">
        <f>IFERROR(IF(SUMIF('تحليل مبيعات'!C:C, 'حركة المخزن'!B849, 'تحليل مبيعات'!H:H)=0,"",SUMIF('تحليل مبيعات'!C:C, 'حركة المخزن'!B849, 'تحليل مبيعات'!H:H)),"")</f>
        <v/>
      </c>
      <c r="J849" s="10" t="str">
        <f>IFERROR(IF(SUMIF('تحليل مبيعات'!C:C, 'حركة المخزن'!B849, 'تحليل مبيعات'!L:L)=0,"",SUMIF('تحليل مبيعات'!C:C, 'حركة المخزن'!B849, 'تحليل مبيعات'!L:L)),"")</f>
        <v/>
      </c>
      <c r="K849" s="10" t="str">
        <f t="shared" si="45"/>
        <v/>
      </c>
      <c r="L849" s="10" t="str">
        <f t="shared" si="46"/>
        <v/>
      </c>
      <c r="M849">
        <v>5</v>
      </c>
      <c r="N849" t="str">
        <f t="shared" si="47"/>
        <v>يوجد رصيد كافى</v>
      </c>
    </row>
    <row r="850" spans="7:14" x14ac:dyDescent="0.3">
      <c r="G850" t="str">
        <f>IFERROR(IF(SUMIF(المشتريات!C:C, 'حركة المخزن'!B850, المشتريات!F:F)=0,"",SUMIF(المشتريات!C:C, 'حركة المخزن'!B850, المشتريات!F:F)),"")</f>
        <v/>
      </c>
      <c r="H850" s="10" t="str">
        <f>IFERROR(IF(SUMIF(المشتريات!C:C, 'حركة المخزن'!B850, المشتريات!I:I)=0,"",SUMIF(المشتريات!C:C, 'حركة المخزن'!B850, المشتريات!I:I)),"")</f>
        <v/>
      </c>
      <c r="I850" s="10" t="str">
        <f>IFERROR(IF(SUMIF('تحليل مبيعات'!C:C, 'حركة المخزن'!B850, 'تحليل مبيعات'!H:H)=0,"",SUMIF('تحليل مبيعات'!C:C, 'حركة المخزن'!B850, 'تحليل مبيعات'!H:H)),"")</f>
        <v/>
      </c>
      <c r="J850" s="10" t="str">
        <f>IFERROR(IF(SUMIF('تحليل مبيعات'!C:C, 'حركة المخزن'!B850, 'تحليل مبيعات'!L:L)=0,"",SUMIF('تحليل مبيعات'!C:C, 'حركة المخزن'!B850, 'تحليل مبيعات'!L:L)),"")</f>
        <v/>
      </c>
      <c r="K850" s="10" t="str">
        <f t="shared" si="45"/>
        <v/>
      </c>
      <c r="L850" s="10" t="str">
        <f t="shared" si="46"/>
        <v/>
      </c>
      <c r="M850">
        <v>5</v>
      </c>
      <c r="N850" t="str">
        <f t="shared" si="47"/>
        <v>يوجد رصيد كافى</v>
      </c>
    </row>
    <row r="851" spans="7:14" x14ac:dyDescent="0.3">
      <c r="G851" t="str">
        <f>IFERROR(IF(SUMIF(المشتريات!C:C, 'حركة المخزن'!B851, المشتريات!F:F)=0,"",SUMIF(المشتريات!C:C, 'حركة المخزن'!B851, المشتريات!F:F)),"")</f>
        <v/>
      </c>
      <c r="H851" s="10" t="str">
        <f>IFERROR(IF(SUMIF(المشتريات!C:C, 'حركة المخزن'!B851, المشتريات!I:I)=0,"",SUMIF(المشتريات!C:C, 'حركة المخزن'!B851, المشتريات!I:I)),"")</f>
        <v/>
      </c>
      <c r="I851" s="10" t="str">
        <f>IFERROR(IF(SUMIF('تحليل مبيعات'!C:C, 'حركة المخزن'!B851, 'تحليل مبيعات'!H:H)=0,"",SUMIF('تحليل مبيعات'!C:C, 'حركة المخزن'!B851, 'تحليل مبيعات'!H:H)),"")</f>
        <v/>
      </c>
      <c r="J851" s="10" t="str">
        <f>IFERROR(IF(SUMIF('تحليل مبيعات'!C:C, 'حركة المخزن'!B851, 'تحليل مبيعات'!L:L)=0,"",SUMIF('تحليل مبيعات'!C:C, 'حركة المخزن'!B851, 'تحليل مبيعات'!L:L)),"")</f>
        <v/>
      </c>
      <c r="K851" s="10" t="str">
        <f t="shared" si="45"/>
        <v/>
      </c>
      <c r="L851" s="10" t="str">
        <f t="shared" si="46"/>
        <v/>
      </c>
      <c r="M851">
        <v>5</v>
      </c>
      <c r="N851" t="str">
        <f t="shared" si="47"/>
        <v>يوجد رصيد كافى</v>
      </c>
    </row>
    <row r="852" spans="7:14" x14ac:dyDescent="0.3">
      <c r="G852" t="str">
        <f>IFERROR(IF(SUMIF(المشتريات!C:C, 'حركة المخزن'!B852, المشتريات!F:F)=0,"",SUMIF(المشتريات!C:C, 'حركة المخزن'!B852, المشتريات!F:F)),"")</f>
        <v/>
      </c>
      <c r="H852" s="10" t="str">
        <f>IFERROR(IF(SUMIF(المشتريات!C:C, 'حركة المخزن'!B852, المشتريات!I:I)=0,"",SUMIF(المشتريات!C:C, 'حركة المخزن'!B852, المشتريات!I:I)),"")</f>
        <v/>
      </c>
      <c r="I852" s="10" t="str">
        <f>IFERROR(IF(SUMIF('تحليل مبيعات'!C:C, 'حركة المخزن'!B852, 'تحليل مبيعات'!H:H)=0,"",SUMIF('تحليل مبيعات'!C:C, 'حركة المخزن'!B852, 'تحليل مبيعات'!H:H)),"")</f>
        <v/>
      </c>
      <c r="J852" s="10" t="str">
        <f>IFERROR(IF(SUMIF('تحليل مبيعات'!C:C, 'حركة المخزن'!B852, 'تحليل مبيعات'!L:L)=0,"",SUMIF('تحليل مبيعات'!C:C, 'حركة المخزن'!B852, 'تحليل مبيعات'!L:L)),"")</f>
        <v/>
      </c>
      <c r="K852" s="10" t="str">
        <f t="shared" si="45"/>
        <v/>
      </c>
      <c r="L852" s="10" t="str">
        <f t="shared" si="46"/>
        <v/>
      </c>
      <c r="M852">
        <v>5</v>
      </c>
      <c r="N852" t="str">
        <f t="shared" si="47"/>
        <v>يوجد رصيد كافى</v>
      </c>
    </row>
    <row r="853" spans="7:14" x14ac:dyDescent="0.3">
      <c r="G853" t="str">
        <f>IFERROR(IF(SUMIF(المشتريات!C:C, 'حركة المخزن'!B853, المشتريات!F:F)=0,"",SUMIF(المشتريات!C:C, 'حركة المخزن'!B853, المشتريات!F:F)),"")</f>
        <v/>
      </c>
      <c r="H853" s="10" t="str">
        <f>IFERROR(IF(SUMIF(المشتريات!C:C, 'حركة المخزن'!B853, المشتريات!I:I)=0,"",SUMIF(المشتريات!C:C, 'حركة المخزن'!B853, المشتريات!I:I)),"")</f>
        <v/>
      </c>
      <c r="I853" s="10" t="str">
        <f>IFERROR(IF(SUMIF('تحليل مبيعات'!C:C, 'حركة المخزن'!B853, 'تحليل مبيعات'!H:H)=0,"",SUMIF('تحليل مبيعات'!C:C, 'حركة المخزن'!B853, 'تحليل مبيعات'!H:H)),"")</f>
        <v/>
      </c>
      <c r="J853" s="10" t="str">
        <f>IFERROR(IF(SUMIF('تحليل مبيعات'!C:C, 'حركة المخزن'!B853, 'تحليل مبيعات'!L:L)=0,"",SUMIF('تحليل مبيعات'!C:C, 'حركة المخزن'!B853, 'تحليل مبيعات'!L:L)),"")</f>
        <v/>
      </c>
      <c r="K853" s="10" t="str">
        <f t="shared" si="45"/>
        <v/>
      </c>
      <c r="L853" s="10" t="str">
        <f t="shared" si="46"/>
        <v/>
      </c>
      <c r="M853">
        <v>5</v>
      </c>
      <c r="N853" t="str">
        <f t="shared" si="47"/>
        <v>يوجد رصيد كافى</v>
      </c>
    </row>
    <row r="854" spans="7:14" x14ac:dyDescent="0.3">
      <c r="G854" t="str">
        <f>IFERROR(IF(SUMIF(المشتريات!C:C, 'حركة المخزن'!B854, المشتريات!F:F)=0,"",SUMIF(المشتريات!C:C, 'حركة المخزن'!B854, المشتريات!F:F)),"")</f>
        <v/>
      </c>
      <c r="H854" s="10" t="str">
        <f>IFERROR(IF(SUMIF(المشتريات!C:C, 'حركة المخزن'!B854, المشتريات!I:I)=0,"",SUMIF(المشتريات!C:C, 'حركة المخزن'!B854, المشتريات!I:I)),"")</f>
        <v/>
      </c>
      <c r="I854" s="10" t="str">
        <f>IFERROR(IF(SUMIF('تحليل مبيعات'!C:C, 'حركة المخزن'!B854, 'تحليل مبيعات'!H:H)=0,"",SUMIF('تحليل مبيعات'!C:C, 'حركة المخزن'!B854, 'تحليل مبيعات'!H:H)),"")</f>
        <v/>
      </c>
      <c r="J854" s="10" t="str">
        <f>IFERROR(IF(SUMIF('تحليل مبيعات'!C:C, 'حركة المخزن'!B854, 'تحليل مبيعات'!L:L)=0,"",SUMIF('تحليل مبيعات'!C:C, 'حركة المخزن'!B854, 'تحليل مبيعات'!L:L)),"")</f>
        <v/>
      </c>
      <c r="K854" s="10" t="str">
        <f t="shared" si="45"/>
        <v/>
      </c>
      <c r="L854" s="10" t="str">
        <f t="shared" si="46"/>
        <v/>
      </c>
      <c r="M854">
        <v>5</v>
      </c>
      <c r="N854" t="str">
        <f t="shared" si="47"/>
        <v>يوجد رصيد كافى</v>
      </c>
    </row>
    <row r="855" spans="7:14" x14ac:dyDescent="0.3">
      <c r="G855" t="str">
        <f>IFERROR(IF(SUMIF(المشتريات!C:C, 'حركة المخزن'!B855, المشتريات!F:F)=0,"",SUMIF(المشتريات!C:C, 'حركة المخزن'!B855, المشتريات!F:F)),"")</f>
        <v/>
      </c>
      <c r="H855" s="10" t="str">
        <f>IFERROR(IF(SUMIF(المشتريات!C:C, 'حركة المخزن'!B855, المشتريات!I:I)=0,"",SUMIF(المشتريات!C:C, 'حركة المخزن'!B855, المشتريات!I:I)),"")</f>
        <v/>
      </c>
      <c r="I855" s="10" t="str">
        <f>IFERROR(IF(SUMIF('تحليل مبيعات'!C:C, 'حركة المخزن'!B855, 'تحليل مبيعات'!H:H)=0,"",SUMIF('تحليل مبيعات'!C:C, 'حركة المخزن'!B855, 'تحليل مبيعات'!H:H)),"")</f>
        <v/>
      </c>
      <c r="J855" s="10" t="str">
        <f>IFERROR(IF(SUMIF('تحليل مبيعات'!C:C, 'حركة المخزن'!B855, 'تحليل مبيعات'!L:L)=0,"",SUMIF('تحليل مبيعات'!C:C, 'حركة المخزن'!B855, 'تحليل مبيعات'!L:L)),"")</f>
        <v/>
      </c>
      <c r="K855" s="10" t="str">
        <f t="shared" si="45"/>
        <v/>
      </c>
      <c r="L855" s="10" t="str">
        <f t="shared" si="46"/>
        <v/>
      </c>
      <c r="M855">
        <v>5</v>
      </c>
      <c r="N855" t="str">
        <f t="shared" si="47"/>
        <v>يوجد رصيد كافى</v>
      </c>
    </row>
    <row r="856" spans="7:14" x14ac:dyDescent="0.3">
      <c r="G856" t="str">
        <f>IFERROR(IF(SUMIF(المشتريات!C:C, 'حركة المخزن'!B856, المشتريات!F:F)=0,"",SUMIF(المشتريات!C:C, 'حركة المخزن'!B856, المشتريات!F:F)),"")</f>
        <v/>
      </c>
      <c r="H856" s="10" t="str">
        <f>IFERROR(IF(SUMIF(المشتريات!C:C, 'حركة المخزن'!B856, المشتريات!I:I)=0,"",SUMIF(المشتريات!C:C, 'حركة المخزن'!B856, المشتريات!I:I)),"")</f>
        <v/>
      </c>
      <c r="I856" s="10" t="str">
        <f>IFERROR(IF(SUMIF('تحليل مبيعات'!C:C, 'حركة المخزن'!B856, 'تحليل مبيعات'!H:H)=0,"",SUMIF('تحليل مبيعات'!C:C, 'حركة المخزن'!B856, 'تحليل مبيعات'!H:H)),"")</f>
        <v/>
      </c>
      <c r="J856" s="10" t="str">
        <f>IFERROR(IF(SUMIF('تحليل مبيعات'!C:C, 'حركة المخزن'!B856, 'تحليل مبيعات'!L:L)=0,"",SUMIF('تحليل مبيعات'!C:C, 'حركة المخزن'!B856, 'تحليل مبيعات'!L:L)),"")</f>
        <v/>
      </c>
      <c r="K856" s="10" t="str">
        <f t="shared" si="45"/>
        <v/>
      </c>
      <c r="L856" s="10" t="str">
        <f t="shared" si="46"/>
        <v/>
      </c>
      <c r="M856">
        <v>5</v>
      </c>
      <c r="N856" t="str">
        <f t="shared" si="47"/>
        <v>يوجد رصيد كافى</v>
      </c>
    </row>
    <row r="857" spans="7:14" x14ac:dyDescent="0.3">
      <c r="G857" t="str">
        <f>IFERROR(IF(SUMIF(المشتريات!C:C, 'حركة المخزن'!B857, المشتريات!F:F)=0,"",SUMIF(المشتريات!C:C, 'حركة المخزن'!B857, المشتريات!F:F)),"")</f>
        <v/>
      </c>
      <c r="H857" s="10" t="str">
        <f>IFERROR(IF(SUMIF(المشتريات!C:C, 'حركة المخزن'!B857, المشتريات!I:I)=0,"",SUMIF(المشتريات!C:C, 'حركة المخزن'!B857, المشتريات!I:I)),"")</f>
        <v/>
      </c>
      <c r="I857" s="10" t="str">
        <f>IFERROR(IF(SUMIF('تحليل مبيعات'!C:C, 'حركة المخزن'!B857, 'تحليل مبيعات'!H:H)=0,"",SUMIF('تحليل مبيعات'!C:C, 'حركة المخزن'!B857, 'تحليل مبيعات'!H:H)),"")</f>
        <v/>
      </c>
      <c r="J857" s="10" t="str">
        <f>IFERROR(IF(SUMIF('تحليل مبيعات'!C:C, 'حركة المخزن'!B857, 'تحليل مبيعات'!L:L)=0,"",SUMIF('تحليل مبيعات'!C:C, 'حركة المخزن'!B857, 'تحليل مبيعات'!L:L)),"")</f>
        <v/>
      </c>
      <c r="K857" s="10" t="str">
        <f t="shared" si="45"/>
        <v/>
      </c>
      <c r="L857" s="10" t="str">
        <f t="shared" si="46"/>
        <v/>
      </c>
      <c r="M857">
        <v>5</v>
      </c>
      <c r="N857" t="str">
        <f t="shared" si="47"/>
        <v>يوجد رصيد كافى</v>
      </c>
    </row>
    <row r="858" spans="7:14" x14ac:dyDescent="0.3">
      <c r="G858" t="str">
        <f>IFERROR(IF(SUMIF(المشتريات!C:C, 'حركة المخزن'!B858, المشتريات!F:F)=0,"",SUMIF(المشتريات!C:C, 'حركة المخزن'!B858, المشتريات!F:F)),"")</f>
        <v/>
      </c>
      <c r="H858" s="10" t="str">
        <f>IFERROR(IF(SUMIF(المشتريات!C:C, 'حركة المخزن'!B858, المشتريات!I:I)=0,"",SUMIF(المشتريات!C:C, 'حركة المخزن'!B858, المشتريات!I:I)),"")</f>
        <v/>
      </c>
      <c r="I858" s="10" t="str">
        <f>IFERROR(IF(SUMIF('تحليل مبيعات'!C:C, 'حركة المخزن'!B858, 'تحليل مبيعات'!H:H)=0,"",SUMIF('تحليل مبيعات'!C:C, 'حركة المخزن'!B858, 'تحليل مبيعات'!H:H)),"")</f>
        <v/>
      </c>
      <c r="J858" s="10" t="str">
        <f>IFERROR(IF(SUMIF('تحليل مبيعات'!C:C, 'حركة المخزن'!B858, 'تحليل مبيعات'!L:L)=0,"",SUMIF('تحليل مبيعات'!C:C, 'حركة المخزن'!B858, 'تحليل مبيعات'!L:L)),"")</f>
        <v/>
      </c>
      <c r="K858" s="10" t="str">
        <f t="shared" si="45"/>
        <v/>
      </c>
      <c r="L858" s="10" t="str">
        <f t="shared" si="46"/>
        <v/>
      </c>
      <c r="M858">
        <v>5</v>
      </c>
      <c r="N858" t="str">
        <f t="shared" si="47"/>
        <v>يوجد رصيد كافى</v>
      </c>
    </row>
    <row r="859" spans="7:14" x14ac:dyDescent="0.3">
      <c r="G859" t="str">
        <f>IFERROR(IF(SUMIF(المشتريات!C:C, 'حركة المخزن'!B859, المشتريات!F:F)=0,"",SUMIF(المشتريات!C:C, 'حركة المخزن'!B859, المشتريات!F:F)),"")</f>
        <v/>
      </c>
      <c r="H859" s="10" t="str">
        <f>IFERROR(IF(SUMIF(المشتريات!C:C, 'حركة المخزن'!B859, المشتريات!I:I)=0,"",SUMIF(المشتريات!C:C, 'حركة المخزن'!B859, المشتريات!I:I)),"")</f>
        <v/>
      </c>
      <c r="I859" s="10" t="str">
        <f>IFERROR(IF(SUMIF('تحليل مبيعات'!C:C, 'حركة المخزن'!B859, 'تحليل مبيعات'!H:H)=0,"",SUMIF('تحليل مبيعات'!C:C, 'حركة المخزن'!B859, 'تحليل مبيعات'!H:H)),"")</f>
        <v/>
      </c>
      <c r="J859" s="10" t="str">
        <f>IFERROR(IF(SUMIF('تحليل مبيعات'!C:C, 'حركة المخزن'!B859, 'تحليل مبيعات'!L:L)=0,"",SUMIF('تحليل مبيعات'!C:C, 'حركة المخزن'!B859, 'تحليل مبيعات'!L:L)),"")</f>
        <v/>
      </c>
      <c r="K859" s="10" t="str">
        <f t="shared" si="45"/>
        <v/>
      </c>
      <c r="L859" s="10" t="str">
        <f t="shared" si="46"/>
        <v/>
      </c>
      <c r="M859">
        <v>5</v>
      </c>
      <c r="N859" t="str">
        <f t="shared" si="47"/>
        <v>يوجد رصيد كافى</v>
      </c>
    </row>
    <row r="860" spans="7:14" x14ac:dyDescent="0.3">
      <c r="G860" t="str">
        <f>IFERROR(IF(SUMIF(المشتريات!C:C, 'حركة المخزن'!B860, المشتريات!F:F)=0,"",SUMIF(المشتريات!C:C, 'حركة المخزن'!B860, المشتريات!F:F)),"")</f>
        <v/>
      </c>
      <c r="H860" s="10" t="str">
        <f>IFERROR(IF(SUMIF(المشتريات!C:C, 'حركة المخزن'!B860, المشتريات!I:I)=0,"",SUMIF(المشتريات!C:C, 'حركة المخزن'!B860, المشتريات!I:I)),"")</f>
        <v/>
      </c>
      <c r="I860" s="10" t="str">
        <f>IFERROR(IF(SUMIF('تحليل مبيعات'!C:C, 'حركة المخزن'!B860, 'تحليل مبيعات'!H:H)=0,"",SUMIF('تحليل مبيعات'!C:C, 'حركة المخزن'!B860, 'تحليل مبيعات'!H:H)),"")</f>
        <v/>
      </c>
      <c r="J860" s="10" t="str">
        <f>IFERROR(IF(SUMIF('تحليل مبيعات'!C:C, 'حركة المخزن'!B860, 'تحليل مبيعات'!L:L)=0,"",SUMIF('تحليل مبيعات'!C:C, 'حركة المخزن'!B860, 'تحليل مبيعات'!L:L)),"")</f>
        <v/>
      </c>
      <c r="K860" s="10" t="str">
        <f t="shared" si="45"/>
        <v/>
      </c>
      <c r="L860" s="10" t="str">
        <f t="shared" si="46"/>
        <v/>
      </c>
      <c r="M860">
        <v>5</v>
      </c>
      <c r="N860" t="str">
        <f t="shared" si="47"/>
        <v>يوجد رصيد كافى</v>
      </c>
    </row>
    <row r="861" spans="7:14" x14ac:dyDescent="0.3">
      <c r="G861" t="str">
        <f>IFERROR(IF(SUMIF(المشتريات!C:C, 'حركة المخزن'!B861, المشتريات!F:F)=0,"",SUMIF(المشتريات!C:C, 'حركة المخزن'!B861, المشتريات!F:F)),"")</f>
        <v/>
      </c>
      <c r="H861" s="10" t="str">
        <f>IFERROR(IF(SUMIF(المشتريات!C:C, 'حركة المخزن'!B861, المشتريات!I:I)=0,"",SUMIF(المشتريات!C:C, 'حركة المخزن'!B861, المشتريات!I:I)),"")</f>
        <v/>
      </c>
      <c r="I861" s="10" t="str">
        <f>IFERROR(IF(SUMIF('تحليل مبيعات'!C:C, 'حركة المخزن'!B861, 'تحليل مبيعات'!H:H)=0,"",SUMIF('تحليل مبيعات'!C:C, 'حركة المخزن'!B861, 'تحليل مبيعات'!H:H)),"")</f>
        <v/>
      </c>
      <c r="J861" s="10" t="str">
        <f>IFERROR(IF(SUMIF('تحليل مبيعات'!C:C, 'حركة المخزن'!B861, 'تحليل مبيعات'!L:L)=0,"",SUMIF('تحليل مبيعات'!C:C, 'حركة المخزن'!B861, 'تحليل مبيعات'!L:L)),"")</f>
        <v/>
      </c>
      <c r="K861" s="10" t="str">
        <f t="shared" si="45"/>
        <v/>
      </c>
      <c r="L861" s="10" t="str">
        <f t="shared" si="46"/>
        <v/>
      </c>
      <c r="M861">
        <v>5</v>
      </c>
      <c r="N861" t="str">
        <f t="shared" si="47"/>
        <v>يوجد رصيد كافى</v>
      </c>
    </row>
    <row r="862" spans="7:14" x14ac:dyDescent="0.3">
      <c r="G862" t="str">
        <f>IFERROR(IF(SUMIF(المشتريات!C:C, 'حركة المخزن'!B862, المشتريات!F:F)=0,"",SUMIF(المشتريات!C:C, 'حركة المخزن'!B862, المشتريات!F:F)),"")</f>
        <v/>
      </c>
      <c r="H862" s="10" t="str">
        <f>IFERROR(IF(SUMIF(المشتريات!C:C, 'حركة المخزن'!B862, المشتريات!I:I)=0,"",SUMIF(المشتريات!C:C, 'حركة المخزن'!B862, المشتريات!I:I)),"")</f>
        <v/>
      </c>
      <c r="I862" s="10" t="str">
        <f>IFERROR(IF(SUMIF('تحليل مبيعات'!C:C, 'حركة المخزن'!B862, 'تحليل مبيعات'!H:H)=0,"",SUMIF('تحليل مبيعات'!C:C, 'حركة المخزن'!B862, 'تحليل مبيعات'!H:H)),"")</f>
        <v/>
      </c>
      <c r="J862" s="10" t="str">
        <f>IFERROR(IF(SUMIF('تحليل مبيعات'!C:C, 'حركة المخزن'!B862, 'تحليل مبيعات'!L:L)=0,"",SUMIF('تحليل مبيعات'!C:C, 'حركة المخزن'!B862, 'تحليل مبيعات'!L:L)),"")</f>
        <v/>
      </c>
      <c r="K862" s="10" t="str">
        <f t="shared" si="45"/>
        <v/>
      </c>
      <c r="L862" s="10" t="str">
        <f t="shared" si="46"/>
        <v/>
      </c>
      <c r="M862">
        <v>5</v>
      </c>
      <c r="N862" t="str">
        <f t="shared" si="47"/>
        <v>يوجد رصيد كافى</v>
      </c>
    </row>
    <row r="863" spans="7:14" x14ac:dyDescent="0.3">
      <c r="G863" t="str">
        <f>IFERROR(IF(SUMIF(المشتريات!C:C, 'حركة المخزن'!B863, المشتريات!F:F)=0,"",SUMIF(المشتريات!C:C, 'حركة المخزن'!B863, المشتريات!F:F)),"")</f>
        <v/>
      </c>
      <c r="H863" s="10" t="str">
        <f>IFERROR(IF(SUMIF(المشتريات!C:C, 'حركة المخزن'!B863, المشتريات!I:I)=0,"",SUMIF(المشتريات!C:C, 'حركة المخزن'!B863, المشتريات!I:I)),"")</f>
        <v/>
      </c>
      <c r="I863" s="10" t="str">
        <f>IFERROR(IF(SUMIF('تحليل مبيعات'!C:C, 'حركة المخزن'!B863, 'تحليل مبيعات'!H:H)=0,"",SUMIF('تحليل مبيعات'!C:C, 'حركة المخزن'!B863, 'تحليل مبيعات'!H:H)),"")</f>
        <v/>
      </c>
      <c r="J863" s="10" t="str">
        <f>IFERROR(IF(SUMIF('تحليل مبيعات'!C:C, 'حركة المخزن'!B863, 'تحليل مبيعات'!L:L)=0,"",SUMIF('تحليل مبيعات'!C:C, 'حركة المخزن'!B863, 'تحليل مبيعات'!L:L)),"")</f>
        <v/>
      </c>
      <c r="K863" s="10" t="str">
        <f t="shared" si="45"/>
        <v/>
      </c>
      <c r="L863" s="10" t="str">
        <f t="shared" si="46"/>
        <v/>
      </c>
      <c r="M863">
        <v>5</v>
      </c>
      <c r="N863" t="str">
        <f t="shared" si="47"/>
        <v>يوجد رصيد كافى</v>
      </c>
    </row>
    <row r="864" spans="7:14" x14ac:dyDescent="0.3">
      <c r="G864" t="str">
        <f>IFERROR(IF(SUMIF(المشتريات!C:C, 'حركة المخزن'!B864, المشتريات!F:F)=0,"",SUMIF(المشتريات!C:C, 'حركة المخزن'!B864, المشتريات!F:F)),"")</f>
        <v/>
      </c>
      <c r="H864" s="10" t="str">
        <f>IFERROR(IF(SUMIF(المشتريات!C:C, 'حركة المخزن'!B864, المشتريات!I:I)=0,"",SUMIF(المشتريات!C:C, 'حركة المخزن'!B864, المشتريات!I:I)),"")</f>
        <v/>
      </c>
      <c r="I864" s="10" t="str">
        <f>IFERROR(IF(SUMIF('تحليل مبيعات'!C:C, 'حركة المخزن'!B864, 'تحليل مبيعات'!H:H)=0,"",SUMIF('تحليل مبيعات'!C:C, 'حركة المخزن'!B864, 'تحليل مبيعات'!H:H)),"")</f>
        <v/>
      </c>
      <c r="J864" s="10" t="str">
        <f>IFERROR(IF(SUMIF('تحليل مبيعات'!C:C, 'حركة المخزن'!B864, 'تحليل مبيعات'!L:L)=0,"",SUMIF('تحليل مبيعات'!C:C, 'حركة المخزن'!B864, 'تحليل مبيعات'!L:L)),"")</f>
        <v/>
      </c>
      <c r="K864" s="10" t="str">
        <f t="shared" si="45"/>
        <v/>
      </c>
      <c r="L864" s="10" t="str">
        <f t="shared" si="46"/>
        <v/>
      </c>
      <c r="M864">
        <v>5</v>
      </c>
      <c r="N864" t="str">
        <f t="shared" si="47"/>
        <v>يوجد رصيد كافى</v>
      </c>
    </row>
    <row r="865" spans="7:14" x14ac:dyDescent="0.3">
      <c r="G865" t="str">
        <f>IFERROR(IF(SUMIF(المشتريات!C:C, 'حركة المخزن'!B865, المشتريات!F:F)=0,"",SUMIF(المشتريات!C:C, 'حركة المخزن'!B865, المشتريات!F:F)),"")</f>
        <v/>
      </c>
      <c r="H865" s="10" t="str">
        <f>IFERROR(IF(SUMIF(المشتريات!C:C, 'حركة المخزن'!B865, المشتريات!I:I)=0,"",SUMIF(المشتريات!C:C, 'حركة المخزن'!B865, المشتريات!I:I)),"")</f>
        <v/>
      </c>
      <c r="I865" s="10" t="str">
        <f>IFERROR(IF(SUMIF('تحليل مبيعات'!C:C, 'حركة المخزن'!B865, 'تحليل مبيعات'!H:H)=0,"",SUMIF('تحليل مبيعات'!C:C, 'حركة المخزن'!B865, 'تحليل مبيعات'!H:H)),"")</f>
        <v/>
      </c>
      <c r="J865" s="10" t="str">
        <f>IFERROR(IF(SUMIF('تحليل مبيعات'!C:C, 'حركة المخزن'!B865, 'تحليل مبيعات'!L:L)=0,"",SUMIF('تحليل مبيعات'!C:C, 'حركة المخزن'!B865, 'تحليل مبيعات'!L:L)),"")</f>
        <v/>
      </c>
      <c r="K865" s="10" t="str">
        <f t="shared" si="45"/>
        <v/>
      </c>
      <c r="L865" s="10" t="str">
        <f t="shared" si="46"/>
        <v/>
      </c>
      <c r="M865">
        <v>5</v>
      </c>
      <c r="N865" t="str">
        <f t="shared" si="47"/>
        <v>يوجد رصيد كافى</v>
      </c>
    </row>
    <row r="866" spans="7:14" x14ac:dyDescent="0.3">
      <c r="G866" t="str">
        <f>IFERROR(IF(SUMIF(المشتريات!C:C, 'حركة المخزن'!B866, المشتريات!F:F)=0,"",SUMIF(المشتريات!C:C, 'حركة المخزن'!B866, المشتريات!F:F)),"")</f>
        <v/>
      </c>
      <c r="H866" s="10" t="str">
        <f>IFERROR(IF(SUMIF(المشتريات!C:C, 'حركة المخزن'!B866, المشتريات!I:I)=0,"",SUMIF(المشتريات!C:C, 'حركة المخزن'!B866, المشتريات!I:I)),"")</f>
        <v/>
      </c>
      <c r="I866" s="10" t="str">
        <f>IFERROR(IF(SUMIF('تحليل مبيعات'!C:C, 'حركة المخزن'!B866, 'تحليل مبيعات'!H:H)=0,"",SUMIF('تحليل مبيعات'!C:C, 'حركة المخزن'!B866, 'تحليل مبيعات'!H:H)),"")</f>
        <v/>
      </c>
      <c r="J866" s="10" t="str">
        <f>IFERROR(IF(SUMIF('تحليل مبيعات'!C:C, 'حركة المخزن'!B866, 'تحليل مبيعات'!L:L)=0,"",SUMIF('تحليل مبيعات'!C:C, 'حركة المخزن'!B866, 'تحليل مبيعات'!L:L)),"")</f>
        <v/>
      </c>
      <c r="K866" s="10" t="str">
        <f t="shared" si="45"/>
        <v/>
      </c>
      <c r="L866" s="10" t="str">
        <f t="shared" si="46"/>
        <v/>
      </c>
      <c r="M866">
        <v>5</v>
      </c>
      <c r="N866" t="str">
        <f t="shared" si="47"/>
        <v>يوجد رصيد كافى</v>
      </c>
    </row>
    <row r="867" spans="7:14" x14ac:dyDescent="0.3">
      <c r="G867" t="str">
        <f>IFERROR(IF(SUMIF(المشتريات!C:C, 'حركة المخزن'!B867, المشتريات!F:F)=0,"",SUMIF(المشتريات!C:C, 'حركة المخزن'!B867, المشتريات!F:F)),"")</f>
        <v/>
      </c>
      <c r="H867" s="10" t="str">
        <f>IFERROR(IF(SUMIF(المشتريات!C:C, 'حركة المخزن'!B867, المشتريات!I:I)=0,"",SUMIF(المشتريات!C:C, 'حركة المخزن'!B867, المشتريات!I:I)),"")</f>
        <v/>
      </c>
      <c r="I867" s="10" t="str">
        <f>IFERROR(IF(SUMIF('تحليل مبيعات'!C:C, 'حركة المخزن'!B867, 'تحليل مبيعات'!H:H)=0,"",SUMIF('تحليل مبيعات'!C:C, 'حركة المخزن'!B867, 'تحليل مبيعات'!H:H)),"")</f>
        <v/>
      </c>
      <c r="J867" s="10" t="str">
        <f>IFERROR(IF(SUMIF('تحليل مبيعات'!C:C, 'حركة المخزن'!B867, 'تحليل مبيعات'!L:L)=0,"",SUMIF('تحليل مبيعات'!C:C, 'حركة المخزن'!B867, 'تحليل مبيعات'!L:L)),"")</f>
        <v/>
      </c>
      <c r="K867" s="10" t="str">
        <f t="shared" si="45"/>
        <v/>
      </c>
      <c r="L867" s="10" t="str">
        <f t="shared" si="46"/>
        <v/>
      </c>
      <c r="M867">
        <v>5</v>
      </c>
      <c r="N867" t="str">
        <f t="shared" si="47"/>
        <v>يوجد رصيد كافى</v>
      </c>
    </row>
    <row r="868" spans="7:14" x14ac:dyDescent="0.3">
      <c r="G868" t="str">
        <f>IFERROR(IF(SUMIF(المشتريات!C:C, 'حركة المخزن'!B868, المشتريات!F:F)=0,"",SUMIF(المشتريات!C:C, 'حركة المخزن'!B868, المشتريات!F:F)),"")</f>
        <v/>
      </c>
      <c r="H868" s="10" t="str">
        <f>IFERROR(IF(SUMIF(المشتريات!C:C, 'حركة المخزن'!B868, المشتريات!I:I)=0,"",SUMIF(المشتريات!C:C, 'حركة المخزن'!B868, المشتريات!I:I)),"")</f>
        <v/>
      </c>
      <c r="I868" s="10" t="str">
        <f>IFERROR(IF(SUMIF('تحليل مبيعات'!C:C, 'حركة المخزن'!B868, 'تحليل مبيعات'!H:H)=0,"",SUMIF('تحليل مبيعات'!C:C, 'حركة المخزن'!B868, 'تحليل مبيعات'!H:H)),"")</f>
        <v/>
      </c>
      <c r="J868" s="10" t="str">
        <f>IFERROR(IF(SUMIF('تحليل مبيعات'!C:C, 'حركة المخزن'!B868, 'تحليل مبيعات'!L:L)=0,"",SUMIF('تحليل مبيعات'!C:C, 'حركة المخزن'!B868, 'تحليل مبيعات'!L:L)),"")</f>
        <v/>
      </c>
      <c r="K868" s="10" t="str">
        <f t="shared" si="45"/>
        <v/>
      </c>
      <c r="L868" s="10" t="str">
        <f t="shared" si="46"/>
        <v/>
      </c>
      <c r="M868">
        <v>5</v>
      </c>
      <c r="N868" t="str">
        <f t="shared" si="47"/>
        <v>يوجد رصيد كافى</v>
      </c>
    </row>
    <row r="869" spans="7:14" x14ac:dyDescent="0.3">
      <c r="G869" t="str">
        <f>IFERROR(IF(SUMIF(المشتريات!C:C, 'حركة المخزن'!B869, المشتريات!F:F)=0,"",SUMIF(المشتريات!C:C, 'حركة المخزن'!B869, المشتريات!F:F)),"")</f>
        <v/>
      </c>
      <c r="H869" s="10" t="str">
        <f>IFERROR(IF(SUMIF(المشتريات!C:C, 'حركة المخزن'!B869, المشتريات!I:I)=0,"",SUMIF(المشتريات!C:C, 'حركة المخزن'!B869, المشتريات!I:I)),"")</f>
        <v/>
      </c>
      <c r="I869" s="10" t="str">
        <f>IFERROR(IF(SUMIF('تحليل مبيعات'!C:C, 'حركة المخزن'!B869, 'تحليل مبيعات'!H:H)=0,"",SUMIF('تحليل مبيعات'!C:C, 'حركة المخزن'!B869, 'تحليل مبيعات'!H:H)),"")</f>
        <v/>
      </c>
      <c r="J869" s="10" t="str">
        <f>IFERROR(IF(SUMIF('تحليل مبيعات'!C:C, 'حركة المخزن'!B869, 'تحليل مبيعات'!L:L)=0,"",SUMIF('تحليل مبيعات'!C:C, 'حركة المخزن'!B869, 'تحليل مبيعات'!L:L)),"")</f>
        <v/>
      </c>
      <c r="K869" s="10" t="str">
        <f t="shared" si="45"/>
        <v/>
      </c>
      <c r="L869" s="10" t="str">
        <f t="shared" si="46"/>
        <v/>
      </c>
      <c r="M869">
        <v>5</v>
      </c>
      <c r="N869" t="str">
        <f t="shared" si="47"/>
        <v>يوجد رصيد كافى</v>
      </c>
    </row>
    <row r="870" spans="7:14" x14ac:dyDescent="0.3">
      <c r="G870" t="str">
        <f>IFERROR(IF(SUMIF(المشتريات!C:C, 'حركة المخزن'!B870, المشتريات!F:F)=0,"",SUMIF(المشتريات!C:C, 'حركة المخزن'!B870, المشتريات!F:F)),"")</f>
        <v/>
      </c>
      <c r="H870" s="10" t="str">
        <f>IFERROR(IF(SUMIF(المشتريات!C:C, 'حركة المخزن'!B870, المشتريات!I:I)=0,"",SUMIF(المشتريات!C:C, 'حركة المخزن'!B870, المشتريات!I:I)),"")</f>
        <v/>
      </c>
      <c r="I870" s="10" t="str">
        <f>IFERROR(IF(SUMIF('تحليل مبيعات'!C:C, 'حركة المخزن'!B870, 'تحليل مبيعات'!H:H)=0,"",SUMIF('تحليل مبيعات'!C:C, 'حركة المخزن'!B870, 'تحليل مبيعات'!H:H)),"")</f>
        <v/>
      </c>
      <c r="J870" s="10" t="str">
        <f>IFERROR(IF(SUMIF('تحليل مبيعات'!C:C, 'حركة المخزن'!B870, 'تحليل مبيعات'!L:L)=0,"",SUMIF('تحليل مبيعات'!C:C, 'حركة المخزن'!B870, 'تحليل مبيعات'!L:L)),"")</f>
        <v/>
      </c>
      <c r="K870" s="10" t="str">
        <f t="shared" si="45"/>
        <v/>
      </c>
      <c r="L870" s="10" t="str">
        <f t="shared" si="46"/>
        <v/>
      </c>
      <c r="M870">
        <v>5</v>
      </c>
      <c r="N870" t="str">
        <f t="shared" si="47"/>
        <v>يوجد رصيد كافى</v>
      </c>
    </row>
    <row r="871" spans="7:14" x14ac:dyDescent="0.3">
      <c r="G871" t="str">
        <f>IFERROR(IF(SUMIF(المشتريات!C:C, 'حركة المخزن'!B871, المشتريات!F:F)=0,"",SUMIF(المشتريات!C:C, 'حركة المخزن'!B871, المشتريات!F:F)),"")</f>
        <v/>
      </c>
      <c r="H871" s="10" t="str">
        <f>IFERROR(IF(SUMIF(المشتريات!C:C, 'حركة المخزن'!B871, المشتريات!I:I)=0,"",SUMIF(المشتريات!C:C, 'حركة المخزن'!B871, المشتريات!I:I)),"")</f>
        <v/>
      </c>
      <c r="I871" s="10" t="str">
        <f>IFERROR(IF(SUMIF('تحليل مبيعات'!C:C, 'حركة المخزن'!B871, 'تحليل مبيعات'!H:H)=0,"",SUMIF('تحليل مبيعات'!C:C, 'حركة المخزن'!B871, 'تحليل مبيعات'!H:H)),"")</f>
        <v/>
      </c>
      <c r="J871" s="10" t="str">
        <f>IFERROR(IF(SUMIF('تحليل مبيعات'!C:C, 'حركة المخزن'!B871, 'تحليل مبيعات'!L:L)=0,"",SUMIF('تحليل مبيعات'!C:C, 'حركة المخزن'!B871, 'تحليل مبيعات'!L:L)),"")</f>
        <v/>
      </c>
      <c r="K871" s="10" t="str">
        <f t="shared" si="45"/>
        <v/>
      </c>
      <c r="L871" s="10" t="str">
        <f t="shared" si="46"/>
        <v/>
      </c>
      <c r="M871">
        <v>5</v>
      </c>
      <c r="N871" t="str">
        <f t="shared" si="47"/>
        <v>يوجد رصيد كافى</v>
      </c>
    </row>
    <row r="872" spans="7:14" x14ac:dyDescent="0.3">
      <c r="G872" t="str">
        <f>IFERROR(IF(SUMIF(المشتريات!C:C, 'حركة المخزن'!B872, المشتريات!F:F)=0,"",SUMIF(المشتريات!C:C, 'حركة المخزن'!B872, المشتريات!F:F)),"")</f>
        <v/>
      </c>
      <c r="H872" s="10" t="str">
        <f>IFERROR(IF(SUMIF(المشتريات!C:C, 'حركة المخزن'!B872, المشتريات!I:I)=0,"",SUMIF(المشتريات!C:C, 'حركة المخزن'!B872, المشتريات!I:I)),"")</f>
        <v/>
      </c>
      <c r="I872" s="10" t="str">
        <f>IFERROR(IF(SUMIF('تحليل مبيعات'!C:C, 'حركة المخزن'!B872, 'تحليل مبيعات'!H:H)=0,"",SUMIF('تحليل مبيعات'!C:C, 'حركة المخزن'!B872, 'تحليل مبيعات'!H:H)),"")</f>
        <v/>
      </c>
      <c r="J872" s="10" t="str">
        <f>IFERROR(IF(SUMIF('تحليل مبيعات'!C:C, 'حركة المخزن'!B872, 'تحليل مبيعات'!L:L)=0,"",SUMIF('تحليل مبيعات'!C:C, 'حركة المخزن'!B872, 'تحليل مبيعات'!L:L)),"")</f>
        <v/>
      </c>
      <c r="K872" s="10" t="str">
        <f t="shared" si="45"/>
        <v/>
      </c>
      <c r="L872" s="10" t="str">
        <f t="shared" si="46"/>
        <v/>
      </c>
      <c r="M872">
        <v>5</v>
      </c>
      <c r="N872" t="str">
        <f t="shared" si="47"/>
        <v>يوجد رصيد كافى</v>
      </c>
    </row>
    <row r="873" spans="7:14" x14ac:dyDescent="0.3">
      <c r="G873" t="str">
        <f>IFERROR(IF(SUMIF(المشتريات!C:C, 'حركة المخزن'!B873, المشتريات!F:F)=0,"",SUMIF(المشتريات!C:C, 'حركة المخزن'!B873, المشتريات!F:F)),"")</f>
        <v/>
      </c>
      <c r="H873" s="10" t="str">
        <f>IFERROR(IF(SUMIF(المشتريات!C:C, 'حركة المخزن'!B873, المشتريات!I:I)=0,"",SUMIF(المشتريات!C:C, 'حركة المخزن'!B873, المشتريات!I:I)),"")</f>
        <v/>
      </c>
      <c r="I873" s="10" t="str">
        <f>IFERROR(IF(SUMIF('تحليل مبيعات'!C:C, 'حركة المخزن'!B873, 'تحليل مبيعات'!H:H)=0,"",SUMIF('تحليل مبيعات'!C:C, 'حركة المخزن'!B873, 'تحليل مبيعات'!H:H)),"")</f>
        <v/>
      </c>
      <c r="J873" s="10" t="str">
        <f>IFERROR(IF(SUMIF('تحليل مبيعات'!C:C, 'حركة المخزن'!B873, 'تحليل مبيعات'!L:L)=0,"",SUMIF('تحليل مبيعات'!C:C, 'حركة المخزن'!B873, 'تحليل مبيعات'!L:L)),"")</f>
        <v/>
      </c>
      <c r="K873" s="10" t="str">
        <f t="shared" si="45"/>
        <v/>
      </c>
      <c r="L873" s="10" t="str">
        <f t="shared" si="46"/>
        <v/>
      </c>
      <c r="M873">
        <v>5</v>
      </c>
      <c r="N873" t="str">
        <f t="shared" si="47"/>
        <v>يوجد رصيد كافى</v>
      </c>
    </row>
    <row r="874" spans="7:14" x14ac:dyDescent="0.3">
      <c r="G874" t="str">
        <f>IFERROR(IF(SUMIF(المشتريات!C:C, 'حركة المخزن'!B874, المشتريات!F:F)=0,"",SUMIF(المشتريات!C:C, 'حركة المخزن'!B874, المشتريات!F:F)),"")</f>
        <v/>
      </c>
      <c r="H874" s="10" t="str">
        <f>IFERROR(IF(SUMIF(المشتريات!C:C, 'حركة المخزن'!B874, المشتريات!I:I)=0,"",SUMIF(المشتريات!C:C, 'حركة المخزن'!B874, المشتريات!I:I)),"")</f>
        <v/>
      </c>
      <c r="I874" s="10" t="str">
        <f>IFERROR(IF(SUMIF('تحليل مبيعات'!C:C, 'حركة المخزن'!B874, 'تحليل مبيعات'!H:H)=0,"",SUMIF('تحليل مبيعات'!C:C, 'حركة المخزن'!B874, 'تحليل مبيعات'!H:H)),"")</f>
        <v/>
      </c>
      <c r="J874" s="10" t="str">
        <f>IFERROR(IF(SUMIF('تحليل مبيعات'!C:C, 'حركة المخزن'!B874, 'تحليل مبيعات'!L:L)=0,"",SUMIF('تحليل مبيعات'!C:C, 'حركة المخزن'!B874, 'تحليل مبيعات'!L:L)),"")</f>
        <v/>
      </c>
      <c r="K874" s="10" t="str">
        <f t="shared" si="45"/>
        <v/>
      </c>
      <c r="L874" s="10" t="str">
        <f t="shared" si="46"/>
        <v/>
      </c>
      <c r="M874">
        <v>5</v>
      </c>
      <c r="N874" t="str">
        <f t="shared" si="47"/>
        <v>يوجد رصيد كافى</v>
      </c>
    </row>
    <row r="875" spans="7:14" x14ac:dyDescent="0.3">
      <c r="G875" t="str">
        <f>IFERROR(IF(SUMIF(المشتريات!C:C, 'حركة المخزن'!B875, المشتريات!F:F)=0,"",SUMIF(المشتريات!C:C, 'حركة المخزن'!B875, المشتريات!F:F)),"")</f>
        <v/>
      </c>
      <c r="H875" s="10" t="str">
        <f>IFERROR(IF(SUMIF(المشتريات!C:C, 'حركة المخزن'!B875, المشتريات!I:I)=0,"",SUMIF(المشتريات!C:C, 'حركة المخزن'!B875, المشتريات!I:I)),"")</f>
        <v/>
      </c>
      <c r="I875" s="10" t="str">
        <f>IFERROR(IF(SUMIF('تحليل مبيعات'!C:C, 'حركة المخزن'!B875, 'تحليل مبيعات'!H:H)=0,"",SUMIF('تحليل مبيعات'!C:C, 'حركة المخزن'!B875, 'تحليل مبيعات'!H:H)),"")</f>
        <v/>
      </c>
      <c r="J875" s="10" t="str">
        <f>IFERROR(IF(SUMIF('تحليل مبيعات'!C:C, 'حركة المخزن'!B875, 'تحليل مبيعات'!L:L)=0,"",SUMIF('تحليل مبيعات'!C:C, 'حركة المخزن'!B875, 'تحليل مبيعات'!L:L)),"")</f>
        <v/>
      </c>
      <c r="K875" s="10" t="str">
        <f t="shared" si="45"/>
        <v/>
      </c>
      <c r="L875" s="10" t="str">
        <f t="shared" si="46"/>
        <v/>
      </c>
      <c r="M875">
        <v>5</v>
      </c>
      <c r="N875" t="str">
        <f t="shared" si="47"/>
        <v>يوجد رصيد كافى</v>
      </c>
    </row>
    <row r="876" spans="7:14" x14ac:dyDescent="0.3">
      <c r="G876" t="str">
        <f>IFERROR(IF(SUMIF(المشتريات!C:C, 'حركة المخزن'!B876, المشتريات!F:F)=0,"",SUMIF(المشتريات!C:C, 'حركة المخزن'!B876, المشتريات!F:F)),"")</f>
        <v/>
      </c>
      <c r="H876" s="10" t="str">
        <f>IFERROR(IF(SUMIF(المشتريات!C:C, 'حركة المخزن'!B876, المشتريات!I:I)=0,"",SUMIF(المشتريات!C:C, 'حركة المخزن'!B876, المشتريات!I:I)),"")</f>
        <v/>
      </c>
      <c r="I876" s="10" t="str">
        <f>IFERROR(IF(SUMIF('تحليل مبيعات'!C:C, 'حركة المخزن'!B876, 'تحليل مبيعات'!H:H)=0,"",SUMIF('تحليل مبيعات'!C:C, 'حركة المخزن'!B876, 'تحليل مبيعات'!H:H)),"")</f>
        <v/>
      </c>
      <c r="J876" s="10" t="str">
        <f>IFERROR(IF(SUMIF('تحليل مبيعات'!C:C, 'حركة المخزن'!B876, 'تحليل مبيعات'!L:L)=0,"",SUMIF('تحليل مبيعات'!C:C, 'حركة المخزن'!B876, 'تحليل مبيعات'!L:L)),"")</f>
        <v/>
      </c>
      <c r="K876" s="10" t="str">
        <f t="shared" si="45"/>
        <v/>
      </c>
      <c r="L876" s="10" t="str">
        <f t="shared" si="46"/>
        <v/>
      </c>
      <c r="M876">
        <v>5</v>
      </c>
      <c r="N876" t="str">
        <f t="shared" si="47"/>
        <v>يوجد رصيد كافى</v>
      </c>
    </row>
    <row r="877" spans="7:14" x14ac:dyDescent="0.3">
      <c r="G877" t="str">
        <f>IFERROR(IF(SUMIF(المشتريات!C:C, 'حركة المخزن'!B877, المشتريات!F:F)=0,"",SUMIF(المشتريات!C:C, 'حركة المخزن'!B877, المشتريات!F:F)),"")</f>
        <v/>
      </c>
      <c r="H877" s="10" t="str">
        <f>IFERROR(IF(SUMIF(المشتريات!C:C, 'حركة المخزن'!B877, المشتريات!I:I)=0,"",SUMIF(المشتريات!C:C, 'حركة المخزن'!B877, المشتريات!I:I)),"")</f>
        <v/>
      </c>
      <c r="I877" s="10" t="str">
        <f>IFERROR(IF(SUMIF('تحليل مبيعات'!C:C, 'حركة المخزن'!B877, 'تحليل مبيعات'!H:H)=0,"",SUMIF('تحليل مبيعات'!C:C, 'حركة المخزن'!B877, 'تحليل مبيعات'!H:H)),"")</f>
        <v/>
      </c>
      <c r="J877" s="10" t="str">
        <f>IFERROR(IF(SUMIF('تحليل مبيعات'!C:C, 'حركة المخزن'!B877, 'تحليل مبيعات'!L:L)=0,"",SUMIF('تحليل مبيعات'!C:C, 'حركة المخزن'!B877, 'تحليل مبيعات'!L:L)),"")</f>
        <v/>
      </c>
      <c r="K877" s="10" t="str">
        <f t="shared" si="45"/>
        <v/>
      </c>
      <c r="L877" s="10" t="str">
        <f t="shared" si="46"/>
        <v/>
      </c>
      <c r="M877">
        <v>5</v>
      </c>
      <c r="N877" t="str">
        <f t="shared" si="47"/>
        <v>يوجد رصيد كافى</v>
      </c>
    </row>
    <row r="878" spans="7:14" x14ac:dyDescent="0.3">
      <c r="G878" t="str">
        <f>IFERROR(IF(SUMIF(المشتريات!C:C, 'حركة المخزن'!B878, المشتريات!F:F)=0,"",SUMIF(المشتريات!C:C, 'حركة المخزن'!B878, المشتريات!F:F)),"")</f>
        <v/>
      </c>
      <c r="H878" s="10" t="str">
        <f>IFERROR(IF(SUMIF(المشتريات!C:C, 'حركة المخزن'!B878, المشتريات!I:I)=0,"",SUMIF(المشتريات!C:C, 'حركة المخزن'!B878, المشتريات!I:I)),"")</f>
        <v/>
      </c>
      <c r="I878" s="10" t="str">
        <f>IFERROR(IF(SUMIF('تحليل مبيعات'!C:C, 'حركة المخزن'!B878, 'تحليل مبيعات'!H:H)=0,"",SUMIF('تحليل مبيعات'!C:C, 'حركة المخزن'!B878, 'تحليل مبيعات'!H:H)),"")</f>
        <v/>
      </c>
      <c r="J878" s="10" t="str">
        <f>IFERROR(IF(SUMIF('تحليل مبيعات'!C:C, 'حركة المخزن'!B878, 'تحليل مبيعات'!L:L)=0,"",SUMIF('تحليل مبيعات'!C:C, 'حركة المخزن'!B878, 'تحليل مبيعات'!L:L)),"")</f>
        <v/>
      </c>
      <c r="K878" s="10" t="str">
        <f t="shared" si="45"/>
        <v/>
      </c>
      <c r="L878" s="10" t="str">
        <f t="shared" si="46"/>
        <v/>
      </c>
      <c r="M878">
        <v>5</v>
      </c>
      <c r="N878" t="str">
        <f t="shared" si="47"/>
        <v>يوجد رصيد كافى</v>
      </c>
    </row>
    <row r="879" spans="7:14" x14ac:dyDescent="0.3">
      <c r="G879" t="str">
        <f>IFERROR(IF(SUMIF(المشتريات!C:C, 'حركة المخزن'!B879, المشتريات!F:F)=0,"",SUMIF(المشتريات!C:C, 'حركة المخزن'!B879, المشتريات!F:F)),"")</f>
        <v/>
      </c>
      <c r="H879" s="10" t="str">
        <f>IFERROR(IF(SUMIF(المشتريات!C:C, 'حركة المخزن'!B879, المشتريات!I:I)=0,"",SUMIF(المشتريات!C:C, 'حركة المخزن'!B879, المشتريات!I:I)),"")</f>
        <v/>
      </c>
      <c r="I879" s="10" t="str">
        <f>IFERROR(IF(SUMIF('تحليل مبيعات'!C:C, 'حركة المخزن'!B879, 'تحليل مبيعات'!H:H)=0,"",SUMIF('تحليل مبيعات'!C:C, 'حركة المخزن'!B879, 'تحليل مبيعات'!H:H)),"")</f>
        <v/>
      </c>
      <c r="J879" s="10" t="str">
        <f>IFERROR(IF(SUMIF('تحليل مبيعات'!C:C, 'حركة المخزن'!B879, 'تحليل مبيعات'!L:L)=0,"",SUMIF('تحليل مبيعات'!C:C, 'حركة المخزن'!B879, 'تحليل مبيعات'!L:L)),"")</f>
        <v/>
      </c>
      <c r="K879" s="10" t="str">
        <f t="shared" si="45"/>
        <v/>
      </c>
      <c r="L879" s="10" t="str">
        <f t="shared" si="46"/>
        <v/>
      </c>
      <c r="M879">
        <v>5</v>
      </c>
      <c r="N879" t="str">
        <f t="shared" si="47"/>
        <v>يوجد رصيد كافى</v>
      </c>
    </row>
    <row r="880" spans="7:14" x14ac:dyDescent="0.3">
      <c r="G880" t="str">
        <f>IFERROR(IF(SUMIF(المشتريات!C:C, 'حركة المخزن'!B880, المشتريات!F:F)=0,"",SUMIF(المشتريات!C:C, 'حركة المخزن'!B880, المشتريات!F:F)),"")</f>
        <v/>
      </c>
      <c r="H880" s="10" t="str">
        <f>IFERROR(IF(SUMIF(المشتريات!C:C, 'حركة المخزن'!B880, المشتريات!I:I)=0,"",SUMIF(المشتريات!C:C, 'حركة المخزن'!B880, المشتريات!I:I)),"")</f>
        <v/>
      </c>
      <c r="I880" s="10" t="str">
        <f>IFERROR(IF(SUMIF('تحليل مبيعات'!C:C, 'حركة المخزن'!B880, 'تحليل مبيعات'!H:H)=0,"",SUMIF('تحليل مبيعات'!C:C, 'حركة المخزن'!B880, 'تحليل مبيعات'!H:H)),"")</f>
        <v/>
      </c>
      <c r="J880" s="10" t="str">
        <f>IFERROR(IF(SUMIF('تحليل مبيعات'!C:C, 'حركة المخزن'!B880, 'تحليل مبيعات'!L:L)=0,"",SUMIF('تحليل مبيعات'!C:C, 'حركة المخزن'!B880, 'تحليل مبيعات'!L:L)),"")</f>
        <v/>
      </c>
      <c r="K880" s="10" t="str">
        <f t="shared" si="45"/>
        <v/>
      </c>
      <c r="L880" s="10" t="str">
        <f t="shared" si="46"/>
        <v/>
      </c>
      <c r="M880">
        <v>5</v>
      </c>
      <c r="N880" t="str">
        <f t="shared" si="47"/>
        <v>يوجد رصيد كافى</v>
      </c>
    </row>
    <row r="881" spans="7:14" x14ac:dyDescent="0.3">
      <c r="G881" t="str">
        <f>IFERROR(IF(SUMIF(المشتريات!C:C, 'حركة المخزن'!B881, المشتريات!F:F)=0,"",SUMIF(المشتريات!C:C, 'حركة المخزن'!B881, المشتريات!F:F)),"")</f>
        <v/>
      </c>
      <c r="H881" s="10" t="str">
        <f>IFERROR(IF(SUMIF(المشتريات!C:C, 'حركة المخزن'!B881, المشتريات!I:I)=0,"",SUMIF(المشتريات!C:C, 'حركة المخزن'!B881, المشتريات!I:I)),"")</f>
        <v/>
      </c>
      <c r="I881" s="10" t="str">
        <f>IFERROR(IF(SUMIF('تحليل مبيعات'!C:C, 'حركة المخزن'!B881, 'تحليل مبيعات'!H:H)=0,"",SUMIF('تحليل مبيعات'!C:C, 'حركة المخزن'!B881, 'تحليل مبيعات'!H:H)),"")</f>
        <v/>
      </c>
      <c r="J881" s="10" t="str">
        <f>IFERROR(IF(SUMIF('تحليل مبيعات'!C:C, 'حركة المخزن'!B881, 'تحليل مبيعات'!L:L)=0,"",SUMIF('تحليل مبيعات'!C:C, 'حركة المخزن'!B881, 'تحليل مبيعات'!L:L)),"")</f>
        <v/>
      </c>
      <c r="K881" s="10" t="str">
        <f t="shared" si="45"/>
        <v/>
      </c>
      <c r="L881" s="10" t="str">
        <f t="shared" si="46"/>
        <v/>
      </c>
      <c r="M881">
        <v>5</v>
      </c>
      <c r="N881" t="str">
        <f t="shared" si="47"/>
        <v>يوجد رصيد كافى</v>
      </c>
    </row>
    <row r="882" spans="7:14" x14ac:dyDescent="0.3">
      <c r="G882" t="str">
        <f>IFERROR(IF(SUMIF(المشتريات!C:C, 'حركة المخزن'!B882, المشتريات!F:F)=0,"",SUMIF(المشتريات!C:C, 'حركة المخزن'!B882, المشتريات!F:F)),"")</f>
        <v/>
      </c>
      <c r="H882" s="10" t="str">
        <f>IFERROR(IF(SUMIF(المشتريات!C:C, 'حركة المخزن'!B882, المشتريات!I:I)=0,"",SUMIF(المشتريات!C:C, 'حركة المخزن'!B882, المشتريات!I:I)),"")</f>
        <v/>
      </c>
      <c r="I882" s="10" t="str">
        <f>IFERROR(IF(SUMIF('تحليل مبيعات'!C:C, 'حركة المخزن'!B882, 'تحليل مبيعات'!H:H)=0,"",SUMIF('تحليل مبيعات'!C:C, 'حركة المخزن'!B882, 'تحليل مبيعات'!H:H)),"")</f>
        <v/>
      </c>
      <c r="J882" s="10" t="str">
        <f>IFERROR(IF(SUMIF('تحليل مبيعات'!C:C, 'حركة المخزن'!B882, 'تحليل مبيعات'!L:L)=0,"",SUMIF('تحليل مبيعات'!C:C, 'حركة المخزن'!B882, 'تحليل مبيعات'!L:L)),"")</f>
        <v/>
      </c>
      <c r="K882" s="10" t="str">
        <f t="shared" si="45"/>
        <v/>
      </c>
      <c r="L882" s="10" t="str">
        <f t="shared" si="46"/>
        <v/>
      </c>
      <c r="M882">
        <v>5</v>
      </c>
      <c r="N882" t="str">
        <f t="shared" si="47"/>
        <v>يوجد رصيد كافى</v>
      </c>
    </row>
    <row r="883" spans="7:14" x14ac:dyDescent="0.3">
      <c r="G883" t="str">
        <f>IFERROR(IF(SUMIF(المشتريات!C:C, 'حركة المخزن'!B883, المشتريات!F:F)=0,"",SUMIF(المشتريات!C:C, 'حركة المخزن'!B883, المشتريات!F:F)),"")</f>
        <v/>
      </c>
      <c r="H883" s="10" t="str">
        <f>IFERROR(IF(SUMIF(المشتريات!C:C, 'حركة المخزن'!B883, المشتريات!I:I)=0,"",SUMIF(المشتريات!C:C, 'حركة المخزن'!B883, المشتريات!I:I)),"")</f>
        <v/>
      </c>
      <c r="I883" s="10" t="str">
        <f>IFERROR(IF(SUMIF('تحليل مبيعات'!C:C, 'حركة المخزن'!B883, 'تحليل مبيعات'!H:H)=0,"",SUMIF('تحليل مبيعات'!C:C, 'حركة المخزن'!B883, 'تحليل مبيعات'!H:H)),"")</f>
        <v/>
      </c>
      <c r="J883" s="10" t="str">
        <f>IFERROR(IF(SUMIF('تحليل مبيعات'!C:C, 'حركة المخزن'!B883, 'تحليل مبيعات'!L:L)=0,"",SUMIF('تحليل مبيعات'!C:C, 'حركة المخزن'!B883, 'تحليل مبيعات'!L:L)),"")</f>
        <v/>
      </c>
      <c r="K883" s="10" t="str">
        <f t="shared" si="45"/>
        <v/>
      </c>
      <c r="L883" s="10" t="str">
        <f t="shared" si="46"/>
        <v/>
      </c>
      <c r="M883">
        <v>5</v>
      </c>
      <c r="N883" t="str">
        <f t="shared" si="47"/>
        <v>يوجد رصيد كافى</v>
      </c>
    </row>
    <row r="884" spans="7:14" x14ac:dyDescent="0.3">
      <c r="G884" t="str">
        <f>IFERROR(IF(SUMIF(المشتريات!C:C, 'حركة المخزن'!B884, المشتريات!F:F)=0,"",SUMIF(المشتريات!C:C, 'حركة المخزن'!B884, المشتريات!F:F)),"")</f>
        <v/>
      </c>
      <c r="H884" s="10" t="str">
        <f>IFERROR(IF(SUMIF(المشتريات!C:C, 'حركة المخزن'!B884, المشتريات!I:I)=0,"",SUMIF(المشتريات!C:C, 'حركة المخزن'!B884, المشتريات!I:I)),"")</f>
        <v/>
      </c>
      <c r="I884" s="10" t="str">
        <f>IFERROR(IF(SUMIF('تحليل مبيعات'!C:C, 'حركة المخزن'!B884, 'تحليل مبيعات'!H:H)=0,"",SUMIF('تحليل مبيعات'!C:C, 'حركة المخزن'!B884, 'تحليل مبيعات'!H:H)),"")</f>
        <v/>
      </c>
      <c r="J884" s="10" t="str">
        <f>IFERROR(IF(SUMIF('تحليل مبيعات'!C:C, 'حركة المخزن'!B884, 'تحليل مبيعات'!L:L)=0,"",SUMIF('تحليل مبيعات'!C:C, 'حركة المخزن'!B884, 'تحليل مبيعات'!L:L)),"")</f>
        <v/>
      </c>
      <c r="K884" s="10" t="str">
        <f t="shared" si="45"/>
        <v/>
      </c>
      <c r="L884" s="10" t="str">
        <f t="shared" si="46"/>
        <v/>
      </c>
      <c r="M884">
        <v>5</v>
      </c>
      <c r="N884" t="str">
        <f t="shared" si="47"/>
        <v>يوجد رصيد كافى</v>
      </c>
    </row>
    <row r="885" spans="7:14" x14ac:dyDescent="0.3">
      <c r="G885" t="str">
        <f>IFERROR(IF(SUMIF(المشتريات!C:C, 'حركة المخزن'!B885, المشتريات!F:F)=0,"",SUMIF(المشتريات!C:C, 'حركة المخزن'!B885, المشتريات!F:F)),"")</f>
        <v/>
      </c>
      <c r="H885" s="10" t="str">
        <f>IFERROR(IF(SUMIF(المشتريات!C:C, 'حركة المخزن'!B885, المشتريات!I:I)=0,"",SUMIF(المشتريات!C:C, 'حركة المخزن'!B885, المشتريات!I:I)),"")</f>
        <v/>
      </c>
      <c r="I885" s="10" t="str">
        <f>IFERROR(IF(SUMIF('تحليل مبيعات'!C:C, 'حركة المخزن'!B885, 'تحليل مبيعات'!H:H)=0,"",SUMIF('تحليل مبيعات'!C:C, 'حركة المخزن'!B885, 'تحليل مبيعات'!H:H)),"")</f>
        <v/>
      </c>
      <c r="J885" s="10" t="str">
        <f>IFERROR(IF(SUMIF('تحليل مبيعات'!C:C, 'حركة المخزن'!B885, 'تحليل مبيعات'!L:L)=0,"",SUMIF('تحليل مبيعات'!C:C, 'حركة المخزن'!B885, 'تحليل مبيعات'!L:L)),"")</f>
        <v/>
      </c>
      <c r="K885" s="10" t="str">
        <f t="shared" si="45"/>
        <v/>
      </c>
      <c r="L885" s="10" t="str">
        <f t="shared" si="46"/>
        <v/>
      </c>
      <c r="M885">
        <v>5</v>
      </c>
      <c r="N885" t="str">
        <f t="shared" si="47"/>
        <v>يوجد رصيد كافى</v>
      </c>
    </row>
    <row r="886" spans="7:14" x14ac:dyDescent="0.3">
      <c r="G886" t="str">
        <f>IFERROR(IF(SUMIF(المشتريات!C:C, 'حركة المخزن'!B886, المشتريات!F:F)=0,"",SUMIF(المشتريات!C:C, 'حركة المخزن'!B886, المشتريات!F:F)),"")</f>
        <v/>
      </c>
      <c r="H886" s="10" t="str">
        <f>IFERROR(IF(SUMIF(المشتريات!C:C, 'حركة المخزن'!B886, المشتريات!I:I)=0,"",SUMIF(المشتريات!C:C, 'حركة المخزن'!B886, المشتريات!I:I)),"")</f>
        <v/>
      </c>
      <c r="I886" s="10" t="str">
        <f>IFERROR(IF(SUMIF('تحليل مبيعات'!C:C, 'حركة المخزن'!B886, 'تحليل مبيعات'!H:H)=0,"",SUMIF('تحليل مبيعات'!C:C, 'حركة المخزن'!B886, 'تحليل مبيعات'!H:H)),"")</f>
        <v/>
      </c>
      <c r="J886" s="10" t="str">
        <f>IFERROR(IF(SUMIF('تحليل مبيعات'!C:C, 'حركة المخزن'!B886, 'تحليل مبيعات'!L:L)=0,"",SUMIF('تحليل مبيعات'!C:C, 'حركة المخزن'!B886, 'تحليل مبيعات'!L:L)),"")</f>
        <v/>
      </c>
      <c r="K886" s="10" t="str">
        <f t="shared" si="45"/>
        <v/>
      </c>
      <c r="L886" s="10" t="str">
        <f t="shared" si="46"/>
        <v/>
      </c>
      <c r="M886">
        <v>5</v>
      </c>
      <c r="N886" t="str">
        <f t="shared" si="47"/>
        <v>يوجد رصيد كافى</v>
      </c>
    </row>
    <row r="887" spans="7:14" x14ac:dyDescent="0.3">
      <c r="G887" t="str">
        <f>IFERROR(IF(SUMIF(المشتريات!C:C, 'حركة المخزن'!B887, المشتريات!F:F)=0,"",SUMIF(المشتريات!C:C, 'حركة المخزن'!B887, المشتريات!F:F)),"")</f>
        <v/>
      </c>
      <c r="H887" s="10" t="str">
        <f>IFERROR(IF(SUMIF(المشتريات!C:C, 'حركة المخزن'!B887, المشتريات!I:I)=0,"",SUMIF(المشتريات!C:C, 'حركة المخزن'!B887, المشتريات!I:I)),"")</f>
        <v/>
      </c>
      <c r="I887" s="10" t="str">
        <f>IFERROR(IF(SUMIF('تحليل مبيعات'!C:C, 'حركة المخزن'!B887, 'تحليل مبيعات'!H:H)=0,"",SUMIF('تحليل مبيعات'!C:C, 'حركة المخزن'!B887, 'تحليل مبيعات'!H:H)),"")</f>
        <v/>
      </c>
      <c r="J887" s="10" t="str">
        <f>IFERROR(IF(SUMIF('تحليل مبيعات'!C:C, 'حركة المخزن'!B887, 'تحليل مبيعات'!L:L)=0,"",SUMIF('تحليل مبيعات'!C:C, 'حركة المخزن'!B887, 'تحليل مبيعات'!L:L)),"")</f>
        <v/>
      </c>
      <c r="K887" s="10" t="str">
        <f t="shared" si="45"/>
        <v/>
      </c>
      <c r="L887" s="10" t="str">
        <f t="shared" si="46"/>
        <v/>
      </c>
      <c r="M887">
        <v>5</v>
      </c>
      <c r="N887" t="str">
        <f t="shared" si="47"/>
        <v>يوجد رصيد كافى</v>
      </c>
    </row>
    <row r="888" spans="7:14" x14ac:dyDescent="0.3">
      <c r="G888" t="str">
        <f>IFERROR(IF(SUMIF(المشتريات!C:C, 'حركة المخزن'!B888, المشتريات!F:F)=0,"",SUMIF(المشتريات!C:C, 'حركة المخزن'!B888, المشتريات!F:F)),"")</f>
        <v/>
      </c>
      <c r="H888" s="10" t="str">
        <f>IFERROR(IF(SUMIF(المشتريات!C:C, 'حركة المخزن'!B888, المشتريات!I:I)=0,"",SUMIF(المشتريات!C:C, 'حركة المخزن'!B888, المشتريات!I:I)),"")</f>
        <v/>
      </c>
      <c r="I888" s="10" t="str">
        <f>IFERROR(IF(SUMIF('تحليل مبيعات'!C:C, 'حركة المخزن'!B888, 'تحليل مبيعات'!H:H)=0,"",SUMIF('تحليل مبيعات'!C:C, 'حركة المخزن'!B888, 'تحليل مبيعات'!H:H)),"")</f>
        <v/>
      </c>
      <c r="J888" s="10" t="str">
        <f>IFERROR(IF(SUMIF('تحليل مبيعات'!C:C, 'حركة المخزن'!B888, 'تحليل مبيعات'!L:L)=0,"",SUMIF('تحليل مبيعات'!C:C, 'حركة المخزن'!B888, 'تحليل مبيعات'!L:L)),"")</f>
        <v/>
      </c>
      <c r="K888" s="10" t="str">
        <f t="shared" si="45"/>
        <v/>
      </c>
      <c r="L888" s="10" t="str">
        <f t="shared" si="46"/>
        <v/>
      </c>
      <c r="M888">
        <v>5</v>
      </c>
      <c r="N888" t="str">
        <f t="shared" si="47"/>
        <v>يوجد رصيد كافى</v>
      </c>
    </row>
    <row r="889" spans="7:14" x14ac:dyDescent="0.3">
      <c r="G889" t="str">
        <f>IFERROR(IF(SUMIF(المشتريات!C:C, 'حركة المخزن'!B889, المشتريات!F:F)=0,"",SUMIF(المشتريات!C:C, 'حركة المخزن'!B889, المشتريات!F:F)),"")</f>
        <v/>
      </c>
      <c r="H889" s="10" t="str">
        <f>IFERROR(IF(SUMIF(المشتريات!C:C, 'حركة المخزن'!B889, المشتريات!I:I)=0,"",SUMIF(المشتريات!C:C, 'حركة المخزن'!B889, المشتريات!I:I)),"")</f>
        <v/>
      </c>
      <c r="I889" s="10" t="str">
        <f>IFERROR(IF(SUMIF('تحليل مبيعات'!C:C, 'حركة المخزن'!B889, 'تحليل مبيعات'!H:H)=0,"",SUMIF('تحليل مبيعات'!C:C, 'حركة المخزن'!B889, 'تحليل مبيعات'!H:H)),"")</f>
        <v/>
      </c>
      <c r="J889" s="10" t="str">
        <f>IFERROR(IF(SUMIF('تحليل مبيعات'!C:C, 'حركة المخزن'!B889, 'تحليل مبيعات'!L:L)=0,"",SUMIF('تحليل مبيعات'!C:C, 'حركة المخزن'!B889, 'تحليل مبيعات'!L:L)),"")</f>
        <v/>
      </c>
      <c r="K889" s="10" t="str">
        <f t="shared" si="45"/>
        <v/>
      </c>
      <c r="L889" s="10" t="str">
        <f t="shared" si="46"/>
        <v/>
      </c>
      <c r="M889">
        <v>5</v>
      </c>
      <c r="N889" t="str">
        <f t="shared" si="47"/>
        <v>يوجد رصيد كافى</v>
      </c>
    </row>
    <row r="890" spans="7:14" x14ac:dyDescent="0.3">
      <c r="G890" t="str">
        <f>IFERROR(IF(SUMIF(المشتريات!C:C, 'حركة المخزن'!B890, المشتريات!F:F)=0,"",SUMIF(المشتريات!C:C, 'حركة المخزن'!B890, المشتريات!F:F)),"")</f>
        <v/>
      </c>
      <c r="H890" s="10" t="str">
        <f>IFERROR(IF(SUMIF(المشتريات!C:C, 'حركة المخزن'!B890, المشتريات!I:I)=0,"",SUMIF(المشتريات!C:C, 'حركة المخزن'!B890, المشتريات!I:I)),"")</f>
        <v/>
      </c>
      <c r="I890" s="10" t="str">
        <f>IFERROR(IF(SUMIF('تحليل مبيعات'!C:C, 'حركة المخزن'!B890, 'تحليل مبيعات'!H:H)=0,"",SUMIF('تحليل مبيعات'!C:C, 'حركة المخزن'!B890, 'تحليل مبيعات'!H:H)),"")</f>
        <v/>
      </c>
      <c r="J890" s="10" t="str">
        <f>IFERROR(IF(SUMIF('تحليل مبيعات'!C:C, 'حركة المخزن'!B890, 'تحليل مبيعات'!L:L)=0,"",SUMIF('تحليل مبيعات'!C:C, 'حركة المخزن'!B890, 'تحليل مبيعات'!L:L)),"")</f>
        <v/>
      </c>
      <c r="K890" s="10" t="str">
        <f t="shared" si="45"/>
        <v/>
      </c>
      <c r="L890" s="10" t="str">
        <f t="shared" si="46"/>
        <v/>
      </c>
      <c r="M890">
        <v>5</v>
      </c>
      <c r="N890" t="str">
        <f t="shared" si="47"/>
        <v>يوجد رصيد كافى</v>
      </c>
    </row>
    <row r="891" spans="7:14" x14ac:dyDescent="0.3">
      <c r="G891" t="str">
        <f>IFERROR(IF(SUMIF(المشتريات!C:C, 'حركة المخزن'!B891, المشتريات!F:F)=0,"",SUMIF(المشتريات!C:C, 'حركة المخزن'!B891, المشتريات!F:F)),"")</f>
        <v/>
      </c>
      <c r="H891" s="10" t="str">
        <f>IFERROR(IF(SUMIF(المشتريات!C:C, 'حركة المخزن'!B891, المشتريات!I:I)=0,"",SUMIF(المشتريات!C:C, 'حركة المخزن'!B891, المشتريات!I:I)),"")</f>
        <v/>
      </c>
      <c r="I891" s="10" t="str">
        <f>IFERROR(IF(SUMIF('تحليل مبيعات'!C:C, 'حركة المخزن'!B891, 'تحليل مبيعات'!H:H)=0,"",SUMIF('تحليل مبيعات'!C:C, 'حركة المخزن'!B891, 'تحليل مبيعات'!H:H)),"")</f>
        <v/>
      </c>
      <c r="J891" s="10" t="str">
        <f>IFERROR(IF(SUMIF('تحليل مبيعات'!C:C, 'حركة المخزن'!B891, 'تحليل مبيعات'!L:L)=0,"",SUMIF('تحليل مبيعات'!C:C, 'حركة المخزن'!B891, 'تحليل مبيعات'!L:L)),"")</f>
        <v/>
      </c>
      <c r="K891" s="10" t="str">
        <f t="shared" si="45"/>
        <v/>
      </c>
      <c r="L891" s="10" t="str">
        <f t="shared" si="46"/>
        <v/>
      </c>
      <c r="M891">
        <v>5</v>
      </c>
      <c r="N891" t="str">
        <f t="shared" si="47"/>
        <v>يوجد رصيد كافى</v>
      </c>
    </row>
    <row r="892" spans="7:14" x14ac:dyDescent="0.3">
      <c r="G892" t="str">
        <f>IFERROR(IF(SUMIF(المشتريات!C:C, 'حركة المخزن'!B892, المشتريات!F:F)=0,"",SUMIF(المشتريات!C:C, 'حركة المخزن'!B892, المشتريات!F:F)),"")</f>
        <v/>
      </c>
      <c r="H892" s="10" t="str">
        <f>IFERROR(IF(SUMIF(المشتريات!C:C, 'حركة المخزن'!B892, المشتريات!I:I)=0,"",SUMIF(المشتريات!C:C, 'حركة المخزن'!B892, المشتريات!I:I)),"")</f>
        <v/>
      </c>
      <c r="I892" s="10" t="str">
        <f>IFERROR(IF(SUMIF('تحليل مبيعات'!C:C, 'حركة المخزن'!B892, 'تحليل مبيعات'!H:H)=0,"",SUMIF('تحليل مبيعات'!C:C, 'حركة المخزن'!B892, 'تحليل مبيعات'!H:H)),"")</f>
        <v/>
      </c>
      <c r="J892" s="10" t="str">
        <f>IFERROR(IF(SUMIF('تحليل مبيعات'!C:C, 'حركة المخزن'!B892, 'تحليل مبيعات'!L:L)=0,"",SUMIF('تحليل مبيعات'!C:C, 'حركة المخزن'!B892, 'تحليل مبيعات'!L:L)),"")</f>
        <v/>
      </c>
      <c r="K892" s="10" t="str">
        <f t="shared" si="45"/>
        <v/>
      </c>
      <c r="L892" s="10" t="str">
        <f t="shared" si="46"/>
        <v/>
      </c>
      <c r="M892">
        <v>5</v>
      </c>
      <c r="N892" t="str">
        <f t="shared" si="47"/>
        <v>يوجد رصيد كافى</v>
      </c>
    </row>
    <row r="893" spans="7:14" x14ac:dyDescent="0.3">
      <c r="G893" t="str">
        <f>IFERROR(IF(SUMIF(المشتريات!C:C, 'حركة المخزن'!B893, المشتريات!F:F)=0,"",SUMIF(المشتريات!C:C, 'حركة المخزن'!B893, المشتريات!F:F)),"")</f>
        <v/>
      </c>
      <c r="H893" s="10" t="str">
        <f>IFERROR(IF(SUMIF(المشتريات!C:C, 'حركة المخزن'!B893, المشتريات!I:I)=0,"",SUMIF(المشتريات!C:C, 'حركة المخزن'!B893, المشتريات!I:I)),"")</f>
        <v/>
      </c>
      <c r="I893" s="10" t="str">
        <f>IFERROR(IF(SUMIF('تحليل مبيعات'!C:C, 'حركة المخزن'!B893, 'تحليل مبيعات'!H:H)=0,"",SUMIF('تحليل مبيعات'!C:C, 'حركة المخزن'!B893, 'تحليل مبيعات'!H:H)),"")</f>
        <v/>
      </c>
      <c r="J893" s="10" t="str">
        <f>IFERROR(IF(SUMIF('تحليل مبيعات'!C:C, 'حركة المخزن'!B893, 'تحليل مبيعات'!L:L)=0,"",SUMIF('تحليل مبيعات'!C:C, 'حركة المخزن'!B893, 'تحليل مبيعات'!L:L)),"")</f>
        <v/>
      </c>
      <c r="K893" s="10" t="str">
        <f t="shared" si="45"/>
        <v/>
      </c>
      <c r="L893" s="10" t="str">
        <f t="shared" si="46"/>
        <v/>
      </c>
      <c r="M893">
        <v>5</v>
      </c>
      <c r="N893" t="str">
        <f t="shared" si="47"/>
        <v>يوجد رصيد كافى</v>
      </c>
    </row>
    <row r="894" spans="7:14" x14ac:dyDescent="0.3">
      <c r="G894" t="str">
        <f>IFERROR(IF(SUMIF(المشتريات!C:C, 'حركة المخزن'!B894, المشتريات!F:F)=0,"",SUMIF(المشتريات!C:C, 'حركة المخزن'!B894, المشتريات!F:F)),"")</f>
        <v/>
      </c>
      <c r="H894" s="10" t="str">
        <f>IFERROR(IF(SUMIF(المشتريات!C:C, 'حركة المخزن'!B894, المشتريات!I:I)=0,"",SUMIF(المشتريات!C:C, 'حركة المخزن'!B894, المشتريات!I:I)),"")</f>
        <v/>
      </c>
      <c r="I894" s="10" t="str">
        <f>IFERROR(IF(SUMIF('تحليل مبيعات'!C:C, 'حركة المخزن'!B894, 'تحليل مبيعات'!H:H)=0,"",SUMIF('تحليل مبيعات'!C:C, 'حركة المخزن'!B894, 'تحليل مبيعات'!H:H)),"")</f>
        <v/>
      </c>
      <c r="J894" s="10" t="str">
        <f>IFERROR(IF(SUMIF('تحليل مبيعات'!C:C, 'حركة المخزن'!B894, 'تحليل مبيعات'!L:L)=0,"",SUMIF('تحليل مبيعات'!C:C, 'حركة المخزن'!B894, 'تحليل مبيعات'!L:L)),"")</f>
        <v/>
      </c>
      <c r="K894" s="10" t="str">
        <f t="shared" si="45"/>
        <v/>
      </c>
      <c r="L894" s="10" t="str">
        <f t="shared" si="46"/>
        <v/>
      </c>
      <c r="M894">
        <v>5</v>
      </c>
      <c r="N894" t="str">
        <f t="shared" si="47"/>
        <v>يوجد رصيد كافى</v>
      </c>
    </row>
    <row r="895" spans="7:14" x14ac:dyDescent="0.3">
      <c r="G895" t="str">
        <f>IFERROR(IF(SUMIF(المشتريات!C:C, 'حركة المخزن'!B895, المشتريات!F:F)=0,"",SUMIF(المشتريات!C:C, 'حركة المخزن'!B895, المشتريات!F:F)),"")</f>
        <v/>
      </c>
      <c r="H895" s="10" t="str">
        <f>IFERROR(IF(SUMIF(المشتريات!C:C, 'حركة المخزن'!B895, المشتريات!I:I)=0,"",SUMIF(المشتريات!C:C, 'حركة المخزن'!B895, المشتريات!I:I)),"")</f>
        <v/>
      </c>
      <c r="I895" s="10" t="str">
        <f>IFERROR(IF(SUMIF('تحليل مبيعات'!C:C, 'حركة المخزن'!B895, 'تحليل مبيعات'!H:H)=0,"",SUMIF('تحليل مبيعات'!C:C, 'حركة المخزن'!B895, 'تحليل مبيعات'!H:H)),"")</f>
        <v/>
      </c>
      <c r="J895" s="10" t="str">
        <f>IFERROR(IF(SUMIF('تحليل مبيعات'!C:C, 'حركة المخزن'!B895, 'تحليل مبيعات'!L:L)=0,"",SUMIF('تحليل مبيعات'!C:C, 'حركة المخزن'!B895, 'تحليل مبيعات'!L:L)),"")</f>
        <v/>
      </c>
      <c r="K895" s="10" t="str">
        <f t="shared" si="45"/>
        <v/>
      </c>
      <c r="L895" s="10" t="str">
        <f t="shared" si="46"/>
        <v/>
      </c>
      <c r="M895">
        <v>5</v>
      </c>
      <c r="N895" t="str">
        <f t="shared" si="47"/>
        <v>يوجد رصيد كافى</v>
      </c>
    </row>
    <row r="896" spans="7:14" x14ac:dyDescent="0.3">
      <c r="G896" t="str">
        <f>IFERROR(IF(SUMIF(المشتريات!C:C, 'حركة المخزن'!B896, المشتريات!F:F)=0,"",SUMIF(المشتريات!C:C, 'حركة المخزن'!B896, المشتريات!F:F)),"")</f>
        <v/>
      </c>
      <c r="H896" s="10" t="str">
        <f>IFERROR(IF(SUMIF(المشتريات!C:C, 'حركة المخزن'!B896, المشتريات!I:I)=0,"",SUMIF(المشتريات!C:C, 'حركة المخزن'!B896, المشتريات!I:I)),"")</f>
        <v/>
      </c>
      <c r="I896" s="10" t="str">
        <f>IFERROR(IF(SUMIF('تحليل مبيعات'!C:C, 'حركة المخزن'!B896, 'تحليل مبيعات'!H:H)=0,"",SUMIF('تحليل مبيعات'!C:C, 'حركة المخزن'!B896, 'تحليل مبيعات'!H:H)),"")</f>
        <v/>
      </c>
      <c r="J896" s="10" t="str">
        <f>IFERROR(IF(SUMIF('تحليل مبيعات'!C:C, 'حركة المخزن'!B896, 'تحليل مبيعات'!L:L)=0,"",SUMIF('تحليل مبيعات'!C:C, 'حركة المخزن'!B896, 'تحليل مبيعات'!L:L)),"")</f>
        <v/>
      </c>
      <c r="K896" s="10" t="str">
        <f t="shared" si="45"/>
        <v/>
      </c>
      <c r="L896" s="10" t="str">
        <f t="shared" si="46"/>
        <v/>
      </c>
      <c r="M896">
        <v>5</v>
      </c>
      <c r="N896" t="str">
        <f t="shared" si="47"/>
        <v>يوجد رصيد كافى</v>
      </c>
    </row>
    <row r="897" spans="7:14" x14ac:dyDescent="0.3">
      <c r="G897" t="str">
        <f>IFERROR(IF(SUMIF(المشتريات!C:C, 'حركة المخزن'!B897, المشتريات!F:F)=0,"",SUMIF(المشتريات!C:C, 'حركة المخزن'!B897, المشتريات!F:F)),"")</f>
        <v/>
      </c>
      <c r="H897" s="10" t="str">
        <f>IFERROR(IF(SUMIF(المشتريات!C:C, 'حركة المخزن'!B897, المشتريات!I:I)=0,"",SUMIF(المشتريات!C:C, 'حركة المخزن'!B897, المشتريات!I:I)),"")</f>
        <v/>
      </c>
      <c r="I897" s="10" t="str">
        <f>IFERROR(IF(SUMIF('تحليل مبيعات'!C:C, 'حركة المخزن'!B897, 'تحليل مبيعات'!H:H)=0,"",SUMIF('تحليل مبيعات'!C:C, 'حركة المخزن'!B897, 'تحليل مبيعات'!H:H)),"")</f>
        <v/>
      </c>
      <c r="J897" s="10" t="str">
        <f>IFERROR(IF(SUMIF('تحليل مبيعات'!C:C, 'حركة المخزن'!B897, 'تحليل مبيعات'!L:L)=0,"",SUMIF('تحليل مبيعات'!C:C, 'حركة المخزن'!B897, 'تحليل مبيعات'!L:L)),"")</f>
        <v/>
      </c>
      <c r="K897" s="10" t="str">
        <f t="shared" si="45"/>
        <v/>
      </c>
      <c r="L897" s="10" t="str">
        <f t="shared" si="46"/>
        <v/>
      </c>
      <c r="M897">
        <v>5</v>
      </c>
      <c r="N897" t="str">
        <f t="shared" si="47"/>
        <v>يوجد رصيد كافى</v>
      </c>
    </row>
    <row r="898" spans="7:14" x14ac:dyDescent="0.3">
      <c r="G898" t="str">
        <f>IFERROR(IF(SUMIF(المشتريات!C:C, 'حركة المخزن'!B898, المشتريات!F:F)=0,"",SUMIF(المشتريات!C:C, 'حركة المخزن'!B898, المشتريات!F:F)),"")</f>
        <v/>
      </c>
      <c r="H898" s="10" t="str">
        <f>IFERROR(IF(SUMIF(المشتريات!C:C, 'حركة المخزن'!B898, المشتريات!I:I)=0,"",SUMIF(المشتريات!C:C, 'حركة المخزن'!B898, المشتريات!I:I)),"")</f>
        <v/>
      </c>
      <c r="I898" s="10" t="str">
        <f>IFERROR(IF(SUMIF('تحليل مبيعات'!C:C, 'حركة المخزن'!B898, 'تحليل مبيعات'!H:H)=0,"",SUMIF('تحليل مبيعات'!C:C, 'حركة المخزن'!B898, 'تحليل مبيعات'!H:H)),"")</f>
        <v/>
      </c>
      <c r="J898" s="10" t="str">
        <f>IFERROR(IF(SUMIF('تحليل مبيعات'!C:C, 'حركة المخزن'!B898, 'تحليل مبيعات'!L:L)=0,"",SUMIF('تحليل مبيعات'!C:C, 'حركة المخزن'!B898, 'تحليل مبيعات'!L:L)),"")</f>
        <v/>
      </c>
      <c r="K898" s="10" t="str">
        <f t="shared" si="45"/>
        <v/>
      </c>
      <c r="L898" s="10" t="str">
        <f t="shared" si="46"/>
        <v/>
      </c>
      <c r="M898">
        <v>5</v>
      </c>
      <c r="N898" t="str">
        <f t="shared" si="47"/>
        <v>يوجد رصيد كافى</v>
      </c>
    </row>
    <row r="899" spans="7:14" x14ac:dyDescent="0.3">
      <c r="G899" t="str">
        <f>IFERROR(IF(SUMIF(المشتريات!C:C, 'حركة المخزن'!B899, المشتريات!F:F)=0,"",SUMIF(المشتريات!C:C, 'حركة المخزن'!B899, المشتريات!F:F)),"")</f>
        <v/>
      </c>
      <c r="H899" s="10" t="str">
        <f>IFERROR(IF(SUMIF(المشتريات!C:C, 'حركة المخزن'!B899, المشتريات!I:I)=0,"",SUMIF(المشتريات!C:C, 'حركة المخزن'!B899, المشتريات!I:I)),"")</f>
        <v/>
      </c>
      <c r="I899" s="10" t="str">
        <f>IFERROR(IF(SUMIF('تحليل مبيعات'!C:C, 'حركة المخزن'!B899, 'تحليل مبيعات'!H:H)=0,"",SUMIF('تحليل مبيعات'!C:C, 'حركة المخزن'!B899, 'تحليل مبيعات'!H:H)),"")</f>
        <v/>
      </c>
      <c r="J899" s="10" t="str">
        <f>IFERROR(IF(SUMIF('تحليل مبيعات'!C:C, 'حركة المخزن'!B899, 'تحليل مبيعات'!L:L)=0,"",SUMIF('تحليل مبيعات'!C:C, 'حركة المخزن'!B899, 'تحليل مبيعات'!L:L)),"")</f>
        <v/>
      </c>
      <c r="K899" s="10" t="str">
        <f t="shared" si="45"/>
        <v/>
      </c>
      <c r="L899" s="10" t="str">
        <f t="shared" si="46"/>
        <v/>
      </c>
      <c r="M899">
        <v>5</v>
      </c>
      <c r="N899" t="str">
        <f t="shared" si="47"/>
        <v>يوجد رصيد كافى</v>
      </c>
    </row>
    <row r="900" spans="7:14" x14ac:dyDescent="0.3">
      <c r="G900" t="str">
        <f>IFERROR(IF(SUMIF(المشتريات!C:C, 'حركة المخزن'!B900, المشتريات!F:F)=0,"",SUMIF(المشتريات!C:C, 'حركة المخزن'!B900, المشتريات!F:F)),"")</f>
        <v/>
      </c>
      <c r="H900" s="10" t="str">
        <f>IFERROR(IF(SUMIF(المشتريات!C:C, 'حركة المخزن'!B900, المشتريات!I:I)=0,"",SUMIF(المشتريات!C:C, 'حركة المخزن'!B900, المشتريات!I:I)),"")</f>
        <v/>
      </c>
      <c r="I900" s="10" t="str">
        <f>IFERROR(IF(SUMIF('تحليل مبيعات'!C:C, 'حركة المخزن'!B900, 'تحليل مبيعات'!H:H)=0,"",SUMIF('تحليل مبيعات'!C:C, 'حركة المخزن'!B900, 'تحليل مبيعات'!H:H)),"")</f>
        <v/>
      </c>
      <c r="J900" s="10" t="str">
        <f>IFERROR(IF(SUMIF('تحليل مبيعات'!C:C, 'حركة المخزن'!B900, 'تحليل مبيعات'!L:L)=0,"",SUMIF('تحليل مبيعات'!C:C, 'حركة المخزن'!B900, 'تحليل مبيعات'!L:L)),"")</f>
        <v/>
      </c>
      <c r="K900" s="10" t="str">
        <f t="shared" si="45"/>
        <v/>
      </c>
      <c r="L900" s="10" t="str">
        <f t="shared" si="46"/>
        <v/>
      </c>
      <c r="M900">
        <v>5</v>
      </c>
      <c r="N900" t="str">
        <f t="shared" si="47"/>
        <v>يوجد رصيد كافى</v>
      </c>
    </row>
    <row r="901" spans="7:14" x14ac:dyDescent="0.3">
      <c r="G901" t="str">
        <f>IFERROR(IF(SUMIF(المشتريات!C:C, 'حركة المخزن'!B901, المشتريات!F:F)=0,"",SUMIF(المشتريات!C:C, 'حركة المخزن'!B901, المشتريات!F:F)),"")</f>
        <v/>
      </c>
      <c r="H901" s="10" t="str">
        <f>IFERROR(IF(SUMIF(المشتريات!C:C, 'حركة المخزن'!B901, المشتريات!I:I)=0,"",SUMIF(المشتريات!C:C, 'حركة المخزن'!B901, المشتريات!I:I)),"")</f>
        <v/>
      </c>
      <c r="I901" s="10" t="str">
        <f>IFERROR(IF(SUMIF('تحليل مبيعات'!C:C, 'حركة المخزن'!B901, 'تحليل مبيعات'!H:H)=0,"",SUMIF('تحليل مبيعات'!C:C, 'حركة المخزن'!B901, 'تحليل مبيعات'!H:H)),"")</f>
        <v/>
      </c>
      <c r="J901" s="10" t="str">
        <f>IFERROR(IF(SUMIF('تحليل مبيعات'!C:C, 'حركة المخزن'!B901, 'تحليل مبيعات'!L:L)=0,"",SUMIF('تحليل مبيعات'!C:C, 'حركة المخزن'!B901, 'تحليل مبيعات'!L:L)),"")</f>
        <v/>
      </c>
      <c r="K901" s="10" t="str">
        <f t="shared" si="45"/>
        <v/>
      </c>
      <c r="L901" s="10" t="str">
        <f t="shared" si="46"/>
        <v/>
      </c>
      <c r="M901">
        <v>5</v>
      </c>
      <c r="N901" t="str">
        <f t="shared" si="47"/>
        <v>يوجد رصيد كافى</v>
      </c>
    </row>
    <row r="902" spans="7:14" x14ac:dyDescent="0.3">
      <c r="G902" t="str">
        <f>IFERROR(IF(SUMIF(المشتريات!C:C, 'حركة المخزن'!B902, المشتريات!F:F)=0,"",SUMIF(المشتريات!C:C, 'حركة المخزن'!B902, المشتريات!F:F)),"")</f>
        <v/>
      </c>
      <c r="H902" s="10" t="str">
        <f>IFERROR(IF(SUMIF(المشتريات!C:C, 'حركة المخزن'!B902, المشتريات!I:I)=0,"",SUMIF(المشتريات!C:C, 'حركة المخزن'!B902, المشتريات!I:I)),"")</f>
        <v/>
      </c>
      <c r="I902" s="10" t="str">
        <f>IFERROR(IF(SUMIF('تحليل مبيعات'!C:C, 'حركة المخزن'!B902, 'تحليل مبيعات'!H:H)=0,"",SUMIF('تحليل مبيعات'!C:C, 'حركة المخزن'!B902, 'تحليل مبيعات'!H:H)),"")</f>
        <v/>
      </c>
      <c r="J902" s="10" t="str">
        <f>IFERROR(IF(SUMIF('تحليل مبيعات'!C:C, 'حركة المخزن'!B902, 'تحليل مبيعات'!L:L)=0,"",SUMIF('تحليل مبيعات'!C:C, 'حركة المخزن'!B902, 'تحليل مبيعات'!L:L)),"")</f>
        <v/>
      </c>
      <c r="K902" s="10" t="str">
        <f t="shared" si="45"/>
        <v/>
      </c>
      <c r="L902" s="10" t="str">
        <f t="shared" si="46"/>
        <v/>
      </c>
      <c r="M902">
        <v>5</v>
      </c>
      <c r="N902" t="str">
        <f t="shared" si="47"/>
        <v>يوجد رصيد كافى</v>
      </c>
    </row>
    <row r="903" spans="7:14" x14ac:dyDescent="0.3">
      <c r="G903" t="str">
        <f>IFERROR(IF(SUMIF(المشتريات!C:C, 'حركة المخزن'!B903, المشتريات!F:F)=0,"",SUMIF(المشتريات!C:C, 'حركة المخزن'!B903, المشتريات!F:F)),"")</f>
        <v/>
      </c>
      <c r="H903" s="10" t="str">
        <f>IFERROR(IF(SUMIF(المشتريات!C:C, 'حركة المخزن'!B903, المشتريات!I:I)=0,"",SUMIF(المشتريات!C:C, 'حركة المخزن'!B903, المشتريات!I:I)),"")</f>
        <v/>
      </c>
      <c r="I903" s="10" t="str">
        <f>IFERROR(IF(SUMIF('تحليل مبيعات'!C:C, 'حركة المخزن'!B903, 'تحليل مبيعات'!H:H)=0,"",SUMIF('تحليل مبيعات'!C:C, 'حركة المخزن'!B903, 'تحليل مبيعات'!H:H)),"")</f>
        <v/>
      </c>
      <c r="J903" s="10" t="str">
        <f>IFERROR(IF(SUMIF('تحليل مبيعات'!C:C, 'حركة المخزن'!B903, 'تحليل مبيعات'!L:L)=0,"",SUMIF('تحليل مبيعات'!C:C, 'حركة المخزن'!B903, 'تحليل مبيعات'!L:L)),"")</f>
        <v/>
      </c>
      <c r="K903" s="10" t="str">
        <f t="shared" si="45"/>
        <v/>
      </c>
      <c r="L903" s="10" t="str">
        <f t="shared" si="46"/>
        <v/>
      </c>
      <c r="M903">
        <v>5</v>
      </c>
      <c r="N903" t="str">
        <f t="shared" si="47"/>
        <v>يوجد رصيد كافى</v>
      </c>
    </row>
    <row r="904" spans="7:14" x14ac:dyDescent="0.3">
      <c r="G904" t="str">
        <f>IFERROR(IF(SUMIF(المشتريات!C:C, 'حركة المخزن'!B904, المشتريات!F:F)=0,"",SUMIF(المشتريات!C:C, 'حركة المخزن'!B904, المشتريات!F:F)),"")</f>
        <v/>
      </c>
      <c r="H904" s="10" t="str">
        <f>IFERROR(IF(SUMIF(المشتريات!C:C, 'حركة المخزن'!B904, المشتريات!I:I)=0,"",SUMIF(المشتريات!C:C, 'حركة المخزن'!B904, المشتريات!I:I)),"")</f>
        <v/>
      </c>
      <c r="I904" s="10" t="str">
        <f>IFERROR(IF(SUMIF('تحليل مبيعات'!C:C, 'حركة المخزن'!B904, 'تحليل مبيعات'!H:H)=0,"",SUMIF('تحليل مبيعات'!C:C, 'حركة المخزن'!B904, 'تحليل مبيعات'!H:H)),"")</f>
        <v/>
      </c>
      <c r="J904" s="10" t="str">
        <f>IFERROR(IF(SUMIF('تحليل مبيعات'!C:C, 'حركة المخزن'!B904, 'تحليل مبيعات'!L:L)=0,"",SUMIF('تحليل مبيعات'!C:C, 'حركة المخزن'!B904, 'تحليل مبيعات'!L:L)),"")</f>
        <v/>
      </c>
      <c r="K904" s="10" t="str">
        <f t="shared" si="45"/>
        <v/>
      </c>
      <c r="L904" s="10" t="str">
        <f t="shared" si="46"/>
        <v/>
      </c>
      <c r="M904">
        <v>5</v>
      </c>
      <c r="N904" t="str">
        <f t="shared" si="47"/>
        <v>يوجد رصيد كافى</v>
      </c>
    </row>
    <row r="905" spans="7:14" x14ac:dyDescent="0.3">
      <c r="G905" t="str">
        <f>IFERROR(IF(SUMIF(المشتريات!C:C, 'حركة المخزن'!B905, المشتريات!F:F)=0,"",SUMIF(المشتريات!C:C, 'حركة المخزن'!B905, المشتريات!F:F)),"")</f>
        <v/>
      </c>
      <c r="H905" s="10" t="str">
        <f>IFERROR(IF(SUMIF(المشتريات!C:C, 'حركة المخزن'!B905, المشتريات!I:I)=0,"",SUMIF(المشتريات!C:C, 'حركة المخزن'!B905, المشتريات!I:I)),"")</f>
        <v/>
      </c>
      <c r="I905" s="10" t="str">
        <f>IFERROR(IF(SUMIF('تحليل مبيعات'!C:C, 'حركة المخزن'!B905, 'تحليل مبيعات'!H:H)=0,"",SUMIF('تحليل مبيعات'!C:C, 'حركة المخزن'!B905, 'تحليل مبيعات'!H:H)),"")</f>
        <v/>
      </c>
      <c r="J905" s="10" t="str">
        <f>IFERROR(IF(SUMIF('تحليل مبيعات'!C:C, 'حركة المخزن'!B905, 'تحليل مبيعات'!L:L)=0,"",SUMIF('تحليل مبيعات'!C:C, 'حركة المخزن'!B905, 'تحليل مبيعات'!L:L)),"")</f>
        <v/>
      </c>
      <c r="K905" s="10" t="str">
        <f t="shared" ref="K905:K968" si="48">IFERROR(E905+G905-I905,"")</f>
        <v/>
      </c>
      <c r="L905" s="10" t="str">
        <f t="shared" ref="L905:L968" si="49">IFERROR(F905+H905-J905,"")</f>
        <v/>
      </c>
      <c r="M905">
        <v>5</v>
      </c>
      <c r="N905" t="str">
        <f t="shared" ref="N905:N968" si="50">IF(K905&lt;M905,"أعادة الطلب","يوجد رصيد كافى")</f>
        <v>يوجد رصيد كافى</v>
      </c>
    </row>
    <row r="906" spans="7:14" x14ac:dyDescent="0.3">
      <c r="G906" t="str">
        <f>IFERROR(IF(SUMIF(المشتريات!C:C, 'حركة المخزن'!B906, المشتريات!F:F)=0,"",SUMIF(المشتريات!C:C, 'حركة المخزن'!B906, المشتريات!F:F)),"")</f>
        <v/>
      </c>
      <c r="H906" s="10" t="str">
        <f>IFERROR(IF(SUMIF(المشتريات!C:C, 'حركة المخزن'!B906, المشتريات!I:I)=0,"",SUMIF(المشتريات!C:C, 'حركة المخزن'!B906, المشتريات!I:I)),"")</f>
        <v/>
      </c>
      <c r="I906" s="10" t="str">
        <f>IFERROR(IF(SUMIF('تحليل مبيعات'!C:C, 'حركة المخزن'!B906, 'تحليل مبيعات'!H:H)=0,"",SUMIF('تحليل مبيعات'!C:C, 'حركة المخزن'!B906, 'تحليل مبيعات'!H:H)),"")</f>
        <v/>
      </c>
      <c r="J906" s="10" t="str">
        <f>IFERROR(IF(SUMIF('تحليل مبيعات'!C:C, 'حركة المخزن'!B906, 'تحليل مبيعات'!L:L)=0,"",SUMIF('تحليل مبيعات'!C:C, 'حركة المخزن'!B906, 'تحليل مبيعات'!L:L)),"")</f>
        <v/>
      </c>
      <c r="K906" s="10" t="str">
        <f t="shared" si="48"/>
        <v/>
      </c>
      <c r="L906" s="10" t="str">
        <f t="shared" si="49"/>
        <v/>
      </c>
      <c r="M906">
        <v>5</v>
      </c>
      <c r="N906" t="str">
        <f t="shared" si="50"/>
        <v>يوجد رصيد كافى</v>
      </c>
    </row>
    <row r="907" spans="7:14" x14ac:dyDescent="0.3">
      <c r="G907" t="str">
        <f>IFERROR(IF(SUMIF(المشتريات!C:C, 'حركة المخزن'!B907, المشتريات!F:F)=0,"",SUMIF(المشتريات!C:C, 'حركة المخزن'!B907, المشتريات!F:F)),"")</f>
        <v/>
      </c>
      <c r="H907" s="10" t="str">
        <f>IFERROR(IF(SUMIF(المشتريات!C:C, 'حركة المخزن'!B907, المشتريات!I:I)=0,"",SUMIF(المشتريات!C:C, 'حركة المخزن'!B907, المشتريات!I:I)),"")</f>
        <v/>
      </c>
      <c r="I907" s="10" t="str">
        <f>IFERROR(IF(SUMIF('تحليل مبيعات'!C:C, 'حركة المخزن'!B907, 'تحليل مبيعات'!H:H)=0,"",SUMIF('تحليل مبيعات'!C:C, 'حركة المخزن'!B907, 'تحليل مبيعات'!H:H)),"")</f>
        <v/>
      </c>
      <c r="J907" s="10" t="str">
        <f>IFERROR(IF(SUMIF('تحليل مبيعات'!C:C, 'حركة المخزن'!B907, 'تحليل مبيعات'!L:L)=0,"",SUMIF('تحليل مبيعات'!C:C, 'حركة المخزن'!B907, 'تحليل مبيعات'!L:L)),"")</f>
        <v/>
      </c>
      <c r="K907" s="10" t="str">
        <f t="shared" si="48"/>
        <v/>
      </c>
      <c r="L907" s="10" t="str">
        <f t="shared" si="49"/>
        <v/>
      </c>
      <c r="M907">
        <v>5</v>
      </c>
      <c r="N907" t="str">
        <f t="shared" si="50"/>
        <v>يوجد رصيد كافى</v>
      </c>
    </row>
    <row r="908" spans="7:14" x14ac:dyDescent="0.3">
      <c r="G908" t="str">
        <f>IFERROR(IF(SUMIF(المشتريات!C:C, 'حركة المخزن'!B908, المشتريات!F:F)=0,"",SUMIF(المشتريات!C:C, 'حركة المخزن'!B908, المشتريات!F:F)),"")</f>
        <v/>
      </c>
      <c r="H908" s="10" t="str">
        <f>IFERROR(IF(SUMIF(المشتريات!C:C, 'حركة المخزن'!B908, المشتريات!I:I)=0,"",SUMIF(المشتريات!C:C, 'حركة المخزن'!B908, المشتريات!I:I)),"")</f>
        <v/>
      </c>
      <c r="I908" s="10" t="str">
        <f>IFERROR(IF(SUMIF('تحليل مبيعات'!C:C, 'حركة المخزن'!B908, 'تحليل مبيعات'!H:H)=0,"",SUMIF('تحليل مبيعات'!C:C, 'حركة المخزن'!B908, 'تحليل مبيعات'!H:H)),"")</f>
        <v/>
      </c>
      <c r="J908" s="10" t="str">
        <f>IFERROR(IF(SUMIF('تحليل مبيعات'!C:C, 'حركة المخزن'!B908, 'تحليل مبيعات'!L:L)=0,"",SUMIF('تحليل مبيعات'!C:C, 'حركة المخزن'!B908, 'تحليل مبيعات'!L:L)),"")</f>
        <v/>
      </c>
      <c r="K908" s="10" t="str">
        <f t="shared" si="48"/>
        <v/>
      </c>
      <c r="L908" s="10" t="str">
        <f t="shared" si="49"/>
        <v/>
      </c>
      <c r="M908">
        <v>5</v>
      </c>
      <c r="N908" t="str">
        <f t="shared" si="50"/>
        <v>يوجد رصيد كافى</v>
      </c>
    </row>
    <row r="909" spans="7:14" x14ac:dyDescent="0.3">
      <c r="G909" t="str">
        <f>IFERROR(IF(SUMIF(المشتريات!C:C, 'حركة المخزن'!B909, المشتريات!F:F)=0,"",SUMIF(المشتريات!C:C, 'حركة المخزن'!B909, المشتريات!F:F)),"")</f>
        <v/>
      </c>
      <c r="H909" s="10" t="str">
        <f>IFERROR(IF(SUMIF(المشتريات!C:C, 'حركة المخزن'!B909, المشتريات!I:I)=0,"",SUMIF(المشتريات!C:C, 'حركة المخزن'!B909, المشتريات!I:I)),"")</f>
        <v/>
      </c>
      <c r="I909" s="10" t="str">
        <f>IFERROR(IF(SUMIF('تحليل مبيعات'!C:C, 'حركة المخزن'!B909, 'تحليل مبيعات'!H:H)=0,"",SUMIF('تحليل مبيعات'!C:C, 'حركة المخزن'!B909, 'تحليل مبيعات'!H:H)),"")</f>
        <v/>
      </c>
      <c r="J909" s="10" t="str">
        <f>IFERROR(IF(SUMIF('تحليل مبيعات'!C:C, 'حركة المخزن'!B909, 'تحليل مبيعات'!L:L)=0,"",SUMIF('تحليل مبيعات'!C:C, 'حركة المخزن'!B909, 'تحليل مبيعات'!L:L)),"")</f>
        <v/>
      </c>
      <c r="K909" s="10" t="str">
        <f t="shared" si="48"/>
        <v/>
      </c>
      <c r="L909" s="10" t="str">
        <f t="shared" si="49"/>
        <v/>
      </c>
      <c r="M909">
        <v>5</v>
      </c>
      <c r="N909" t="str">
        <f t="shared" si="50"/>
        <v>يوجد رصيد كافى</v>
      </c>
    </row>
    <row r="910" spans="7:14" x14ac:dyDescent="0.3">
      <c r="G910" t="str">
        <f>IFERROR(IF(SUMIF(المشتريات!C:C, 'حركة المخزن'!B910, المشتريات!F:F)=0,"",SUMIF(المشتريات!C:C, 'حركة المخزن'!B910, المشتريات!F:F)),"")</f>
        <v/>
      </c>
      <c r="H910" s="10" t="str">
        <f>IFERROR(IF(SUMIF(المشتريات!C:C, 'حركة المخزن'!B910, المشتريات!I:I)=0,"",SUMIF(المشتريات!C:C, 'حركة المخزن'!B910, المشتريات!I:I)),"")</f>
        <v/>
      </c>
      <c r="I910" s="10" t="str">
        <f>IFERROR(IF(SUMIF('تحليل مبيعات'!C:C, 'حركة المخزن'!B910, 'تحليل مبيعات'!H:H)=0,"",SUMIF('تحليل مبيعات'!C:C, 'حركة المخزن'!B910, 'تحليل مبيعات'!H:H)),"")</f>
        <v/>
      </c>
      <c r="J910" s="10" t="str">
        <f>IFERROR(IF(SUMIF('تحليل مبيعات'!C:C, 'حركة المخزن'!B910, 'تحليل مبيعات'!L:L)=0,"",SUMIF('تحليل مبيعات'!C:C, 'حركة المخزن'!B910, 'تحليل مبيعات'!L:L)),"")</f>
        <v/>
      </c>
      <c r="K910" s="10" t="str">
        <f t="shared" si="48"/>
        <v/>
      </c>
      <c r="L910" s="10" t="str">
        <f t="shared" si="49"/>
        <v/>
      </c>
      <c r="M910">
        <v>5</v>
      </c>
      <c r="N910" t="str">
        <f t="shared" si="50"/>
        <v>يوجد رصيد كافى</v>
      </c>
    </row>
    <row r="911" spans="7:14" x14ac:dyDescent="0.3">
      <c r="G911" t="str">
        <f>IFERROR(IF(SUMIF(المشتريات!C:C, 'حركة المخزن'!B911, المشتريات!F:F)=0,"",SUMIF(المشتريات!C:C, 'حركة المخزن'!B911, المشتريات!F:F)),"")</f>
        <v/>
      </c>
      <c r="H911" s="10" t="str">
        <f>IFERROR(IF(SUMIF(المشتريات!C:C, 'حركة المخزن'!B911, المشتريات!I:I)=0,"",SUMIF(المشتريات!C:C, 'حركة المخزن'!B911, المشتريات!I:I)),"")</f>
        <v/>
      </c>
      <c r="I911" s="10" t="str">
        <f>IFERROR(IF(SUMIF('تحليل مبيعات'!C:C, 'حركة المخزن'!B911, 'تحليل مبيعات'!H:H)=0,"",SUMIF('تحليل مبيعات'!C:C, 'حركة المخزن'!B911, 'تحليل مبيعات'!H:H)),"")</f>
        <v/>
      </c>
      <c r="J911" s="10" t="str">
        <f>IFERROR(IF(SUMIF('تحليل مبيعات'!C:C, 'حركة المخزن'!B911, 'تحليل مبيعات'!L:L)=0,"",SUMIF('تحليل مبيعات'!C:C, 'حركة المخزن'!B911, 'تحليل مبيعات'!L:L)),"")</f>
        <v/>
      </c>
      <c r="K911" s="10" t="str">
        <f t="shared" si="48"/>
        <v/>
      </c>
      <c r="L911" s="10" t="str">
        <f t="shared" si="49"/>
        <v/>
      </c>
      <c r="M911">
        <v>5</v>
      </c>
      <c r="N911" t="str">
        <f t="shared" si="50"/>
        <v>يوجد رصيد كافى</v>
      </c>
    </row>
    <row r="912" spans="7:14" x14ac:dyDescent="0.3">
      <c r="G912" t="str">
        <f>IFERROR(IF(SUMIF(المشتريات!C:C, 'حركة المخزن'!B912, المشتريات!F:F)=0,"",SUMIF(المشتريات!C:C, 'حركة المخزن'!B912, المشتريات!F:F)),"")</f>
        <v/>
      </c>
      <c r="H912" s="10" t="str">
        <f>IFERROR(IF(SUMIF(المشتريات!C:C, 'حركة المخزن'!B912, المشتريات!I:I)=0,"",SUMIF(المشتريات!C:C, 'حركة المخزن'!B912, المشتريات!I:I)),"")</f>
        <v/>
      </c>
      <c r="I912" s="10" t="str">
        <f>IFERROR(IF(SUMIF('تحليل مبيعات'!C:C, 'حركة المخزن'!B912, 'تحليل مبيعات'!H:H)=0,"",SUMIF('تحليل مبيعات'!C:C, 'حركة المخزن'!B912, 'تحليل مبيعات'!H:H)),"")</f>
        <v/>
      </c>
      <c r="J912" s="10" t="str">
        <f>IFERROR(IF(SUMIF('تحليل مبيعات'!C:C, 'حركة المخزن'!B912, 'تحليل مبيعات'!L:L)=0,"",SUMIF('تحليل مبيعات'!C:C, 'حركة المخزن'!B912, 'تحليل مبيعات'!L:L)),"")</f>
        <v/>
      </c>
      <c r="K912" s="10" t="str">
        <f t="shared" si="48"/>
        <v/>
      </c>
      <c r="L912" s="10" t="str">
        <f t="shared" si="49"/>
        <v/>
      </c>
      <c r="M912">
        <v>5</v>
      </c>
      <c r="N912" t="str">
        <f t="shared" si="50"/>
        <v>يوجد رصيد كافى</v>
      </c>
    </row>
    <row r="913" spans="7:14" x14ac:dyDescent="0.3">
      <c r="G913" t="str">
        <f>IFERROR(IF(SUMIF(المشتريات!C:C, 'حركة المخزن'!B913, المشتريات!F:F)=0,"",SUMIF(المشتريات!C:C, 'حركة المخزن'!B913, المشتريات!F:F)),"")</f>
        <v/>
      </c>
      <c r="H913" s="10" t="str">
        <f>IFERROR(IF(SUMIF(المشتريات!C:C, 'حركة المخزن'!B913, المشتريات!I:I)=0,"",SUMIF(المشتريات!C:C, 'حركة المخزن'!B913, المشتريات!I:I)),"")</f>
        <v/>
      </c>
      <c r="I913" s="10" t="str">
        <f>IFERROR(IF(SUMIF('تحليل مبيعات'!C:C, 'حركة المخزن'!B913, 'تحليل مبيعات'!H:H)=0,"",SUMIF('تحليل مبيعات'!C:C, 'حركة المخزن'!B913, 'تحليل مبيعات'!H:H)),"")</f>
        <v/>
      </c>
      <c r="J913" s="10" t="str">
        <f>IFERROR(IF(SUMIF('تحليل مبيعات'!C:C, 'حركة المخزن'!B913, 'تحليل مبيعات'!L:L)=0,"",SUMIF('تحليل مبيعات'!C:C, 'حركة المخزن'!B913, 'تحليل مبيعات'!L:L)),"")</f>
        <v/>
      </c>
      <c r="K913" s="10" t="str">
        <f t="shared" si="48"/>
        <v/>
      </c>
      <c r="L913" s="10" t="str">
        <f t="shared" si="49"/>
        <v/>
      </c>
      <c r="M913">
        <v>5</v>
      </c>
      <c r="N913" t="str">
        <f t="shared" si="50"/>
        <v>يوجد رصيد كافى</v>
      </c>
    </row>
    <row r="914" spans="7:14" x14ac:dyDescent="0.3">
      <c r="G914" t="str">
        <f>IFERROR(IF(SUMIF(المشتريات!C:C, 'حركة المخزن'!B914, المشتريات!F:F)=0,"",SUMIF(المشتريات!C:C, 'حركة المخزن'!B914, المشتريات!F:F)),"")</f>
        <v/>
      </c>
      <c r="H914" s="10" t="str">
        <f>IFERROR(IF(SUMIF(المشتريات!C:C, 'حركة المخزن'!B914, المشتريات!I:I)=0,"",SUMIF(المشتريات!C:C, 'حركة المخزن'!B914, المشتريات!I:I)),"")</f>
        <v/>
      </c>
      <c r="I914" s="10" t="str">
        <f>IFERROR(IF(SUMIF('تحليل مبيعات'!C:C, 'حركة المخزن'!B914, 'تحليل مبيعات'!H:H)=0,"",SUMIF('تحليل مبيعات'!C:C, 'حركة المخزن'!B914, 'تحليل مبيعات'!H:H)),"")</f>
        <v/>
      </c>
      <c r="J914" s="10" t="str">
        <f>IFERROR(IF(SUMIF('تحليل مبيعات'!C:C, 'حركة المخزن'!B914, 'تحليل مبيعات'!L:L)=0,"",SUMIF('تحليل مبيعات'!C:C, 'حركة المخزن'!B914, 'تحليل مبيعات'!L:L)),"")</f>
        <v/>
      </c>
      <c r="K914" s="10" t="str">
        <f t="shared" si="48"/>
        <v/>
      </c>
      <c r="L914" s="10" t="str">
        <f t="shared" si="49"/>
        <v/>
      </c>
      <c r="M914">
        <v>5</v>
      </c>
      <c r="N914" t="str">
        <f t="shared" si="50"/>
        <v>يوجد رصيد كافى</v>
      </c>
    </row>
    <row r="915" spans="7:14" x14ac:dyDescent="0.3">
      <c r="G915" t="str">
        <f>IFERROR(IF(SUMIF(المشتريات!C:C, 'حركة المخزن'!B915, المشتريات!F:F)=0,"",SUMIF(المشتريات!C:C, 'حركة المخزن'!B915, المشتريات!F:F)),"")</f>
        <v/>
      </c>
      <c r="H915" s="10" t="str">
        <f>IFERROR(IF(SUMIF(المشتريات!C:C, 'حركة المخزن'!B915, المشتريات!I:I)=0,"",SUMIF(المشتريات!C:C, 'حركة المخزن'!B915, المشتريات!I:I)),"")</f>
        <v/>
      </c>
      <c r="I915" s="10" t="str">
        <f>IFERROR(IF(SUMIF('تحليل مبيعات'!C:C, 'حركة المخزن'!B915, 'تحليل مبيعات'!H:H)=0,"",SUMIF('تحليل مبيعات'!C:C, 'حركة المخزن'!B915, 'تحليل مبيعات'!H:H)),"")</f>
        <v/>
      </c>
      <c r="J915" s="10" t="str">
        <f>IFERROR(IF(SUMIF('تحليل مبيعات'!C:C, 'حركة المخزن'!B915, 'تحليل مبيعات'!L:L)=0,"",SUMIF('تحليل مبيعات'!C:C, 'حركة المخزن'!B915, 'تحليل مبيعات'!L:L)),"")</f>
        <v/>
      </c>
      <c r="K915" s="10" t="str">
        <f t="shared" si="48"/>
        <v/>
      </c>
      <c r="L915" s="10" t="str">
        <f t="shared" si="49"/>
        <v/>
      </c>
      <c r="M915">
        <v>5</v>
      </c>
      <c r="N915" t="str">
        <f t="shared" si="50"/>
        <v>يوجد رصيد كافى</v>
      </c>
    </row>
    <row r="916" spans="7:14" x14ac:dyDescent="0.3">
      <c r="G916" t="str">
        <f>IFERROR(IF(SUMIF(المشتريات!C:C, 'حركة المخزن'!B916, المشتريات!F:F)=0,"",SUMIF(المشتريات!C:C, 'حركة المخزن'!B916, المشتريات!F:F)),"")</f>
        <v/>
      </c>
      <c r="H916" s="10" t="str">
        <f>IFERROR(IF(SUMIF(المشتريات!C:C, 'حركة المخزن'!B916, المشتريات!I:I)=0,"",SUMIF(المشتريات!C:C, 'حركة المخزن'!B916, المشتريات!I:I)),"")</f>
        <v/>
      </c>
      <c r="I916" s="10" t="str">
        <f>IFERROR(IF(SUMIF('تحليل مبيعات'!C:C, 'حركة المخزن'!B916, 'تحليل مبيعات'!H:H)=0,"",SUMIF('تحليل مبيعات'!C:C, 'حركة المخزن'!B916, 'تحليل مبيعات'!H:H)),"")</f>
        <v/>
      </c>
      <c r="J916" s="10" t="str">
        <f>IFERROR(IF(SUMIF('تحليل مبيعات'!C:C, 'حركة المخزن'!B916, 'تحليل مبيعات'!L:L)=0,"",SUMIF('تحليل مبيعات'!C:C, 'حركة المخزن'!B916, 'تحليل مبيعات'!L:L)),"")</f>
        <v/>
      </c>
      <c r="K916" s="10" t="str">
        <f t="shared" si="48"/>
        <v/>
      </c>
      <c r="L916" s="10" t="str">
        <f t="shared" si="49"/>
        <v/>
      </c>
      <c r="M916">
        <v>5</v>
      </c>
      <c r="N916" t="str">
        <f t="shared" si="50"/>
        <v>يوجد رصيد كافى</v>
      </c>
    </row>
    <row r="917" spans="7:14" x14ac:dyDescent="0.3">
      <c r="G917" t="str">
        <f>IFERROR(IF(SUMIF(المشتريات!C:C, 'حركة المخزن'!B917, المشتريات!F:F)=0,"",SUMIF(المشتريات!C:C, 'حركة المخزن'!B917, المشتريات!F:F)),"")</f>
        <v/>
      </c>
      <c r="H917" s="10" t="str">
        <f>IFERROR(IF(SUMIF(المشتريات!C:C, 'حركة المخزن'!B917, المشتريات!I:I)=0,"",SUMIF(المشتريات!C:C, 'حركة المخزن'!B917, المشتريات!I:I)),"")</f>
        <v/>
      </c>
      <c r="I917" s="10" t="str">
        <f>IFERROR(IF(SUMIF('تحليل مبيعات'!C:C, 'حركة المخزن'!B917, 'تحليل مبيعات'!H:H)=0,"",SUMIF('تحليل مبيعات'!C:C, 'حركة المخزن'!B917, 'تحليل مبيعات'!H:H)),"")</f>
        <v/>
      </c>
      <c r="J917" s="10" t="str">
        <f>IFERROR(IF(SUMIF('تحليل مبيعات'!C:C, 'حركة المخزن'!B917, 'تحليل مبيعات'!L:L)=0,"",SUMIF('تحليل مبيعات'!C:C, 'حركة المخزن'!B917, 'تحليل مبيعات'!L:L)),"")</f>
        <v/>
      </c>
      <c r="K917" s="10" t="str">
        <f t="shared" si="48"/>
        <v/>
      </c>
      <c r="L917" s="10" t="str">
        <f t="shared" si="49"/>
        <v/>
      </c>
      <c r="M917">
        <v>5</v>
      </c>
      <c r="N917" t="str">
        <f t="shared" si="50"/>
        <v>يوجد رصيد كافى</v>
      </c>
    </row>
    <row r="918" spans="7:14" x14ac:dyDescent="0.3">
      <c r="G918" t="str">
        <f>IFERROR(IF(SUMIF(المشتريات!C:C, 'حركة المخزن'!B918, المشتريات!F:F)=0,"",SUMIF(المشتريات!C:C, 'حركة المخزن'!B918, المشتريات!F:F)),"")</f>
        <v/>
      </c>
      <c r="H918" s="10" t="str">
        <f>IFERROR(IF(SUMIF(المشتريات!C:C, 'حركة المخزن'!B918, المشتريات!I:I)=0,"",SUMIF(المشتريات!C:C, 'حركة المخزن'!B918, المشتريات!I:I)),"")</f>
        <v/>
      </c>
      <c r="I918" s="10" t="str">
        <f>IFERROR(IF(SUMIF('تحليل مبيعات'!C:C, 'حركة المخزن'!B918, 'تحليل مبيعات'!H:H)=0,"",SUMIF('تحليل مبيعات'!C:C, 'حركة المخزن'!B918, 'تحليل مبيعات'!H:H)),"")</f>
        <v/>
      </c>
      <c r="J918" s="10" t="str">
        <f>IFERROR(IF(SUMIF('تحليل مبيعات'!C:C, 'حركة المخزن'!B918, 'تحليل مبيعات'!L:L)=0,"",SUMIF('تحليل مبيعات'!C:C, 'حركة المخزن'!B918, 'تحليل مبيعات'!L:L)),"")</f>
        <v/>
      </c>
      <c r="K918" s="10" t="str">
        <f t="shared" si="48"/>
        <v/>
      </c>
      <c r="L918" s="10" t="str">
        <f t="shared" si="49"/>
        <v/>
      </c>
      <c r="M918">
        <v>5</v>
      </c>
      <c r="N918" t="str">
        <f t="shared" si="50"/>
        <v>يوجد رصيد كافى</v>
      </c>
    </row>
    <row r="919" spans="7:14" x14ac:dyDescent="0.3">
      <c r="G919" t="str">
        <f>IFERROR(IF(SUMIF(المشتريات!C:C, 'حركة المخزن'!B919, المشتريات!F:F)=0,"",SUMIF(المشتريات!C:C, 'حركة المخزن'!B919, المشتريات!F:F)),"")</f>
        <v/>
      </c>
      <c r="H919" s="10" t="str">
        <f>IFERROR(IF(SUMIF(المشتريات!C:C, 'حركة المخزن'!B919, المشتريات!I:I)=0,"",SUMIF(المشتريات!C:C, 'حركة المخزن'!B919, المشتريات!I:I)),"")</f>
        <v/>
      </c>
      <c r="I919" s="10" t="str">
        <f>IFERROR(IF(SUMIF('تحليل مبيعات'!C:C, 'حركة المخزن'!B919, 'تحليل مبيعات'!H:H)=0,"",SUMIF('تحليل مبيعات'!C:C, 'حركة المخزن'!B919, 'تحليل مبيعات'!H:H)),"")</f>
        <v/>
      </c>
      <c r="J919" s="10" t="str">
        <f>IFERROR(IF(SUMIF('تحليل مبيعات'!C:C, 'حركة المخزن'!B919, 'تحليل مبيعات'!L:L)=0,"",SUMIF('تحليل مبيعات'!C:C, 'حركة المخزن'!B919, 'تحليل مبيعات'!L:L)),"")</f>
        <v/>
      </c>
      <c r="K919" s="10" t="str">
        <f t="shared" si="48"/>
        <v/>
      </c>
      <c r="L919" s="10" t="str">
        <f t="shared" si="49"/>
        <v/>
      </c>
      <c r="M919">
        <v>5</v>
      </c>
      <c r="N919" t="str">
        <f t="shared" si="50"/>
        <v>يوجد رصيد كافى</v>
      </c>
    </row>
    <row r="920" spans="7:14" x14ac:dyDescent="0.3">
      <c r="G920" t="str">
        <f>IFERROR(IF(SUMIF(المشتريات!C:C, 'حركة المخزن'!B920, المشتريات!F:F)=0,"",SUMIF(المشتريات!C:C, 'حركة المخزن'!B920, المشتريات!F:F)),"")</f>
        <v/>
      </c>
      <c r="H920" s="10" t="str">
        <f>IFERROR(IF(SUMIF(المشتريات!C:C, 'حركة المخزن'!B920, المشتريات!I:I)=0,"",SUMIF(المشتريات!C:C, 'حركة المخزن'!B920, المشتريات!I:I)),"")</f>
        <v/>
      </c>
      <c r="I920" s="10" t="str">
        <f>IFERROR(IF(SUMIF('تحليل مبيعات'!C:C, 'حركة المخزن'!B920, 'تحليل مبيعات'!H:H)=0,"",SUMIF('تحليل مبيعات'!C:C, 'حركة المخزن'!B920, 'تحليل مبيعات'!H:H)),"")</f>
        <v/>
      </c>
      <c r="J920" s="10" t="str">
        <f>IFERROR(IF(SUMIF('تحليل مبيعات'!C:C, 'حركة المخزن'!B920, 'تحليل مبيعات'!L:L)=0,"",SUMIF('تحليل مبيعات'!C:C, 'حركة المخزن'!B920, 'تحليل مبيعات'!L:L)),"")</f>
        <v/>
      </c>
      <c r="K920" s="10" t="str">
        <f t="shared" si="48"/>
        <v/>
      </c>
      <c r="L920" s="10" t="str">
        <f t="shared" si="49"/>
        <v/>
      </c>
      <c r="M920">
        <v>5</v>
      </c>
      <c r="N920" t="str">
        <f t="shared" si="50"/>
        <v>يوجد رصيد كافى</v>
      </c>
    </row>
    <row r="921" spans="7:14" x14ac:dyDescent="0.3">
      <c r="G921" t="str">
        <f>IFERROR(IF(SUMIF(المشتريات!C:C, 'حركة المخزن'!B921, المشتريات!F:F)=0,"",SUMIF(المشتريات!C:C, 'حركة المخزن'!B921, المشتريات!F:F)),"")</f>
        <v/>
      </c>
      <c r="H921" s="10" t="str">
        <f>IFERROR(IF(SUMIF(المشتريات!C:C, 'حركة المخزن'!B921, المشتريات!I:I)=0,"",SUMIF(المشتريات!C:C, 'حركة المخزن'!B921, المشتريات!I:I)),"")</f>
        <v/>
      </c>
      <c r="I921" s="10" t="str">
        <f>IFERROR(IF(SUMIF('تحليل مبيعات'!C:C, 'حركة المخزن'!B921, 'تحليل مبيعات'!H:H)=0,"",SUMIF('تحليل مبيعات'!C:C, 'حركة المخزن'!B921, 'تحليل مبيعات'!H:H)),"")</f>
        <v/>
      </c>
      <c r="J921" s="10" t="str">
        <f>IFERROR(IF(SUMIF('تحليل مبيعات'!C:C, 'حركة المخزن'!B921, 'تحليل مبيعات'!L:L)=0,"",SUMIF('تحليل مبيعات'!C:C, 'حركة المخزن'!B921, 'تحليل مبيعات'!L:L)),"")</f>
        <v/>
      </c>
      <c r="K921" s="10" t="str">
        <f t="shared" si="48"/>
        <v/>
      </c>
      <c r="L921" s="10" t="str">
        <f t="shared" si="49"/>
        <v/>
      </c>
      <c r="M921">
        <v>5</v>
      </c>
      <c r="N921" t="str">
        <f t="shared" si="50"/>
        <v>يوجد رصيد كافى</v>
      </c>
    </row>
    <row r="922" spans="7:14" x14ac:dyDescent="0.3">
      <c r="G922" t="str">
        <f>IFERROR(IF(SUMIF(المشتريات!C:C, 'حركة المخزن'!B922, المشتريات!F:F)=0,"",SUMIF(المشتريات!C:C, 'حركة المخزن'!B922, المشتريات!F:F)),"")</f>
        <v/>
      </c>
      <c r="H922" s="10" t="str">
        <f>IFERROR(IF(SUMIF(المشتريات!C:C, 'حركة المخزن'!B922, المشتريات!I:I)=0,"",SUMIF(المشتريات!C:C, 'حركة المخزن'!B922, المشتريات!I:I)),"")</f>
        <v/>
      </c>
      <c r="I922" s="10" t="str">
        <f>IFERROR(IF(SUMIF('تحليل مبيعات'!C:C, 'حركة المخزن'!B922, 'تحليل مبيعات'!H:H)=0,"",SUMIF('تحليل مبيعات'!C:C, 'حركة المخزن'!B922, 'تحليل مبيعات'!H:H)),"")</f>
        <v/>
      </c>
      <c r="J922" s="10" t="str">
        <f>IFERROR(IF(SUMIF('تحليل مبيعات'!C:C, 'حركة المخزن'!B922, 'تحليل مبيعات'!L:L)=0,"",SUMIF('تحليل مبيعات'!C:C, 'حركة المخزن'!B922, 'تحليل مبيعات'!L:L)),"")</f>
        <v/>
      </c>
      <c r="K922" s="10" t="str">
        <f t="shared" si="48"/>
        <v/>
      </c>
      <c r="L922" s="10" t="str">
        <f t="shared" si="49"/>
        <v/>
      </c>
      <c r="M922">
        <v>5</v>
      </c>
      <c r="N922" t="str">
        <f t="shared" si="50"/>
        <v>يوجد رصيد كافى</v>
      </c>
    </row>
    <row r="923" spans="7:14" x14ac:dyDescent="0.3">
      <c r="G923" t="str">
        <f>IFERROR(IF(SUMIF(المشتريات!C:C, 'حركة المخزن'!B923, المشتريات!F:F)=0,"",SUMIF(المشتريات!C:C, 'حركة المخزن'!B923, المشتريات!F:F)),"")</f>
        <v/>
      </c>
      <c r="H923" s="10" t="str">
        <f>IFERROR(IF(SUMIF(المشتريات!C:C, 'حركة المخزن'!B923, المشتريات!I:I)=0,"",SUMIF(المشتريات!C:C, 'حركة المخزن'!B923, المشتريات!I:I)),"")</f>
        <v/>
      </c>
      <c r="I923" s="10" t="str">
        <f>IFERROR(IF(SUMIF('تحليل مبيعات'!C:C, 'حركة المخزن'!B923, 'تحليل مبيعات'!H:H)=0,"",SUMIF('تحليل مبيعات'!C:C, 'حركة المخزن'!B923, 'تحليل مبيعات'!H:H)),"")</f>
        <v/>
      </c>
      <c r="J923" s="10" t="str">
        <f>IFERROR(IF(SUMIF('تحليل مبيعات'!C:C, 'حركة المخزن'!B923, 'تحليل مبيعات'!L:L)=0,"",SUMIF('تحليل مبيعات'!C:C, 'حركة المخزن'!B923, 'تحليل مبيعات'!L:L)),"")</f>
        <v/>
      </c>
      <c r="K923" s="10" t="str">
        <f t="shared" si="48"/>
        <v/>
      </c>
      <c r="L923" s="10" t="str">
        <f t="shared" si="49"/>
        <v/>
      </c>
      <c r="M923">
        <v>5</v>
      </c>
      <c r="N923" t="str">
        <f t="shared" si="50"/>
        <v>يوجد رصيد كافى</v>
      </c>
    </row>
    <row r="924" spans="7:14" x14ac:dyDescent="0.3">
      <c r="G924" t="str">
        <f>IFERROR(IF(SUMIF(المشتريات!C:C, 'حركة المخزن'!B924, المشتريات!F:F)=0,"",SUMIF(المشتريات!C:C, 'حركة المخزن'!B924, المشتريات!F:F)),"")</f>
        <v/>
      </c>
      <c r="H924" s="10" t="str">
        <f>IFERROR(IF(SUMIF(المشتريات!C:C, 'حركة المخزن'!B924, المشتريات!I:I)=0,"",SUMIF(المشتريات!C:C, 'حركة المخزن'!B924, المشتريات!I:I)),"")</f>
        <v/>
      </c>
      <c r="I924" s="10" t="str">
        <f>IFERROR(IF(SUMIF('تحليل مبيعات'!C:C, 'حركة المخزن'!B924, 'تحليل مبيعات'!H:H)=0,"",SUMIF('تحليل مبيعات'!C:C, 'حركة المخزن'!B924, 'تحليل مبيعات'!H:H)),"")</f>
        <v/>
      </c>
      <c r="J924" s="10" t="str">
        <f>IFERROR(IF(SUMIF('تحليل مبيعات'!C:C, 'حركة المخزن'!B924, 'تحليل مبيعات'!L:L)=0,"",SUMIF('تحليل مبيعات'!C:C, 'حركة المخزن'!B924, 'تحليل مبيعات'!L:L)),"")</f>
        <v/>
      </c>
      <c r="K924" s="10" t="str">
        <f t="shared" si="48"/>
        <v/>
      </c>
      <c r="L924" s="10" t="str">
        <f t="shared" si="49"/>
        <v/>
      </c>
      <c r="M924">
        <v>5</v>
      </c>
      <c r="N924" t="str">
        <f t="shared" si="50"/>
        <v>يوجد رصيد كافى</v>
      </c>
    </row>
    <row r="925" spans="7:14" x14ac:dyDescent="0.3">
      <c r="G925" t="str">
        <f>IFERROR(IF(SUMIF(المشتريات!C:C, 'حركة المخزن'!B925, المشتريات!F:F)=0,"",SUMIF(المشتريات!C:C, 'حركة المخزن'!B925, المشتريات!F:F)),"")</f>
        <v/>
      </c>
      <c r="H925" s="10" t="str">
        <f>IFERROR(IF(SUMIF(المشتريات!C:C, 'حركة المخزن'!B925, المشتريات!I:I)=0,"",SUMIF(المشتريات!C:C, 'حركة المخزن'!B925, المشتريات!I:I)),"")</f>
        <v/>
      </c>
      <c r="I925" s="10" t="str">
        <f>IFERROR(IF(SUMIF('تحليل مبيعات'!C:C, 'حركة المخزن'!B925, 'تحليل مبيعات'!H:H)=0,"",SUMIF('تحليل مبيعات'!C:C, 'حركة المخزن'!B925, 'تحليل مبيعات'!H:H)),"")</f>
        <v/>
      </c>
      <c r="J925" s="10" t="str">
        <f>IFERROR(IF(SUMIF('تحليل مبيعات'!C:C, 'حركة المخزن'!B925, 'تحليل مبيعات'!L:L)=0,"",SUMIF('تحليل مبيعات'!C:C, 'حركة المخزن'!B925, 'تحليل مبيعات'!L:L)),"")</f>
        <v/>
      </c>
      <c r="K925" s="10" t="str">
        <f t="shared" si="48"/>
        <v/>
      </c>
      <c r="L925" s="10" t="str">
        <f t="shared" si="49"/>
        <v/>
      </c>
      <c r="M925">
        <v>5</v>
      </c>
      <c r="N925" t="str">
        <f t="shared" si="50"/>
        <v>يوجد رصيد كافى</v>
      </c>
    </row>
    <row r="926" spans="7:14" x14ac:dyDescent="0.3">
      <c r="G926" t="str">
        <f>IFERROR(IF(SUMIF(المشتريات!C:C, 'حركة المخزن'!B926, المشتريات!F:F)=0,"",SUMIF(المشتريات!C:C, 'حركة المخزن'!B926, المشتريات!F:F)),"")</f>
        <v/>
      </c>
      <c r="H926" s="10" t="str">
        <f>IFERROR(IF(SUMIF(المشتريات!C:C, 'حركة المخزن'!B926, المشتريات!I:I)=0,"",SUMIF(المشتريات!C:C, 'حركة المخزن'!B926, المشتريات!I:I)),"")</f>
        <v/>
      </c>
      <c r="I926" s="10" t="str">
        <f>IFERROR(IF(SUMIF('تحليل مبيعات'!C:C, 'حركة المخزن'!B926, 'تحليل مبيعات'!H:H)=0,"",SUMIF('تحليل مبيعات'!C:C, 'حركة المخزن'!B926, 'تحليل مبيعات'!H:H)),"")</f>
        <v/>
      </c>
      <c r="J926" s="10" t="str">
        <f>IFERROR(IF(SUMIF('تحليل مبيعات'!C:C, 'حركة المخزن'!B926, 'تحليل مبيعات'!L:L)=0,"",SUMIF('تحليل مبيعات'!C:C, 'حركة المخزن'!B926, 'تحليل مبيعات'!L:L)),"")</f>
        <v/>
      </c>
      <c r="K926" s="10" t="str">
        <f t="shared" si="48"/>
        <v/>
      </c>
      <c r="L926" s="10" t="str">
        <f t="shared" si="49"/>
        <v/>
      </c>
      <c r="M926">
        <v>5</v>
      </c>
      <c r="N926" t="str">
        <f t="shared" si="50"/>
        <v>يوجد رصيد كافى</v>
      </c>
    </row>
    <row r="927" spans="7:14" x14ac:dyDescent="0.3">
      <c r="G927" t="str">
        <f>IFERROR(IF(SUMIF(المشتريات!C:C, 'حركة المخزن'!B927, المشتريات!F:F)=0,"",SUMIF(المشتريات!C:C, 'حركة المخزن'!B927, المشتريات!F:F)),"")</f>
        <v/>
      </c>
      <c r="H927" s="10" t="str">
        <f>IFERROR(IF(SUMIF(المشتريات!C:C, 'حركة المخزن'!B927, المشتريات!I:I)=0,"",SUMIF(المشتريات!C:C, 'حركة المخزن'!B927, المشتريات!I:I)),"")</f>
        <v/>
      </c>
      <c r="I927" s="10" t="str">
        <f>IFERROR(IF(SUMIF('تحليل مبيعات'!C:C, 'حركة المخزن'!B927, 'تحليل مبيعات'!H:H)=0,"",SUMIF('تحليل مبيعات'!C:C, 'حركة المخزن'!B927, 'تحليل مبيعات'!H:H)),"")</f>
        <v/>
      </c>
      <c r="J927" s="10" t="str">
        <f>IFERROR(IF(SUMIF('تحليل مبيعات'!C:C, 'حركة المخزن'!B927, 'تحليل مبيعات'!L:L)=0,"",SUMIF('تحليل مبيعات'!C:C, 'حركة المخزن'!B927, 'تحليل مبيعات'!L:L)),"")</f>
        <v/>
      </c>
      <c r="K927" s="10" t="str">
        <f t="shared" si="48"/>
        <v/>
      </c>
      <c r="L927" s="10" t="str">
        <f t="shared" si="49"/>
        <v/>
      </c>
      <c r="M927">
        <v>5</v>
      </c>
      <c r="N927" t="str">
        <f t="shared" si="50"/>
        <v>يوجد رصيد كافى</v>
      </c>
    </row>
    <row r="928" spans="7:14" x14ac:dyDescent="0.3">
      <c r="G928" t="str">
        <f>IFERROR(IF(SUMIF(المشتريات!C:C, 'حركة المخزن'!B928, المشتريات!F:F)=0,"",SUMIF(المشتريات!C:C, 'حركة المخزن'!B928, المشتريات!F:F)),"")</f>
        <v/>
      </c>
      <c r="H928" s="10" t="str">
        <f>IFERROR(IF(SUMIF(المشتريات!C:C, 'حركة المخزن'!B928, المشتريات!I:I)=0,"",SUMIF(المشتريات!C:C, 'حركة المخزن'!B928, المشتريات!I:I)),"")</f>
        <v/>
      </c>
      <c r="I928" s="10" t="str">
        <f>IFERROR(IF(SUMIF('تحليل مبيعات'!C:C, 'حركة المخزن'!B928, 'تحليل مبيعات'!H:H)=0,"",SUMIF('تحليل مبيعات'!C:C, 'حركة المخزن'!B928, 'تحليل مبيعات'!H:H)),"")</f>
        <v/>
      </c>
      <c r="J928" s="10" t="str">
        <f>IFERROR(IF(SUMIF('تحليل مبيعات'!C:C, 'حركة المخزن'!B928, 'تحليل مبيعات'!L:L)=0,"",SUMIF('تحليل مبيعات'!C:C, 'حركة المخزن'!B928, 'تحليل مبيعات'!L:L)),"")</f>
        <v/>
      </c>
      <c r="K928" s="10" t="str">
        <f t="shared" si="48"/>
        <v/>
      </c>
      <c r="L928" s="10" t="str">
        <f t="shared" si="49"/>
        <v/>
      </c>
      <c r="M928">
        <v>5</v>
      </c>
      <c r="N928" t="str">
        <f t="shared" si="50"/>
        <v>يوجد رصيد كافى</v>
      </c>
    </row>
    <row r="929" spans="7:14" x14ac:dyDescent="0.3">
      <c r="G929" t="str">
        <f>IFERROR(IF(SUMIF(المشتريات!C:C, 'حركة المخزن'!B929, المشتريات!F:F)=0,"",SUMIF(المشتريات!C:C, 'حركة المخزن'!B929, المشتريات!F:F)),"")</f>
        <v/>
      </c>
      <c r="H929" s="10" t="str">
        <f>IFERROR(IF(SUMIF(المشتريات!C:C, 'حركة المخزن'!B929, المشتريات!I:I)=0,"",SUMIF(المشتريات!C:C, 'حركة المخزن'!B929, المشتريات!I:I)),"")</f>
        <v/>
      </c>
      <c r="I929" s="10" t="str">
        <f>IFERROR(IF(SUMIF('تحليل مبيعات'!C:C, 'حركة المخزن'!B929, 'تحليل مبيعات'!H:H)=0,"",SUMIF('تحليل مبيعات'!C:C, 'حركة المخزن'!B929, 'تحليل مبيعات'!H:H)),"")</f>
        <v/>
      </c>
      <c r="J929" s="10" t="str">
        <f>IFERROR(IF(SUMIF('تحليل مبيعات'!C:C, 'حركة المخزن'!B929, 'تحليل مبيعات'!L:L)=0,"",SUMIF('تحليل مبيعات'!C:C, 'حركة المخزن'!B929, 'تحليل مبيعات'!L:L)),"")</f>
        <v/>
      </c>
      <c r="K929" s="10" t="str">
        <f t="shared" si="48"/>
        <v/>
      </c>
      <c r="L929" s="10" t="str">
        <f t="shared" si="49"/>
        <v/>
      </c>
      <c r="M929">
        <v>5</v>
      </c>
      <c r="N929" t="str">
        <f t="shared" si="50"/>
        <v>يوجد رصيد كافى</v>
      </c>
    </row>
    <row r="930" spans="7:14" x14ac:dyDescent="0.3">
      <c r="G930" t="str">
        <f>IFERROR(IF(SUMIF(المشتريات!C:C, 'حركة المخزن'!B930, المشتريات!F:F)=0,"",SUMIF(المشتريات!C:C, 'حركة المخزن'!B930, المشتريات!F:F)),"")</f>
        <v/>
      </c>
      <c r="H930" s="10" t="str">
        <f>IFERROR(IF(SUMIF(المشتريات!C:C, 'حركة المخزن'!B930, المشتريات!I:I)=0,"",SUMIF(المشتريات!C:C, 'حركة المخزن'!B930, المشتريات!I:I)),"")</f>
        <v/>
      </c>
      <c r="I930" s="10" t="str">
        <f>IFERROR(IF(SUMIF('تحليل مبيعات'!C:C, 'حركة المخزن'!B930, 'تحليل مبيعات'!H:H)=0,"",SUMIF('تحليل مبيعات'!C:C, 'حركة المخزن'!B930, 'تحليل مبيعات'!H:H)),"")</f>
        <v/>
      </c>
      <c r="J930" s="10" t="str">
        <f>IFERROR(IF(SUMIF('تحليل مبيعات'!C:C, 'حركة المخزن'!B930, 'تحليل مبيعات'!L:L)=0,"",SUMIF('تحليل مبيعات'!C:C, 'حركة المخزن'!B930, 'تحليل مبيعات'!L:L)),"")</f>
        <v/>
      </c>
      <c r="K930" s="10" t="str">
        <f t="shared" si="48"/>
        <v/>
      </c>
      <c r="L930" s="10" t="str">
        <f t="shared" si="49"/>
        <v/>
      </c>
      <c r="M930">
        <v>5</v>
      </c>
      <c r="N930" t="str">
        <f t="shared" si="50"/>
        <v>يوجد رصيد كافى</v>
      </c>
    </row>
    <row r="931" spans="7:14" x14ac:dyDescent="0.3">
      <c r="G931" t="str">
        <f>IFERROR(IF(SUMIF(المشتريات!C:C, 'حركة المخزن'!B931, المشتريات!F:F)=0,"",SUMIF(المشتريات!C:C, 'حركة المخزن'!B931, المشتريات!F:F)),"")</f>
        <v/>
      </c>
      <c r="H931" s="10" t="str">
        <f>IFERROR(IF(SUMIF(المشتريات!C:C, 'حركة المخزن'!B931, المشتريات!I:I)=0,"",SUMIF(المشتريات!C:C, 'حركة المخزن'!B931, المشتريات!I:I)),"")</f>
        <v/>
      </c>
      <c r="I931" s="10" t="str">
        <f>IFERROR(IF(SUMIF('تحليل مبيعات'!C:C, 'حركة المخزن'!B931, 'تحليل مبيعات'!H:H)=0,"",SUMIF('تحليل مبيعات'!C:C, 'حركة المخزن'!B931, 'تحليل مبيعات'!H:H)),"")</f>
        <v/>
      </c>
      <c r="J931" s="10" t="str">
        <f>IFERROR(IF(SUMIF('تحليل مبيعات'!C:C, 'حركة المخزن'!B931, 'تحليل مبيعات'!L:L)=0,"",SUMIF('تحليل مبيعات'!C:C, 'حركة المخزن'!B931, 'تحليل مبيعات'!L:L)),"")</f>
        <v/>
      </c>
      <c r="K931" s="10" t="str">
        <f t="shared" si="48"/>
        <v/>
      </c>
      <c r="L931" s="10" t="str">
        <f t="shared" si="49"/>
        <v/>
      </c>
      <c r="M931">
        <v>5</v>
      </c>
      <c r="N931" t="str">
        <f t="shared" si="50"/>
        <v>يوجد رصيد كافى</v>
      </c>
    </row>
    <row r="932" spans="7:14" x14ac:dyDescent="0.3">
      <c r="G932" t="str">
        <f>IFERROR(IF(SUMIF(المشتريات!C:C, 'حركة المخزن'!B932, المشتريات!F:F)=0,"",SUMIF(المشتريات!C:C, 'حركة المخزن'!B932, المشتريات!F:F)),"")</f>
        <v/>
      </c>
      <c r="H932" s="10" t="str">
        <f>IFERROR(IF(SUMIF(المشتريات!C:C, 'حركة المخزن'!B932, المشتريات!I:I)=0,"",SUMIF(المشتريات!C:C, 'حركة المخزن'!B932, المشتريات!I:I)),"")</f>
        <v/>
      </c>
      <c r="I932" s="10" t="str">
        <f>IFERROR(IF(SUMIF('تحليل مبيعات'!C:C, 'حركة المخزن'!B932, 'تحليل مبيعات'!H:H)=0,"",SUMIF('تحليل مبيعات'!C:C, 'حركة المخزن'!B932, 'تحليل مبيعات'!H:H)),"")</f>
        <v/>
      </c>
      <c r="J932" s="10" t="str">
        <f>IFERROR(IF(SUMIF('تحليل مبيعات'!C:C, 'حركة المخزن'!B932, 'تحليل مبيعات'!L:L)=0,"",SUMIF('تحليل مبيعات'!C:C, 'حركة المخزن'!B932, 'تحليل مبيعات'!L:L)),"")</f>
        <v/>
      </c>
      <c r="K932" s="10" t="str">
        <f t="shared" si="48"/>
        <v/>
      </c>
      <c r="L932" s="10" t="str">
        <f t="shared" si="49"/>
        <v/>
      </c>
      <c r="M932">
        <v>5</v>
      </c>
      <c r="N932" t="str">
        <f t="shared" si="50"/>
        <v>يوجد رصيد كافى</v>
      </c>
    </row>
    <row r="933" spans="7:14" x14ac:dyDescent="0.3">
      <c r="G933" t="str">
        <f>IFERROR(IF(SUMIF(المشتريات!C:C, 'حركة المخزن'!B933, المشتريات!F:F)=0,"",SUMIF(المشتريات!C:C, 'حركة المخزن'!B933, المشتريات!F:F)),"")</f>
        <v/>
      </c>
      <c r="H933" s="10" t="str">
        <f>IFERROR(IF(SUMIF(المشتريات!C:C, 'حركة المخزن'!B933, المشتريات!I:I)=0,"",SUMIF(المشتريات!C:C, 'حركة المخزن'!B933, المشتريات!I:I)),"")</f>
        <v/>
      </c>
      <c r="I933" s="10" t="str">
        <f>IFERROR(IF(SUMIF('تحليل مبيعات'!C:C, 'حركة المخزن'!B933, 'تحليل مبيعات'!H:H)=0,"",SUMIF('تحليل مبيعات'!C:C, 'حركة المخزن'!B933, 'تحليل مبيعات'!H:H)),"")</f>
        <v/>
      </c>
      <c r="J933" s="10" t="str">
        <f>IFERROR(IF(SUMIF('تحليل مبيعات'!C:C, 'حركة المخزن'!B933, 'تحليل مبيعات'!L:L)=0,"",SUMIF('تحليل مبيعات'!C:C, 'حركة المخزن'!B933, 'تحليل مبيعات'!L:L)),"")</f>
        <v/>
      </c>
      <c r="K933" s="10" t="str">
        <f t="shared" si="48"/>
        <v/>
      </c>
      <c r="L933" s="10" t="str">
        <f t="shared" si="49"/>
        <v/>
      </c>
      <c r="M933">
        <v>5</v>
      </c>
      <c r="N933" t="str">
        <f t="shared" si="50"/>
        <v>يوجد رصيد كافى</v>
      </c>
    </row>
    <row r="934" spans="7:14" x14ac:dyDescent="0.3">
      <c r="G934" t="str">
        <f>IFERROR(IF(SUMIF(المشتريات!C:C, 'حركة المخزن'!B934, المشتريات!F:F)=0,"",SUMIF(المشتريات!C:C, 'حركة المخزن'!B934, المشتريات!F:F)),"")</f>
        <v/>
      </c>
      <c r="H934" s="10" t="str">
        <f>IFERROR(IF(SUMIF(المشتريات!C:C, 'حركة المخزن'!B934, المشتريات!I:I)=0,"",SUMIF(المشتريات!C:C, 'حركة المخزن'!B934, المشتريات!I:I)),"")</f>
        <v/>
      </c>
      <c r="I934" s="10" t="str">
        <f>IFERROR(IF(SUMIF('تحليل مبيعات'!C:C, 'حركة المخزن'!B934, 'تحليل مبيعات'!H:H)=0,"",SUMIF('تحليل مبيعات'!C:C, 'حركة المخزن'!B934, 'تحليل مبيعات'!H:H)),"")</f>
        <v/>
      </c>
      <c r="J934" s="10" t="str">
        <f>IFERROR(IF(SUMIF('تحليل مبيعات'!C:C, 'حركة المخزن'!B934, 'تحليل مبيعات'!L:L)=0,"",SUMIF('تحليل مبيعات'!C:C, 'حركة المخزن'!B934, 'تحليل مبيعات'!L:L)),"")</f>
        <v/>
      </c>
      <c r="K934" s="10" t="str">
        <f t="shared" si="48"/>
        <v/>
      </c>
      <c r="L934" s="10" t="str">
        <f t="shared" si="49"/>
        <v/>
      </c>
      <c r="M934">
        <v>5</v>
      </c>
      <c r="N934" t="str">
        <f t="shared" si="50"/>
        <v>يوجد رصيد كافى</v>
      </c>
    </row>
    <row r="935" spans="7:14" x14ac:dyDescent="0.3">
      <c r="G935" t="str">
        <f>IFERROR(IF(SUMIF(المشتريات!C:C, 'حركة المخزن'!B935, المشتريات!F:F)=0,"",SUMIF(المشتريات!C:C, 'حركة المخزن'!B935, المشتريات!F:F)),"")</f>
        <v/>
      </c>
      <c r="H935" s="10" t="str">
        <f>IFERROR(IF(SUMIF(المشتريات!C:C, 'حركة المخزن'!B935, المشتريات!I:I)=0,"",SUMIF(المشتريات!C:C, 'حركة المخزن'!B935, المشتريات!I:I)),"")</f>
        <v/>
      </c>
      <c r="I935" s="10" t="str">
        <f>IFERROR(IF(SUMIF('تحليل مبيعات'!C:C, 'حركة المخزن'!B935, 'تحليل مبيعات'!H:H)=0,"",SUMIF('تحليل مبيعات'!C:C, 'حركة المخزن'!B935, 'تحليل مبيعات'!H:H)),"")</f>
        <v/>
      </c>
      <c r="J935" s="10" t="str">
        <f>IFERROR(IF(SUMIF('تحليل مبيعات'!C:C, 'حركة المخزن'!B935, 'تحليل مبيعات'!L:L)=0,"",SUMIF('تحليل مبيعات'!C:C, 'حركة المخزن'!B935, 'تحليل مبيعات'!L:L)),"")</f>
        <v/>
      </c>
      <c r="K935" s="10" t="str">
        <f t="shared" si="48"/>
        <v/>
      </c>
      <c r="L935" s="10" t="str">
        <f t="shared" si="49"/>
        <v/>
      </c>
      <c r="M935">
        <v>5</v>
      </c>
      <c r="N935" t="str">
        <f t="shared" si="50"/>
        <v>يوجد رصيد كافى</v>
      </c>
    </row>
    <row r="936" spans="7:14" x14ac:dyDescent="0.3">
      <c r="G936" t="str">
        <f>IFERROR(IF(SUMIF(المشتريات!C:C, 'حركة المخزن'!B936, المشتريات!F:F)=0,"",SUMIF(المشتريات!C:C, 'حركة المخزن'!B936, المشتريات!F:F)),"")</f>
        <v/>
      </c>
      <c r="H936" s="10" t="str">
        <f>IFERROR(IF(SUMIF(المشتريات!C:C, 'حركة المخزن'!B936, المشتريات!I:I)=0,"",SUMIF(المشتريات!C:C, 'حركة المخزن'!B936, المشتريات!I:I)),"")</f>
        <v/>
      </c>
      <c r="I936" s="10" t="str">
        <f>IFERROR(IF(SUMIF('تحليل مبيعات'!C:C, 'حركة المخزن'!B936, 'تحليل مبيعات'!H:H)=0,"",SUMIF('تحليل مبيعات'!C:C, 'حركة المخزن'!B936, 'تحليل مبيعات'!H:H)),"")</f>
        <v/>
      </c>
      <c r="J936" s="10" t="str">
        <f>IFERROR(IF(SUMIF('تحليل مبيعات'!C:C, 'حركة المخزن'!B936, 'تحليل مبيعات'!L:L)=0,"",SUMIF('تحليل مبيعات'!C:C, 'حركة المخزن'!B936, 'تحليل مبيعات'!L:L)),"")</f>
        <v/>
      </c>
      <c r="K936" s="10" t="str">
        <f t="shared" si="48"/>
        <v/>
      </c>
      <c r="L936" s="10" t="str">
        <f t="shared" si="49"/>
        <v/>
      </c>
      <c r="M936">
        <v>5</v>
      </c>
      <c r="N936" t="str">
        <f t="shared" si="50"/>
        <v>يوجد رصيد كافى</v>
      </c>
    </row>
    <row r="937" spans="7:14" x14ac:dyDescent="0.3">
      <c r="G937" t="str">
        <f>IFERROR(IF(SUMIF(المشتريات!C:C, 'حركة المخزن'!B937, المشتريات!F:F)=0,"",SUMIF(المشتريات!C:C, 'حركة المخزن'!B937, المشتريات!F:F)),"")</f>
        <v/>
      </c>
      <c r="H937" s="10" t="str">
        <f>IFERROR(IF(SUMIF(المشتريات!C:C, 'حركة المخزن'!B937, المشتريات!I:I)=0,"",SUMIF(المشتريات!C:C, 'حركة المخزن'!B937, المشتريات!I:I)),"")</f>
        <v/>
      </c>
      <c r="I937" s="10" t="str">
        <f>IFERROR(IF(SUMIF('تحليل مبيعات'!C:C, 'حركة المخزن'!B937, 'تحليل مبيعات'!H:H)=0,"",SUMIF('تحليل مبيعات'!C:C, 'حركة المخزن'!B937, 'تحليل مبيعات'!H:H)),"")</f>
        <v/>
      </c>
      <c r="J937" s="10" t="str">
        <f>IFERROR(IF(SUMIF('تحليل مبيعات'!C:C, 'حركة المخزن'!B937, 'تحليل مبيعات'!L:L)=0,"",SUMIF('تحليل مبيعات'!C:C, 'حركة المخزن'!B937, 'تحليل مبيعات'!L:L)),"")</f>
        <v/>
      </c>
      <c r="K937" s="10" t="str">
        <f t="shared" si="48"/>
        <v/>
      </c>
      <c r="L937" s="10" t="str">
        <f t="shared" si="49"/>
        <v/>
      </c>
      <c r="M937">
        <v>5</v>
      </c>
      <c r="N937" t="str">
        <f t="shared" si="50"/>
        <v>يوجد رصيد كافى</v>
      </c>
    </row>
    <row r="938" spans="7:14" x14ac:dyDescent="0.3">
      <c r="G938" t="str">
        <f>IFERROR(IF(SUMIF(المشتريات!C:C, 'حركة المخزن'!B938, المشتريات!F:F)=0,"",SUMIF(المشتريات!C:C, 'حركة المخزن'!B938, المشتريات!F:F)),"")</f>
        <v/>
      </c>
      <c r="H938" s="10" t="str">
        <f>IFERROR(IF(SUMIF(المشتريات!C:C, 'حركة المخزن'!B938, المشتريات!I:I)=0,"",SUMIF(المشتريات!C:C, 'حركة المخزن'!B938, المشتريات!I:I)),"")</f>
        <v/>
      </c>
      <c r="I938" s="10" t="str">
        <f>IFERROR(IF(SUMIF('تحليل مبيعات'!C:C, 'حركة المخزن'!B938, 'تحليل مبيعات'!H:H)=0,"",SUMIF('تحليل مبيعات'!C:C, 'حركة المخزن'!B938, 'تحليل مبيعات'!H:H)),"")</f>
        <v/>
      </c>
      <c r="J938" s="10" t="str">
        <f>IFERROR(IF(SUMIF('تحليل مبيعات'!C:C, 'حركة المخزن'!B938, 'تحليل مبيعات'!L:L)=0,"",SUMIF('تحليل مبيعات'!C:C, 'حركة المخزن'!B938, 'تحليل مبيعات'!L:L)),"")</f>
        <v/>
      </c>
      <c r="K938" s="10" t="str">
        <f t="shared" si="48"/>
        <v/>
      </c>
      <c r="L938" s="10" t="str">
        <f t="shared" si="49"/>
        <v/>
      </c>
      <c r="M938">
        <v>5</v>
      </c>
      <c r="N938" t="str">
        <f t="shared" si="50"/>
        <v>يوجد رصيد كافى</v>
      </c>
    </row>
    <row r="939" spans="7:14" x14ac:dyDescent="0.3">
      <c r="G939" t="str">
        <f>IFERROR(IF(SUMIF(المشتريات!C:C, 'حركة المخزن'!B939, المشتريات!F:F)=0,"",SUMIF(المشتريات!C:C, 'حركة المخزن'!B939, المشتريات!F:F)),"")</f>
        <v/>
      </c>
      <c r="H939" s="10" t="str">
        <f>IFERROR(IF(SUMIF(المشتريات!C:C, 'حركة المخزن'!B939, المشتريات!I:I)=0,"",SUMIF(المشتريات!C:C, 'حركة المخزن'!B939, المشتريات!I:I)),"")</f>
        <v/>
      </c>
      <c r="I939" s="10" t="str">
        <f>IFERROR(IF(SUMIF('تحليل مبيعات'!C:C, 'حركة المخزن'!B939, 'تحليل مبيعات'!H:H)=0,"",SUMIF('تحليل مبيعات'!C:C, 'حركة المخزن'!B939, 'تحليل مبيعات'!H:H)),"")</f>
        <v/>
      </c>
      <c r="J939" s="10" t="str">
        <f>IFERROR(IF(SUMIF('تحليل مبيعات'!C:C, 'حركة المخزن'!B939, 'تحليل مبيعات'!L:L)=0,"",SUMIF('تحليل مبيعات'!C:C, 'حركة المخزن'!B939, 'تحليل مبيعات'!L:L)),"")</f>
        <v/>
      </c>
      <c r="K939" s="10" t="str">
        <f t="shared" si="48"/>
        <v/>
      </c>
      <c r="L939" s="10" t="str">
        <f t="shared" si="49"/>
        <v/>
      </c>
      <c r="M939">
        <v>5</v>
      </c>
      <c r="N939" t="str">
        <f t="shared" si="50"/>
        <v>يوجد رصيد كافى</v>
      </c>
    </row>
    <row r="940" spans="7:14" x14ac:dyDescent="0.3">
      <c r="G940" t="str">
        <f>IFERROR(IF(SUMIF(المشتريات!C:C, 'حركة المخزن'!B940, المشتريات!F:F)=0,"",SUMIF(المشتريات!C:C, 'حركة المخزن'!B940, المشتريات!F:F)),"")</f>
        <v/>
      </c>
      <c r="H940" s="10" t="str">
        <f>IFERROR(IF(SUMIF(المشتريات!C:C, 'حركة المخزن'!B940, المشتريات!I:I)=0,"",SUMIF(المشتريات!C:C, 'حركة المخزن'!B940, المشتريات!I:I)),"")</f>
        <v/>
      </c>
      <c r="I940" s="10" t="str">
        <f>IFERROR(IF(SUMIF('تحليل مبيعات'!C:C, 'حركة المخزن'!B940, 'تحليل مبيعات'!H:H)=0,"",SUMIF('تحليل مبيعات'!C:C, 'حركة المخزن'!B940, 'تحليل مبيعات'!H:H)),"")</f>
        <v/>
      </c>
      <c r="J940" s="10" t="str">
        <f>IFERROR(IF(SUMIF('تحليل مبيعات'!C:C, 'حركة المخزن'!B940, 'تحليل مبيعات'!L:L)=0,"",SUMIF('تحليل مبيعات'!C:C, 'حركة المخزن'!B940, 'تحليل مبيعات'!L:L)),"")</f>
        <v/>
      </c>
      <c r="K940" s="10" t="str">
        <f t="shared" si="48"/>
        <v/>
      </c>
      <c r="L940" s="10" t="str">
        <f t="shared" si="49"/>
        <v/>
      </c>
      <c r="M940">
        <v>5</v>
      </c>
      <c r="N940" t="str">
        <f t="shared" si="50"/>
        <v>يوجد رصيد كافى</v>
      </c>
    </row>
    <row r="941" spans="7:14" x14ac:dyDescent="0.3">
      <c r="G941" t="str">
        <f>IFERROR(IF(SUMIF(المشتريات!C:C, 'حركة المخزن'!B941, المشتريات!F:F)=0,"",SUMIF(المشتريات!C:C, 'حركة المخزن'!B941, المشتريات!F:F)),"")</f>
        <v/>
      </c>
      <c r="H941" s="10" t="str">
        <f>IFERROR(IF(SUMIF(المشتريات!C:C, 'حركة المخزن'!B941, المشتريات!I:I)=0,"",SUMIF(المشتريات!C:C, 'حركة المخزن'!B941, المشتريات!I:I)),"")</f>
        <v/>
      </c>
      <c r="I941" s="10" t="str">
        <f>IFERROR(IF(SUMIF('تحليل مبيعات'!C:C, 'حركة المخزن'!B941, 'تحليل مبيعات'!H:H)=0,"",SUMIF('تحليل مبيعات'!C:C, 'حركة المخزن'!B941, 'تحليل مبيعات'!H:H)),"")</f>
        <v/>
      </c>
      <c r="J941" s="10" t="str">
        <f>IFERROR(IF(SUMIF('تحليل مبيعات'!C:C, 'حركة المخزن'!B941, 'تحليل مبيعات'!L:L)=0,"",SUMIF('تحليل مبيعات'!C:C, 'حركة المخزن'!B941, 'تحليل مبيعات'!L:L)),"")</f>
        <v/>
      </c>
      <c r="K941" s="10" t="str">
        <f t="shared" si="48"/>
        <v/>
      </c>
      <c r="L941" s="10" t="str">
        <f t="shared" si="49"/>
        <v/>
      </c>
      <c r="M941">
        <v>5</v>
      </c>
      <c r="N941" t="str">
        <f t="shared" si="50"/>
        <v>يوجد رصيد كافى</v>
      </c>
    </row>
    <row r="942" spans="7:14" x14ac:dyDescent="0.3">
      <c r="G942" t="str">
        <f>IFERROR(IF(SUMIF(المشتريات!C:C, 'حركة المخزن'!B942, المشتريات!F:F)=0,"",SUMIF(المشتريات!C:C, 'حركة المخزن'!B942, المشتريات!F:F)),"")</f>
        <v/>
      </c>
      <c r="H942" s="10" t="str">
        <f>IFERROR(IF(SUMIF(المشتريات!C:C, 'حركة المخزن'!B942, المشتريات!I:I)=0,"",SUMIF(المشتريات!C:C, 'حركة المخزن'!B942, المشتريات!I:I)),"")</f>
        <v/>
      </c>
      <c r="I942" s="10" t="str">
        <f>IFERROR(IF(SUMIF('تحليل مبيعات'!C:C, 'حركة المخزن'!B942, 'تحليل مبيعات'!H:H)=0,"",SUMIF('تحليل مبيعات'!C:C, 'حركة المخزن'!B942, 'تحليل مبيعات'!H:H)),"")</f>
        <v/>
      </c>
      <c r="J942" s="10" t="str">
        <f>IFERROR(IF(SUMIF('تحليل مبيعات'!C:C, 'حركة المخزن'!B942, 'تحليل مبيعات'!L:L)=0,"",SUMIF('تحليل مبيعات'!C:C, 'حركة المخزن'!B942, 'تحليل مبيعات'!L:L)),"")</f>
        <v/>
      </c>
      <c r="K942" s="10" t="str">
        <f t="shared" si="48"/>
        <v/>
      </c>
      <c r="L942" s="10" t="str">
        <f t="shared" si="49"/>
        <v/>
      </c>
      <c r="M942">
        <v>5</v>
      </c>
      <c r="N942" t="str">
        <f t="shared" si="50"/>
        <v>يوجد رصيد كافى</v>
      </c>
    </row>
    <row r="943" spans="7:14" x14ac:dyDescent="0.3">
      <c r="G943" t="str">
        <f>IFERROR(IF(SUMIF(المشتريات!C:C, 'حركة المخزن'!B943, المشتريات!F:F)=0,"",SUMIF(المشتريات!C:C, 'حركة المخزن'!B943, المشتريات!F:F)),"")</f>
        <v/>
      </c>
      <c r="H943" s="10" t="str">
        <f>IFERROR(IF(SUMIF(المشتريات!C:C, 'حركة المخزن'!B943, المشتريات!I:I)=0,"",SUMIF(المشتريات!C:C, 'حركة المخزن'!B943, المشتريات!I:I)),"")</f>
        <v/>
      </c>
      <c r="I943" s="10" t="str">
        <f>IFERROR(IF(SUMIF('تحليل مبيعات'!C:C, 'حركة المخزن'!B943, 'تحليل مبيعات'!H:H)=0,"",SUMIF('تحليل مبيعات'!C:C, 'حركة المخزن'!B943, 'تحليل مبيعات'!H:H)),"")</f>
        <v/>
      </c>
      <c r="J943" s="10" t="str">
        <f>IFERROR(IF(SUMIF('تحليل مبيعات'!C:C, 'حركة المخزن'!B943, 'تحليل مبيعات'!L:L)=0,"",SUMIF('تحليل مبيعات'!C:C, 'حركة المخزن'!B943, 'تحليل مبيعات'!L:L)),"")</f>
        <v/>
      </c>
      <c r="K943" s="10" t="str">
        <f t="shared" si="48"/>
        <v/>
      </c>
      <c r="L943" s="10" t="str">
        <f t="shared" si="49"/>
        <v/>
      </c>
      <c r="M943">
        <v>5</v>
      </c>
      <c r="N943" t="str">
        <f t="shared" si="50"/>
        <v>يوجد رصيد كافى</v>
      </c>
    </row>
    <row r="944" spans="7:14" x14ac:dyDescent="0.3">
      <c r="G944" t="str">
        <f>IFERROR(IF(SUMIF(المشتريات!C:C, 'حركة المخزن'!B944, المشتريات!F:F)=0,"",SUMIF(المشتريات!C:C, 'حركة المخزن'!B944, المشتريات!F:F)),"")</f>
        <v/>
      </c>
      <c r="H944" s="10" t="str">
        <f>IFERROR(IF(SUMIF(المشتريات!C:C, 'حركة المخزن'!B944, المشتريات!I:I)=0,"",SUMIF(المشتريات!C:C, 'حركة المخزن'!B944, المشتريات!I:I)),"")</f>
        <v/>
      </c>
      <c r="I944" s="10" t="str">
        <f>IFERROR(IF(SUMIF('تحليل مبيعات'!C:C, 'حركة المخزن'!B944, 'تحليل مبيعات'!H:H)=0,"",SUMIF('تحليل مبيعات'!C:C, 'حركة المخزن'!B944, 'تحليل مبيعات'!H:H)),"")</f>
        <v/>
      </c>
      <c r="J944" s="10" t="str">
        <f>IFERROR(IF(SUMIF('تحليل مبيعات'!C:C, 'حركة المخزن'!B944, 'تحليل مبيعات'!L:L)=0,"",SUMIF('تحليل مبيعات'!C:C, 'حركة المخزن'!B944, 'تحليل مبيعات'!L:L)),"")</f>
        <v/>
      </c>
      <c r="K944" s="10" t="str">
        <f t="shared" si="48"/>
        <v/>
      </c>
      <c r="L944" s="10" t="str">
        <f t="shared" si="49"/>
        <v/>
      </c>
      <c r="M944">
        <v>5</v>
      </c>
      <c r="N944" t="str">
        <f t="shared" si="50"/>
        <v>يوجد رصيد كافى</v>
      </c>
    </row>
    <row r="945" spans="7:14" x14ac:dyDescent="0.3">
      <c r="G945" t="str">
        <f>IFERROR(IF(SUMIF(المشتريات!C:C, 'حركة المخزن'!B945, المشتريات!F:F)=0,"",SUMIF(المشتريات!C:C, 'حركة المخزن'!B945, المشتريات!F:F)),"")</f>
        <v/>
      </c>
      <c r="H945" s="10" t="str">
        <f>IFERROR(IF(SUMIF(المشتريات!C:C, 'حركة المخزن'!B945, المشتريات!I:I)=0,"",SUMIF(المشتريات!C:C, 'حركة المخزن'!B945, المشتريات!I:I)),"")</f>
        <v/>
      </c>
      <c r="I945" s="10" t="str">
        <f>IFERROR(IF(SUMIF('تحليل مبيعات'!C:C, 'حركة المخزن'!B945, 'تحليل مبيعات'!H:H)=0,"",SUMIF('تحليل مبيعات'!C:C, 'حركة المخزن'!B945, 'تحليل مبيعات'!H:H)),"")</f>
        <v/>
      </c>
      <c r="J945" s="10" t="str">
        <f>IFERROR(IF(SUMIF('تحليل مبيعات'!C:C, 'حركة المخزن'!B945, 'تحليل مبيعات'!L:L)=0,"",SUMIF('تحليل مبيعات'!C:C, 'حركة المخزن'!B945, 'تحليل مبيعات'!L:L)),"")</f>
        <v/>
      </c>
      <c r="K945" s="10" t="str">
        <f t="shared" si="48"/>
        <v/>
      </c>
      <c r="L945" s="10" t="str">
        <f t="shared" si="49"/>
        <v/>
      </c>
      <c r="M945">
        <v>5</v>
      </c>
      <c r="N945" t="str">
        <f t="shared" si="50"/>
        <v>يوجد رصيد كافى</v>
      </c>
    </row>
    <row r="946" spans="7:14" x14ac:dyDescent="0.3">
      <c r="G946" t="str">
        <f>IFERROR(IF(SUMIF(المشتريات!C:C, 'حركة المخزن'!B946, المشتريات!F:F)=0,"",SUMIF(المشتريات!C:C, 'حركة المخزن'!B946, المشتريات!F:F)),"")</f>
        <v/>
      </c>
      <c r="H946" s="10" t="str">
        <f>IFERROR(IF(SUMIF(المشتريات!C:C, 'حركة المخزن'!B946, المشتريات!I:I)=0,"",SUMIF(المشتريات!C:C, 'حركة المخزن'!B946, المشتريات!I:I)),"")</f>
        <v/>
      </c>
      <c r="I946" s="10" t="str">
        <f>IFERROR(IF(SUMIF('تحليل مبيعات'!C:C, 'حركة المخزن'!B946, 'تحليل مبيعات'!H:H)=0,"",SUMIF('تحليل مبيعات'!C:C, 'حركة المخزن'!B946, 'تحليل مبيعات'!H:H)),"")</f>
        <v/>
      </c>
      <c r="J946" s="10" t="str">
        <f>IFERROR(IF(SUMIF('تحليل مبيعات'!C:C, 'حركة المخزن'!B946, 'تحليل مبيعات'!L:L)=0,"",SUMIF('تحليل مبيعات'!C:C, 'حركة المخزن'!B946, 'تحليل مبيعات'!L:L)),"")</f>
        <v/>
      </c>
      <c r="K946" s="10" t="str">
        <f t="shared" si="48"/>
        <v/>
      </c>
      <c r="L946" s="10" t="str">
        <f t="shared" si="49"/>
        <v/>
      </c>
      <c r="M946">
        <v>5</v>
      </c>
      <c r="N946" t="str">
        <f t="shared" si="50"/>
        <v>يوجد رصيد كافى</v>
      </c>
    </row>
    <row r="947" spans="7:14" x14ac:dyDescent="0.3">
      <c r="G947" t="str">
        <f>IFERROR(IF(SUMIF(المشتريات!C:C, 'حركة المخزن'!B947, المشتريات!F:F)=0,"",SUMIF(المشتريات!C:C, 'حركة المخزن'!B947, المشتريات!F:F)),"")</f>
        <v/>
      </c>
      <c r="H947" s="10" t="str">
        <f>IFERROR(IF(SUMIF(المشتريات!C:C, 'حركة المخزن'!B947, المشتريات!I:I)=0,"",SUMIF(المشتريات!C:C, 'حركة المخزن'!B947, المشتريات!I:I)),"")</f>
        <v/>
      </c>
      <c r="I947" s="10" t="str">
        <f>IFERROR(IF(SUMIF('تحليل مبيعات'!C:C, 'حركة المخزن'!B947, 'تحليل مبيعات'!H:H)=0,"",SUMIF('تحليل مبيعات'!C:C, 'حركة المخزن'!B947, 'تحليل مبيعات'!H:H)),"")</f>
        <v/>
      </c>
      <c r="J947" s="10" t="str">
        <f>IFERROR(IF(SUMIF('تحليل مبيعات'!C:C, 'حركة المخزن'!B947, 'تحليل مبيعات'!L:L)=0,"",SUMIF('تحليل مبيعات'!C:C, 'حركة المخزن'!B947, 'تحليل مبيعات'!L:L)),"")</f>
        <v/>
      </c>
      <c r="K947" s="10" t="str">
        <f t="shared" si="48"/>
        <v/>
      </c>
      <c r="L947" s="10" t="str">
        <f t="shared" si="49"/>
        <v/>
      </c>
      <c r="M947">
        <v>5</v>
      </c>
      <c r="N947" t="str">
        <f t="shared" si="50"/>
        <v>يوجد رصيد كافى</v>
      </c>
    </row>
    <row r="948" spans="7:14" x14ac:dyDescent="0.3">
      <c r="G948" t="str">
        <f>IFERROR(IF(SUMIF(المشتريات!C:C, 'حركة المخزن'!B948, المشتريات!F:F)=0,"",SUMIF(المشتريات!C:C, 'حركة المخزن'!B948, المشتريات!F:F)),"")</f>
        <v/>
      </c>
      <c r="H948" s="10" t="str">
        <f>IFERROR(IF(SUMIF(المشتريات!C:C, 'حركة المخزن'!B948, المشتريات!I:I)=0,"",SUMIF(المشتريات!C:C, 'حركة المخزن'!B948, المشتريات!I:I)),"")</f>
        <v/>
      </c>
      <c r="I948" s="10" t="str">
        <f>IFERROR(IF(SUMIF('تحليل مبيعات'!C:C, 'حركة المخزن'!B948, 'تحليل مبيعات'!H:H)=0,"",SUMIF('تحليل مبيعات'!C:C, 'حركة المخزن'!B948, 'تحليل مبيعات'!H:H)),"")</f>
        <v/>
      </c>
      <c r="J948" s="10" t="str">
        <f>IFERROR(IF(SUMIF('تحليل مبيعات'!C:C, 'حركة المخزن'!B948, 'تحليل مبيعات'!L:L)=0,"",SUMIF('تحليل مبيعات'!C:C, 'حركة المخزن'!B948, 'تحليل مبيعات'!L:L)),"")</f>
        <v/>
      </c>
      <c r="K948" s="10" t="str">
        <f t="shared" si="48"/>
        <v/>
      </c>
      <c r="L948" s="10" t="str">
        <f t="shared" si="49"/>
        <v/>
      </c>
      <c r="M948">
        <v>5</v>
      </c>
      <c r="N948" t="str">
        <f t="shared" si="50"/>
        <v>يوجد رصيد كافى</v>
      </c>
    </row>
    <row r="949" spans="7:14" x14ac:dyDescent="0.3">
      <c r="G949" t="str">
        <f>IFERROR(IF(SUMIF(المشتريات!C:C, 'حركة المخزن'!B949, المشتريات!F:F)=0,"",SUMIF(المشتريات!C:C, 'حركة المخزن'!B949, المشتريات!F:F)),"")</f>
        <v/>
      </c>
      <c r="H949" s="10" t="str">
        <f>IFERROR(IF(SUMIF(المشتريات!C:C, 'حركة المخزن'!B949, المشتريات!I:I)=0,"",SUMIF(المشتريات!C:C, 'حركة المخزن'!B949, المشتريات!I:I)),"")</f>
        <v/>
      </c>
      <c r="I949" s="10" t="str">
        <f>IFERROR(IF(SUMIF('تحليل مبيعات'!C:C, 'حركة المخزن'!B949, 'تحليل مبيعات'!H:H)=0,"",SUMIF('تحليل مبيعات'!C:C, 'حركة المخزن'!B949, 'تحليل مبيعات'!H:H)),"")</f>
        <v/>
      </c>
      <c r="J949" s="10" t="str">
        <f>IFERROR(IF(SUMIF('تحليل مبيعات'!C:C, 'حركة المخزن'!B949, 'تحليل مبيعات'!L:L)=0,"",SUMIF('تحليل مبيعات'!C:C, 'حركة المخزن'!B949, 'تحليل مبيعات'!L:L)),"")</f>
        <v/>
      </c>
      <c r="K949" s="10" t="str">
        <f t="shared" si="48"/>
        <v/>
      </c>
      <c r="L949" s="10" t="str">
        <f t="shared" si="49"/>
        <v/>
      </c>
      <c r="M949">
        <v>5</v>
      </c>
      <c r="N949" t="str">
        <f t="shared" si="50"/>
        <v>يوجد رصيد كافى</v>
      </c>
    </row>
    <row r="950" spans="7:14" x14ac:dyDescent="0.3">
      <c r="G950" t="str">
        <f>IFERROR(IF(SUMIF(المشتريات!C:C, 'حركة المخزن'!B950, المشتريات!F:F)=0,"",SUMIF(المشتريات!C:C, 'حركة المخزن'!B950, المشتريات!F:F)),"")</f>
        <v/>
      </c>
      <c r="H950" s="10" t="str">
        <f>IFERROR(IF(SUMIF(المشتريات!C:C, 'حركة المخزن'!B950, المشتريات!I:I)=0,"",SUMIF(المشتريات!C:C, 'حركة المخزن'!B950, المشتريات!I:I)),"")</f>
        <v/>
      </c>
      <c r="I950" s="10" t="str">
        <f>IFERROR(IF(SUMIF('تحليل مبيعات'!C:C, 'حركة المخزن'!B950, 'تحليل مبيعات'!H:H)=0,"",SUMIF('تحليل مبيعات'!C:C, 'حركة المخزن'!B950, 'تحليل مبيعات'!H:H)),"")</f>
        <v/>
      </c>
      <c r="J950" s="10" t="str">
        <f>IFERROR(IF(SUMIF('تحليل مبيعات'!C:C, 'حركة المخزن'!B950, 'تحليل مبيعات'!L:L)=0,"",SUMIF('تحليل مبيعات'!C:C, 'حركة المخزن'!B950, 'تحليل مبيعات'!L:L)),"")</f>
        <v/>
      </c>
      <c r="K950" s="10" t="str">
        <f t="shared" si="48"/>
        <v/>
      </c>
      <c r="L950" s="10" t="str">
        <f t="shared" si="49"/>
        <v/>
      </c>
      <c r="M950">
        <v>5</v>
      </c>
      <c r="N950" t="str">
        <f t="shared" si="50"/>
        <v>يوجد رصيد كافى</v>
      </c>
    </row>
    <row r="951" spans="7:14" x14ac:dyDescent="0.3">
      <c r="G951" t="str">
        <f>IFERROR(IF(SUMIF(المشتريات!C:C, 'حركة المخزن'!B951, المشتريات!F:F)=0,"",SUMIF(المشتريات!C:C, 'حركة المخزن'!B951, المشتريات!F:F)),"")</f>
        <v/>
      </c>
      <c r="H951" s="10" t="str">
        <f>IFERROR(IF(SUMIF(المشتريات!C:C, 'حركة المخزن'!B951, المشتريات!I:I)=0,"",SUMIF(المشتريات!C:C, 'حركة المخزن'!B951, المشتريات!I:I)),"")</f>
        <v/>
      </c>
      <c r="I951" s="10" t="str">
        <f>IFERROR(IF(SUMIF('تحليل مبيعات'!C:C, 'حركة المخزن'!B951, 'تحليل مبيعات'!H:H)=0,"",SUMIF('تحليل مبيعات'!C:C, 'حركة المخزن'!B951, 'تحليل مبيعات'!H:H)),"")</f>
        <v/>
      </c>
      <c r="J951" s="10" t="str">
        <f>IFERROR(IF(SUMIF('تحليل مبيعات'!C:C, 'حركة المخزن'!B951, 'تحليل مبيعات'!L:L)=0,"",SUMIF('تحليل مبيعات'!C:C, 'حركة المخزن'!B951, 'تحليل مبيعات'!L:L)),"")</f>
        <v/>
      </c>
      <c r="K951" s="10" t="str">
        <f t="shared" si="48"/>
        <v/>
      </c>
      <c r="L951" s="10" t="str">
        <f t="shared" si="49"/>
        <v/>
      </c>
      <c r="M951">
        <v>5</v>
      </c>
      <c r="N951" t="str">
        <f t="shared" si="50"/>
        <v>يوجد رصيد كافى</v>
      </c>
    </row>
    <row r="952" spans="7:14" x14ac:dyDescent="0.3">
      <c r="G952" t="str">
        <f>IFERROR(IF(SUMIF(المشتريات!C:C, 'حركة المخزن'!B952, المشتريات!F:F)=0,"",SUMIF(المشتريات!C:C, 'حركة المخزن'!B952, المشتريات!F:F)),"")</f>
        <v/>
      </c>
      <c r="H952" s="10" t="str">
        <f>IFERROR(IF(SUMIF(المشتريات!C:C, 'حركة المخزن'!B952, المشتريات!I:I)=0,"",SUMIF(المشتريات!C:C, 'حركة المخزن'!B952, المشتريات!I:I)),"")</f>
        <v/>
      </c>
      <c r="I952" s="10" t="str">
        <f>IFERROR(IF(SUMIF('تحليل مبيعات'!C:C, 'حركة المخزن'!B952, 'تحليل مبيعات'!H:H)=0,"",SUMIF('تحليل مبيعات'!C:C, 'حركة المخزن'!B952, 'تحليل مبيعات'!H:H)),"")</f>
        <v/>
      </c>
      <c r="J952" s="10" t="str">
        <f>IFERROR(IF(SUMIF('تحليل مبيعات'!C:C, 'حركة المخزن'!B952, 'تحليل مبيعات'!L:L)=0,"",SUMIF('تحليل مبيعات'!C:C, 'حركة المخزن'!B952, 'تحليل مبيعات'!L:L)),"")</f>
        <v/>
      </c>
      <c r="K952" s="10" t="str">
        <f t="shared" si="48"/>
        <v/>
      </c>
      <c r="L952" s="10" t="str">
        <f t="shared" si="49"/>
        <v/>
      </c>
      <c r="M952">
        <v>5</v>
      </c>
      <c r="N952" t="str">
        <f t="shared" si="50"/>
        <v>يوجد رصيد كافى</v>
      </c>
    </row>
    <row r="953" spans="7:14" x14ac:dyDescent="0.3">
      <c r="G953" t="str">
        <f>IFERROR(IF(SUMIF(المشتريات!C:C, 'حركة المخزن'!B953, المشتريات!F:F)=0,"",SUMIF(المشتريات!C:C, 'حركة المخزن'!B953, المشتريات!F:F)),"")</f>
        <v/>
      </c>
      <c r="H953" s="10" t="str">
        <f>IFERROR(IF(SUMIF(المشتريات!C:C, 'حركة المخزن'!B953, المشتريات!I:I)=0,"",SUMIF(المشتريات!C:C, 'حركة المخزن'!B953, المشتريات!I:I)),"")</f>
        <v/>
      </c>
      <c r="I953" s="10" t="str">
        <f>IFERROR(IF(SUMIF('تحليل مبيعات'!C:C, 'حركة المخزن'!B953, 'تحليل مبيعات'!H:H)=0,"",SUMIF('تحليل مبيعات'!C:C, 'حركة المخزن'!B953, 'تحليل مبيعات'!H:H)),"")</f>
        <v/>
      </c>
      <c r="J953" s="10" t="str">
        <f>IFERROR(IF(SUMIF('تحليل مبيعات'!C:C, 'حركة المخزن'!B953, 'تحليل مبيعات'!L:L)=0,"",SUMIF('تحليل مبيعات'!C:C, 'حركة المخزن'!B953, 'تحليل مبيعات'!L:L)),"")</f>
        <v/>
      </c>
      <c r="K953" s="10" t="str">
        <f t="shared" si="48"/>
        <v/>
      </c>
      <c r="L953" s="10" t="str">
        <f t="shared" si="49"/>
        <v/>
      </c>
      <c r="M953">
        <v>5</v>
      </c>
      <c r="N953" t="str">
        <f t="shared" si="50"/>
        <v>يوجد رصيد كافى</v>
      </c>
    </row>
    <row r="954" spans="7:14" x14ac:dyDescent="0.3">
      <c r="G954" t="str">
        <f>IFERROR(IF(SUMIF(المشتريات!C:C, 'حركة المخزن'!B954, المشتريات!F:F)=0,"",SUMIF(المشتريات!C:C, 'حركة المخزن'!B954, المشتريات!F:F)),"")</f>
        <v/>
      </c>
      <c r="H954" s="10" t="str">
        <f>IFERROR(IF(SUMIF(المشتريات!C:C, 'حركة المخزن'!B954, المشتريات!I:I)=0,"",SUMIF(المشتريات!C:C, 'حركة المخزن'!B954, المشتريات!I:I)),"")</f>
        <v/>
      </c>
      <c r="I954" s="10" t="str">
        <f>IFERROR(IF(SUMIF('تحليل مبيعات'!C:C, 'حركة المخزن'!B954, 'تحليل مبيعات'!H:H)=0,"",SUMIF('تحليل مبيعات'!C:C, 'حركة المخزن'!B954, 'تحليل مبيعات'!H:H)),"")</f>
        <v/>
      </c>
      <c r="J954" s="10" t="str">
        <f>IFERROR(IF(SUMIF('تحليل مبيعات'!C:C, 'حركة المخزن'!B954, 'تحليل مبيعات'!L:L)=0,"",SUMIF('تحليل مبيعات'!C:C, 'حركة المخزن'!B954, 'تحليل مبيعات'!L:L)),"")</f>
        <v/>
      </c>
      <c r="K954" s="10" t="str">
        <f t="shared" si="48"/>
        <v/>
      </c>
      <c r="L954" s="10" t="str">
        <f t="shared" si="49"/>
        <v/>
      </c>
      <c r="M954">
        <v>5</v>
      </c>
      <c r="N954" t="str">
        <f t="shared" si="50"/>
        <v>يوجد رصيد كافى</v>
      </c>
    </row>
    <row r="955" spans="7:14" x14ac:dyDescent="0.3">
      <c r="G955" t="str">
        <f>IFERROR(IF(SUMIF(المشتريات!C:C, 'حركة المخزن'!B955, المشتريات!F:F)=0,"",SUMIF(المشتريات!C:C, 'حركة المخزن'!B955, المشتريات!F:F)),"")</f>
        <v/>
      </c>
      <c r="H955" s="10" t="str">
        <f>IFERROR(IF(SUMIF(المشتريات!C:C, 'حركة المخزن'!B955, المشتريات!I:I)=0,"",SUMIF(المشتريات!C:C, 'حركة المخزن'!B955, المشتريات!I:I)),"")</f>
        <v/>
      </c>
      <c r="I955" s="10" t="str">
        <f>IFERROR(IF(SUMIF('تحليل مبيعات'!C:C, 'حركة المخزن'!B955, 'تحليل مبيعات'!H:H)=0,"",SUMIF('تحليل مبيعات'!C:C, 'حركة المخزن'!B955, 'تحليل مبيعات'!H:H)),"")</f>
        <v/>
      </c>
      <c r="J955" s="10" t="str">
        <f>IFERROR(IF(SUMIF('تحليل مبيعات'!C:C, 'حركة المخزن'!B955, 'تحليل مبيعات'!L:L)=0,"",SUMIF('تحليل مبيعات'!C:C, 'حركة المخزن'!B955, 'تحليل مبيعات'!L:L)),"")</f>
        <v/>
      </c>
      <c r="K955" s="10" t="str">
        <f t="shared" si="48"/>
        <v/>
      </c>
      <c r="L955" s="10" t="str">
        <f t="shared" si="49"/>
        <v/>
      </c>
      <c r="M955">
        <v>5</v>
      </c>
      <c r="N955" t="str">
        <f t="shared" si="50"/>
        <v>يوجد رصيد كافى</v>
      </c>
    </row>
    <row r="956" spans="7:14" x14ac:dyDescent="0.3">
      <c r="G956" t="str">
        <f>IFERROR(IF(SUMIF(المشتريات!C:C, 'حركة المخزن'!B956, المشتريات!F:F)=0,"",SUMIF(المشتريات!C:C, 'حركة المخزن'!B956, المشتريات!F:F)),"")</f>
        <v/>
      </c>
      <c r="H956" s="10" t="str">
        <f>IFERROR(IF(SUMIF(المشتريات!C:C, 'حركة المخزن'!B956, المشتريات!I:I)=0,"",SUMIF(المشتريات!C:C, 'حركة المخزن'!B956, المشتريات!I:I)),"")</f>
        <v/>
      </c>
      <c r="I956" s="10" t="str">
        <f>IFERROR(IF(SUMIF('تحليل مبيعات'!C:C, 'حركة المخزن'!B956, 'تحليل مبيعات'!H:H)=0,"",SUMIF('تحليل مبيعات'!C:C, 'حركة المخزن'!B956, 'تحليل مبيعات'!H:H)),"")</f>
        <v/>
      </c>
      <c r="J956" s="10" t="str">
        <f>IFERROR(IF(SUMIF('تحليل مبيعات'!C:C, 'حركة المخزن'!B956, 'تحليل مبيعات'!L:L)=0,"",SUMIF('تحليل مبيعات'!C:C, 'حركة المخزن'!B956, 'تحليل مبيعات'!L:L)),"")</f>
        <v/>
      </c>
      <c r="K956" s="10" t="str">
        <f t="shared" si="48"/>
        <v/>
      </c>
      <c r="L956" s="10" t="str">
        <f t="shared" si="49"/>
        <v/>
      </c>
      <c r="M956">
        <v>5</v>
      </c>
      <c r="N956" t="str">
        <f t="shared" si="50"/>
        <v>يوجد رصيد كافى</v>
      </c>
    </row>
    <row r="957" spans="7:14" x14ac:dyDescent="0.3">
      <c r="G957" t="str">
        <f>IFERROR(IF(SUMIF(المشتريات!C:C, 'حركة المخزن'!B957, المشتريات!F:F)=0,"",SUMIF(المشتريات!C:C, 'حركة المخزن'!B957, المشتريات!F:F)),"")</f>
        <v/>
      </c>
      <c r="H957" s="10" t="str">
        <f>IFERROR(IF(SUMIF(المشتريات!C:C, 'حركة المخزن'!B957, المشتريات!I:I)=0,"",SUMIF(المشتريات!C:C, 'حركة المخزن'!B957, المشتريات!I:I)),"")</f>
        <v/>
      </c>
      <c r="I957" s="10" t="str">
        <f>IFERROR(IF(SUMIF('تحليل مبيعات'!C:C, 'حركة المخزن'!B957, 'تحليل مبيعات'!H:H)=0,"",SUMIF('تحليل مبيعات'!C:C, 'حركة المخزن'!B957, 'تحليل مبيعات'!H:H)),"")</f>
        <v/>
      </c>
      <c r="J957" s="10" t="str">
        <f>IFERROR(IF(SUMIF('تحليل مبيعات'!C:C, 'حركة المخزن'!B957, 'تحليل مبيعات'!L:L)=0,"",SUMIF('تحليل مبيعات'!C:C, 'حركة المخزن'!B957, 'تحليل مبيعات'!L:L)),"")</f>
        <v/>
      </c>
      <c r="K957" s="10" t="str">
        <f t="shared" si="48"/>
        <v/>
      </c>
      <c r="L957" s="10" t="str">
        <f t="shared" si="49"/>
        <v/>
      </c>
      <c r="M957">
        <v>5</v>
      </c>
      <c r="N957" t="str">
        <f t="shared" si="50"/>
        <v>يوجد رصيد كافى</v>
      </c>
    </row>
    <row r="958" spans="7:14" x14ac:dyDescent="0.3">
      <c r="G958" t="str">
        <f>IFERROR(IF(SUMIF(المشتريات!C:C, 'حركة المخزن'!B958, المشتريات!F:F)=0,"",SUMIF(المشتريات!C:C, 'حركة المخزن'!B958, المشتريات!F:F)),"")</f>
        <v/>
      </c>
      <c r="H958" s="10" t="str">
        <f>IFERROR(IF(SUMIF(المشتريات!C:C, 'حركة المخزن'!B958, المشتريات!I:I)=0,"",SUMIF(المشتريات!C:C, 'حركة المخزن'!B958, المشتريات!I:I)),"")</f>
        <v/>
      </c>
      <c r="I958" s="10" t="str">
        <f>IFERROR(IF(SUMIF('تحليل مبيعات'!C:C, 'حركة المخزن'!B958, 'تحليل مبيعات'!H:H)=0,"",SUMIF('تحليل مبيعات'!C:C, 'حركة المخزن'!B958, 'تحليل مبيعات'!H:H)),"")</f>
        <v/>
      </c>
      <c r="J958" s="10" t="str">
        <f>IFERROR(IF(SUMIF('تحليل مبيعات'!C:C, 'حركة المخزن'!B958, 'تحليل مبيعات'!L:L)=0,"",SUMIF('تحليل مبيعات'!C:C, 'حركة المخزن'!B958, 'تحليل مبيعات'!L:L)),"")</f>
        <v/>
      </c>
      <c r="K958" s="10" t="str">
        <f t="shared" si="48"/>
        <v/>
      </c>
      <c r="L958" s="10" t="str">
        <f t="shared" si="49"/>
        <v/>
      </c>
      <c r="M958">
        <v>5</v>
      </c>
      <c r="N958" t="str">
        <f t="shared" si="50"/>
        <v>يوجد رصيد كافى</v>
      </c>
    </row>
    <row r="959" spans="7:14" x14ac:dyDescent="0.3">
      <c r="G959" t="str">
        <f>IFERROR(IF(SUMIF(المشتريات!C:C, 'حركة المخزن'!B959, المشتريات!F:F)=0,"",SUMIF(المشتريات!C:C, 'حركة المخزن'!B959, المشتريات!F:F)),"")</f>
        <v/>
      </c>
      <c r="H959" s="10" t="str">
        <f>IFERROR(IF(SUMIF(المشتريات!C:C, 'حركة المخزن'!B959, المشتريات!I:I)=0,"",SUMIF(المشتريات!C:C, 'حركة المخزن'!B959, المشتريات!I:I)),"")</f>
        <v/>
      </c>
      <c r="I959" s="10" t="str">
        <f>IFERROR(IF(SUMIF('تحليل مبيعات'!C:C, 'حركة المخزن'!B959, 'تحليل مبيعات'!H:H)=0,"",SUMIF('تحليل مبيعات'!C:C, 'حركة المخزن'!B959, 'تحليل مبيعات'!H:H)),"")</f>
        <v/>
      </c>
      <c r="J959" s="10" t="str">
        <f>IFERROR(IF(SUMIF('تحليل مبيعات'!C:C, 'حركة المخزن'!B959, 'تحليل مبيعات'!L:L)=0,"",SUMIF('تحليل مبيعات'!C:C, 'حركة المخزن'!B959, 'تحليل مبيعات'!L:L)),"")</f>
        <v/>
      </c>
      <c r="K959" s="10" t="str">
        <f t="shared" si="48"/>
        <v/>
      </c>
      <c r="L959" s="10" t="str">
        <f t="shared" si="49"/>
        <v/>
      </c>
      <c r="M959">
        <v>5</v>
      </c>
      <c r="N959" t="str">
        <f t="shared" si="50"/>
        <v>يوجد رصيد كافى</v>
      </c>
    </row>
    <row r="960" spans="7:14" x14ac:dyDescent="0.3">
      <c r="G960" t="str">
        <f>IFERROR(IF(SUMIF(المشتريات!C:C, 'حركة المخزن'!B960, المشتريات!F:F)=0,"",SUMIF(المشتريات!C:C, 'حركة المخزن'!B960, المشتريات!F:F)),"")</f>
        <v/>
      </c>
      <c r="H960" s="10" t="str">
        <f>IFERROR(IF(SUMIF(المشتريات!C:C, 'حركة المخزن'!B960, المشتريات!I:I)=0,"",SUMIF(المشتريات!C:C, 'حركة المخزن'!B960, المشتريات!I:I)),"")</f>
        <v/>
      </c>
      <c r="I960" s="10" t="str">
        <f>IFERROR(IF(SUMIF('تحليل مبيعات'!C:C, 'حركة المخزن'!B960, 'تحليل مبيعات'!H:H)=0,"",SUMIF('تحليل مبيعات'!C:C, 'حركة المخزن'!B960, 'تحليل مبيعات'!H:H)),"")</f>
        <v/>
      </c>
      <c r="J960" s="10" t="str">
        <f>IFERROR(IF(SUMIF('تحليل مبيعات'!C:C, 'حركة المخزن'!B960, 'تحليل مبيعات'!L:L)=0,"",SUMIF('تحليل مبيعات'!C:C, 'حركة المخزن'!B960, 'تحليل مبيعات'!L:L)),"")</f>
        <v/>
      </c>
      <c r="K960" s="10" t="str">
        <f t="shared" si="48"/>
        <v/>
      </c>
      <c r="L960" s="10" t="str">
        <f t="shared" si="49"/>
        <v/>
      </c>
      <c r="M960">
        <v>5</v>
      </c>
      <c r="N960" t="str">
        <f t="shared" si="50"/>
        <v>يوجد رصيد كافى</v>
      </c>
    </row>
    <row r="961" spans="7:14" x14ac:dyDescent="0.3">
      <c r="G961" t="str">
        <f>IFERROR(IF(SUMIF(المشتريات!C:C, 'حركة المخزن'!B961, المشتريات!F:F)=0,"",SUMIF(المشتريات!C:C, 'حركة المخزن'!B961, المشتريات!F:F)),"")</f>
        <v/>
      </c>
      <c r="H961" s="10" t="str">
        <f>IFERROR(IF(SUMIF(المشتريات!C:C, 'حركة المخزن'!B961, المشتريات!I:I)=0,"",SUMIF(المشتريات!C:C, 'حركة المخزن'!B961, المشتريات!I:I)),"")</f>
        <v/>
      </c>
      <c r="I961" s="10" t="str">
        <f>IFERROR(IF(SUMIF('تحليل مبيعات'!C:C, 'حركة المخزن'!B961, 'تحليل مبيعات'!H:H)=0,"",SUMIF('تحليل مبيعات'!C:C, 'حركة المخزن'!B961, 'تحليل مبيعات'!H:H)),"")</f>
        <v/>
      </c>
      <c r="J961" s="10" t="str">
        <f>IFERROR(IF(SUMIF('تحليل مبيعات'!C:C, 'حركة المخزن'!B961, 'تحليل مبيعات'!L:L)=0,"",SUMIF('تحليل مبيعات'!C:C, 'حركة المخزن'!B961, 'تحليل مبيعات'!L:L)),"")</f>
        <v/>
      </c>
      <c r="K961" s="10" t="str">
        <f t="shared" si="48"/>
        <v/>
      </c>
      <c r="L961" s="10" t="str">
        <f t="shared" si="49"/>
        <v/>
      </c>
      <c r="M961">
        <v>5</v>
      </c>
      <c r="N961" t="str">
        <f t="shared" si="50"/>
        <v>يوجد رصيد كافى</v>
      </c>
    </row>
    <row r="962" spans="7:14" x14ac:dyDescent="0.3">
      <c r="G962" t="str">
        <f>IFERROR(IF(SUMIF(المشتريات!C:C, 'حركة المخزن'!B962, المشتريات!F:F)=0,"",SUMIF(المشتريات!C:C, 'حركة المخزن'!B962, المشتريات!F:F)),"")</f>
        <v/>
      </c>
      <c r="H962" s="10" t="str">
        <f>IFERROR(IF(SUMIF(المشتريات!C:C, 'حركة المخزن'!B962, المشتريات!I:I)=0,"",SUMIF(المشتريات!C:C, 'حركة المخزن'!B962, المشتريات!I:I)),"")</f>
        <v/>
      </c>
      <c r="I962" s="10" t="str">
        <f>IFERROR(IF(SUMIF('تحليل مبيعات'!C:C, 'حركة المخزن'!B962, 'تحليل مبيعات'!H:H)=0,"",SUMIF('تحليل مبيعات'!C:C, 'حركة المخزن'!B962, 'تحليل مبيعات'!H:H)),"")</f>
        <v/>
      </c>
      <c r="J962" s="10" t="str">
        <f>IFERROR(IF(SUMIF('تحليل مبيعات'!C:C, 'حركة المخزن'!B962, 'تحليل مبيعات'!L:L)=0,"",SUMIF('تحليل مبيعات'!C:C, 'حركة المخزن'!B962, 'تحليل مبيعات'!L:L)),"")</f>
        <v/>
      </c>
      <c r="K962" s="10" t="str">
        <f t="shared" si="48"/>
        <v/>
      </c>
      <c r="L962" s="10" t="str">
        <f t="shared" si="49"/>
        <v/>
      </c>
      <c r="M962">
        <v>5</v>
      </c>
      <c r="N962" t="str">
        <f t="shared" si="50"/>
        <v>يوجد رصيد كافى</v>
      </c>
    </row>
    <row r="963" spans="7:14" x14ac:dyDescent="0.3">
      <c r="G963" t="str">
        <f>IFERROR(IF(SUMIF(المشتريات!C:C, 'حركة المخزن'!B963, المشتريات!F:F)=0,"",SUMIF(المشتريات!C:C, 'حركة المخزن'!B963, المشتريات!F:F)),"")</f>
        <v/>
      </c>
      <c r="H963" s="10" t="str">
        <f>IFERROR(IF(SUMIF(المشتريات!C:C, 'حركة المخزن'!B963, المشتريات!I:I)=0,"",SUMIF(المشتريات!C:C, 'حركة المخزن'!B963, المشتريات!I:I)),"")</f>
        <v/>
      </c>
      <c r="I963" s="10" t="str">
        <f>IFERROR(IF(SUMIF('تحليل مبيعات'!C:C, 'حركة المخزن'!B963, 'تحليل مبيعات'!H:H)=0,"",SUMIF('تحليل مبيعات'!C:C, 'حركة المخزن'!B963, 'تحليل مبيعات'!H:H)),"")</f>
        <v/>
      </c>
      <c r="J963" s="10" t="str">
        <f>IFERROR(IF(SUMIF('تحليل مبيعات'!C:C, 'حركة المخزن'!B963, 'تحليل مبيعات'!L:L)=0,"",SUMIF('تحليل مبيعات'!C:C, 'حركة المخزن'!B963, 'تحليل مبيعات'!L:L)),"")</f>
        <v/>
      </c>
      <c r="K963" s="10" t="str">
        <f t="shared" si="48"/>
        <v/>
      </c>
      <c r="L963" s="10" t="str">
        <f t="shared" si="49"/>
        <v/>
      </c>
      <c r="M963">
        <v>5</v>
      </c>
      <c r="N963" t="str">
        <f t="shared" si="50"/>
        <v>يوجد رصيد كافى</v>
      </c>
    </row>
    <row r="964" spans="7:14" x14ac:dyDescent="0.3">
      <c r="G964" t="str">
        <f>IFERROR(IF(SUMIF(المشتريات!C:C, 'حركة المخزن'!B964, المشتريات!F:F)=0,"",SUMIF(المشتريات!C:C, 'حركة المخزن'!B964, المشتريات!F:F)),"")</f>
        <v/>
      </c>
      <c r="H964" s="10" t="str">
        <f>IFERROR(IF(SUMIF(المشتريات!C:C, 'حركة المخزن'!B964, المشتريات!I:I)=0,"",SUMIF(المشتريات!C:C, 'حركة المخزن'!B964, المشتريات!I:I)),"")</f>
        <v/>
      </c>
      <c r="I964" s="10" t="str">
        <f>IFERROR(IF(SUMIF('تحليل مبيعات'!C:C, 'حركة المخزن'!B964, 'تحليل مبيعات'!H:H)=0,"",SUMIF('تحليل مبيعات'!C:C, 'حركة المخزن'!B964, 'تحليل مبيعات'!H:H)),"")</f>
        <v/>
      </c>
      <c r="J964" s="10" t="str">
        <f>IFERROR(IF(SUMIF('تحليل مبيعات'!C:C, 'حركة المخزن'!B964, 'تحليل مبيعات'!L:L)=0,"",SUMIF('تحليل مبيعات'!C:C, 'حركة المخزن'!B964, 'تحليل مبيعات'!L:L)),"")</f>
        <v/>
      </c>
      <c r="K964" s="10" t="str">
        <f t="shared" si="48"/>
        <v/>
      </c>
      <c r="L964" s="10" t="str">
        <f t="shared" si="49"/>
        <v/>
      </c>
      <c r="M964">
        <v>5</v>
      </c>
      <c r="N964" t="str">
        <f t="shared" si="50"/>
        <v>يوجد رصيد كافى</v>
      </c>
    </row>
    <row r="965" spans="7:14" x14ac:dyDescent="0.3">
      <c r="G965" t="str">
        <f>IFERROR(IF(SUMIF(المشتريات!C:C, 'حركة المخزن'!B965, المشتريات!F:F)=0,"",SUMIF(المشتريات!C:C, 'حركة المخزن'!B965, المشتريات!F:F)),"")</f>
        <v/>
      </c>
      <c r="H965" s="10" t="str">
        <f>IFERROR(IF(SUMIF(المشتريات!C:C, 'حركة المخزن'!B965, المشتريات!I:I)=0,"",SUMIF(المشتريات!C:C, 'حركة المخزن'!B965, المشتريات!I:I)),"")</f>
        <v/>
      </c>
      <c r="I965" s="10" t="str">
        <f>IFERROR(IF(SUMIF('تحليل مبيعات'!C:C, 'حركة المخزن'!B965, 'تحليل مبيعات'!H:H)=0,"",SUMIF('تحليل مبيعات'!C:C, 'حركة المخزن'!B965, 'تحليل مبيعات'!H:H)),"")</f>
        <v/>
      </c>
      <c r="J965" s="10" t="str">
        <f>IFERROR(IF(SUMIF('تحليل مبيعات'!C:C, 'حركة المخزن'!B965, 'تحليل مبيعات'!L:L)=0,"",SUMIF('تحليل مبيعات'!C:C, 'حركة المخزن'!B965, 'تحليل مبيعات'!L:L)),"")</f>
        <v/>
      </c>
      <c r="K965" s="10" t="str">
        <f t="shared" si="48"/>
        <v/>
      </c>
      <c r="L965" s="10" t="str">
        <f t="shared" si="49"/>
        <v/>
      </c>
      <c r="M965">
        <v>5</v>
      </c>
      <c r="N965" t="str">
        <f t="shared" si="50"/>
        <v>يوجد رصيد كافى</v>
      </c>
    </row>
    <row r="966" spans="7:14" x14ac:dyDescent="0.3">
      <c r="G966" t="str">
        <f>IFERROR(IF(SUMIF(المشتريات!C:C, 'حركة المخزن'!B966, المشتريات!F:F)=0,"",SUMIF(المشتريات!C:C, 'حركة المخزن'!B966, المشتريات!F:F)),"")</f>
        <v/>
      </c>
      <c r="H966" s="10" t="str">
        <f>IFERROR(IF(SUMIF(المشتريات!C:C, 'حركة المخزن'!B966, المشتريات!I:I)=0,"",SUMIF(المشتريات!C:C, 'حركة المخزن'!B966, المشتريات!I:I)),"")</f>
        <v/>
      </c>
      <c r="I966" s="10" t="str">
        <f>IFERROR(IF(SUMIF('تحليل مبيعات'!C:C, 'حركة المخزن'!B966, 'تحليل مبيعات'!H:H)=0,"",SUMIF('تحليل مبيعات'!C:C, 'حركة المخزن'!B966, 'تحليل مبيعات'!H:H)),"")</f>
        <v/>
      </c>
      <c r="J966" s="10" t="str">
        <f>IFERROR(IF(SUMIF('تحليل مبيعات'!C:C, 'حركة المخزن'!B966, 'تحليل مبيعات'!L:L)=0,"",SUMIF('تحليل مبيعات'!C:C, 'حركة المخزن'!B966, 'تحليل مبيعات'!L:L)),"")</f>
        <v/>
      </c>
      <c r="K966" s="10" t="str">
        <f t="shared" si="48"/>
        <v/>
      </c>
      <c r="L966" s="10" t="str">
        <f t="shared" si="49"/>
        <v/>
      </c>
      <c r="M966">
        <v>5</v>
      </c>
      <c r="N966" t="str">
        <f t="shared" si="50"/>
        <v>يوجد رصيد كافى</v>
      </c>
    </row>
    <row r="967" spans="7:14" x14ac:dyDescent="0.3">
      <c r="G967" t="str">
        <f>IFERROR(IF(SUMIF(المشتريات!C:C, 'حركة المخزن'!B967, المشتريات!F:F)=0,"",SUMIF(المشتريات!C:C, 'حركة المخزن'!B967, المشتريات!F:F)),"")</f>
        <v/>
      </c>
      <c r="H967" s="10" t="str">
        <f>IFERROR(IF(SUMIF(المشتريات!C:C, 'حركة المخزن'!B967, المشتريات!I:I)=0,"",SUMIF(المشتريات!C:C, 'حركة المخزن'!B967, المشتريات!I:I)),"")</f>
        <v/>
      </c>
      <c r="I967" s="10" t="str">
        <f>IFERROR(IF(SUMIF('تحليل مبيعات'!C:C, 'حركة المخزن'!B967, 'تحليل مبيعات'!H:H)=0,"",SUMIF('تحليل مبيعات'!C:C, 'حركة المخزن'!B967, 'تحليل مبيعات'!H:H)),"")</f>
        <v/>
      </c>
      <c r="J967" s="10" t="str">
        <f>IFERROR(IF(SUMIF('تحليل مبيعات'!C:C, 'حركة المخزن'!B967, 'تحليل مبيعات'!L:L)=0,"",SUMIF('تحليل مبيعات'!C:C, 'حركة المخزن'!B967, 'تحليل مبيعات'!L:L)),"")</f>
        <v/>
      </c>
      <c r="K967" s="10" t="str">
        <f t="shared" si="48"/>
        <v/>
      </c>
      <c r="L967" s="10" t="str">
        <f t="shared" si="49"/>
        <v/>
      </c>
      <c r="M967">
        <v>5</v>
      </c>
      <c r="N967" t="str">
        <f t="shared" si="50"/>
        <v>يوجد رصيد كافى</v>
      </c>
    </row>
    <row r="968" spans="7:14" x14ac:dyDescent="0.3">
      <c r="G968" t="str">
        <f>IFERROR(IF(SUMIF(المشتريات!C:C, 'حركة المخزن'!B968, المشتريات!F:F)=0,"",SUMIF(المشتريات!C:C, 'حركة المخزن'!B968, المشتريات!F:F)),"")</f>
        <v/>
      </c>
      <c r="H968" s="10" t="str">
        <f>IFERROR(IF(SUMIF(المشتريات!C:C, 'حركة المخزن'!B968, المشتريات!I:I)=0,"",SUMIF(المشتريات!C:C, 'حركة المخزن'!B968, المشتريات!I:I)),"")</f>
        <v/>
      </c>
      <c r="I968" s="10" t="str">
        <f>IFERROR(IF(SUMIF('تحليل مبيعات'!C:C, 'حركة المخزن'!B968, 'تحليل مبيعات'!H:H)=0,"",SUMIF('تحليل مبيعات'!C:C, 'حركة المخزن'!B968, 'تحليل مبيعات'!H:H)),"")</f>
        <v/>
      </c>
      <c r="J968" s="10" t="str">
        <f>IFERROR(IF(SUMIF('تحليل مبيعات'!C:C, 'حركة المخزن'!B968, 'تحليل مبيعات'!L:L)=0,"",SUMIF('تحليل مبيعات'!C:C, 'حركة المخزن'!B968, 'تحليل مبيعات'!L:L)),"")</f>
        <v/>
      </c>
      <c r="K968" s="10" t="str">
        <f t="shared" si="48"/>
        <v/>
      </c>
      <c r="L968" s="10" t="str">
        <f t="shared" si="49"/>
        <v/>
      </c>
      <c r="M968">
        <v>5</v>
      </c>
      <c r="N968" t="str">
        <f t="shared" si="50"/>
        <v>يوجد رصيد كافى</v>
      </c>
    </row>
    <row r="969" spans="7:14" x14ac:dyDescent="0.3">
      <c r="G969" t="str">
        <f>IFERROR(IF(SUMIF(المشتريات!C:C, 'حركة المخزن'!B969, المشتريات!F:F)=0,"",SUMIF(المشتريات!C:C, 'حركة المخزن'!B969, المشتريات!F:F)),"")</f>
        <v/>
      </c>
      <c r="H969" s="10" t="str">
        <f>IFERROR(IF(SUMIF(المشتريات!C:C, 'حركة المخزن'!B969, المشتريات!I:I)=0,"",SUMIF(المشتريات!C:C, 'حركة المخزن'!B969, المشتريات!I:I)),"")</f>
        <v/>
      </c>
      <c r="I969" s="10" t="str">
        <f>IFERROR(IF(SUMIF('تحليل مبيعات'!C:C, 'حركة المخزن'!B969, 'تحليل مبيعات'!H:H)=0,"",SUMIF('تحليل مبيعات'!C:C, 'حركة المخزن'!B969, 'تحليل مبيعات'!H:H)),"")</f>
        <v/>
      </c>
      <c r="J969" s="10" t="str">
        <f>IFERROR(IF(SUMIF('تحليل مبيعات'!C:C, 'حركة المخزن'!B969, 'تحليل مبيعات'!L:L)=0,"",SUMIF('تحليل مبيعات'!C:C, 'حركة المخزن'!B969, 'تحليل مبيعات'!L:L)),"")</f>
        <v/>
      </c>
      <c r="K969" s="10" t="str">
        <f t="shared" ref="K969:K1032" si="51">IFERROR(E969+G969-I969,"")</f>
        <v/>
      </c>
      <c r="L969" s="10" t="str">
        <f t="shared" ref="L969:L1032" si="52">IFERROR(F969+H969-J969,"")</f>
        <v/>
      </c>
      <c r="M969">
        <v>5</v>
      </c>
      <c r="N969" t="str">
        <f t="shared" ref="N969:N1032" si="53">IF(K969&lt;M969,"أعادة الطلب","يوجد رصيد كافى")</f>
        <v>يوجد رصيد كافى</v>
      </c>
    </row>
    <row r="970" spans="7:14" x14ac:dyDescent="0.3">
      <c r="G970" t="str">
        <f>IFERROR(IF(SUMIF(المشتريات!C:C, 'حركة المخزن'!B970, المشتريات!F:F)=0,"",SUMIF(المشتريات!C:C, 'حركة المخزن'!B970, المشتريات!F:F)),"")</f>
        <v/>
      </c>
      <c r="H970" s="10" t="str">
        <f>IFERROR(IF(SUMIF(المشتريات!C:C, 'حركة المخزن'!B970, المشتريات!I:I)=0,"",SUMIF(المشتريات!C:C, 'حركة المخزن'!B970, المشتريات!I:I)),"")</f>
        <v/>
      </c>
      <c r="I970" s="10" t="str">
        <f>IFERROR(IF(SUMIF('تحليل مبيعات'!C:C, 'حركة المخزن'!B970, 'تحليل مبيعات'!H:H)=0,"",SUMIF('تحليل مبيعات'!C:C, 'حركة المخزن'!B970, 'تحليل مبيعات'!H:H)),"")</f>
        <v/>
      </c>
      <c r="J970" s="10" t="str">
        <f>IFERROR(IF(SUMIF('تحليل مبيعات'!C:C, 'حركة المخزن'!B970, 'تحليل مبيعات'!L:L)=0,"",SUMIF('تحليل مبيعات'!C:C, 'حركة المخزن'!B970, 'تحليل مبيعات'!L:L)),"")</f>
        <v/>
      </c>
      <c r="K970" s="10" t="str">
        <f t="shared" si="51"/>
        <v/>
      </c>
      <c r="L970" s="10" t="str">
        <f t="shared" si="52"/>
        <v/>
      </c>
      <c r="M970">
        <v>5</v>
      </c>
      <c r="N970" t="str">
        <f t="shared" si="53"/>
        <v>يوجد رصيد كافى</v>
      </c>
    </row>
    <row r="971" spans="7:14" x14ac:dyDescent="0.3">
      <c r="G971" t="str">
        <f>IFERROR(IF(SUMIF(المشتريات!C:C, 'حركة المخزن'!B971, المشتريات!F:F)=0,"",SUMIF(المشتريات!C:C, 'حركة المخزن'!B971, المشتريات!F:F)),"")</f>
        <v/>
      </c>
      <c r="H971" s="10" t="str">
        <f>IFERROR(IF(SUMIF(المشتريات!C:C, 'حركة المخزن'!B971, المشتريات!I:I)=0,"",SUMIF(المشتريات!C:C, 'حركة المخزن'!B971, المشتريات!I:I)),"")</f>
        <v/>
      </c>
      <c r="I971" s="10" t="str">
        <f>IFERROR(IF(SUMIF('تحليل مبيعات'!C:C, 'حركة المخزن'!B971, 'تحليل مبيعات'!H:H)=0,"",SUMIF('تحليل مبيعات'!C:C, 'حركة المخزن'!B971, 'تحليل مبيعات'!H:H)),"")</f>
        <v/>
      </c>
      <c r="J971" s="10" t="str">
        <f>IFERROR(IF(SUMIF('تحليل مبيعات'!C:C, 'حركة المخزن'!B971, 'تحليل مبيعات'!L:L)=0,"",SUMIF('تحليل مبيعات'!C:C, 'حركة المخزن'!B971, 'تحليل مبيعات'!L:L)),"")</f>
        <v/>
      </c>
      <c r="K971" s="10" t="str">
        <f t="shared" si="51"/>
        <v/>
      </c>
      <c r="L971" s="10" t="str">
        <f t="shared" si="52"/>
        <v/>
      </c>
      <c r="M971">
        <v>5</v>
      </c>
      <c r="N971" t="str">
        <f t="shared" si="53"/>
        <v>يوجد رصيد كافى</v>
      </c>
    </row>
    <row r="972" spans="7:14" x14ac:dyDescent="0.3">
      <c r="G972" t="str">
        <f>IFERROR(IF(SUMIF(المشتريات!C:C, 'حركة المخزن'!B972, المشتريات!F:F)=0,"",SUMIF(المشتريات!C:C, 'حركة المخزن'!B972, المشتريات!F:F)),"")</f>
        <v/>
      </c>
      <c r="H972" s="10" t="str">
        <f>IFERROR(IF(SUMIF(المشتريات!C:C, 'حركة المخزن'!B972, المشتريات!I:I)=0,"",SUMIF(المشتريات!C:C, 'حركة المخزن'!B972, المشتريات!I:I)),"")</f>
        <v/>
      </c>
      <c r="I972" s="10" t="str">
        <f>IFERROR(IF(SUMIF('تحليل مبيعات'!C:C, 'حركة المخزن'!B972, 'تحليل مبيعات'!H:H)=0,"",SUMIF('تحليل مبيعات'!C:C, 'حركة المخزن'!B972, 'تحليل مبيعات'!H:H)),"")</f>
        <v/>
      </c>
      <c r="J972" s="10" t="str">
        <f>IFERROR(IF(SUMIF('تحليل مبيعات'!C:C, 'حركة المخزن'!B972, 'تحليل مبيعات'!L:L)=0,"",SUMIF('تحليل مبيعات'!C:C, 'حركة المخزن'!B972, 'تحليل مبيعات'!L:L)),"")</f>
        <v/>
      </c>
      <c r="K972" s="10" t="str">
        <f t="shared" si="51"/>
        <v/>
      </c>
      <c r="L972" s="10" t="str">
        <f t="shared" si="52"/>
        <v/>
      </c>
      <c r="M972">
        <v>5</v>
      </c>
      <c r="N972" t="str">
        <f t="shared" si="53"/>
        <v>يوجد رصيد كافى</v>
      </c>
    </row>
    <row r="973" spans="7:14" x14ac:dyDescent="0.3">
      <c r="G973" t="str">
        <f>IFERROR(IF(SUMIF(المشتريات!C:C, 'حركة المخزن'!B973, المشتريات!F:F)=0,"",SUMIF(المشتريات!C:C, 'حركة المخزن'!B973, المشتريات!F:F)),"")</f>
        <v/>
      </c>
      <c r="H973" s="10" t="str">
        <f>IFERROR(IF(SUMIF(المشتريات!C:C, 'حركة المخزن'!B973, المشتريات!I:I)=0,"",SUMIF(المشتريات!C:C, 'حركة المخزن'!B973, المشتريات!I:I)),"")</f>
        <v/>
      </c>
      <c r="I973" s="10" t="str">
        <f>IFERROR(IF(SUMIF('تحليل مبيعات'!C:C, 'حركة المخزن'!B973, 'تحليل مبيعات'!H:H)=0,"",SUMIF('تحليل مبيعات'!C:C, 'حركة المخزن'!B973, 'تحليل مبيعات'!H:H)),"")</f>
        <v/>
      </c>
      <c r="J973" s="10" t="str">
        <f>IFERROR(IF(SUMIF('تحليل مبيعات'!C:C, 'حركة المخزن'!B973, 'تحليل مبيعات'!L:L)=0,"",SUMIF('تحليل مبيعات'!C:C, 'حركة المخزن'!B973, 'تحليل مبيعات'!L:L)),"")</f>
        <v/>
      </c>
      <c r="K973" s="10" t="str">
        <f t="shared" si="51"/>
        <v/>
      </c>
      <c r="L973" s="10" t="str">
        <f t="shared" si="52"/>
        <v/>
      </c>
      <c r="M973">
        <v>5</v>
      </c>
      <c r="N973" t="str">
        <f t="shared" si="53"/>
        <v>يوجد رصيد كافى</v>
      </c>
    </row>
    <row r="974" spans="7:14" x14ac:dyDescent="0.3">
      <c r="G974" t="str">
        <f>IFERROR(IF(SUMIF(المشتريات!C:C, 'حركة المخزن'!B974, المشتريات!F:F)=0,"",SUMIF(المشتريات!C:C, 'حركة المخزن'!B974, المشتريات!F:F)),"")</f>
        <v/>
      </c>
      <c r="H974" s="10" t="str">
        <f>IFERROR(IF(SUMIF(المشتريات!C:C, 'حركة المخزن'!B974, المشتريات!I:I)=0,"",SUMIF(المشتريات!C:C, 'حركة المخزن'!B974, المشتريات!I:I)),"")</f>
        <v/>
      </c>
      <c r="I974" s="10" t="str">
        <f>IFERROR(IF(SUMIF('تحليل مبيعات'!C:C, 'حركة المخزن'!B974, 'تحليل مبيعات'!H:H)=0,"",SUMIF('تحليل مبيعات'!C:C, 'حركة المخزن'!B974, 'تحليل مبيعات'!H:H)),"")</f>
        <v/>
      </c>
      <c r="J974" s="10" t="str">
        <f>IFERROR(IF(SUMIF('تحليل مبيعات'!C:C, 'حركة المخزن'!B974, 'تحليل مبيعات'!L:L)=0,"",SUMIF('تحليل مبيعات'!C:C, 'حركة المخزن'!B974, 'تحليل مبيعات'!L:L)),"")</f>
        <v/>
      </c>
      <c r="K974" s="10" t="str">
        <f t="shared" si="51"/>
        <v/>
      </c>
      <c r="L974" s="10" t="str">
        <f t="shared" si="52"/>
        <v/>
      </c>
      <c r="M974">
        <v>5</v>
      </c>
      <c r="N974" t="str">
        <f t="shared" si="53"/>
        <v>يوجد رصيد كافى</v>
      </c>
    </row>
    <row r="975" spans="7:14" x14ac:dyDescent="0.3">
      <c r="G975" t="str">
        <f>IFERROR(IF(SUMIF(المشتريات!C:C, 'حركة المخزن'!B975, المشتريات!F:F)=0,"",SUMIF(المشتريات!C:C, 'حركة المخزن'!B975, المشتريات!F:F)),"")</f>
        <v/>
      </c>
      <c r="H975" s="10" t="str">
        <f>IFERROR(IF(SUMIF(المشتريات!C:C, 'حركة المخزن'!B975, المشتريات!I:I)=0,"",SUMIF(المشتريات!C:C, 'حركة المخزن'!B975, المشتريات!I:I)),"")</f>
        <v/>
      </c>
      <c r="I975" s="10" t="str">
        <f>IFERROR(IF(SUMIF('تحليل مبيعات'!C:C, 'حركة المخزن'!B975, 'تحليل مبيعات'!H:H)=0,"",SUMIF('تحليل مبيعات'!C:C, 'حركة المخزن'!B975, 'تحليل مبيعات'!H:H)),"")</f>
        <v/>
      </c>
      <c r="J975" s="10" t="str">
        <f>IFERROR(IF(SUMIF('تحليل مبيعات'!C:C, 'حركة المخزن'!B975, 'تحليل مبيعات'!L:L)=0,"",SUMIF('تحليل مبيعات'!C:C, 'حركة المخزن'!B975, 'تحليل مبيعات'!L:L)),"")</f>
        <v/>
      </c>
      <c r="K975" s="10" t="str">
        <f t="shared" si="51"/>
        <v/>
      </c>
      <c r="L975" s="10" t="str">
        <f t="shared" si="52"/>
        <v/>
      </c>
      <c r="M975">
        <v>5</v>
      </c>
      <c r="N975" t="str">
        <f t="shared" si="53"/>
        <v>يوجد رصيد كافى</v>
      </c>
    </row>
    <row r="976" spans="7:14" x14ac:dyDescent="0.3">
      <c r="G976" t="str">
        <f>IFERROR(IF(SUMIF(المشتريات!C:C, 'حركة المخزن'!B976, المشتريات!F:F)=0,"",SUMIF(المشتريات!C:C, 'حركة المخزن'!B976, المشتريات!F:F)),"")</f>
        <v/>
      </c>
      <c r="H976" s="10" t="str">
        <f>IFERROR(IF(SUMIF(المشتريات!C:C, 'حركة المخزن'!B976, المشتريات!I:I)=0,"",SUMIF(المشتريات!C:C, 'حركة المخزن'!B976, المشتريات!I:I)),"")</f>
        <v/>
      </c>
      <c r="I976" s="10" t="str">
        <f>IFERROR(IF(SUMIF('تحليل مبيعات'!C:C, 'حركة المخزن'!B976, 'تحليل مبيعات'!H:H)=0,"",SUMIF('تحليل مبيعات'!C:C, 'حركة المخزن'!B976, 'تحليل مبيعات'!H:H)),"")</f>
        <v/>
      </c>
      <c r="J976" s="10" t="str">
        <f>IFERROR(IF(SUMIF('تحليل مبيعات'!C:C, 'حركة المخزن'!B976, 'تحليل مبيعات'!L:L)=0,"",SUMIF('تحليل مبيعات'!C:C, 'حركة المخزن'!B976, 'تحليل مبيعات'!L:L)),"")</f>
        <v/>
      </c>
      <c r="K976" s="10" t="str">
        <f t="shared" si="51"/>
        <v/>
      </c>
      <c r="L976" s="10" t="str">
        <f t="shared" si="52"/>
        <v/>
      </c>
      <c r="M976">
        <v>5</v>
      </c>
      <c r="N976" t="str">
        <f t="shared" si="53"/>
        <v>يوجد رصيد كافى</v>
      </c>
    </row>
    <row r="977" spans="7:14" x14ac:dyDescent="0.3">
      <c r="G977" t="str">
        <f>IFERROR(IF(SUMIF(المشتريات!C:C, 'حركة المخزن'!B977, المشتريات!F:F)=0,"",SUMIF(المشتريات!C:C, 'حركة المخزن'!B977, المشتريات!F:F)),"")</f>
        <v/>
      </c>
      <c r="H977" s="10" t="str">
        <f>IFERROR(IF(SUMIF(المشتريات!C:C, 'حركة المخزن'!B977, المشتريات!I:I)=0,"",SUMIF(المشتريات!C:C, 'حركة المخزن'!B977, المشتريات!I:I)),"")</f>
        <v/>
      </c>
      <c r="I977" s="10" t="str">
        <f>IFERROR(IF(SUMIF('تحليل مبيعات'!C:C, 'حركة المخزن'!B977, 'تحليل مبيعات'!H:H)=0,"",SUMIF('تحليل مبيعات'!C:C, 'حركة المخزن'!B977, 'تحليل مبيعات'!H:H)),"")</f>
        <v/>
      </c>
      <c r="J977" s="10" t="str">
        <f>IFERROR(IF(SUMIF('تحليل مبيعات'!C:C, 'حركة المخزن'!B977, 'تحليل مبيعات'!L:L)=0,"",SUMIF('تحليل مبيعات'!C:C, 'حركة المخزن'!B977, 'تحليل مبيعات'!L:L)),"")</f>
        <v/>
      </c>
      <c r="K977" s="10" t="str">
        <f t="shared" si="51"/>
        <v/>
      </c>
      <c r="L977" s="10" t="str">
        <f t="shared" si="52"/>
        <v/>
      </c>
      <c r="M977">
        <v>5</v>
      </c>
      <c r="N977" t="str">
        <f t="shared" si="53"/>
        <v>يوجد رصيد كافى</v>
      </c>
    </row>
    <row r="978" spans="7:14" x14ac:dyDescent="0.3">
      <c r="G978" t="str">
        <f>IFERROR(IF(SUMIF(المشتريات!C:C, 'حركة المخزن'!B978, المشتريات!F:F)=0,"",SUMIF(المشتريات!C:C, 'حركة المخزن'!B978, المشتريات!F:F)),"")</f>
        <v/>
      </c>
      <c r="H978" s="10" t="str">
        <f>IFERROR(IF(SUMIF(المشتريات!C:C, 'حركة المخزن'!B978, المشتريات!I:I)=0,"",SUMIF(المشتريات!C:C, 'حركة المخزن'!B978, المشتريات!I:I)),"")</f>
        <v/>
      </c>
      <c r="I978" s="10" t="str">
        <f>IFERROR(IF(SUMIF('تحليل مبيعات'!C:C, 'حركة المخزن'!B978, 'تحليل مبيعات'!H:H)=0,"",SUMIF('تحليل مبيعات'!C:C, 'حركة المخزن'!B978, 'تحليل مبيعات'!H:H)),"")</f>
        <v/>
      </c>
      <c r="J978" s="10" t="str">
        <f>IFERROR(IF(SUMIF('تحليل مبيعات'!C:C, 'حركة المخزن'!B978, 'تحليل مبيعات'!L:L)=0,"",SUMIF('تحليل مبيعات'!C:C, 'حركة المخزن'!B978, 'تحليل مبيعات'!L:L)),"")</f>
        <v/>
      </c>
      <c r="K978" s="10" t="str">
        <f t="shared" si="51"/>
        <v/>
      </c>
      <c r="L978" s="10" t="str">
        <f t="shared" si="52"/>
        <v/>
      </c>
      <c r="M978">
        <v>5</v>
      </c>
      <c r="N978" t="str">
        <f t="shared" si="53"/>
        <v>يوجد رصيد كافى</v>
      </c>
    </row>
    <row r="979" spans="7:14" x14ac:dyDescent="0.3">
      <c r="G979" t="str">
        <f>IFERROR(IF(SUMIF(المشتريات!C:C, 'حركة المخزن'!B979, المشتريات!F:F)=0,"",SUMIF(المشتريات!C:C, 'حركة المخزن'!B979, المشتريات!F:F)),"")</f>
        <v/>
      </c>
      <c r="H979" s="10" t="str">
        <f>IFERROR(IF(SUMIF(المشتريات!C:C, 'حركة المخزن'!B979, المشتريات!I:I)=0,"",SUMIF(المشتريات!C:C, 'حركة المخزن'!B979, المشتريات!I:I)),"")</f>
        <v/>
      </c>
      <c r="I979" s="10" t="str">
        <f>IFERROR(IF(SUMIF('تحليل مبيعات'!C:C, 'حركة المخزن'!B979, 'تحليل مبيعات'!H:H)=0,"",SUMIF('تحليل مبيعات'!C:C, 'حركة المخزن'!B979, 'تحليل مبيعات'!H:H)),"")</f>
        <v/>
      </c>
      <c r="J979" s="10" t="str">
        <f>IFERROR(IF(SUMIF('تحليل مبيعات'!C:C, 'حركة المخزن'!B979, 'تحليل مبيعات'!L:L)=0,"",SUMIF('تحليل مبيعات'!C:C, 'حركة المخزن'!B979, 'تحليل مبيعات'!L:L)),"")</f>
        <v/>
      </c>
      <c r="K979" s="10" t="str">
        <f t="shared" si="51"/>
        <v/>
      </c>
      <c r="L979" s="10" t="str">
        <f t="shared" si="52"/>
        <v/>
      </c>
      <c r="M979">
        <v>5</v>
      </c>
      <c r="N979" t="str">
        <f t="shared" si="53"/>
        <v>يوجد رصيد كافى</v>
      </c>
    </row>
    <row r="980" spans="7:14" x14ac:dyDescent="0.3">
      <c r="G980" t="str">
        <f>IFERROR(IF(SUMIF(المشتريات!C:C, 'حركة المخزن'!B980, المشتريات!F:F)=0,"",SUMIF(المشتريات!C:C, 'حركة المخزن'!B980, المشتريات!F:F)),"")</f>
        <v/>
      </c>
      <c r="H980" s="10" t="str">
        <f>IFERROR(IF(SUMIF(المشتريات!C:C, 'حركة المخزن'!B980, المشتريات!I:I)=0,"",SUMIF(المشتريات!C:C, 'حركة المخزن'!B980, المشتريات!I:I)),"")</f>
        <v/>
      </c>
      <c r="I980" s="10" t="str">
        <f>IFERROR(IF(SUMIF('تحليل مبيعات'!C:C, 'حركة المخزن'!B980, 'تحليل مبيعات'!H:H)=0,"",SUMIF('تحليل مبيعات'!C:C, 'حركة المخزن'!B980, 'تحليل مبيعات'!H:H)),"")</f>
        <v/>
      </c>
      <c r="J980" s="10" t="str">
        <f>IFERROR(IF(SUMIF('تحليل مبيعات'!C:C, 'حركة المخزن'!B980, 'تحليل مبيعات'!L:L)=0,"",SUMIF('تحليل مبيعات'!C:C, 'حركة المخزن'!B980, 'تحليل مبيعات'!L:L)),"")</f>
        <v/>
      </c>
      <c r="K980" s="10" t="str">
        <f t="shared" si="51"/>
        <v/>
      </c>
      <c r="L980" s="10" t="str">
        <f t="shared" si="52"/>
        <v/>
      </c>
      <c r="M980">
        <v>5</v>
      </c>
      <c r="N980" t="str">
        <f t="shared" si="53"/>
        <v>يوجد رصيد كافى</v>
      </c>
    </row>
    <row r="981" spans="7:14" x14ac:dyDescent="0.3">
      <c r="G981" t="str">
        <f>IFERROR(IF(SUMIF(المشتريات!C:C, 'حركة المخزن'!B981, المشتريات!F:F)=0,"",SUMIF(المشتريات!C:C, 'حركة المخزن'!B981, المشتريات!F:F)),"")</f>
        <v/>
      </c>
      <c r="H981" s="10" t="str">
        <f>IFERROR(IF(SUMIF(المشتريات!C:C, 'حركة المخزن'!B981, المشتريات!I:I)=0,"",SUMIF(المشتريات!C:C, 'حركة المخزن'!B981, المشتريات!I:I)),"")</f>
        <v/>
      </c>
      <c r="I981" s="10" t="str">
        <f>IFERROR(IF(SUMIF('تحليل مبيعات'!C:C, 'حركة المخزن'!B981, 'تحليل مبيعات'!H:H)=0,"",SUMIF('تحليل مبيعات'!C:C, 'حركة المخزن'!B981, 'تحليل مبيعات'!H:H)),"")</f>
        <v/>
      </c>
      <c r="J981" s="10" t="str">
        <f>IFERROR(IF(SUMIF('تحليل مبيعات'!C:C, 'حركة المخزن'!B981, 'تحليل مبيعات'!L:L)=0,"",SUMIF('تحليل مبيعات'!C:C, 'حركة المخزن'!B981, 'تحليل مبيعات'!L:L)),"")</f>
        <v/>
      </c>
      <c r="K981" s="10" t="str">
        <f t="shared" si="51"/>
        <v/>
      </c>
      <c r="L981" s="10" t="str">
        <f t="shared" si="52"/>
        <v/>
      </c>
      <c r="M981">
        <v>5</v>
      </c>
      <c r="N981" t="str">
        <f t="shared" si="53"/>
        <v>يوجد رصيد كافى</v>
      </c>
    </row>
    <row r="982" spans="7:14" x14ac:dyDescent="0.3">
      <c r="G982" t="str">
        <f>IFERROR(IF(SUMIF(المشتريات!C:C, 'حركة المخزن'!B982, المشتريات!F:F)=0,"",SUMIF(المشتريات!C:C, 'حركة المخزن'!B982, المشتريات!F:F)),"")</f>
        <v/>
      </c>
      <c r="H982" s="10" t="str">
        <f>IFERROR(IF(SUMIF(المشتريات!C:C, 'حركة المخزن'!B982, المشتريات!I:I)=0,"",SUMIF(المشتريات!C:C, 'حركة المخزن'!B982, المشتريات!I:I)),"")</f>
        <v/>
      </c>
      <c r="I982" s="10" t="str">
        <f>IFERROR(IF(SUMIF('تحليل مبيعات'!C:C, 'حركة المخزن'!B982, 'تحليل مبيعات'!H:H)=0,"",SUMIF('تحليل مبيعات'!C:C, 'حركة المخزن'!B982, 'تحليل مبيعات'!H:H)),"")</f>
        <v/>
      </c>
      <c r="J982" s="10" t="str">
        <f>IFERROR(IF(SUMIF('تحليل مبيعات'!C:C, 'حركة المخزن'!B982, 'تحليل مبيعات'!L:L)=0,"",SUMIF('تحليل مبيعات'!C:C, 'حركة المخزن'!B982, 'تحليل مبيعات'!L:L)),"")</f>
        <v/>
      </c>
      <c r="K982" s="10" t="str">
        <f t="shared" si="51"/>
        <v/>
      </c>
      <c r="L982" s="10" t="str">
        <f t="shared" si="52"/>
        <v/>
      </c>
      <c r="M982">
        <v>5</v>
      </c>
      <c r="N982" t="str">
        <f t="shared" si="53"/>
        <v>يوجد رصيد كافى</v>
      </c>
    </row>
    <row r="983" spans="7:14" x14ac:dyDescent="0.3">
      <c r="G983" t="str">
        <f>IFERROR(IF(SUMIF(المشتريات!C:C, 'حركة المخزن'!B983, المشتريات!F:F)=0,"",SUMIF(المشتريات!C:C, 'حركة المخزن'!B983, المشتريات!F:F)),"")</f>
        <v/>
      </c>
      <c r="H983" s="10" t="str">
        <f>IFERROR(IF(SUMIF(المشتريات!C:C, 'حركة المخزن'!B983, المشتريات!I:I)=0,"",SUMIF(المشتريات!C:C, 'حركة المخزن'!B983, المشتريات!I:I)),"")</f>
        <v/>
      </c>
      <c r="I983" s="10" t="str">
        <f>IFERROR(IF(SUMIF('تحليل مبيعات'!C:C, 'حركة المخزن'!B983, 'تحليل مبيعات'!H:H)=0,"",SUMIF('تحليل مبيعات'!C:C, 'حركة المخزن'!B983, 'تحليل مبيعات'!H:H)),"")</f>
        <v/>
      </c>
      <c r="J983" s="10" t="str">
        <f>IFERROR(IF(SUMIF('تحليل مبيعات'!C:C, 'حركة المخزن'!B983, 'تحليل مبيعات'!L:L)=0,"",SUMIF('تحليل مبيعات'!C:C, 'حركة المخزن'!B983, 'تحليل مبيعات'!L:L)),"")</f>
        <v/>
      </c>
      <c r="K983" s="10" t="str">
        <f t="shared" si="51"/>
        <v/>
      </c>
      <c r="L983" s="10" t="str">
        <f t="shared" si="52"/>
        <v/>
      </c>
      <c r="M983">
        <v>5</v>
      </c>
      <c r="N983" t="str">
        <f t="shared" si="53"/>
        <v>يوجد رصيد كافى</v>
      </c>
    </row>
    <row r="984" spans="7:14" x14ac:dyDescent="0.3">
      <c r="G984" t="str">
        <f>IFERROR(IF(SUMIF(المشتريات!C:C, 'حركة المخزن'!B984, المشتريات!F:F)=0,"",SUMIF(المشتريات!C:C, 'حركة المخزن'!B984, المشتريات!F:F)),"")</f>
        <v/>
      </c>
      <c r="H984" s="10" t="str">
        <f>IFERROR(IF(SUMIF(المشتريات!C:C, 'حركة المخزن'!B984, المشتريات!I:I)=0,"",SUMIF(المشتريات!C:C, 'حركة المخزن'!B984, المشتريات!I:I)),"")</f>
        <v/>
      </c>
      <c r="I984" s="10" t="str">
        <f>IFERROR(IF(SUMIF('تحليل مبيعات'!C:C, 'حركة المخزن'!B984, 'تحليل مبيعات'!H:H)=0,"",SUMIF('تحليل مبيعات'!C:C, 'حركة المخزن'!B984, 'تحليل مبيعات'!H:H)),"")</f>
        <v/>
      </c>
      <c r="J984" s="10" t="str">
        <f>IFERROR(IF(SUMIF('تحليل مبيعات'!C:C, 'حركة المخزن'!B984, 'تحليل مبيعات'!L:L)=0,"",SUMIF('تحليل مبيعات'!C:C, 'حركة المخزن'!B984, 'تحليل مبيعات'!L:L)),"")</f>
        <v/>
      </c>
      <c r="K984" s="10" t="str">
        <f t="shared" si="51"/>
        <v/>
      </c>
      <c r="L984" s="10" t="str">
        <f t="shared" si="52"/>
        <v/>
      </c>
      <c r="M984">
        <v>5</v>
      </c>
      <c r="N984" t="str">
        <f t="shared" si="53"/>
        <v>يوجد رصيد كافى</v>
      </c>
    </row>
    <row r="985" spans="7:14" x14ac:dyDescent="0.3">
      <c r="G985" t="str">
        <f>IFERROR(IF(SUMIF(المشتريات!C:C, 'حركة المخزن'!B985, المشتريات!F:F)=0,"",SUMIF(المشتريات!C:C, 'حركة المخزن'!B985, المشتريات!F:F)),"")</f>
        <v/>
      </c>
      <c r="H985" s="10" t="str">
        <f>IFERROR(IF(SUMIF(المشتريات!C:C, 'حركة المخزن'!B985, المشتريات!I:I)=0,"",SUMIF(المشتريات!C:C, 'حركة المخزن'!B985, المشتريات!I:I)),"")</f>
        <v/>
      </c>
      <c r="I985" s="10" t="str">
        <f>IFERROR(IF(SUMIF('تحليل مبيعات'!C:C, 'حركة المخزن'!B985, 'تحليل مبيعات'!H:H)=0,"",SUMIF('تحليل مبيعات'!C:C, 'حركة المخزن'!B985, 'تحليل مبيعات'!H:H)),"")</f>
        <v/>
      </c>
      <c r="J985" s="10" t="str">
        <f>IFERROR(IF(SUMIF('تحليل مبيعات'!C:C, 'حركة المخزن'!B985, 'تحليل مبيعات'!L:L)=0,"",SUMIF('تحليل مبيعات'!C:C, 'حركة المخزن'!B985, 'تحليل مبيعات'!L:L)),"")</f>
        <v/>
      </c>
      <c r="K985" s="10" t="str">
        <f t="shared" si="51"/>
        <v/>
      </c>
      <c r="L985" s="10" t="str">
        <f t="shared" si="52"/>
        <v/>
      </c>
      <c r="M985">
        <v>5</v>
      </c>
      <c r="N985" t="str">
        <f t="shared" si="53"/>
        <v>يوجد رصيد كافى</v>
      </c>
    </row>
    <row r="986" spans="7:14" x14ac:dyDescent="0.3">
      <c r="G986" t="str">
        <f>IFERROR(IF(SUMIF(المشتريات!C:C, 'حركة المخزن'!B986, المشتريات!F:F)=0,"",SUMIF(المشتريات!C:C, 'حركة المخزن'!B986, المشتريات!F:F)),"")</f>
        <v/>
      </c>
      <c r="H986" s="10" t="str">
        <f>IFERROR(IF(SUMIF(المشتريات!C:C, 'حركة المخزن'!B986, المشتريات!I:I)=0,"",SUMIF(المشتريات!C:C, 'حركة المخزن'!B986, المشتريات!I:I)),"")</f>
        <v/>
      </c>
      <c r="I986" s="10" t="str">
        <f>IFERROR(IF(SUMIF('تحليل مبيعات'!C:C, 'حركة المخزن'!B986, 'تحليل مبيعات'!H:H)=0,"",SUMIF('تحليل مبيعات'!C:C, 'حركة المخزن'!B986, 'تحليل مبيعات'!H:H)),"")</f>
        <v/>
      </c>
      <c r="J986" s="10" t="str">
        <f>IFERROR(IF(SUMIF('تحليل مبيعات'!C:C, 'حركة المخزن'!B986, 'تحليل مبيعات'!L:L)=0,"",SUMIF('تحليل مبيعات'!C:C, 'حركة المخزن'!B986, 'تحليل مبيعات'!L:L)),"")</f>
        <v/>
      </c>
      <c r="K986" s="10" t="str">
        <f t="shared" si="51"/>
        <v/>
      </c>
      <c r="L986" s="10" t="str">
        <f t="shared" si="52"/>
        <v/>
      </c>
      <c r="M986">
        <v>5</v>
      </c>
      <c r="N986" t="str">
        <f t="shared" si="53"/>
        <v>يوجد رصيد كافى</v>
      </c>
    </row>
    <row r="987" spans="7:14" x14ac:dyDescent="0.3">
      <c r="G987" t="str">
        <f>IFERROR(IF(SUMIF(المشتريات!C:C, 'حركة المخزن'!B987, المشتريات!F:F)=0,"",SUMIF(المشتريات!C:C, 'حركة المخزن'!B987, المشتريات!F:F)),"")</f>
        <v/>
      </c>
      <c r="H987" s="10" t="str">
        <f>IFERROR(IF(SUMIF(المشتريات!C:C, 'حركة المخزن'!B987, المشتريات!I:I)=0,"",SUMIF(المشتريات!C:C, 'حركة المخزن'!B987, المشتريات!I:I)),"")</f>
        <v/>
      </c>
      <c r="I987" s="10" t="str">
        <f>IFERROR(IF(SUMIF('تحليل مبيعات'!C:C, 'حركة المخزن'!B987, 'تحليل مبيعات'!H:H)=0,"",SUMIF('تحليل مبيعات'!C:C, 'حركة المخزن'!B987, 'تحليل مبيعات'!H:H)),"")</f>
        <v/>
      </c>
      <c r="J987" s="10" t="str">
        <f>IFERROR(IF(SUMIF('تحليل مبيعات'!C:C, 'حركة المخزن'!B987, 'تحليل مبيعات'!L:L)=0,"",SUMIF('تحليل مبيعات'!C:C, 'حركة المخزن'!B987, 'تحليل مبيعات'!L:L)),"")</f>
        <v/>
      </c>
      <c r="K987" s="10" t="str">
        <f t="shared" si="51"/>
        <v/>
      </c>
      <c r="L987" s="10" t="str">
        <f t="shared" si="52"/>
        <v/>
      </c>
      <c r="M987">
        <v>5</v>
      </c>
      <c r="N987" t="str">
        <f t="shared" si="53"/>
        <v>يوجد رصيد كافى</v>
      </c>
    </row>
    <row r="988" spans="7:14" x14ac:dyDescent="0.3">
      <c r="G988" t="str">
        <f>IFERROR(IF(SUMIF(المشتريات!C:C, 'حركة المخزن'!B988, المشتريات!F:F)=0,"",SUMIF(المشتريات!C:C, 'حركة المخزن'!B988, المشتريات!F:F)),"")</f>
        <v/>
      </c>
      <c r="H988" s="10" t="str">
        <f>IFERROR(IF(SUMIF(المشتريات!C:C, 'حركة المخزن'!B988, المشتريات!I:I)=0,"",SUMIF(المشتريات!C:C, 'حركة المخزن'!B988, المشتريات!I:I)),"")</f>
        <v/>
      </c>
      <c r="I988" s="10" t="str">
        <f>IFERROR(IF(SUMIF('تحليل مبيعات'!C:C, 'حركة المخزن'!B988, 'تحليل مبيعات'!H:H)=0,"",SUMIF('تحليل مبيعات'!C:C, 'حركة المخزن'!B988, 'تحليل مبيعات'!H:H)),"")</f>
        <v/>
      </c>
      <c r="J988" s="10" t="str">
        <f>IFERROR(IF(SUMIF('تحليل مبيعات'!C:C, 'حركة المخزن'!B988, 'تحليل مبيعات'!L:L)=0,"",SUMIF('تحليل مبيعات'!C:C, 'حركة المخزن'!B988, 'تحليل مبيعات'!L:L)),"")</f>
        <v/>
      </c>
      <c r="K988" s="10" t="str">
        <f t="shared" si="51"/>
        <v/>
      </c>
      <c r="L988" s="10" t="str">
        <f t="shared" si="52"/>
        <v/>
      </c>
      <c r="M988">
        <v>5</v>
      </c>
      <c r="N988" t="str">
        <f t="shared" si="53"/>
        <v>يوجد رصيد كافى</v>
      </c>
    </row>
    <row r="989" spans="7:14" x14ac:dyDescent="0.3">
      <c r="G989" t="str">
        <f>IFERROR(IF(SUMIF(المشتريات!C:C, 'حركة المخزن'!B989, المشتريات!F:F)=0,"",SUMIF(المشتريات!C:C, 'حركة المخزن'!B989, المشتريات!F:F)),"")</f>
        <v/>
      </c>
      <c r="H989" s="10" t="str">
        <f>IFERROR(IF(SUMIF(المشتريات!C:C, 'حركة المخزن'!B989, المشتريات!I:I)=0,"",SUMIF(المشتريات!C:C, 'حركة المخزن'!B989, المشتريات!I:I)),"")</f>
        <v/>
      </c>
      <c r="I989" s="10" t="str">
        <f>IFERROR(IF(SUMIF('تحليل مبيعات'!C:C, 'حركة المخزن'!B989, 'تحليل مبيعات'!H:H)=0,"",SUMIF('تحليل مبيعات'!C:C, 'حركة المخزن'!B989, 'تحليل مبيعات'!H:H)),"")</f>
        <v/>
      </c>
      <c r="J989" s="10" t="str">
        <f>IFERROR(IF(SUMIF('تحليل مبيعات'!C:C, 'حركة المخزن'!B989, 'تحليل مبيعات'!L:L)=0,"",SUMIF('تحليل مبيعات'!C:C, 'حركة المخزن'!B989, 'تحليل مبيعات'!L:L)),"")</f>
        <v/>
      </c>
      <c r="K989" s="10" t="str">
        <f t="shared" si="51"/>
        <v/>
      </c>
      <c r="L989" s="10" t="str">
        <f t="shared" si="52"/>
        <v/>
      </c>
      <c r="M989">
        <v>5</v>
      </c>
      <c r="N989" t="str">
        <f t="shared" si="53"/>
        <v>يوجد رصيد كافى</v>
      </c>
    </row>
    <row r="990" spans="7:14" x14ac:dyDescent="0.3">
      <c r="G990" t="str">
        <f>IFERROR(IF(SUMIF(المشتريات!C:C, 'حركة المخزن'!B990, المشتريات!F:F)=0,"",SUMIF(المشتريات!C:C, 'حركة المخزن'!B990, المشتريات!F:F)),"")</f>
        <v/>
      </c>
      <c r="H990" s="10" t="str">
        <f>IFERROR(IF(SUMIF(المشتريات!C:C, 'حركة المخزن'!B990, المشتريات!I:I)=0,"",SUMIF(المشتريات!C:C, 'حركة المخزن'!B990, المشتريات!I:I)),"")</f>
        <v/>
      </c>
      <c r="I990" s="10" t="str">
        <f>IFERROR(IF(SUMIF('تحليل مبيعات'!C:C, 'حركة المخزن'!B990, 'تحليل مبيعات'!H:H)=0,"",SUMIF('تحليل مبيعات'!C:C, 'حركة المخزن'!B990, 'تحليل مبيعات'!H:H)),"")</f>
        <v/>
      </c>
      <c r="J990" s="10" t="str">
        <f>IFERROR(IF(SUMIF('تحليل مبيعات'!C:C, 'حركة المخزن'!B990, 'تحليل مبيعات'!L:L)=0,"",SUMIF('تحليل مبيعات'!C:C, 'حركة المخزن'!B990, 'تحليل مبيعات'!L:L)),"")</f>
        <v/>
      </c>
      <c r="K990" s="10" t="str">
        <f t="shared" si="51"/>
        <v/>
      </c>
      <c r="L990" s="10" t="str">
        <f t="shared" si="52"/>
        <v/>
      </c>
      <c r="M990">
        <v>5</v>
      </c>
      <c r="N990" t="str">
        <f t="shared" si="53"/>
        <v>يوجد رصيد كافى</v>
      </c>
    </row>
    <row r="991" spans="7:14" x14ac:dyDescent="0.3">
      <c r="G991" t="str">
        <f>IFERROR(IF(SUMIF(المشتريات!C:C, 'حركة المخزن'!B991, المشتريات!F:F)=0,"",SUMIF(المشتريات!C:C, 'حركة المخزن'!B991, المشتريات!F:F)),"")</f>
        <v/>
      </c>
      <c r="H991" s="10" t="str">
        <f>IFERROR(IF(SUMIF(المشتريات!C:C, 'حركة المخزن'!B991, المشتريات!I:I)=0,"",SUMIF(المشتريات!C:C, 'حركة المخزن'!B991, المشتريات!I:I)),"")</f>
        <v/>
      </c>
      <c r="I991" s="10" t="str">
        <f>IFERROR(IF(SUMIF('تحليل مبيعات'!C:C, 'حركة المخزن'!B991, 'تحليل مبيعات'!H:H)=0,"",SUMIF('تحليل مبيعات'!C:C, 'حركة المخزن'!B991, 'تحليل مبيعات'!H:H)),"")</f>
        <v/>
      </c>
      <c r="J991" s="10" t="str">
        <f>IFERROR(IF(SUMIF('تحليل مبيعات'!C:C, 'حركة المخزن'!B991, 'تحليل مبيعات'!L:L)=0,"",SUMIF('تحليل مبيعات'!C:C, 'حركة المخزن'!B991, 'تحليل مبيعات'!L:L)),"")</f>
        <v/>
      </c>
      <c r="K991" s="10" t="str">
        <f t="shared" si="51"/>
        <v/>
      </c>
      <c r="L991" s="10" t="str">
        <f t="shared" si="52"/>
        <v/>
      </c>
      <c r="M991">
        <v>5</v>
      </c>
      <c r="N991" t="str">
        <f t="shared" si="53"/>
        <v>يوجد رصيد كافى</v>
      </c>
    </row>
    <row r="992" spans="7:14" x14ac:dyDescent="0.3">
      <c r="G992" t="str">
        <f>IFERROR(IF(SUMIF(المشتريات!C:C, 'حركة المخزن'!B992, المشتريات!F:F)=0,"",SUMIF(المشتريات!C:C, 'حركة المخزن'!B992, المشتريات!F:F)),"")</f>
        <v/>
      </c>
      <c r="H992" s="10" t="str">
        <f>IFERROR(IF(SUMIF(المشتريات!C:C, 'حركة المخزن'!B992, المشتريات!I:I)=0,"",SUMIF(المشتريات!C:C, 'حركة المخزن'!B992, المشتريات!I:I)),"")</f>
        <v/>
      </c>
      <c r="I992" s="10" t="str">
        <f>IFERROR(IF(SUMIF('تحليل مبيعات'!C:C, 'حركة المخزن'!B992, 'تحليل مبيعات'!H:H)=0,"",SUMIF('تحليل مبيعات'!C:C, 'حركة المخزن'!B992, 'تحليل مبيعات'!H:H)),"")</f>
        <v/>
      </c>
      <c r="J992" s="10" t="str">
        <f>IFERROR(IF(SUMIF('تحليل مبيعات'!C:C, 'حركة المخزن'!B992, 'تحليل مبيعات'!L:L)=0,"",SUMIF('تحليل مبيعات'!C:C, 'حركة المخزن'!B992, 'تحليل مبيعات'!L:L)),"")</f>
        <v/>
      </c>
      <c r="K992" s="10" t="str">
        <f t="shared" si="51"/>
        <v/>
      </c>
      <c r="L992" s="10" t="str">
        <f t="shared" si="52"/>
        <v/>
      </c>
      <c r="M992">
        <v>5</v>
      </c>
      <c r="N992" t="str">
        <f t="shared" si="53"/>
        <v>يوجد رصيد كافى</v>
      </c>
    </row>
    <row r="993" spans="7:14" x14ac:dyDescent="0.3">
      <c r="G993" t="str">
        <f>IFERROR(IF(SUMIF(المشتريات!C:C, 'حركة المخزن'!B993, المشتريات!F:F)=0,"",SUMIF(المشتريات!C:C, 'حركة المخزن'!B993, المشتريات!F:F)),"")</f>
        <v/>
      </c>
      <c r="H993" s="10" t="str">
        <f>IFERROR(IF(SUMIF(المشتريات!C:C, 'حركة المخزن'!B993, المشتريات!I:I)=0,"",SUMIF(المشتريات!C:C, 'حركة المخزن'!B993, المشتريات!I:I)),"")</f>
        <v/>
      </c>
      <c r="I993" s="10" t="str">
        <f>IFERROR(IF(SUMIF('تحليل مبيعات'!C:C, 'حركة المخزن'!B993, 'تحليل مبيعات'!H:H)=0,"",SUMIF('تحليل مبيعات'!C:C, 'حركة المخزن'!B993, 'تحليل مبيعات'!H:H)),"")</f>
        <v/>
      </c>
      <c r="J993" s="10" t="str">
        <f>IFERROR(IF(SUMIF('تحليل مبيعات'!C:C, 'حركة المخزن'!B993, 'تحليل مبيعات'!L:L)=0,"",SUMIF('تحليل مبيعات'!C:C, 'حركة المخزن'!B993, 'تحليل مبيعات'!L:L)),"")</f>
        <v/>
      </c>
      <c r="K993" s="10" t="str">
        <f t="shared" si="51"/>
        <v/>
      </c>
      <c r="L993" s="10" t="str">
        <f t="shared" si="52"/>
        <v/>
      </c>
      <c r="M993">
        <v>5</v>
      </c>
      <c r="N993" t="str">
        <f t="shared" si="53"/>
        <v>يوجد رصيد كافى</v>
      </c>
    </row>
    <row r="994" spans="7:14" x14ac:dyDescent="0.3">
      <c r="G994" t="str">
        <f>IFERROR(IF(SUMIF(المشتريات!C:C, 'حركة المخزن'!B994, المشتريات!F:F)=0,"",SUMIF(المشتريات!C:C, 'حركة المخزن'!B994, المشتريات!F:F)),"")</f>
        <v/>
      </c>
      <c r="H994" s="10" t="str">
        <f>IFERROR(IF(SUMIF(المشتريات!C:C, 'حركة المخزن'!B994, المشتريات!I:I)=0,"",SUMIF(المشتريات!C:C, 'حركة المخزن'!B994, المشتريات!I:I)),"")</f>
        <v/>
      </c>
      <c r="I994" s="10" t="str">
        <f>IFERROR(IF(SUMIF('تحليل مبيعات'!C:C, 'حركة المخزن'!B994, 'تحليل مبيعات'!H:H)=0,"",SUMIF('تحليل مبيعات'!C:C, 'حركة المخزن'!B994, 'تحليل مبيعات'!H:H)),"")</f>
        <v/>
      </c>
      <c r="J994" s="10" t="str">
        <f>IFERROR(IF(SUMIF('تحليل مبيعات'!C:C, 'حركة المخزن'!B994, 'تحليل مبيعات'!L:L)=0,"",SUMIF('تحليل مبيعات'!C:C, 'حركة المخزن'!B994, 'تحليل مبيعات'!L:L)),"")</f>
        <v/>
      </c>
      <c r="K994" s="10" t="str">
        <f t="shared" si="51"/>
        <v/>
      </c>
      <c r="L994" s="10" t="str">
        <f t="shared" si="52"/>
        <v/>
      </c>
      <c r="M994">
        <v>5</v>
      </c>
      <c r="N994" t="str">
        <f t="shared" si="53"/>
        <v>يوجد رصيد كافى</v>
      </c>
    </row>
    <row r="995" spans="7:14" x14ac:dyDescent="0.3">
      <c r="G995" t="str">
        <f>IFERROR(IF(SUMIF(المشتريات!C:C, 'حركة المخزن'!B995, المشتريات!F:F)=0,"",SUMIF(المشتريات!C:C, 'حركة المخزن'!B995, المشتريات!F:F)),"")</f>
        <v/>
      </c>
      <c r="H995" s="10" t="str">
        <f>IFERROR(IF(SUMIF(المشتريات!C:C, 'حركة المخزن'!B995, المشتريات!I:I)=0,"",SUMIF(المشتريات!C:C, 'حركة المخزن'!B995, المشتريات!I:I)),"")</f>
        <v/>
      </c>
      <c r="I995" s="10" t="str">
        <f>IFERROR(IF(SUMIF('تحليل مبيعات'!C:C, 'حركة المخزن'!B995, 'تحليل مبيعات'!H:H)=0,"",SUMIF('تحليل مبيعات'!C:C, 'حركة المخزن'!B995, 'تحليل مبيعات'!H:H)),"")</f>
        <v/>
      </c>
      <c r="J995" s="10" t="str">
        <f>IFERROR(IF(SUMIF('تحليل مبيعات'!C:C, 'حركة المخزن'!B995, 'تحليل مبيعات'!L:L)=0,"",SUMIF('تحليل مبيعات'!C:C, 'حركة المخزن'!B995, 'تحليل مبيعات'!L:L)),"")</f>
        <v/>
      </c>
      <c r="K995" s="10" t="str">
        <f t="shared" si="51"/>
        <v/>
      </c>
      <c r="L995" s="10" t="str">
        <f t="shared" si="52"/>
        <v/>
      </c>
      <c r="M995">
        <v>5</v>
      </c>
      <c r="N995" t="str">
        <f t="shared" si="53"/>
        <v>يوجد رصيد كافى</v>
      </c>
    </row>
    <row r="996" spans="7:14" x14ac:dyDescent="0.3">
      <c r="G996" t="str">
        <f>IFERROR(IF(SUMIF(المشتريات!C:C, 'حركة المخزن'!B996, المشتريات!F:F)=0,"",SUMIF(المشتريات!C:C, 'حركة المخزن'!B996, المشتريات!F:F)),"")</f>
        <v/>
      </c>
      <c r="H996" s="10" t="str">
        <f>IFERROR(IF(SUMIF(المشتريات!C:C, 'حركة المخزن'!B996, المشتريات!I:I)=0,"",SUMIF(المشتريات!C:C, 'حركة المخزن'!B996, المشتريات!I:I)),"")</f>
        <v/>
      </c>
      <c r="I996" s="10" t="str">
        <f>IFERROR(IF(SUMIF('تحليل مبيعات'!C:C, 'حركة المخزن'!B996, 'تحليل مبيعات'!H:H)=0,"",SUMIF('تحليل مبيعات'!C:C, 'حركة المخزن'!B996, 'تحليل مبيعات'!H:H)),"")</f>
        <v/>
      </c>
      <c r="J996" s="10" t="str">
        <f>IFERROR(IF(SUMIF('تحليل مبيعات'!C:C, 'حركة المخزن'!B996, 'تحليل مبيعات'!L:L)=0,"",SUMIF('تحليل مبيعات'!C:C, 'حركة المخزن'!B996, 'تحليل مبيعات'!L:L)),"")</f>
        <v/>
      </c>
      <c r="K996" s="10" t="str">
        <f t="shared" si="51"/>
        <v/>
      </c>
      <c r="L996" s="10" t="str">
        <f t="shared" si="52"/>
        <v/>
      </c>
      <c r="M996">
        <v>5</v>
      </c>
      <c r="N996" t="str">
        <f t="shared" si="53"/>
        <v>يوجد رصيد كافى</v>
      </c>
    </row>
    <row r="997" spans="7:14" x14ac:dyDescent="0.3">
      <c r="G997" t="str">
        <f>IFERROR(IF(SUMIF(المشتريات!C:C, 'حركة المخزن'!B997, المشتريات!F:F)=0,"",SUMIF(المشتريات!C:C, 'حركة المخزن'!B997, المشتريات!F:F)),"")</f>
        <v/>
      </c>
      <c r="H997" s="10" t="str">
        <f>IFERROR(IF(SUMIF(المشتريات!C:C, 'حركة المخزن'!B997, المشتريات!I:I)=0,"",SUMIF(المشتريات!C:C, 'حركة المخزن'!B997, المشتريات!I:I)),"")</f>
        <v/>
      </c>
      <c r="I997" s="10" t="str">
        <f>IFERROR(IF(SUMIF('تحليل مبيعات'!C:C, 'حركة المخزن'!B997, 'تحليل مبيعات'!H:H)=0,"",SUMIF('تحليل مبيعات'!C:C, 'حركة المخزن'!B997, 'تحليل مبيعات'!H:H)),"")</f>
        <v/>
      </c>
      <c r="J997" s="10" t="str">
        <f>IFERROR(IF(SUMIF('تحليل مبيعات'!C:C, 'حركة المخزن'!B997, 'تحليل مبيعات'!L:L)=0,"",SUMIF('تحليل مبيعات'!C:C, 'حركة المخزن'!B997, 'تحليل مبيعات'!L:L)),"")</f>
        <v/>
      </c>
      <c r="K997" s="10" t="str">
        <f t="shared" si="51"/>
        <v/>
      </c>
      <c r="L997" s="10" t="str">
        <f t="shared" si="52"/>
        <v/>
      </c>
      <c r="M997">
        <v>5</v>
      </c>
      <c r="N997" t="str">
        <f t="shared" si="53"/>
        <v>يوجد رصيد كافى</v>
      </c>
    </row>
    <row r="998" spans="7:14" x14ac:dyDescent="0.3">
      <c r="G998" t="str">
        <f>IFERROR(IF(SUMIF(المشتريات!C:C, 'حركة المخزن'!B998, المشتريات!F:F)=0,"",SUMIF(المشتريات!C:C, 'حركة المخزن'!B998, المشتريات!F:F)),"")</f>
        <v/>
      </c>
      <c r="H998" s="10" t="str">
        <f>IFERROR(IF(SUMIF(المشتريات!C:C, 'حركة المخزن'!B998, المشتريات!I:I)=0,"",SUMIF(المشتريات!C:C, 'حركة المخزن'!B998, المشتريات!I:I)),"")</f>
        <v/>
      </c>
      <c r="I998" s="10" t="str">
        <f>IFERROR(IF(SUMIF('تحليل مبيعات'!C:C, 'حركة المخزن'!B998, 'تحليل مبيعات'!H:H)=0,"",SUMIF('تحليل مبيعات'!C:C, 'حركة المخزن'!B998, 'تحليل مبيعات'!H:H)),"")</f>
        <v/>
      </c>
      <c r="J998" s="10" t="str">
        <f>IFERROR(IF(SUMIF('تحليل مبيعات'!C:C, 'حركة المخزن'!B998, 'تحليل مبيعات'!L:L)=0,"",SUMIF('تحليل مبيعات'!C:C, 'حركة المخزن'!B998, 'تحليل مبيعات'!L:L)),"")</f>
        <v/>
      </c>
      <c r="K998" s="10" t="str">
        <f t="shared" si="51"/>
        <v/>
      </c>
      <c r="L998" s="10" t="str">
        <f t="shared" si="52"/>
        <v/>
      </c>
      <c r="M998">
        <v>5</v>
      </c>
      <c r="N998" t="str">
        <f t="shared" si="53"/>
        <v>يوجد رصيد كافى</v>
      </c>
    </row>
    <row r="999" spans="7:14" x14ac:dyDescent="0.3">
      <c r="G999" t="str">
        <f>IFERROR(IF(SUMIF(المشتريات!C:C, 'حركة المخزن'!B999, المشتريات!F:F)=0,"",SUMIF(المشتريات!C:C, 'حركة المخزن'!B999, المشتريات!F:F)),"")</f>
        <v/>
      </c>
      <c r="H999" s="10" t="str">
        <f>IFERROR(IF(SUMIF(المشتريات!C:C, 'حركة المخزن'!B999, المشتريات!I:I)=0,"",SUMIF(المشتريات!C:C, 'حركة المخزن'!B999, المشتريات!I:I)),"")</f>
        <v/>
      </c>
      <c r="I999" s="10" t="str">
        <f>IFERROR(IF(SUMIF('تحليل مبيعات'!C:C, 'حركة المخزن'!B999, 'تحليل مبيعات'!H:H)=0,"",SUMIF('تحليل مبيعات'!C:C, 'حركة المخزن'!B999, 'تحليل مبيعات'!H:H)),"")</f>
        <v/>
      </c>
      <c r="J999" s="10" t="str">
        <f>IFERROR(IF(SUMIF('تحليل مبيعات'!C:C, 'حركة المخزن'!B999, 'تحليل مبيعات'!L:L)=0,"",SUMIF('تحليل مبيعات'!C:C, 'حركة المخزن'!B999, 'تحليل مبيعات'!L:L)),"")</f>
        <v/>
      </c>
      <c r="K999" s="10" t="str">
        <f t="shared" si="51"/>
        <v/>
      </c>
      <c r="L999" s="10" t="str">
        <f t="shared" si="52"/>
        <v/>
      </c>
      <c r="M999">
        <v>5</v>
      </c>
      <c r="N999" t="str">
        <f t="shared" si="53"/>
        <v>يوجد رصيد كافى</v>
      </c>
    </row>
    <row r="1000" spans="7:14" x14ac:dyDescent="0.3">
      <c r="G1000" t="str">
        <f>IFERROR(IF(SUMIF(المشتريات!C:C, 'حركة المخزن'!B1000, المشتريات!F:F)=0,"",SUMIF(المشتريات!C:C, 'حركة المخزن'!B1000, المشتريات!F:F)),"")</f>
        <v/>
      </c>
      <c r="H1000" s="10" t="str">
        <f>IFERROR(IF(SUMIF(المشتريات!C:C, 'حركة المخزن'!B1000, المشتريات!I:I)=0,"",SUMIF(المشتريات!C:C, 'حركة المخزن'!B1000, المشتريات!I:I)),"")</f>
        <v/>
      </c>
      <c r="I1000" s="10" t="str">
        <f>IFERROR(IF(SUMIF('تحليل مبيعات'!C:C, 'حركة المخزن'!B1000, 'تحليل مبيعات'!H:H)=0,"",SUMIF('تحليل مبيعات'!C:C, 'حركة المخزن'!B1000, 'تحليل مبيعات'!H:H)),"")</f>
        <v/>
      </c>
      <c r="J1000" s="10" t="str">
        <f>IFERROR(IF(SUMIF('تحليل مبيعات'!C:C, 'حركة المخزن'!B1000, 'تحليل مبيعات'!L:L)=0,"",SUMIF('تحليل مبيعات'!C:C, 'حركة المخزن'!B1000, 'تحليل مبيعات'!L:L)),"")</f>
        <v/>
      </c>
      <c r="K1000" s="10" t="str">
        <f t="shared" si="51"/>
        <v/>
      </c>
      <c r="L1000" s="10" t="str">
        <f t="shared" si="52"/>
        <v/>
      </c>
      <c r="M1000">
        <v>5</v>
      </c>
      <c r="N1000" t="str">
        <f t="shared" si="53"/>
        <v>يوجد رصيد كافى</v>
      </c>
    </row>
    <row r="1001" spans="7:14" x14ac:dyDescent="0.3">
      <c r="G1001" t="str">
        <f>IFERROR(IF(SUMIF(المشتريات!C:C, 'حركة المخزن'!B1001, المشتريات!F:F)=0,"",SUMIF(المشتريات!C:C, 'حركة المخزن'!B1001, المشتريات!F:F)),"")</f>
        <v/>
      </c>
      <c r="H1001" s="10" t="str">
        <f>IFERROR(IF(SUMIF(المشتريات!C:C, 'حركة المخزن'!B1001, المشتريات!I:I)=0,"",SUMIF(المشتريات!C:C, 'حركة المخزن'!B1001, المشتريات!I:I)),"")</f>
        <v/>
      </c>
      <c r="I1001" s="10" t="str">
        <f>IFERROR(IF(SUMIF('تحليل مبيعات'!C:C, 'حركة المخزن'!B1001, 'تحليل مبيعات'!H:H)=0,"",SUMIF('تحليل مبيعات'!C:C, 'حركة المخزن'!B1001, 'تحليل مبيعات'!H:H)),"")</f>
        <v/>
      </c>
      <c r="J1001" s="10" t="str">
        <f>IFERROR(IF(SUMIF('تحليل مبيعات'!C:C, 'حركة المخزن'!B1001, 'تحليل مبيعات'!L:L)=0,"",SUMIF('تحليل مبيعات'!C:C, 'حركة المخزن'!B1001, 'تحليل مبيعات'!L:L)),"")</f>
        <v/>
      </c>
      <c r="K1001" s="10" t="str">
        <f t="shared" si="51"/>
        <v/>
      </c>
      <c r="L1001" s="10" t="str">
        <f t="shared" si="52"/>
        <v/>
      </c>
      <c r="M1001">
        <v>5</v>
      </c>
      <c r="N1001" t="str">
        <f t="shared" si="53"/>
        <v>يوجد رصيد كافى</v>
      </c>
    </row>
    <row r="1002" spans="7:14" x14ac:dyDescent="0.3">
      <c r="G1002" t="str">
        <f>IFERROR(IF(SUMIF(المشتريات!C:C, 'حركة المخزن'!B1002, المشتريات!F:F)=0,"",SUMIF(المشتريات!C:C, 'حركة المخزن'!B1002, المشتريات!F:F)),"")</f>
        <v/>
      </c>
      <c r="H1002" s="10" t="str">
        <f>IFERROR(IF(SUMIF(المشتريات!C:C, 'حركة المخزن'!B1002, المشتريات!I:I)=0,"",SUMIF(المشتريات!C:C, 'حركة المخزن'!B1002, المشتريات!I:I)),"")</f>
        <v/>
      </c>
      <c r="I1002" s="10" t="str">
        <f>IFERROR(IF(SUMIF('تحليل مبيعات'!C:C, 'حركة المخزن'!B1002, 'تحليل مبيعات'!H:H)=0,"",SUMIF('تحليل مبيعات'!C:C, 'حركة المخزن'!B1002, 'تحليل مبيعات'!H:H)),"")</f>
        <v/>
      </c>
      <c r="J1002" s="10" t="str">
        <f>IFERROR(IF(SUMIF('تحليل مبيعات'!C:C, 'حركة المخزن'!B1002, 'تحليل مبيعات'!L:L)=0,"",SUMIF('تحليل مبيعات'!C:C, 'حركة المخزن'!B1002, 'تحليل مبيعات'!L:L)),"")</f>
        <v/>
      </c>
      <c r="K1002" s="10" t="str">
        <f t="shared" si="51"/>
        <v/>
      </c>
      <c r="L1002" s="10" t="str">
        <f t="shared" si="52"/>
        <v/>
      </c>
      <c r="M1002">
        <v>5</v>
      </c>
      <c r="N1002" t="str">
        <f t="shared" si="53"/>
        <v>يوجد رصيد كافى</v>
      </c>
    </row>
    <row r="1003" spans="7:14" x14ac:dyDescent="0.3">
      <c r="G1003" t="str">
        <f>IFERROR(IF(SUMIF(المشتريات!C:C, 'حركة المخزن'!B1003, المشتريات!F:F)=0,"",SUMIF(المشتريات!C:C, 'حركة المخزن'!B1003, المشتريات!F:F)),"")</f>
        <v/>
      </c>
      <c r="H1003" s="10" t="str">
        <f>IFERROR(IF(SUMIF(المشتريات!C:C, 'حركة المخزن'!B1003, المشتريات!I:I)=0,"",SUMIF(المشتريات!C:C, 'حركة المخزن'!B1003, المشتريات!I:I)),"")</f>
        <v/>
      </c>
      <c r="I1003" s="10" t="str">
        <f>IFERROR(IF(SUMIF('تحليل مبيعات'!C:C, 'حركة المخزن'!B1003, 'تحليل مبيعات'!H:H)=0,"",SUMIF('تحليل مبيعات'!C:C, 'حركة المخزن'!B1003, 'تحليل مبيعات'!H:H)),"")</f>
        <v/>
      </c>
      <c r="J1003" s="10" t="str">
        <f>IFERROR(IF(SUMIF('تحليل مبيعات'!C:C, 'حركة المخزن'!B1003, 'تحليل مبيعات'!L:L)=0,"",SUMIF('تحليل مبيعات'!C:C, 'حركة المخزن'!B1003, 'تحليل مبيعات'!L:L)),"")</f>
        <v/>
      </c>
      <c r="K1003" s="10" t="str">
        <f t="shared" si="51"/>
        <v/>
      </c>
      <c r="L1003" s="10" t="str">
        <f t="shared" si="52"/>
        <v/>
      </c>
      <c r="M1003">
        <v>5</v>
      </c>
      <c r="N1003" t="str">
        <f t="shared" si="53"/>
        <v>يوجد رصيد كافى</v>
      </c>
    </row>
    <row r="1004" spans="7:14" x14ac:dyDescent="0.3">
      <c r="G1004" t="str">
        <f>IFERROR(IF(SUMIF(المشتريات!C:C, 'حركة المخزن'!B1004, المشتريات!F:F)=0,"",SUMIF(المشتريات!C:C, 'حركة المخزن'!B1004, المشتريات!F:F)),"")</f>
        <v/>
      </c>
      <c r="H1004" s="10" t="str">
        <f>IFERROR(IF(SUMIF(المشتريات!C:C, 'حركة المخزن'!B1004, المشتريات!I:I)=0,"",SUMIF(المشتريات!C:C, 'حركة المخزن'!B1004, المشتريات!I:I)),"")</f>
        <v/>
      </c>
      <c r="I1004" s="10" t="str">
        <f>IFERROR(IF(SUMIF('تحليل مبيعات'!C:C, 'حركة المخزن'!B1004, 'تحليل مبيعات'!H:H)=0,"",SUMIF('تحليل مبيعات'!C:C, 'حركة المخزن'!B1004, 'تحليل مبيعات'!H:H)),"")</f>
        <v/>
      </c>
      <c r="J1004" s="10" t="str">
        <f>IFERROR(IF(SUMIF('تحليل مبيعات'!C:C, 'حركة المخزن'!B1004, 'تحليل مبيعات'!L:L)=0,"",SUMIF('تحليل مبيعات'!C:C, 'حركة المخزن'!B1004, 'تحليل مبيعات'!L:L)),"")</f>
        <v/>
      </c>
      <c r="K1004" s="10" t="str">
        <f t="shared" si="51"/>
        <v/>
      </c>
      <c r="L1004" s="10" t="str">
        <f t="shared" si="52"/>
        <v/>
      </c>
      <c r="M1004">
        <v>5</v>
      </c>
      <c r="N1004" t="str">
        <f t="shared" si="53"/>
        <v>يوجد رصيد كافى</v>
      </c>
    </row>
    <row r="1005" spans="7:14" x14ac:dyDescent="0.3">
      <c r="G1005" t="str">
        <f>IFERROR(IF(SUMIF(المشتريات!C:C, 'حركة المخزن'!B1005, المشتريات!F:F)=0,"",SUMIF(المشتريات!C:C, 'حركة المخزن'!B1005, المشتريات!F:F)),"")</f>
        <v/>
      </c>
      <c r="H1005" s="10" t="str">
        <f>IFERROR(IF(SUMIF(المشتريات!C:C, 'حركة المخزن'!B1005, المشتريات!I:I)=0,"",SUMIF(المشتريات!C:C, 'حركة المخزن'!B1005, المشتريات!I:I)),"")</f>
        <v/>
      </c>
      <c r="I1005" s="10" t="str">
        <f>IFERROR(IF(SUMIF('تحليل مبيعات'!C:C, 'حركة المخزن'!B1005, 'تحليل مبيعات'!H:H)=0,"",SUMIF('تحليل مبيعات'!C:C, 'حركة المخزن'!B1005, 'تحليل مبيعات'!H:H)),"")</f>
        <v/>
      </c>
      <c r="J1005" s="10" t="str">
        <f>IFERROR(IF(SUMIF('تحليل مبيعات'!C:C, 'حركة المخزن'!B1005, 'تحليل مبيعات'!L:L)=0,"",SUMIF('تحليل مبيعات'!C:C, 'حركة المخزن'!B1005, 'تحليل مبيعات'!L:L)),"")</f>
        <v/>
      </c>
      <c r="K1005" s="10" t="str">
        <f t="shared" si="51"/>
        <v/>
      </c>
      <c r="L1005" s="10" t="str">
        <f t="shared" si="52"/>
        <v/>
      </c>
      <c r="M1005">
        <v>5</v>
      </c>
      <c r="N1005" t="str">
        <f t="shared" si="53"/>
        <v>يوجد رصيد كافى</v>
      </c>
    </row>
    <row r="1006" spans="7:14" x14ac:dyDescent="0.3">
      <c r="G1006" t="str">
        <f>IFERROR(IF(SUMIF(المشتريات!C:C, 'حركة المخزن'!B1006, المشتريات!F:F)=0,"",SUMIF(المشتريات!C:C, 'حركة المخزن'!B1006, المشتريات!F:F)),"")</f>
        <v/>
      </c>
      <c r="H1006" s="10" t="str">
        <f>IFERROR(IF(SUMIF(المشتريات!C:C, 'حركة المخزن'!B1006, المشتريات!I:I)=0,"",SUMIF(المشتريات!C:C, 'حركة المخزن'!B1006, المشتريات!I:I)),"")</f>
        <v/>
      </c>
      <c r="I1006" s="10" t="str">
        <f>IFERROR(IF(SUMIF('تحليل مبيعات'!C:C, 'حركة المخزن'!B1006, 'تحليل مبيعات'!H:H)=0,"",SUMIF('تحليل مبيعات'!C:C, 'حركة المخزن'!B1006, 'تحليل مبيعات'!H:H)),"")</f>
        <v/>
      </c>
      <c r="J1006" s="10" t="str">
        <f>IFERROR(IF(SUMIF('تحليل مبيعات'!C:C, 'حركة المخزن'!B1006, 'تحليل مبيعات'!L:L)=0,"",SUMIF('تحليل مبيعات'!C:C, 'حركة المخزن'!B1006, 'تحليل مبيعات'!L:L)),"")</f>
        <v/>
      </c>
      <c r="K1006" s="10" t="str">
        <f t="shared" si="51"/>
        <v/>
      </c>
      <c r="L1006" s="10" t="str">
        <f t="shared" si="52"/>
        <v/>
      </c>
      <c r="M1006">
        <v>5</v>
      </c>
      <c r="N1006" t="str">
        <f t="shared" si="53"/>
        <v>يوجد رصيد كافى</v>
      </c>
    </row>
    <row r="1007" spans="7:14" x14ac:dyDescent="0.3">
      <c r="G1007" t="str">
        <f>IFERROR(IF(SUMIF(المشتريات!C:C, 'حركة المخزن'!B1007, المشتريات!F:F)=0,"",SUMIF(المشتريات!C:C, 'حركة المخزن'!B1007, المشتريات!F:F)),"")</f>
        <v/>
      </c>
      <c r="H1007" s="10" t="str">
        <f>IFERROR(IF(SUMIF(المشتريات!C:C, 'حركة المخزن'!B1007, المشتريات!I:I)=0,"",SUMIF(المشتريات!C:C, 'حركة المخزن'!B1007, المشتريات!I:I)),"")</f>
        <v/>
      </c>
      <c r="I1007" s="10" t="str">
        <f>IFERROR(IF(SUMIF('تحليل مبيعات'!C:C, 'حركة المخزن'!B1007, 'تحليل مبيعات'!H:H)=0,"",SUMIF('تحليل مبيعات'!C:C, 'حركة المخزن'!B1007, 'تحليل مبيعات'!H:H)),"")</f>
        <v/>
      </c>
      <c r="J1007" s="10" t="str">
        <f>IFERROR(IF(SUMIF('تحليل مبيعات'!C:C, 'حركة المخزن'!B1007, 'تحليل مبيعات'!L:L)=0,"",SUMIF('تحليل مبيعات'!C:C, 'حركة المخزن'!B1007, 'تحليل مبيعات'!L:L)),"")</f>
        <v/>
      </c>
      <c r="K1007" s="10" t="str">
        <f t="shared" si="51"/>
        <v/>
      </c>
      <c r="L1007" s="10" t="str">
        <f t="shared" si="52"/>
        <v/>
      </c>
      <c r="M1007">
        <v>5</v>
      </c>
      <c r="N1007" t="str">
        <f t="shared" si="53"/>
        <v>يوجد رصيد كافى</v>
      </c>
    </row>
    <row r="1008" spans="7:14" x14ac:dyDescent="0.3">
      <c r="G1008" t="str">
        <f>IFERROR(IF(SUMIF(المشتريات!C:C, 'حركة المخزن'!B1008, المشتريات!F:F)=0,"",SUMIF(المشتريات!C:C, 'حركة المخزن'!B1008, المشتريات!F:F)),"")</f>
        <v/>
      </c>
      <c r="H1008" s="10" t="str">
        <f>IFERROR(IF(SUMIF(المشتريات!C:C, 'حركة المخزن'!B1008, المشتريات!I:I)=0,"",SUMIF(المشتريات!C:C, 'حركة المخزن'!B1008, المشتريات!I:I)),"")</f>
        <v/>
      </c>
      <c r="I1008" s="10" t="str">
        <f>IFERROR(IF(SUMIF('تحليل مبيعات'!C:C, 'حركة المخزن'!B1008, 'تحليل مبيعات'!H:H)=0,"",SUMIF('تحليل مبيعات'!C:C, 'حركة المخزن'!B1008, 'تحليل مبيعات'!H:H)),"")</f>
        <v/>
      </c>
      <c r="J1008" s="10" t="str">
        <f>IFERROR(IF(SUMIF('تحليل مبيعات'!C:C, 'حركة المخزن'!B1008, 'تحليل مبيعات'!L:L)=0,"",SUMIF('تحليل مبيعات'!C:C, 'حركة المخزن'!B1008, 'تحليل مبيعات'!L:L)),"")</f>
        <v/>
      </c>
      <c r="K1008" s="10" t="str">
        <f t="shared" si="51"/>
        <v/>
      </c>
      <c r="L1008" s="10" t="str">
        <f t="shared" si="52"/>
        <v/>
      </c>
      <c r="M1008">
        <v>5</v>
      </c>
      <c r="N1008" t="str">
        <f t="shared" si="53"/>
        <v>يوجد رصيد كافى</v>
      </c>
    </row>
    <row r="1009" spans="7:14" x14ac:dyDescent="0.3">
      <c r="G1009" t="str">
        <f>IFERROR(IF(SUMIF(المشتريات!C:C, 'حركة المخزن'!B1009, المشتريات!F:F)=0,"",SUMIF(المشتريات!C:C, 'حركة المخزن'!B1009, المشتريات!F:F)),"")</f>
        <v/>
      </c>
      <c r="H1009" s="10" t="str">
        <f>IFERROR(IF(SUMIF(المشتريات!C:C, 'حركة المخزن'!B1009, المشتريات!I:I)=0,"",SUMIF(المشتريات!C:C, 'حركة المخزن'!B1009, المشتريات!I:I)),"")</f>
        <v/>
      </c>
      <c r="I1009" s="10" t="str">
        <f>IFERROR(IF(SUMIF('تحليل مبيعات'!C:C, 'حركة المخزن'!B1009, 'تحليل مبيعات'!H:H)=0,"",SUMIF('تحليل مبيعات'!C:C, 'حركة المخزن'!B1009, 'تحليل مبيعات'!H:H)),"")</f>
        <v/>
      </c>
      <c r="J1009" s="10" t="str">
        <f>IFERROR(IF(SUMIF('تحليل مبيعات'!C:C, 'حركة المخزن'!B1009, 'تحليل مبيعات'!L:L)=0,"",SUMIF('تحليل مبيعات'!C:C, 'حركة المخزن'!B1009, 'تحليل مبيعات'!L:L)),"")</f>
        <v/>
      </c>
      <c r="K1009" s="10" t="str">
        <f t="shared" si="51"/>
        <v/>
      </c>
      <c r="L1009" s="10" t="str">
        <f t="shared" si="52"/>
        <v/>
      </c>
      <c r="M1009">
        <v>5</v>
      </c>
      <c r="N1009" t="str">
        <f t="shared" si="53"/>
        <v>يوجد رصيد كافى</v>
      </c>
    </row>
    <row r="1010" spans="7:14" x14ac:dyDescent="0.3">
      <c r="G1010" t="str">
        <f>IFERROR(IF(SUMIF(المشتريات!C:C, 'حركة المخزن'!B1010, المشتريات!F:F)=0,"",SUMIF(المشتريات!C:C, 'حركة المخزن'!B1010, المشتريات!F:F)),"")</f>
        <v/>
      </c>
      <c r="H1010" s="10" t="str">
        <f>IFERROR(IF(SUMIF(المشتريات!C:C, 'حركة المخزن'!B1010, المشتريات!I:I)=0,"",SUMIF(المشتريات!C:C, 'حركة المخزن'!B1010, المشتريات!I:I)),"")</f>
        <v/>
      </c>
      <c r="I1010" s="10" t="str">
        <f>IFERROR(IF(SUMIF('تحليل مبيعات'!C:C, 'حركة المخزن'!B1010, 'تحليل مبيعات'!H:H)=0,"",SUMIF('تحليل مبيعات'!C:C, 'حركة المخزن'!B1010, 'تحليل مبيعات'!H:H)),"")</f>
        <v/>
      </c>
      <c r="J1010" s="10" t="str">
        <f>IFERROR(IF(SUMIF('تحليل مبيعات'!C:C, 'حركة المخزن'!B1010, 'تحليل مبيعات'!L:L)=0,"",SUMIF('تحليل مبيعات'!C:C, 'حركة المخزن'!B1010, 'تحليل مبيعات'!L:L)),"")</f>
        <v/>
      </c>
      <c r="K1010" s="10" t="str">
        <f t="shared" si="51"/>
        <v/>
      </c>
      <c r="L1010" s="10" t="str">
        <f t="shared" si="52"/>
        <v/>
      </c>
      <c r="M1010">
        <v>5</v>
      </c>
      <c r="N1010" t="str">
        <f t="shared" si="53"/>
        <v>يوجد رصيد كافى</v>
      </c>
    </row>
    <row r="1011" spans="7:14" x14ac:dyDescent="0.3">
      <c r="G1011" t="str">
        <f>IFERROR(IF(SUMIF(المشتريات!C:C, 'حركة المخزن'!B1011, المشتريات!F:F)=0,"",SUMIF(المشتريات!C:C, 'حركة المخزن'!B1011, المشتريات!F:F)),"")</f>
        <v/>
      </c>
      <c r="H1011" s="10" t="str">
        <f>IFERROR(IF(SUMIF(المشتريات!C:C, 'حركة المخزن'!B1011, المشتريات!I:I)=0,"",SUMIF(المشتريات!C:C, 'حركة المخزن'!B1011, المشتريات!I:I)),"")</f>
        <v/>
      </c>
      <c r="I1011" s="10" t="str">
        <f>IFERROR(IF(SUMIF('تحليل مبيعات'!C:C, 'حركة المخزن'!B1011, 'تحليل مبيعات'!H:H)=0,"",SUMIF('تحليل مبيعات'!C:C, 'حركة المخزن'!B1011, 'تحليل مبيعات'!H:H)),"")</f>
        <v/>
      </c>
      <c r="J1011" s="10" t="str">
        <f>IFERROR(IF(SUMIF('تحليل مبيعات'!C:C, 'حركة المخزن'!B1011, 'تحليل مبيعات'!L:L)=0,"",SUMIF('تحليل مبيعات'!C:C, 'حركة المخزن'!B1011, 'تحليل مبيعات'!L:L)),"")</f>
        <v/>
      </c>
      <c r="K1011" s="10" t="str">
        <f t="shared" si="51"/>
        <v/>
      </c>
      <c r="L1011" s="10" t="str">
        <f t="shared" si="52"/>
        <v/>
      </c>
      <c r="M1011">
        <v>5</v>
      </c>
      <c r="N1011" t="str">
        <f t="shared" si="53"/>
        <v>يوجد رصيد كافى</v>
      </c>
    </row>
    <row r="1012" spans="7:14" x14ac:dyDescent="0.3">
      <c r="G1012" t="str">
        <f>IFERROR(IF(SUMIF(المشتريات!C:C, 'حركة المخزن'!B1012, المشتريات!F:F)=0,"",SUMIF(المشتريات!C:C, 'حركة المخزن'!B1012, المشتريات!F:F)),"")</f>
        <v/>
      </c>
      <c r="H1012" s="10" t="str">
        <f>IFERROR(IF(SUMIF(المشتريات!C:C, 'حركة المخزن'!B1012, المشتريات!I:I)=0,"",SUMIF(المشتريات!C:C, 'حركة المخزن'!B1012, المشتريات!I:I)),"")</f>
        <v/>
      </c>
      <c r="I1012" s="10" t="str">
        <f>IFERROR(IF(SUMIF('تحليل مبيعات'!C:C, 'حركة المخزن'!B1012, 'تحليل مبيعات'!H:H)=0,"",SUMIF('تحليل مبيعات'!C:C, 'حركة المخزن'!B1012, 'تحليل مبيعات'!H:H)),"")</f>
        <v/>
      </c>
      <c r="J1012" s="10" t="str">
        <f>IFERROR(IF(SUMIF('تحليل مبيعات'!C:C, 'حركة المخزن'!B1012, 'تحليل مبيعات'!L:L)=0,"",SUMIF('تحليل مبيعات'!C:C, 'حركة المخزن'!B1012, 'تحليل مبيعات'!L:L)),"")</f>
        <v/>
      </c>
      <c r="K1012" s="10" t="str">
        <f t="shared" si="51"/>
        <v/>
      </c>
      <c r="L1012" s="10" t="str">
        <f t="shared" si="52"/>
        <v/>
      </c>
      <c r="M1012">
        <v>5</v>
      </c>
      <c r="N1012" t="str">
        <f t="shared" si="53"/>
        <v>يوجد رصيد كافى</v>
      </c>
    </row>
    <row r="1013" spans="7:14" x14ac:dyDescent="0.3">
      <c r="G1013" t="str">
        <f>IFERROR(IF(SUMIF(المشتريات!C:C, 'حركة المخزن'!B1013, المشتريات!F:F)=0,"",SUMIF(المشتريات!C:C, 'حركة المخزن'!B1013, المشتريات!F:F)),"")</f>
        <v/>
      </c>
      <c r="H1013" s="10" t="str">
        <f>IFERROR(IF(SUMIF(المشتريات!C:C, 'حركة المخزن'!B1013, المشتريات!I:I)=0,"",SUMIF(المشتريات!C:C, 'حركة المخزن'!B1013, المشتريات!I:I)),"")</f>
        <v/>
      </c>
      <c r="I1013" s="10" t="str">
        <f>IFERROR(IF(SUMIF('تحليل مبيعات'!C:C, 'حركة المخزن'!B1013, 'تحليل مبيعات'!H:H)=0,"",SUMIF('تحليل مبيعات'!C:C, 'حركة المخزن'!B1013, 'تحليل مبيعات'!H:H)),"")</f>
        <v/>
      </c>
      <c r="J1013" s="10" t="str">
        <f>IFERROR(IF(SUMIF('تحليل مبيعات'!C:C, 'حركة المخزن'!B1013, 'تحليل مبيعات'!L:L)=0,"",SUMIF('تحليل مبيعات'!C:C, 'حركة المخزن'!B1013, 'تحليل مبيعات'!L:L)),"")</f>
        <v/>
      </c>
      <c r="K1013" s="10" t="str">
        <f t="shared" si="51"/>
        <v/>
      </c>
      <c r="L1013" s="10" t="str">
        <f t="shared" si="52"/>
        <v/>
      </c>
      <c r="M1013">
        <v>5</v>
      </c>
      <c r="N1013" t="str">
        <f t="shared" si="53"/>
        <v>يوجد رصيد كافى</v>
      </c>
    </row>
    <row r="1014" spans="7:14" x14ac:dyDescent="0.3">
      <c r="G1014" t="str">
        <f>IFERROR(IF(SUMIF(المشتريات!C:C, 'حركة المخزن'!B1014, المشتريات!F:F)=0,"",SUMIF(المشتريات!C:C, 'حركة المخزن'!B1014, المشتريات!F:F)),"")</f>
        <v/>
      </c>
      <c r="H1014" s="10" t="str">
        <f>IFERROR(IF(SUMIF(المشتريات!C:C, 'حركة المخزن'!B1014, المشتريات!I:I)=0,"",SUMIF(المشتريات!C:C, 'حركة المخزن'!B1014, المشتريات!I:I)),"")</f>
        <v/>
      </c>
      <c r="I1014" s="10" t="str">
        <f>IFERROR(IF(SUMIF('تحليل مبيعات'!C:C, 'حركة المخزن'!B1014, 'تحليل مبيعات'!H:H)=0,"",SUMIF('تحليل مبيعات'!C:C, 'حركة المخزن'!B1014, 'تحليل مبيعات'!H:H)),"")</f>
        <v/>
      </c>
      <c r="J1014" s="10" t="str">
        <f>IFERROR(IF(SUMIF('تحليل مبيعات'!C:C, 'حركة المخزن'!B1014, 'تحليل مبيعات'!L:L)=0,"",SUMIF('تحليل مبيعات'!C:C, 'حركة المخزن'!B1014, 'تحليل مبيعات'!L:L)),"")</f>
        <v/>
      </c>
      <c r="K1014" s="10" t="str">
        <f t="shared" si="51"/>
        <v/>
      </c>
      <c r="L1014" s="10" t="str">
        <f t="shared" si="52"/>
        <v/>
      </c>
      <c r="M1014">
        <v>5</v>
      </c>
      <c r="N1014" t="str">
        <f t="shared" si="53"/>
        <v>يوجد رصيد كافى</v>
      </c>
    </row>
    <row r="1015" spans="7:14" x14ac:dyDescent="0.3">
      <c r="G1015" t="str">
        <f>IFERROR(IF(SUMIF(المشتريات!C:C, 'حركة المخزن'!B1015, المشتريات!F:F)=0,"",SUMIF(المشتريات!C:C, 'حركة المخزن'!B1015, المشتريات!F:F)),"")</f>
        <v/>
      </c>
      <c r="H1015" s="10" t="str">
        <f>IFERROR(IF(SUMIF(المشتريات!C:C, 'حركة المخزن'!B1015, المشتريات!I:I)=0,"",SUMIF(المشتريات!C:C, 'حركة المخزن'!B1015, المشتريات!I:I)),"")</f>
        <v/>
      </c>
      <c r="I1015" s="10" t="str">
        <f>IFERROR(IF(SUMIF('تحليل مبيعات'!C:C, 'حركة المخزن'!B1015, 'تحليل مبيعات'!H:H)=0,"",SUMIF('تحليل مبيعات'!C:C, 'حركة المخزن'!B1015, 'تحليل مبيعات'!H:H)),"")</f>
        <v/>
      </c>
      <c r="J1015" s="10" t="str">
        <f>IFERROR(IF(SUMIF('تحليل مبيعات'!C:C, 'حركة المخزن'!B1015, 'تحليل مبيعات'!L:L)=0,"",SUMIF('تحليل مبيعات'!C:C, 'حركة المخزن'!B1015, 'تحليل مبيعات'!L:L)),"")</f>
        <v/>
      </c>
      <c r="K1015" s="10" t="str">
        <f t="shared" si="51"/>
        <v/>
      </c>
      <c r="L1015" s="10" t="str">
        <f t="shared" si="52"/>
        <v/>
      </c>
      <c r="M1015">
        <v>5</v>
      </c>
      <c r="N1015" t="str">
        <f t="shared" si="53"/>
        <v>يوجد رصيد كافى</v>
      </c>
    </row>
    <row r="1016" spans="7:14" x14ac:dyDescent="0.3">
      <c r="G1016" t="str">
        <f>IFERROR(IF(SUMIF(المشتريات!C:C, 'حركة المخزن'!B1016, المشتريات!F:F)=0,"",SUMIF(المشتريات!C:C, 'حركة المخزن'!B1016, المشتريات!F:F)),"")</f>
        <v/>
      </c>
      <c r="H1016" s="10" t="str">
        <f>IFERROR(IF(SUMIF(المشتريات!C:C, 'حركة المخزن'!B1016, المشتريات!I:I)=0,"",SUMIF(المشتريات!C:C, 'حركة المخزن'!B1016, المشتريات!I:I)),"")</f>
        <v/>
      </c>
      <c r="I1016" s="10" t="str">
        <f>IFERROR(IF(SUMIF('تحليل مبيعات'!C:C, 'حركة المخزن'!B1016, 'تحليل مبيعات'!H:H)=0,"",SUMIF('تحليل مبيعات'!C:C, 'حركة المخزن'!B1016, 'تحليل مبيعات'!H:H)),"")</f>
        <v/>
      </c>
      <c r="J1016" s="10" t="str">
        <f>IFERROR(IF(SUMIF('تحليل مبيعات'!C:C, 'حركة المخزن'!B1016, 'تحليل مبيعات'!L:L)=0,"",SUMIF('تحليل مبيعات'!C:C, 'حركة المخزن'!B1016, 'تحليل مبيعات'!L:L)),"")</f>
        <v/>
      </c>
      <c r="K1016" s="10" t="str">
        <f t="shared" si="51"/>
        <v/>
      </c>
      <c r="L1016" s="10" t="str">
        <f t="shared" si="52"/>
        <v/>
      </c>
      <c r="M1016">
        <v>5</v>
      </c>
      <c r="N1016" t="str">
        <f t="shared" si="53"/>
        <v>يوجد رصيد كافى</v>
      </c>
    </row>
    <row r="1017" spans="7:14" x14ac:dyDescent="0.3">
      <c r="G1017" t="str">
        <f>IFERROR(IF(SUMIF(المشتريات!C:C, 'حركة المخزن'!B1017, المشتريات!F:F)=0,"",SUMIF(المشتريات!C:C, 'حركة المخزن'!B1017, المشتريات!F:F)),"")</f>
        <v/>
      </c>
      <c r="H1017" s="10" t="str">
        <f>IFERROR(IF(SUMIF(المشتريات!C:C, 'حركة المخزن'!B1017, المشتريات!I:I)=0,"",SUMIF(المشتريات!C:C, 'حركة المخزن'!B1017, المشتريات!I:I)),"")</f>
        <v/>
      </c>
      <c r="I1017" s="10" t="str">
        <f>IFERROR(IF(SUMIF('تحليل مبيعات'!C:C, 'حركة المخزن'!B1017, 'تحليل مبيعات'!H:H)=0,"",SUMIF('تحليل مبيعات'!C:C, 'حركة المخزن'!B1017, 'تحليل مبيعات'!H:H)),"")</f>
        <v/>
      </c>
      <c r="J1017" s="10" t="str">
        <f>IFERROR(IF(SUMIF('تحليل مبيعات'!C:C, 'حركة المخزن'!B1017, 'تحليل مبيعات'!L:L)=0,"",SUMIF('تحليل مبيعات'!C:C, 'حركة المخزن'!B1017, 'تحليل مبيعات'!L:L)),"")</f>
        <v/>
      </c>
      <c r="K1017" s="10" t="str">
        <f t="shared" si="51"/>
        <v/>
      </c>
      <c r="L1017" s="10" t="str">
        <f t="shared" si="52"/>
        <v/>
      </c>
      <c r="M1017">
        <v>5</v>
      </c>
      <c r="N1017" t="str">
        <f t="shared" si="53"/>
        <v>يوجد رصيد كافى</v>
      </c>
    </row>
    <row r="1018" spans="7:14" x14ac:dyDescent="0.3">
      <c r="G1018" t="str">
        <f>IFERROR(IF(SUMIF(المشتريات!C:C, 'حركة المخزن'!B1018, المشتريات!F:F)=0,"",SUMIF(المشتريات!C:C, 'حركة المخزن'!B1018, المشتريات!F:F)),"")</f>
        <v/>
      </c>
      <c r="H1018" s="10" t="str">
        <f>IFERROR(IF(SUMIF(المشتريات!C:C, 'حركة المخزن'!B1018, المشتريات!I:I)=0,"",SUMIF(المشتريات!C:C, 'حركة المخزن'!B1018, المشتريات!I:I)),"")</f>
        <v/>
      </c>
      <c r="I1018" s="10" t="str">
        <f>IFERROR(IF(SUMIF('تحليل مبيعات'!C:C, 'حركة المخزن'!B1018, 'تحليل مبيعات'!H:H)=0,"",SUMIF('تحليل مبيعات'!C:C, 'حركة المخزن'!B1018, 'تحليل مبيعات'!H:H)),"")</f>
        <v/>
      </c>
      <c r="J1018" s="10" t="str">
        <f>IFERROR(IF(SUMIF('تحليل مبيعات'!C:C, 'حركة المخزن'!B1018, 'تحليل مبيعات'!L:L)=0,"",SUMIF('تحليل مبيعات'!C:C, 'حركة المخزن'!B1018, 'تحليل مبيعات'!L:L)),"")</f>
        <v/>
      </c>
      <c r="K1018" s="10" t="str">
        <f t="shared" si="51"/>
        <v/>
      </c>
      <c r="L1018" s="10" t="str">
        <f t="shared" si="52"/>
        <v/>
      </c>
      <c r="M1018">
        <v>5</v>
      </c>
      <c r="N1018" t="str">
        <f t="shared" si="53"/>
        <v>يوجد رصيد كافى</v>
      </c>
    </row>
    <row r="1019" spans="7:14" x14ac:dyDescent="0.3">
      <c r="G1019" t="str">
        <f>IFERROR(IF(SUMIF(المشتريات!C:C, 'حركة المخزن'!B1019, المشتريات!F:F)=0,"",SUMIF(المشتريات!C:C, 'حركة المخزن'!B1019, المشتريات!F:F)),"")</f>
        <v/>
      </c>
      <c r="H1019" s="10" t="str">
        <f>IFERROR(IF(SUMIF(المشتريات!C:C, 'حركة المخزن'!B1019, المشتريات!I:I)=0,"",SUMIF(المشتريات!C:C, 'حركة المخزن'!B1019, المشتريات!I:I)),"")</f>
        <v/>
      </c>
      <c r="I1019" s="10" t="str">
        <f>IFERROR(IF(SUMIF('تحليل مبيعات'!C:C, 'حركة المخزن'!B1019, 'تحليل مبيعات'!H:H)=0,"",SUMIF('تحليل مبيعات'!C:C, 'حركة المخزن'!B1019, 'تحليل مبيعات'!H:H)),"")</f>
        <v/>
      </c>
      <c r="J1019" s="10" t="str">
        <f>IFERROR(IF(SUMIF('تحليل مبيعات'!C:C, 'حركة المخزن'!B1019, 'تحليل مبيعات'!L:L)=0,"",SUMIF('تحليل مبيعات'!C:C, 'حركة المخزن'!B1019, 'تحليل مبيعات'!L:L)),"")</f>
        <v/>
      </c>
      <c r="K1019" s="10" t="str">
        <f t="shared" si="51"/>
        <v/>
      </c>
      <c r="L1019" s="10" t="str">
        <f t="shared" si="52"/>
        <v/>
      </c>
      <c r="M1019">
        <v>5</v>
      </c>
      <c r="N1019" t="str">
        <f t="shared" si="53"/>
        <v>يوجد رصيد كافى</v>
      </c>
    </row>
    <row r="1020" spans="7:14" x14ac:dyDescent="0.3">
      <c r="G1020" t="str">
        <f>IFERROR(IF(SUMIF(المشتريات!C:C, 'حركة المخزن'!B1020, المشتريات!F:F)=0,"",SUMIF(المشتريات!C:C, 'حركة المخزن'!B1020, المشتريات!F:F)),"")</f>
        <v/>
      </c>
      <c r="H1020" s="10" t="str">
        <f>IFERROR(IF(SUMIF(المشتريات!C:C, 'حركة المخزن'!B1020, المشتريات!I:I)=0,"",SUMIF(المشتريات!C:C, 'حركة المخزن'!B1020, المشتريات!I:I)),"")</f>
        <v/>
      </c>
      <c r="I1020" s="10" t="str">
        <f>IFERROR(IF(SUMIF('تحليل مبيعات'!C:C, 'حركة المخزن'!B1020, 'تحليل مبيعات'!H:H)=0,"",SUMIF('تحليل مبيعات'!C:C, 'حركة المخزن'!B1020, 'تحليل مبيعات'!H:H)),"")</f>
        <v/>
      </c>
      <c r="J1020" s="10" t="str">
        <f>IFERROR(IF(SUMIF('تحليل مبيعات'!C:C, 'حركة المخزن'!B1020, 'تحليل مبيعات'!L:L)=0,"",SUMIF('تحليل مبيعات'!C:C, 'حركة المخزن'!B1020, 'تحليل مبيعات'!L:L)),"")</f>
        <v/>
      </c>
      <c r="K1020" s="10" t="str">
        <f t="shared" si="51"/>
        <v/>
      </c>
      <c r="L1020" s="10" t="str">
        <f t="shared" si="52"/>
        <v/>
      </c>
      <c r="M1020">
        <v>5</v>
      </c>
      <c r="N1020" t="str">
        <f t="shared" si="53"/>
        <v>يوجد رصيد كافى</v>
      </c>
    </row>
    <row r="1021" spans="7:14" x14ac:dyDescent="0.3">
      <c r="G1021" t="str">
        <f>IFERROR(IF(SUMIF(المشتريات!C:C, 'حركة المخزن'!B1021, المشتريات!F:F)=0,"",SUMIF(المشتريات!C:C, 'حركة المخزن'!B1021, المشتريات!F:F)),"")</f>
        <v/>
      </c>
      <c r="H1021" s="10" t="str">
        <f>IFERROR(IF(SUMIF(المشتريات!C:C, 'حركة المخزن'!B1021, المشتريات!I:I)=0,"",SUMIF(المشتريات!C:C, 'حركة المخزن'!B1021, المشتريات!I:I)),"")</f>
        <v/>
      </c>
      <c r="I1021" s="10" t="str">
        <f>IFERROR(IF(SUMIF('تحليل مبيعات'!C:C, 'حركة المخزن'!B1021, 'تحليل مبيعات'!H:H)=0,"",SUMIF('تحليل مبيعات'!C:C, 'حركة المخزن'!B1021, 'تحليل مبيعات'!H:H)),"")</f>
        <v/>
      </c>
      <c r="J1021" s="10" t="str">
        <f>IFERROR(IF(SUMIF('تحليل مبيعات'!C:C, 'حركة المخزن'!B1021, 'تحليل مبيعات'!L:L)=0,"",SUMIF('تحليل مبيعات'!C:C, 'حركة المخزن'!B1021, 'تحليل مبيعات'!L:L)),"")</f>
        <v/>
      </c>
      <c r="K1021" s="10" t="str">
        <f t="shared" si="51"/>
        <v/>
      </c>
      <c r="L1021" s="10" t="str">
        <f t="shared" si="52"/>
        <v/>
      </c>
      <c r="M1021">
        <v>5</v>
      </c>
      <c r="N1021" t="str">
        <f t="shared" si="53"/>
        <v>يوجد رصيد كافى</v>
      </c>
    </row>
    <row r="1022" spans="7:14" x14ac:dyDescent="0.3">
      <c r="G1022" t="str">
        <f>IFERROR(IF(SUMIF(المشتريات!C:C, 'حركة المخزن'!B1022, المشتريات!F:F)=0,"",SUMIF(المشتريات!C:C, 'حركة المخزن'!B1022, المشتريات!F:F)),"")</f>
        <v/>
      </c>
      <c r="H1022" s="10" t="str">
        <f>IFERROR(IF(SUMIF(المشتريات!C:C, 'حركة المخزن'!B1022, المشتريات!I:I)=0,"",SUMIF(المشتريات!C:C, 'حركة المخزن'!B1022, المشتريات!I:I)),"")</f>
        <v/>
      </c>
      <c r="I1022" s="10" t="str">
        <f>IFERROR(IF(SUMIF('تحليل مبيعات'!C:C, 'حركة المخزن'!B1022, 'تحليل مبيعات'!H:H)=0,"",SUMIF('تحليل مبيعات'!C:C, 'حركة المخزن'!B1022, 'تحليل مبيعات'!H:H)),"")</f>
        <v/>
      </c>
      <c r="J1022" s="10" t="str">
        <f>IFERROR(IF(SUMIF('تحليل مبيعات'!C:C, 'حركة المخزن'!B1022, 'تحليل مبيعات'!L:L)=0,"",SUMIF('تحليل مبيعات'!C:C, 'حركة المخزن'!B1022, 'تحليل مبيعات'!L:L)),"")</f>
        <v/>
      </c>
      <c r="K1022" s="10" t="str">
        <f t="shared" si="51"/>
        <v/>
      </c>
      <c r="L1022" s="10" t="str">
        <f t="shared" si="52"/>
        <v/>
      </c>
      <c r="M1022">
        <v>5</v>
      </c>
      <c r="N1022" t="str">
        <f t="shared" si="53"/>
        <v>يوجد رصيد كافى</v>
      </c>
    </row>
    <row r="1023" spans="7:14" x14ac:dyDescent="0.3">
      <c r="G1023" t="str">
        <f>IFERROR(IF(SUMIF(المشتريات!C:C, 'حركة المخزن'!B1023, المشتريات!F:F)=0,"",SUMIF(المشتريات!C:C, 'حركة المخزن'!B1023, المشتريات!F:F)),"")</f>
        <v/>
      </c>
      <c r="H1023" s="10" t="str">
        <f>IFERROR(IF(SUMIF(المشتريات!C:C, 'حركة المخزن'!B1023, المشتريات!I:I)=0,"",SUMIF(المشتريات!C:C, 'حركة المخزن'!B1023, المشتريات!I:I)),"")</f>
        <v/>
      </c>
      <c r="I1023" s="10" t="str">
        <f>IFERROR(IF(SUMIF('تحليل مبيعات'!C:C, 'حركة المخزن'!B1023, 'تحليل مبيعات'!H:H)=0,"",SUMIF('تحليل مبيعات'!C:C, 'حركة المخزن'!B1023, 'تحليل مبيعات'!H:H)),"")</f>
        <v/>
      </c>
      <c r="J1023" s="10" t="str">
        <f>IFERROR(IF(SUMIF('تحليل مبيعات'!C:C, 'حركة المخزن'!B1023, 'تحليل مبيعات'!L:L)=0,"",SUMIF('تحليل مبيعات'!C:C, 'حركة المخزن'!B1023, 'تحليل مبيعات'!L:L)),"")</f>
        <v/>
      </c>
      <c r="K1023" s="10" t="str">
        <f t="shared" si="51"/>
        <v/>
      </c>
      <c r="L1023" s="10" t="str">
        <f t="shared" si="52"/>
        <v/>
      </c>
      <c r="M1023">
        <v>5</v>
      </c>
      <c r="N1023" t="str">
        <f t="shared" si="53"/>
        <v>يوجد رصيد كافى</v>
      </c>
    </row>
    <row r="1024" spans="7:14" x14ac:dyDescent="0.3">
      <c r="G1024" t="str">
        <f>IFERROR(IF(SUMIF(المشتريات!C:C, 'حركة المخزن'!B1024, المشتريات!F:F)=0,"",SUMIF(المشتريات!C:C, 'حركة المخزن'!B1024, المشتريات!F:F)),"")</f>
        <v/>
      </c>
      <c r="H1024" s="10" t="str">
        <f>IFERROR(IF(SUMIF(المشتريات!C:C, 'حركة المخزن'!B1024, المشتريات!I:I)=0,"",SUMIF(المشتريات!C:C, 'حركة المخزن'!B1024, المشتريات!I:I)),"")</f>
        <v/>
      </c>
      <c r="I1024" s="10" t="str">
        <f>IFERROR(IF(SUMIF('تحليل مبيعات'!C:C, 'حركة المخزن'!B1024, 'تحليل مبيعات'!H:H)=0,"",SUMIF('تحليل مبيعات'!C:C, 'حركة المخزن'!B1024, 'تحليل مبيعات'!H:H)),"")</f>
        <v/>
      </c>
      <c r="J1024" s="10" t="str">
        <f>IFERROR(IF(SUMIF('تحليل مبيعات'!C:C, 'حركة المخزن'!B1024, 'تحليل مبيعات'!L:L)=0,"",SUMIF('تحليل مبيعات'!C:C, 'حركة المخزن'!B1024, 'تحليل مبيعات'!L:L)),"")</f>
        <v/>
      </c>
      <c r="K1024" s="10" t="str">
        <f t="shared" si="51"/>
        <v/>
      </c>
      <c r="L1024" s="10" t="str">
        <f t="shared" si="52"/>
        <v/>
      </c>
      <c r="M1024">
        <v>5</v>
      </c>
      <c r="N1024" t="str">
        <f t="shared" si="53"/>
        <v>يوجد رصيد كافى</v>
      </c>
    </row>
    <row r="1025" spans="7:14" x14ac:dyDescent="0.3">
      <c r="G1025" t="str">
        <f>IFERROR(IF(SUMIF(المشتريات!C:C, 'حركة المخزن'!B1025, المشتريات!F:F)=0,"",SUMIF(المشتريات!C:C, 'حركة المخزن'!B1025, المشتريات!F:F)),"")</f>
        <v/>
      </c>
      <c r="H1025" s="10" t="str">
        <f>IFERROR(IF(SUMIF(المشتريات!C:C, 'حركة المخزن'!B1025, المشتريات!I:I)=0,"",SUMIF(المشتريات!C:C, 'حركة المخزن'!B1025, المشتريات!I:I)),"")</f>
        <v/>
      </c>
      <c r="I1025" s="10" t="str">
        <f>IFERROR(IF(SUMIF('تحليل مبيعات'!C:C, 'حركة المخزن'!B1025, 'تحليل مبيعات'!H:H)=0,"",SUMIF('تحليل مبيعات'!C:C, 'حركة المخزن'!B1025, 'تحليل مبيعات'!H:H)),"")</f>
        <v/>
      </c>
      <c r="J1025" s="10" t="str">
        <f>IFERROR(IF(SUMIF('تحليل مبيعات'!C:C, 'حركة المخزن'!B1025, 'تحليل مبيعات'!L:L)=0,"",SUMIF('تحليل مبيعات'!C:C, 'حركة المخزن'!B1025, 'تحليل مبيعات'!L:L)),"")</f>
        <v/>
      </c>
      <c r="K1025" s="10" t="str">
        <f t="shared" si="51"/>
        <v/>
      </c>
      <c r="L1025" s="10" t="str">
        <f t="shared" si="52"/>
        <v/>
      </c>
      <c r="M1025">
        <v>5</v>
      </c>
      <c r="N1025" t="str">
        <f t="shared" si="53"/>
        <v>يوجد رصيد كافى</v>
      </c>
    </row>
    <row r="1026" spans="7:14" x14ac:dyDescent="0.3">
      <c r="G1026" t="str">
        <f>IFERROR(IF(SUMIF(المشتريات!C:C, 'حركة المخزن'!B1026, المشتريات!F:F)=0,"",SUMIF(المشتريات!C:C, 'حركة المخزن'!B1026, المشتريات!F:F)),"")</f>
        <v/>
      </c>
      <c r="H1026" s="10" t="str">
        <f>IFERROR(IF(SUMIF(المشتريات!C:C, 'حركة المخزن'!B1026, المشتريات!I:I)=0,"",SUMIF(المشتريات!C:C, 'حركة المخزن'!B1026, المشتريات!I:I)),"")</f>
        <v/>
      </c>
      <c r="I1026" s="10" t="str">
        <f>IFERROR(IF(SUMIF('تحليل مبيعات'!C:C, 'حركة المخزن'!B1026, 'تحليل مبيعات'!H:H)=0,"",SUMIF('تحليل مبيعات'!C:C, 'حركة المخزن'!B1026, 'تحليل مبيعات'!H:H)),"")</f>
        <v/>
      </c>
      <c r="J1026" s="10" t="str">
        <f>IFERROR(IF(SUMIF('تحليل مبيعات'!C:C, 'حركة المخزن'!B1026, 'تحليل مبيعات'!L:L)=0,"",SUMIF('تحليل مبيعات'!C:C, 'حركة المخزن'!B1026, 'تحليل مبيعات'!L:L)),"")</f>
        <v/>
      </c>
      <c r="K1026" s="10" t="str">
        <f t="shared" si="51"/>
        <v/>
      </c>
      <c r="L1026" s="10" t="str">
        <f t="shared" si="52"/>
        <v/>
      </c>
      <c r="M1026">
        <v>5</v>
      </c>
      <c r="N1026" t="str">
        <f t="shared" si="53"/>
        <v>يوجد رصيد كافى</v>
      </c>
    </row>
    <row r="1027" spans="7:14" x14ac:dyDescent="0.3">
      <c r="G1027" t="str">
        <f>IFERROR(IF(SUMIF(المشتريات!C:C, 'حركة المخزن'!B1027, المشتريات!F:F)=0,"",SUMIF(المشتريات!C:C, 'حركة المخزن'!B1027, المشتريات!F:F)),"")</f>
        <v/>
      </c>
      <c r="H1027" s="10" t="str">
        <f>IFERROR(IF(SUMIF(المشتريات!C:C, 'حركة المخزن'!B1027, المشتريات!I:I)=0,"",SUMIF(المشتريات!C:C, 'حركة المخزن'!B1027, المشتريات!I:I)),"")</f>
        <v/>
      </c>
      <c r="I1027" s="10" t="str">
        <f>IFERROR(IF(SUMIF('تحليل مبيعات'!C:C, 'حركة المخزن'!B1027, 'تحليل مبيعات'!H:H)=0,"",SUMIF('تحليل مبيعات'!C:C, 'حركة المخزن'!B1027, 'تحليل مبيعات'!H:H)),"")</f>
        <v/>
      </c>
      <c r="J1027" s="10" t="str">
        <f>IFERROR(IF(SUMIF('تحليل مبيعات'!C:C, 'حركة المخزن'!B1027, 'تحليل مبيعات'!L:L)=0,"",SUMIF('تحليل مبيعات'!C:C, 'حركة المخزن'!B1027, 'تحليل مبيعات'!L:L)),"")</f>
        <v/>
      </c>
      <c r="K1027" s="10" t="str">
        <f t="shared" si="51"/>
        <v/>
      </c>
      <c r="L1027" s="10" t="str">
        <f t="shared" si="52"/>
        <v/>
      </c>
      <c r="M1027">
        <v>5</v>
      </c>
      <c r="N1027" t="str">
        <f t="shared" si="53"/>
        <v>يوجد رصيد كافى</v>
      </c>
    </row>
    <row r="1028" spans="7:14" x14ac:dyDescent="0.3">
      <c r="G1028" t="str">
        <f>IFERROR(IF(SUMIF(المشتريات!C:C, 'حركة المخزن'!B1028, المشتريات!F:F)=0,"",SUMIF(المشتريات!C:C, 'حركة المخزن'!B1028, المشتريات!F:F)),"")</f>
        <v/>
      </c>
      <c r="H1028" s="10" t="str">
        <f>IFERROR(IF(SUMIF(المشتريات!C:C, 'حركة المخزن'!B1028, المشتريات!I:I)=0,"",SUMIF(المشتريات!C:C, 'حركة المخزن'!B1028, المشتريات!I:I)),"")</f>
        <v/>
      </c>
      <c r="I1028" s="10" t="str">
        <f>IFERROR(IF(SUMIF('تحليل مبيعات'!C:C, 'حركة المخزن'!B1028, 'تحليل مبيعات'!H:H)=0,"",SUMIF('تحليل مبيعات'!C:C, 'حركة المخزن'!B1028, 'تحليل مبيعات'!H:H)),"")</f>
        <v/>
      </c>
      <c r="J1028" s="10" t="str">
        <f>IFERROR(IF(SUMIF('تحليل مبيعات'!C:C, 'حركة المخزن'!B1028, 'تحليل مبيعات'!L:L)=0,"",SUMIF('تحليل مبيعات'!C:C, 'حركة المخزن'!B1028, 'تحليل مبيعات'!L:L)),"")</f>
        <v/>
      </c>
      <c r="K1028" s="10" t="str">
        <f t="shared" si="51"/>
        <v/>
      </c>
      <c r="L1028" s="10" t="str">
        <f t="shared" si="52"/>
        <v/>
      </c>
      <c r="M1028">
        <v>5</v>
      </c>
      <c r="N1028" t="str">
        <f t="shared" si="53"/>
        <v>يوجد رصيد كافى</v>
      </c>
    </row>
    <row r="1029" spans="7:14" x14ac:dyDescent="0.3">
      <c r="G1029" t="str">
        <f>IFERROR(IF(SUMIF(المشتريات!C:C, 'حركة المخزن'!B1029, المشتريات!F:F)=0,"",SUMIF(المشتريات!C:C, 'حركة المخزن'!B1029, المشتريات!F:F)),"")</f>
        <v/>
      </c>
      <c r="H1029" s="10" t="str">
        <f>IFERROR(IF(SUMIF(المشتريات!C:C, 'حركة المخزن'!B1029, المشتريات!I:I)=0,"",SUMIF(المشتريات!C:C, 'حركة المخزن'!B1029, المشتريات!I:I)),"")</f>
        <v/>
      </c>
      <c r="I1029" s="10" t="str">
        <f>IFERROR(IF(SUMIF('تحليل مبيعات'!C:C, 'حركة المخزن'!B1029, 'تحليل مبيعات'!H:H)=0,"",SUMIF('تحليل مبيعات'!C:C, 'حركة المخزن'!B1029, 'تحليل مبيعات'!H:H)),"")</f>
        <v/>
      </c>
      <c r="J1029" s="10" t="str">
        <f>IFERROR(IF(SUMIF('تحليل مبيعات'!C:C, 'حركة المخزن'!B1029, 'تحليل مبيعات'!L:L)=0,"",SUMIF('تحليل مبيعات'!C:C, 'حركة المخزن'!B1029, 'تحليل مبيعات'!L:L)),"")</f>
        <v/>
      </c>
      <c r="K1029" s="10" t="str">
        <f t="shared" si="51"/>
        <v/>
      </c>
      <c r="L1029" s="10" t="str">
        <f t="shared" si="52"/>
        <v/>
      </c>
      <c r="M1029">
        <v>5</v>
      </c>
      <c r="N1029" t="str">
        <f t="shared" si="53"/>
        <v>يوجد رصيد كافى</v>
      </c>
    </row>
    <row r="1030" spans="7:14" x14ac:dyDescent="0.3">
      <c r="G1030" t="str">
        <f>IFERROR(IF(SUMIF(المشتريات!C:C, 'حركة المخزن'!B1030, المشتريات!F:F)=0,"",SUMIF(المشتريات!C:C, 'حركة المخزن'!B1030, المشتريات!F:F)),"")</f>
        <v/>
      </c>
      <c r="H1030" s="10" t="str">
        <f>IFERROR(IF(SUMIF(المشتريات!C:C, 'حركة المخزن'!B1030, المشتريات!I:I)=0,"",SUMIF(المشتريات!C:C, 'حركة المخزن'!B1030, المشتريات!I:I)),"")</f>
        <v/>
      </c>
      <c r="I1030" s="10" t="str">
        <f>IFERROR(IF(SUMIF('تحليل مبيعات'!C:C, 'حركة المخزن'!B1030, 'تحليل مبيعات'!H:H)=0,"",SUMIF('تحليل مبيعات'!C:C, 'حركة المخزن'!B1030, 'تحليل مبيعات'!H:H)),"")</f>
        <v/>
      </c>
      <c r="J1030" s="10" t="str">
        <f>IFERROR(IF(SUMIF('تحليل مبيعات'!C:C, 'حركة المخزن'!B1030, 'تحليل مبيعات'!L:L)=0,"",SUMIF('تحليل مبيعات'!C:C, 'حركة المخزن'!B1030, 'تحليل مبيعات'!L:L)),"")</f>
        <v/>
      </c>
      <c r="K1030" s="10" t="str">
        <f t="shared" si="51"/>
        <v/>
      </c>
      <c r="L1030" s="10" t="str">
        <f t="shared" si="52"/>
        <v/>
      </c>
      <c r="M1030">
        <v>5</v>
      </c>
      <c r="N1030" t="str">
        <f t="shared" si="53"/>
        <v>يوجد رصيد كافى</v>
      </c>
    </row>
    <row r="1031" spans="7:14" x14ac:dyDescent="0.3">
      <c r="G1031" t="str">
        <f>IFERROR(IF(SUMIF(المشتريات!C:C, 'حركة المخزن'!B1031, المشتريات!F:F)=0,"",SUMIF(المشتريات!C:C, 'حركة المخزن'!B1031, المشتريات!F:F)),"")</f>
        <v/>
      </c>
      <c r="H1031" s="10" t="str">
        <f>IFERROR(IF(SUMIF(المشتريات!C:C, 'حركة المخزن'!B1031, المشتريات!I:I)=0,"",SUMIF(المشتريات!C:C, 'حركة المخزن'!B1031, المشتريات!I:I)),"")</f>
        <v/>
      </c>
      <c r="I1031" s="10" t="str">
        <f>IFERROR(IF(SUMIF('تحليل مبيعات'!C:C, 'حركة المخزن'!B1031, 'تحليل مبيعات'!H:H)=0,"",SUMIF('تحليل مبيعات'!C:C, 'حركة المخزن'!B1031, 'تحليل مبيعات'!H:H)),"")</f>
        <v/>
      </c>
      <c r="J1031" s="10" t="str">
        <f>IFERROR(IF(SUMIF('تحليل مبيعات'!C:C, 'حركة المخزن'!B1031, 'تحليل مبيعات'!L:L)=0,"",SUMIF('تحليل مبيعات'!C:C, 'حركة المخزن'!B1031, 'تحليل مبيعات'!L:L)),"")</f>
        <v/>
      </c>
      <c r="K1031" s="10" t="str">
        <f t="shared" si="51"/>
        <v/>
      </c>
      <c r="L1031" s="10" t="str">
        <f t="shared" si="52"/>
        <v/>
      </c>
      <c r="M1031">
        <v>5</v>
      </c>
      <c r="N1031" t="str">
        <f t="shared" si="53"/>
        <v>يوجد رصيد كافى</v>
      </c>
    </row>
    <row r="1032" spans="7:14" x14ac:dyDescent="0.3">
      <c r="G1032" t="str">
        <f>IFERROR(IF(SUMIF(المشتريات!C:C, 'حركة المخزن'!B1032, المشتريات!F:F)=0,"",SUMIF(المشتريات!C:C, 'حركة المخزن'!B1032, المشتريات!F:F)),"")</f>
        <v/>
      </c>
      <c r="H1032" s="10" t="str">
        <f>IFERROR(IF(SUMIF(المشتريات!C:C, 'حركة المخزن'!B1032, المشتريات!I:I)=0,"",SUMIF(المشتريات!C:C, 'حركة المخزن'!B1032, المشتريات!I:I)),"")</f>
        <v/>
      </c>
      <c r="I1032" s="10" t="str">
        <f>IFERROR(IF(SUMIF('تحليل مبيعات'!C:C, 'حركة المخزن'!B1032, 'تحليل مبيعات'!H:H)=0,"",SUMIF('تحليل مبيعات'!C:C, 'حركة المخزن'!B1032, 'تحليل مبيعات'!H:H)),"")</f>
        <v/>
      </c>
      <c r="J1032" s="10" t="str">
        <f>IFERROR(IF(SUMIF('تحليل مبيعات'!C:C, 'حركة المخزن'!B1032, 'تحليل مبيعات'!L:L)=0,"",SUMIF('تحليل مبيعات'!C:C, 'حركة المخزن'!B1032, 'تحليل مبيعات'!L:L)),"")</f>
        <v/>
      </c>
      <c r="K1032" s="10" t="str">
        <f t="shared" si="51"/>
        <v/>
      </c>
      <c r="L1032" s="10" t="str">
        <f t="shared" si="52"/>
        <v/>
      </c>
      <c r="M1032">
        <v>5</v>
      </c>
      <c r="N1032" t="str">
        <f t="shared" si="53"/>
        <v>يوجد رصيد كافى</v>
      </c>
    </row>
    <row r="1033" spans="7:14" x14ac:dyDescent="0.3">
      <c r="G1033" t="str">
        <f>IFERROR(IF(SUMIF(المشتريات!C:C, 'حركة المخزن'!B1033, المشتريات!F:F)=0,"",SUMIF(المشتريات!C:C, 'حركة المخزن'!B1033, المشتريات!F:F)),"")</f>
        <v/>
      </c>
      <c r="H1033" s="10" t="str">
        <f>IFERROR(IF(SUMIF(المشتريات!C:C, 'حركة المخزن'!B1033, المشتريات!I:I)=0,"",SUMIF(المشتريات!C:C, 'حركة المخزن'!B1033, المشتريات!I:I)),"")</f>
        <v/>
      </c>
      <c r="I1033" s="10" t="str">
        <f>IFERROR(IF(SUMIF('تحليل مبيعات'!C:C, 'حركة المخزن'!B1033, 'تحليل مبيعات'!H:H)=0,"",SUMIF('تحليل مبيعات'!C:C, 'حركة المخزن'!B1033, 'تحليل مبيعات'!H:H)),"")</f>
        <v/>
      </c>
      <c r="J1033" s="10" t="str">
        <f>IFERROR(IF(SUMIF('تحليل مبيعات'!C:C, 'حركة المخزن'!B1033, 'تحليل مبيعات'!L:L)=0,"",SUMIF('تحليل مبيعات'!C:C, 'حركة المخزن'!B1033, 'تحليل مبيعات'!L:L)),"")</f>
        <v/>
      </c>
      <c r="K1033" s="10" t="str">
        <f t="shared" ref="K1033:K1096" si="54">IFERROR(E1033+G1033-I1033,"")</f>
        <v/>
      </c>
      <c r="L1033" s="10" t="str">
        <f t="shared" ref="L1033:L1096" si="55">IFERROR(F1033+H1033-J1033,"")</f>
        <v/>
      </c>
      <c r="M1033">
        <v>5</v>
      </c>
      <c r="N1033" t="str">
        <f t="shared" ref="N1033:N1096" si="56">IF(K1033&lt;M1033,"أعادة الطلب","يوجد رصيد كافى")</f>
        <v>يوجد رصيد كافى</v>
      </c>
    </row>
    <row r="1034" spans="7:14" x14ac:dyDescent="0.3">
      <c r="G1034" t="str">
        <f>IFERROR(IF(SUMIF(المشتريات!C:C, 'حركة المخزن'!B1034, المشتريات!F:F)=0,"",SUMIF(المشتريات!C:C, 'حركة المخزن'!B1034, المشتريات!F:F)),"")</f>
        <v/>
      </c>
      <c r="H1034" s="10" t="str">
        <f>IFERROR(IF(SUMIF(المشتريات!C:C, 'حركة المخزن'!B1034, المشتريات!I:I)=0,"",SUMIF(المشتريات!C:C, 'حركة المخزن'!B1034, المشتريات!I:I)),"")</f>
        <v/>
      </c>
      <c r="I1034" s="10" t="str">
        <f>IFERROR(IF(SUMIF('تحليل مبيعات'!C:C, 'حركة المخزن'!B1034, 'تحليل مبيعات'!H:H)=0,"",SUMIF('تحليل مبيعات'!C:C, 'حركة المخزن'!B1034, 'تحليل مبيعات'!H:H)),"")</f>
        <v/>
      </c>
      <c r="J1034" s="10" t="str">
        <f>IFERROR(IF(SUMIF('تحليل مبيعات'!C:C, 'حركة المخزن'!B1034, 'تحليل مبيعات'!L:L)=0,"",SUMIF('تحليل مبيعات'!C:C, 'حركة المخزن'!B1034, 'تحليل مبيعات'!L:L)),"")</f>
        <v/>
      </c>
      <c r="K1034" s="10" t="str">
        <f t="shared" si="54"/>
        <v/>
      </c>
      <c r="L1034" s="10" t="str">
        <f t="shared" si="55"/>
        <v/>
      </c>
      <c r="M1034">
        <v>5</v>
      </c>
      <c r="N1034" t="str">
        <f t="shared" si="56"/>
        <v>يوجد رصيد كافى</v>
      </c>
    </row>
    <row r="1035" spans="7:14" x14ac:dyDescent="0.3">
      <c r="G1035" t="str">
        <f>IFERROR(IF(SUMIF(المشتريات!C:C, 'حركة المخزن'!B1035, المشتريات!F:F)=0,"",SUMIF(المشتريات!C:C, 'حركة المخزن'!B1035, المشتريات!F:F)),"")</f>
        <v/>
      </c>
      <c r="H1035" s="10" t="str">
        <f>IFERROR(IF(SUMIF(المشتريات!C:C, 'حركة المخزن'!B1035, المشتريات!I:I)=0,"",SUMIF(المشتريات!C:C, 'حركة المخزن'!B1035, المشتريات!I:I)),"")</f>
        <v/>
      </c>
      <c r="I1035" s="10" t="str">
        <f>IFERROR(IF(SUMIF('تحليل مبيعات'!C:C, 'حركة المخزن'!B1035, 'تحليل مبيعات'!H:H)=0,"",SUMIF('تحليل مبيعات'!C:C, 'حركة المخزن'!B1035, 'تحليل مبيعات'!H:H)),"")</f>
        <v/>
      </c>
      <c r="J1035" s="10" t="str">
        <f>IFERROR(IF(SUMIF('تحليل مبيعات'!C:C, 'حركة المخزن'!B1035, 'تحليل مبيعات'!L:L)=0,"",SUMIF('تحليل مبيعات'!C:C, 'حركة المخزن'!B1035, 'تحليل مبيعات'!L:L)),"")</f>
        <v/>
      </c>
      <c r="K1035" s="10" t="str">
        <f t="shared" si="54"/>
        <v/>
      </c>
      <c r="L1035" s="10" t="str">
        <f t="shared" si="55"/>
        <v/>
      </c>
      <c r="M1035">
        <v>5</v>
      </c>
      <c r="N1035" t="str">
        <f t="shared" si="56"/>
        <v>يوجد رصيد كافى</v>
      </c>
    </row>
    <row r="1036" spans="7:14" x14ac:dyDescent="0.3">
      <c r="G1036" t="str">
        <f>IFERROR(IF(SUMIF(المشتريات!C:C, 'حركة المخزن'!B1036, المشتريات!F:F)=0,"",SUMIF(المشتريات!C:C, 'حركة المخزن'!B1036, المشتريات!F:F)),"")</f>
        <v/>
      </c>
      <c r="H1036" s="10" t="str">
        <f>IFERROR(IF(SUMIF(المشتريات!C:C, 'حركة المخزن'!B1036, المشتريات!I:I)=0,"",SUMIF(المشتريات!C:C, 'حركة المخزن'!B1036, المشتريات!I:I)),"")</f>
        <v/>
      </c>
      <c r="I1036" s="10" t="str">
        <f>IFERROR(IF(SUMIF('تحليل مبيعات'!C:C, 'حركة المخزن'!B1036, 'تحليل مبيعات'!H:H)=0,"",SUMIF('تحليل مبيعات'!C:C, 'حركة المخزن'!B1036, 'تحليل مبيعات'!H:H)),"")</f>
        <v/>
      </c>
      <c r="J1036" s="10" t="str">
        <f>IFERROR(IF(SUMIF('تحليل مبيعات'!C:C, 'حركة المخزن'!B1036, 'تحليل مبيعات'!L:L)=0,"",SUMIF('تحليل مبيعات'!C:C, 'حركة المخزن'!B1036, 'تحليل مبيعات'!L:L)),"")</f>
        <v/>
      </c>
      <c r="K1036" s="10" t="str">
        <f t="shared" si="54"/>
        <v/>
      </c>
      <c r="L1036" s="10" t="str">
        <f t="shared" si="55"/>
        <v/>
      </c>
      <c r="M1036">
        <v>5</v>
      </c>
      <c r="N1036" t="str">
        <f t="shared" si="56"/>
        <v>يوجد رصيد كافى</v>
      </c>
    </row>
    <row r="1037" spans="7:14" x14ac:dyDescent="0.3">
      <c r="G1037" t="str">
        <f>IFERROR(IF(SUMIF(المشتريات!C:C, 'حركة المخزن'!B1037, المشتريات!F:F)=0,"",SUMIF(المشتريات!C:C, 'حركة المخزن'!B1037, المشتريات!F:F)),"")</f>
        <v/>
      </c>
      <c r="H1037" s="10" t="str">
        <f>IFERROR(IF(SUMIF(المشتريات!C:C, 'حركة المخزن'!B1037, المشتريات!I:I)=0,"",SUMIF(المشتريات!C:C, 'حركة المخزن'!B1037, المشتريات!I:I)),"")</f>
        <v/>
      </c>
      <c r="I1037" s="10" t="str">
        <f>IFERROR(IF(SUMIF('تحليل مبيعات'!C:C, 'حركة المخزن'!B1037, 'تحليل مبيعات'!H:H)=0,"",SUMIF('تحليل مبيعات'!C:C, 'حركة المخزن'!B1037, 'تحليل مبيعات'!H:H)),"")</f>
        <v/>
      </c>
      <c r="J1037" s="10" t="str">
        <f>IFERROR(IF(SUMIF('تحليل مبيعات'!C:C, 'حركة المخزن'!B1037, 'تحليل مبيعات'!L:L)=0,"",SUMIF('تحليل مبيعات'!C:C, 'حركة المخزن'!B1037, 'تحليل مبيعات'!L:L)),"")</f>
        <v/>
      </c>
      <c r="K1037" s="10" t="str">
        <f t="shared" si="54"/>
        <v/>
      </c>
      <c r="L1037" s="10" t="str">
        <f t="shared" si="55"/>
        <v/>
      </c>
      <c r="M1037">
        <v>5</v>
      </c>
      <c r="N1037" t="str">
        <f t="shared" si="56"/>
        <v>يوجد رصيد كافى</v>
      </c>
    </row>
    <row r="1038" spans="7:14" x14ac:dyDescent="0.3">
      <c r="G1038" t="str">
        <f>IFERROR(IF(SUMIF(المشتريات!C:C, 'حركة المخزن'!B1038, المشتريات!F:F)=0,"",SUMIF(المشتريات!C:C, 'حركة المخزن'!B1038, المشتريات!F:F)),"")</f>
        <v/>
      </c>
      <c r="H1038" s="10" t="str">
        <f>IFERROR(IF(SUMIF(المشتريات!C:C, 'حركة المخزن'!B1038, المشتريات!I:I)=0,"",SUMIF(المشتريات!C:C, 'حركة المخزن'!B1038, المشتريات!I:I)),"")</f>
        <v/>
      </c>
      <c r="I1038" s="10" t="str">
        <f>IFERROR(IF(SUMIF('تحليل مبيعات'!C:C, 'حركة المخزن'!B1038, 'تحليل مبيعات'!H:H)=0,"",SUMIF('تحليل مبيعات'!C:C, 'حركة المخزن'!B1038, 'تحليل مبيعات'!H:H)),"")</f>
        <v/>
      </c>
      <c r="J1038" s="10" t="str">
        <f>IFERROR(IF(SUMIF('تحليل مبيعات'!C:C, 'حركة المخزن'!B1038, 'تحليل مبيعات'!L:L)=0,"",SUMIF('تحليل مبيعات'!C:C, 'حركة المخزن'!B1038, 'تحليل مبيعات'!L:L)),"")</f>
        <v/>
      </c>
      <c r="K1038" s="10" t="str">
        <f t="shared" si="54"/>
        <v/>
      </c>
      <c r="L1038" s="10" t="str">
        <f t="shared" si="55"/>
        <v/>
      </c>
      <c r="M1038">
        <v>5</v>
      </c>
      <c r="N1038" t="str">
        <f t="shared" si="56"/>
        <v>يوجد رصيد كافى</v>
      </c>
    </row>
    <row r="1039" spans="7:14" x14ac:dyDescent="0.3">
      <c r="G1039" t="str">
        <f>IFERROR(IF(SUMIF(المشتريات!C:C, 'حركة المخزن'!B1039, المشتريات!F:F)=0,"",SUMIF(المشتريات!C:C, 'حركة المخزن'!B1039, المشتريات!F:F)),"")</f>
        <v/>
      </c>
      <c r="H1039" s="10" t="str">
        <f>IFERROR(IF(SUMIF(المشتريات!C:C, 'حركة المخزن'!B1039, المشتريات!I:I)=0,"",SUMIF(المشتريات!C:C, 'حركة المخزن'!B1039, المشتريات!I:I)),"")</f>
        <v/>
      </c>
      <c r="I1039" s="10" t="str">
        <f>IFERROR(IF(SUMIF('تحليل مبيعات'!C:C, 'حركة المخزن'!B1039, 'تحليل مبيعات'!H:H)=0,"",SUMIF('تحليل مبيعات'!C:C, 'حركة المخزن'!B1039, 'تحليل مبيعات'!H:H)),"")</f>
        <v/>
      </c>
      <c r="J1039" s="10" t="str">
        <f>IFERROR(IF(SUMIF('تحليل مبيعات'!C:C, 'حركة المخزن'!B1039, 'تحليل مبيعات'!L:L)=0,"",SUMIF('تحليل مبيعات'!C:C, 'حركة المخزن'!B1039, 'تحليل مبيعات'!L:L)),"")</f>
        <v/>
      </c>
      <c r="K1039" s="10" t="str">
        <f t="shared" si="54"/>
        <v/>
      </c>
      <c r="L1039" s="10" t="str">
        <f t="shared" si="55"/>
        <v/>
      </c>
      <c r="M1039">
        <v>5</v>
      </c>
      <c r="N1039" t="str">
        <f t="shared" si="56"/>
        <v>يوجد رصيد كافى</v>
      </c>
    </row>
    <row r="1040" spans="7:14" x14ac:dyDescent="0.3">
      <c r="G1040" t="str">
        <f>IFERROR(IF(SUMIF(المشتريات!C:C, 'حركة المخزن'!B1040, المشتريات!F:F)=0,"",SUMIF(المشتريات!C:C, 'حركة المخزن'!B1040, المشتريات!F:F)),"")</f>
        <v/>
      </c>
      <c r="H1040" s="10" t="str">
        <f>IFERROR(IF(SUMIF(المشتريات!C:C, 'حركة المخزن'!B1040, المشتريات!I:I)=0,"",SUMIF(المشتريات!C:C, 'حركة المخزن'!B1040, المشتريات!I:I)),"")</f>
        <v/>
      </c>
      <c r="I1040" s="10" t="str">
        <f>IFERROR(IF(SUMIF('تحليل مبيعات'!C:C, 'حركة المخزن'!B1040, 'تحليل مبيعات'!H:H)=0,"",SUMIF('تحليل مبيعات'!C:C, 'حركة المخزن'!B1040, 'تحليل مبيعات'!H:H)),"")</f>
        <v/>
      </c>
      <c r="J1040" s="10" t="str">
        <f>IFERROR(IF(SUMIF('تحليل مبيعات'!C:C, 'حركة المخزن'!B1040, 'تحليل مبيعات'!L:L)=0,"",SUMIF('تحليل مبيعات'!C:C, 'حركة المخزن'!B1040, 'تحليل مبيعات'!L:L)),"")</f>
        <v/>
      </c>
      <c r="K1040" s="10" t="str">
        <f t="shared" si="54"/>
        <v/>
      </c>
      <c r="L1040" s="10" t="str">
        <f t="shared" si="55"/>
        <v/>
      </c>
      <c r="M1040">
        <v>5</v>
      </c>
      <c r="N1040" t="str">
        <f t="shared" si="56"/>
        <v>يوجد رصيد كافى</v>
      </c>
    </row>
    <row r="1041" spans="7:14" x14ac:dyDescent="0.3">
      <c r="G1041" t="str">
        <f>IFERROR(IF(SUMIF(المشتريات!C:C, 'حركة المخزن'!B1041, المشتريات!F:F)=0,"",SUMIF(المشتريات!C:C, 'حركة المخزن'!B1041, المشتريات!F:F)),"")</f>
        <v/>
      </c>
      <c r="H1041" s="10" t="str">
        <f>IFERROR(IF(SUMIF(المشتريات!C:C, 'حركة المخزن'!B1041, المشتريات!I:I)=0,"",SUMIF(المشتريات!C:C, 'حركة المخزن'!B1041, المشتريات!I:I)),"")</f>
        <v/>
      </c>
      <c r="I1041" s="10" t="str">
        <f>IFERROR(IF(SUMIF('تحليل مبيعات'!C:C, 'حركة المخزن'!B1041, 'تحليل مبيعات'!H:H)=0,"",SUMIF('تحليل مبيعات'!C:C, 'حركة المخزن'!B1041, 'تحليل مبيعات'!H:H)),"")</f>
        <v/>
      </c>
      <c r="J1041" s="10" t="str">
        <f>IFERROR(IF(SUMIF('تحليل مبيعات'!C:C, 'حركة المخزن'!B1041, 'تحليل مبيعات'!L:L)=0,"",SUMIF('تحليل مبيعات'!C:C, 'حركة المخزن'!B1041, 'تحليل مبيعات'!L:L)),"")</f>
        <v/>
      </c>
      <c r="K1041" s="10" t="str">
        <f t="shared" si="54"/>
        <v/>
      </c>
      <c r="L1041" s="10" t="str">
        <f t="shared" si="55"/>
        <v/>
      </c>
      <c r="M1041">
        <v>5</v>
      </c>
      <c r="N1041" t="str">
        <f t="shared" si="56"/>
        <v>يوجد رصيد كافى</v>
      </c>
    </row>
    <row r="1042" spans="7:14" x14ac:dyDescent="0.3">
      <c r="G1042" t="str">
        <f>IFERROR(IF(SUMIF(المشتريات!C:C, 'حركة المخزن'!B1042, المشتريات!F:F)=0,"",SUMIF(المشتريات!C:C, 'حركة المخزن'!B1042, المشتريات!F:F)),"")</f>
        <v/>
      </c>
      <c r="H1042" s="10" t="str">
        <f>IFERROR(IF(SUMIF(المشتريات!C:C, 'حركة المخزن'!B1042, المشتريات!I:I)=0,"",SUMIF(المشتريات!C:C, 'حركة المخزن'!B1042, المشتريات!I:I)),"")</f>
        <v/>
      </c>
      <c r="I1042" s="10" t="str">
        <f>IFERROR(IF(SUMIF('تحليل مبيعات'!C:C, 'حركة المخزن'!B1042, 'تحليل مبيعات'!H:H)=0,"",SUMIF('تحليل مبيعات'!C:C, 'حركة المخزن'!B1042, 'تحليل مبيعات'!H:H)),"")</f>
        <v/>
      </c>
      <c r="J1042" s="10" t="str">
        <f>IFERROR(IF(SUMIF('تحليل مبيعات'!C:C, 'حركة المخزن'!B1042, 'تحليل مبيعات'!L:L)=0,"",SUMIF('تحليل مبيعات'!C:C, 'حركة المخزن'!B1042, 'تحليل مبيعات'!L:L)),"")</f>
        <v/>
      </c>
      <c r="K1042" s="10" t="str">
        <f t="shared" si="54"/>
        <v/>
      </c>
      <c r="L1042" s="10" t="str">
        <f t="shared" si="55"/>
        <v/>
      </c>
      <c r="M1042">
        <v>5</v>
      </c>
      <c r="N1042" t="str">
        <f t="shared" si="56"/>
        <v>يوجد رصيد كافى</v>
      </c>
    </row>
    <row r="1043" spans="7:14" x14ac:dyDescent="0.3">
      <c r="G1043" t="str">
        <f>IFERROR(IF(SUMIF(المشتريات!C:C, 'حركة المخزن'!B1043, المشتريات!F:F)=0,"",SUMIF(المشتريات!C:C, 'حركة المخزن'!B1043, المشتريات!F:F)),"")</f>
        <v/>
      </c>
      <c r="H1043" s="10" t="str">
        <f>IFERROR(IF(SUMIF(المشتريات!C:C, 'حركة المخزن'!B1043, المشتريات!I:I)=0,"",SUMIF(المشتريات!C:C, 'حركة المخزن'!B1043, المشتريات!I:I)),"")</f>
        <v/>
      </c>
      <c r="I1043" s="10" t="str">
        <f>IFERROR(IF(SUMIF('تحليل مبيعات'!C:C, 'حركة المخزن'!B1043, 'تحليل مبيعات'!H:H)=0,"",SUMIF('تحليل مبيعات'!C:C, 'حركة المخزن'!B1043, 'تحليل مبيعات'!H:H)),"")</f>
        <v/>
      </c>
      <c r="J1043" s="10" t="str">
        <f>IFERROR(IF(SUMIF('تحليل مبيعات'!C:C, 'حركة المخزن'!B1043, 'تحليل مبيعات'!L:L)=0,"",SUMIF('تحليل مبيعات'!C:C, 'حركة المخزن'!B1043, 'تحليل مبيعات'!L:L)),"")</f>
        <v/>
      </c>
      <c r="K1043" s="10" t="str">
        <f t="shared" si="54"/>
        <v/>
      </c>
      <c r="L1043" s="10" t="str">
        <f t="shared" si="55"/>
        <v/>
      </c>
      <c r="M1043">
        <v>5</v>
      </c>
      <c r="N1043" t="str">
        <f t="shared" si="56"/>
        <v>يوجد رصيد كافى</v>
      </c>
    </row>
    <row r="1044" spans="7:14" x14ac:dyDescent="0.3">
      <c r="G1044" t="str">
        <f>IFERROR(IF(SUMIF(المشتريات!C:C, 'حركة المخزن'!B1044, المشتريات!F:F)=0,"",SUMIF(المشتريات!C:C, 'حركة المخزن'!B1044, المشتريات!F:F)),"")</f>
        <v/>
      </c>
      <c r="H1044" s="10" t="str">
        <f>IFERROR(IF(SUMIF(المشتريات!C:C, 'حركة المخزن'!B1044, المشتريات!I:I)=0,"",SUMIF(المشتريات!C:C, 'حركة المخزن'!B1044, المشتريات!I:I)),"")</f>
        <v/>
      </c>
      <c r="I1044" s="10" t="str">
        <f>IFERROR(IF(SUMIF('تحليل مبيعات'!C:C, 'حركة المخزن'!B1044, 'تحليل مبيعات'!H:H)=0,"",SUMIF('تحليل مبيعات'!C:C, 'حركة المخزن'!B1044, 'تحليل مبيعات'!H:H)),"")</f>
        <v/>
      </c>
      <c r="J1044" s="10" t="str">
        <f>IFERROR(IF(SUMIF('تحليل مبيعات'!C:C, 'حركة المخزن'!B1044, 'تحليل مبيعات'!L:L)=0,"",SUMIF('تحليل مبيعات'!C:C, 'حركة المخزن'!B1044, 'تحليل مبيعات'!L:L)),"")</f>
        <v/>
      </c>
      <c r="K1044" s="10" t="str">
        <f t="shared" si="54"/>
        <v/>
      </c>
      <c r="L1044" s="10" t="str">
        <f t="shared" si="55"/>
        <v/>
      </c>
      <c r="M1044">
        <v>5</v>
      </c>
      <c r="N1044" t="str">
        <f t="shared" si="56"/>
        <v>يوجد رصيد كافى</v>
      </c>
    </row>
    <row r="1045" spans="7:14" x14ac:dyDescent="0.3">
      <c r="G1045" t="str">
        <f>IFERROR(IF(SUMIF(المشتريات!C:C, 'حركة المخزن'!B1045, المشتريات!F:F)=0,"",SUMIF(المشتريات!C:C, 'حركة المخزن'!B1045, المشتريات!F:F)),"")</f>
        <v/>
      </c>
      <c r="H1045" s="10" t="str">
        <f>IFERROR(IF(SUMIF(المشتريات!C:C, 'حركة المخزن'!B1045, المشتريات!I:I)=0,"",SUMIF(المشتريات!C:C, 'حركة المخزن'!B1045, المشتريات!I:I)),"")</f>
        <v/>
      </c>
      <c r="I1045" s="10" t="str">
        <f>IFERROR(IF(SUMIF('تحليل مبيعات'!C:C, 'حركة المخزن'!B1045, 'تحليل مبيعات'!H:H)=0,"",SUMIF('تحليل مبيعات'!C:C, 'حركة المخزن'!B1045, 'تحليل مبيعات'!H:H)),"")</f>
        <v/>
      </c>
      <c r="J1045" s="10" t="str">
        <f>IFERROR(IF(SUMIF('تحليل مبيعات'!C:C, 'حركة المخزن'!B1045, 'تحليل مبيعات'!L:L)=0,"",SUMIF('تحليل مبيعات'!C:C, 'حركة المخزن'!B1045, 'تحليل مبيعات'!L:L)),"")</f>
        <v/>
      </c>
      <c r="K1045" s="10" t="str">
        <f t="shared" si="54"/>
        <v/>
      </c>
      <c r="L1045" s="10" t="str">
        <f t="shared" si="55"/>
        <v/>
      </c>
      <c r="M1045">
        <v>5</v>
      </c>
      <c r="N1045" t="str">
        <f t="shared" si="56"/>
        <v>يوجد رصيد كافى</v>
      </c>
    </row>
    <row r="1046" spans="7:14" x14ac:dyDescent="0.3">
      <c r="G1046" t="str">
        <f>IFERROR(IF(SUMIF(المشتريات!C:C, 'حركة المخزن'!B1046, المشتريات!F:F)=0,"",SUMIF(المشتريات!C:C, 'حركة المخزن'!B1046, المشتريات!F:F)),"")</f>
        <v/>
      </c>
      <c r="H1046" s="10" t="str">
        <f>IFERROR(IF(SUMIF(المشتريات!C:C, 'حركة المخزن'!B1046, المشتريات!I:I)=0,"",SUMIF(المشتريات!C:C, 'حركة المخزن'!B1046, المشتريات!I:I)),"")</f>
        <v/>
      </c>
      <c r="I1046" s="10" t="str">
        <f>IFERROR(IF(SUMIF('تحليل مبيعات'!C:C, 'حركة المخزن'!B1046, 'تحليل مبيعات'!H:H)=0,"",SUMIF('تحليل مبيعات'!C:C, 'حركة المخزن'!B1046, 'تحليل مبيعات'!H:H)),"")</f>
        <v/>
      </c>
      <c r="J1046" s="10" t="str">
        <f>IFERROR(IF(SUMIF('تحليل مبيعات'!C:C, 'حركة المخزن'!B1046, 'تحليل مبيعات'!L:L)=0,"",SUMIF('تحليل مبيعات'!C:C, 'حركة المخزن'!B1046, 'تحليل مبيعات'!L:L)),"")</f>
        <v/>
      </c>
      <c r="K1046" s="10" t="str">
        <f t="shared" si="54"/>
        <v/>
      </c>
      <c r="L1046" s="10" t="str">
        <f t="shared" si="55"/>
        <v/>
      </c>
      <c r="M1046">
        <v>5</v>
      </c>
      <c r="N1046" t="str">
        <f t="shared" si="56"/>
        <v>يوجد رصيد كافى</v>
      </c>
    </row>
    <row r="1047" spans="7:14" x14ac:dyDescent="0.3">
      <c r="G1047" t="str">
        <f>IFERROR(IF(SUMIF(المشتريات!C:C, 'حركة المخزن'!B1047, المشتريات!F:F)=0,"",SUMIF(المشتريات!C:C, 'حركة المخزن'!B1047, المشتريات!F:F)),"")</f>
        <v/>
      </c>
      <c r="H1047" s="10" t="str">
        <f>IFERROR(IF(SUMIF(المشتريات!C:C, 'حركة المخزن'!B1047, المشتريات!I:I)=0,"",SUMIF(المشتريات!C:C, 'حركة المخزن'!B1047, المشتريات!I:I)),"")</f>
        <v/>
      </c>
      <c r="I1047" s="10" t="str">
        <f>IFERROR(IF(SUMIF('تحليل مبيعات'!C:C, 'حركة المخزن'!B1047, 'تحليل مبيعات'!H:H)=0,"",SUMIF('تحليل مبيعات'!C:C, 'حركة المخزن'!B1047, 'تحليل مبيعات'!H:H)),"")</f>
        <v/>
      </c>
      <c r="J1047" s="10" t="str">
        <f>IFERROR(IF(SUMIF('تحليل مبيعات'!C:C, 'حركة المخزن'!B1047, 'تحليل مبيعات'!L:L)=0,"",SUMIF('تحليل مبيعات'!C:C, 'حركة المخزن'!B1047, 'تحليل مبيعات'!L:L)),"")</f>
        <v/>
      </c>
      <c r="K1047" s="10" t="str">
        <f t="shared" si="54"/>
        <v/>
      </c>
      <c r="L1047" s="10" t="str">
        <f t="shared" si="55"/>
        <v/>
      </c>
      <c r="M1047">
        <v>5</v>
      </c>
      <c r="N1047" t="str">
        <f t="shared" si="56"/>
        <v>يوجد رصيد كافى</v>
      </c>
    </row>
    <row r="1048" spans="7:14" x14ac:dyDescent="0.3">
      <c r="G1048" t="str">
        <f>IFERROR(IF(SUMIF(المشتريات!C:C, 'حركة المخزن'!B1048, المشتريات!F:F)=0,"",SUMIF(المشتريات!C:C, 'حركة المخزن'!B1048, المشتريات!F:F)),"")</f>
        <v/>
      </c>
      <c r="H1048" s="10" t="str">
        <f>IFERROR(IF(SUMIF(المشتريات!C:C, 'حركة المخزن'!B1048, المشتريات!I:I)=0,"",SUMIF(المشتريات!C:C, 'حركة المخزن'!B1048, المشتريات!I:I)),"")</f>
        <v/>
      </c>
      <c r="I1048" s="10" t="str">
        <f>IFERROR(IF(SUMIF('تحليل مبيعات'!C:C, 'حركة المخزن'!B1048, 'تحليل مبيعات'!H:H)=0,"",SUMIF('تحليل مبيعات'!C:C, 'حركة المخزن'!B1048, 'تحليل مبيعات'!H:H)),"")</f>
        <v/>
      </c>
      <c r="J1048" s="10" t="str">
        <f>IFERROR(IF(SUMIF('تحليل مبيعات'!C:C, 'حركة المخزن'!B1048, 'تحليل مبيعات'!L:L)=0,"",SUMIF('تحليل مبيعات'!C:C, 'حركة المخزن'!B1048, 'تحليل مبيعات'!L:L)),"")</f>
        <v/>
      </c>
      <c r="K1048" s="10" t="str">
        <f t="shared" si="54"/>
        <v/>
      </c>
      <c r="L1048" s="10" t="str">
        <f t="shared" si="55"/>
        <v/>
      </c>
      <c r="M1048">
        <v>5</v>
      </c>
      <c r="N1048" t="str">
        <f t="shared" si="56"/>
        <v>يوجد رصيد كافى</v>
      </c>
    </row>
    <row r="1049" spans="7:14" x14ac:dyDescent="0.3">
      <c r="G1049" t="str">
        <f>IFERROR(IF(SUMIF(المشتريات!C:C, 'حركة المخزن'!B1049, المشتريات!F:F)=0,"",SUMIF(المشتريات!C:C, 'حركة المخزن'!B1049, المشتريات!F:F)),"")</f>
        <v/>
      </c>
      <c r="H1049" s="10" t="str">
        <f>IFERROR(IF(SUMIF(المشتريات!C:C, 'حركة المخزن'!B1049, المشتريات!I:I)=0,"",SUMIF(المشتريات!C:C, 'حركة المخزن'!B1049, المشتريات!I:I)),"")</f>
        <v/>
      </c>
      <c r="I1049" s="10" t="str">
        <f>IFERROR(IF(SUMIF('تحليل مبيعات'!C:C, 'حركة المخزن'!B1049, 'تحليل مبيعات'!H:H)=0,"",SUMIF('تحليل مبيعات'!C:C, 'حركة المخزن'!B1049, 'تحليل مبيعات'!H:H)),"")</f>
        <v/>
      </c>
      <c r="J1049" s="10" t="str">
        <f>IFERROR(IF(SUMIF('تحليل مبيعات'!C:C, 'حركة المخزن'!B1049, 'تحليل مبيعات'!L:L)=0,"",SUMIF('تحليل مبيعات'!C:C, 'حركة المخزن'!B1049, 'تحليل مبيعات'!L:L)),"")</f>
        <v/>
      </c>
      <c r="K1049" s="10" t="str">
        <f t="shared" si="54"/>
        <v/>
      </c>
      <c r="L1049" s="10" t="str">
        <f t="shared" si="55"/>
        <v/>
      </c>
      <c r="M1049">
        <v>5</v>
      </c>
      <c r="N1049" t="str">
        <f t="shared" si="56"/>
        <v>يوجد رصيد كافى</v>
      </c>
    </row>
    <row r="1050" spans="7:14" x14ac:dyDescent="0.3">
      <c r="G1050" t="str">
        <f>IFERROR(IF(SUMIF(المشتريات!C:C, 'حركة المخزن'!B1050, المشتريات!F:F)=0,"",SUMIF(المشتريات!C:C, 'حركة المخزن'!B1050, المشتريات!F:F)),"")</f>
        <v/>
      </c>
      <c r="H1050" s="10" t="str">
        <f>IFERROR(IF(SUMIF(المشتريات!C:C, 'حركة المخزن'!B1050, المشتريات!I:I)=0,"",SUMIF(المشتريات!C:C, 'حركة المخزن'!B1050, المشتريات!I:I)),"")</f>
        <v/>
      </c>
      <c r="I1050" s="10" t="str">
        <f>IFERROR(IF(SUMIF('تحليل مبيعات'!C:C, 'حركة المخزن'!B1050, 'تحليل مبيعات'!H:H)=0,"",SUMIF('تحليل مبيعات'!C:C, 'حركة المخزن'!B1050, 'تحليل مبيعات'!H:H)),"")</f>
        <v/>
      </c>
      <c r="J1050" s="10" t="str">
        <f>IFERROR(IF(SUMIF('تحليل مبيعات'!C:C, 'حركة المخزن'!B1050, 'تحليل مبيعات'!L:L)=0,"",SUMIF('تحليل مبيعات'!C:C, 'حركة المخزن'!B1050, 'تحليل مبيعات'!L:L)),"")</f>
        <v/>
      </c>
      <c r="K1050" s="10" t="str">
        <f t="shared" si="54"/>
        <v/>
      </c>
      <c r="L1050" s="10" t="str">
        <f t="shared" si="55"/>
        <v/>
      </c>
      <c r="M1050">
        <v>5</v>
      </c>
      <c r="N1050" t="str">
        <f t="shared" si="56"/>
        <v>يوجد رصيد كافى</v>
      </c>
    </row>
    <row r="1051" spans="7:14" x14ac:dyDescent="0.3">
      <c r="G1051" t="str">
        <f>IFERROR(IF(SUMIF(المشتريات!C:C, 'حركة المخزن'!B1051, المشتريات!F:F)=0,"",SUMIF(المشتريات!C:C, 'حركة المخزن'!B1051, المشتريات!F:F)),"")</f>
        <v/>
      </c>
      <c r="H1051" s="10" t="str">
        <f>IFERROR(IF(SUMIF(المشتريات!C:C, 'حركة المخزن'!B1051, المشتريات!I:I)=0,"",SUMIF(المشتريات!C:C, 'حركة المخزن'!B1051, المشتريات!I:I)),"")</f>
        <v/>
      </c>
      <c r="I1051" s="10" t="str">
        <f>IFERROR(IF(SUMIF('تحليل مبيعات'!C:C, 'حركة المخزن'!B1051, 'تحليل مبيعات'!H:H)=0,"",SUMIF('تحليل مبيعات'!C:C, 'حركة المخزن'!B1051, 'تحليل مبيعات'!H:H)),"")</f>
        <v/>
      </c>
      <c r="J1051" s="10" t="str">
        <f>IFERROR(IF(SUMIF('تحليل مبيعات'!C:C, 'حركة المخزن'!B1051, 'تحليل مبيعات'!L:L)=0,"",SUMIF('تحليل مبيعات'!C:C, 'حركة المخزن'!B1051, 'تحليل مبيعات'!L:L)),"")</f>
        <v/>
      </c>
      <c r="K1051" s="10" t="str">
        <f t="shared" si="54"/>
        <v/>
      </c>
      <c r="L1051" s="10" t="str">
        <f t="shared" si="55"/>
        <v/>
      </c>
      <c r="M1051">
        <v>5</v>
      </c>
      <c r="N1051" t="str">
        <f t="shared" si="56"/>
        <v>يوجد رصيد كافى</v>
      </c>
    </row>
    <row r="1052" spans="7:14" x14ac:dyDescent="0.3">
      <c r="G1052" t="str">
        <f>IFERROR(IF(SUMIF(المشتريات!C:C, 'حركة المخزن'!B1052, المشتريات!F:F)=0,"",SUMIF(المشتريات!C:C, 'حركة المخزن'!B1052, المشتريات!F:F)),"")</f>
        <v/>
      </c>
      <c r="H1052" s="10" t="str">
        <f>IFERROR(IF(SUMIF(المشتريات!C:C, 'حركة المخزن'!B1052, المشتريات!I:I)=0,"",SUMIF(المشتريات!C:C, 'حركة المخزن'!B1052, المشتريات!I:I)),"")</f>
        <v/>
      </c>
      <c r="I1052" s="10" t="str">
        <f>IFERROR(IF(SUMIF('تحليل مبيعات'!C:C, 'حركة المخزن'!B1052, 'تحليل مبيعات'!H:H)=0,"",SUMIF('تحليل مبيعات'!C:C, 'حركة المخزن'!B1052, 'تحليل مبيعات'!H:H)),"")</f>
        <v/>
      </c>
      <c r="J1052" s="10" t="str">
        <f>IFERROR(IF(SUMIF('تحليل مبيعات'!C:C, 'حركة المخزن'!B1052, 'تحليل مبيعات'!L:L)=0,"",SUMIF('تحليل مبيعات'!C:C, 'حركة المخزن'!B1052, 'تحليل مبيعات'!L:L)),"")</f>
        <v/>
      </c>
      <c r="K1052" s="10" t="str">
        <f t="shared" si="54"/>
        <v/>
      </c>
      <c r="L1052" s="10" t="str">
        <f t="shared" si="55"/>
        <v/>
      </c>
      <c r="M1052">
        <v>5</v>
      </c>
      <c r="N1052" t="str">
        <f t="shared" si="56"/>
        <v>يوجد رصيد كافى</v>
      </c>
    </row>
    <row r="1053" spans="7:14" x14ac:dyDescent="0.3">
      <c r="G1053" t="str">
        <f>IFERROR(IF(SUMIF(المشتريات!C:C, 'حركة المخزن'!B1053, المشتريات!F:F)=0,"",SUMIF(المشتريات!C:C, 'حركة المخزن'!B1053, المشتريات!F:F)),"")</f>
        <v/>
      </c>
      <c r="H1053" s="10" t="str">
        <f>IFERROR(IF(SUMIF(المشتريات!C:C, 'حركة المخزن'!B1053, المشتريات!I:I)=0,"",SUMIF(المشتريات!C:C, 'حركة المخزن'!B1053, المشتريات!I:I)),"")</f>
        <v/>
      </c>
      <c r="I1053" s="10" t="str">
        <f>IFERROR(IF(SUMIF('تحليل مبيعات'!C:C, 'حركة المخزن'!B1053, 'تحليل مبيعات'!H:H)=0,"",SUMIF('تحليل مبيعات'!C:C, 'حركة المخزن'!B1053, 'تحليل مبيعات'!H:H)),"")</f>
        <v/>
      </c>
      <c r="J1053" s="10" t="str">
        <f>IFERROR(IF(SUMIF('تحليل مبيعات'!C:C, 'حركة المخزن'!B1053, 'تحليل مبيعات'!L:L)=0,"",SUMIF('تحليل مبيعات'!C:C, 'حركة المخزن'!B1053, 'تحليل مبيعات'!L:L)),"")</f>
        <v/>
      </c>
      <c r="K1053" s="10" t="str">
        <f t="shared" si="54"/>
        <v/>
      </c>
      <c r="L1053" s="10" t="str">
        <f t="shared" si="55"/>
        <v/>
      </c>
      <c r="M1053">
        <v>5</v>
      </c>
      <c r="N1053" t="str">
        <f t="shared" si="56"/>
        <v>يوجد رصيد كافى</v>
      </c>
    </row>
    <row r="1054" spans="7:14" x14ac:dyDescent="0.3">
      <c r="G1054" t="str">
        <f>IFERROR(IF(SUMIF(المشتريات!C:C, 'حركة المخزن'!B1054, المشتريات!F:F)=0,"",SUMIF(المشتريات!C:C, 'حركة المخزن'!B1054, المشتريات!F:F)),"")</f>
        <v/>
      </c>
      <c r="H1054" s="10" t="str">
        <f>IFERROR(IF(SUMIF(المشتريات!C:C, 'حركة المخزن'!B1054, المشتريات!I:I)=0,"",SUMIF(المشتريات!C:C, 'حركة المخزن'!B1054, المشتريات!I:I)),"")</f>
        <v/>
      </c>
      <c r="I1054" s="10" t="str">
        <f>IFERROR(IF(SUMIF('تحليل مبيعات'!C:C, 'حركة المخزن'!B1054, 'تحليل مبيعات'!H:H)=0,"",SUMIF('تحليل مبيعات'!C:C, 'حركة المخزن'!B1054, 'تحليل مبيعات'!H:H)),"")</f>
        <v/>
      </c>
      <c r="J1054" s="10" t="str">
        <f>IFERROR(IF(SUMIF('تحليل مبيعات'!C:C, 'حركة المخزن'!B1054, 'تحليل مبيعات'!L:L)=0,"",SUMIF('تحليل مبيعات'!C:C, 'حركة المخزن'!B1054, 'تحليل مبيعات'!L:L)),"")</f>
        <v/>
      </c>
      <c r="K1054" s="10" t="str">
        <f t="shared" si="54"/>
        <v/>
      </c>
      <c r="L1054" s="10" t="str">
        <f t="shared" si="55"/>
        <v/>
      </c>
      <c r="M1054">
        <v>5</v>
      </c>
      <c r="N1054" t="str">
        <f t="shared" si="56"/>
        <v>يوجد رصيد كافى</v>
      </c>
    </row>
    <row r="1055" spans="7:14" x14ac:dyDescent="0.3">
      <c r="G1055" t="str">
        <f>IFERROR(IF(SUMIF(المشتريات!C:C, 'حركة المخزن'!B1055, المشتريات!F:F)=0,"",SUMIF(المشتريات!C:C, 'حركة المخزن'!B1055, المشتريات!F:F)),"")</f>
        <v/>
      </c>
      <c r="H1055" s="10" t="str">
        <f>IFERROR(IF(SUMIF(المشتريات!C:C, 'حركة المخزن'!B1055, المشتريات!I:I)=0,"",SUMIF(المشتريات!C:C, 'حركة المخزن'!B1055, المشتريات!I:I)),"")</f>
        <v/>
      </c>
      <c r="I1055" s="10" t="str">
        <f>IFERROR(IF(SUMIF('تحليل مبيعات'!C:C, 'حركة المخزن'!B1055, 'تحليل مبيعات'!H:H)=0,"",SUMIF('تحليل مبيعات'!C:C, 'حركة المخزن'!B1055, 'تحليل مبيعات'!H:H)),"")</f>
        <v/>
      </c>
      <c r="J1055" s="10" t="str">
        <f>IFERROR(IF(SUMIF('تحليل مبيعات'!C:C, 'حركة المخزن'!B1055, 'تحليل مبيعات'!L:L)=0,"",SUMIF('تحليل مبيعات'!C:C, 'حركة المخزن'!B1055, 'تحليل مبيعات'!L:L)),"")</f>
        <v/>
      </c>
      <c r="K1055" s="10" t="str">
        <f t="shared" si="54"/>
        <v/>
      </c>
      <c r="L1055" s="10" t="str">
        <f t="shared" si="55"/>
        <v/>
      </c>
      <c r="M1055">
        <v>5</v>
      </c>
      <c r="N1055" t="str">
        <f t="shared" si="56"/>
        <v>يوجد رصيد كافى</v>
      </c>
    </row>
    <row r="1056" spans="7:14" x14ac:dyDescent="0.3">
      <c r="G1056" t="str">
        <f>IFERROR(IF(SUMIF(المشتريات!C:C, 'حركة المخزن'!B1056, المشتريات!F:F)=0,"",SUMIF(المشتريات!C:C, 'حركة المخزن'!B1056, المشتريات!F:F)),"")</f>
        <v/>
      </c>
      <c r="H1056" s="10" t="str">
        <f>IFERROR(IF(SUMIF(المشتريات!C:C, 'حركة المخزن'!B1056, المشتريات!I:I)=0,"",SUMIF(المشتريات!C:C, 'حركة المخزن'!B1056, المشتريات!I:I)),"")</f>
        <v/>
      </c>
      <c r="I1056" s="10" t="str">
        <f>IFERROR(IF(SUMIF('تحليل مبيعات'!C:C, 'حركة المخزن'!B1056, 'تحليل مبيعات'!H:H)=0,"",SUMIF('تحليل مبيعات'!C:C, 'حركة المخزن'!B1056, 'تحليل مبيعات'!H:H)),"")</f>
        <v/>
      </c>
      <c r="J1056" s="10" t="str">
        <f>IFERROR(IF(SUMIF('تحليل مبيعات'!C:C, 'حركة المخزن'!B1056, 'تحليل مبيعات'!L:L)=0,"",SUMIF('تحليل مبيعات'!C:C, 'حركة المخزن'!B1056, 'تحليل مبيعات'!L:L)),"")</f>
        <v/>
      </c>
      <c r="K1056" s="10" t="str">
        <f t="shared" si="54"/>
        <v/>
      </c>
      <c r="L1056" s="10" t="str">
        <f t="shared" si="55"/>
        <v/>
      </c>
      <c r="M1056">
        <v>5</v>
      </c>
      <c r="N1056" t="str">
        <f t="shared" si="56"/>
        <v>يوجد رصيد كافى</v>
      </c>
    </row>
    <row r="1057" spans="7:14" x14ac:dyDescent="0.3">
      <c r="G1057" t="str">
        <f>IFERROR(IF(SUMIF(المشتريات!C:C, 'حركة المخزن'!B1057, المشتريات!F:F)=0,"",SUMIF(المشتريات!C:C, 'حركة المخزن'!B1057, المشتريات!F:F)),"")</f>
        <v/>
      </c>
      <c r="H1057" s="10" t="str">
        <f>IFERROR(IF(SUMIF(المشتريات!C:C, 'حركة المخزن'!B1057, المشتريات!I:I)=0,"",SUMIF(المشتريات!C:C, 'حركة المخزن'!B1057, المشتريات!I:I)),"")</f>
        <v/>
      </c>
      <c r="I1057" s="10" t="str">
        <f>IFERROR(IF(SUMIF('تحليل مبيعات'!C:C, 'حركة المخزن'!B1057, 'تحليل مبيعات'!H:H)=0,"",SUMIF('تحليل مبيعات'!C:C, 'حركة المخزن'!B1057, 'تحليل مبيعات'!H:H)),"")</f>
        <v/>
      </c>
      <c r="J1057" s="10" t="str">
        <f>IFERROR(IF(SUMIF('تحليل مبيعات'!C:C, 'حركة المخزن'!B1057, 'تحليل مبيعات'!L:L)=0,"",SUMIF('تحليل مبيعات'!C:C, 'حركة المخزن'!B1057, 'تحليل مبيعات'!L:L)),"")</f>
        <v/>
      </c>
      <c r="K1057" s="10" t="str">
        <f t="shared" si="54"/>
        <v/>
      </c>
      <c r="L1057" s="10" t="str">
        <f t="shared" si="55"/>
        <v/>
      </c>
      <c r="M1057">
        <v>5</v>
      </c>
      <c r="N1057" t="str">
        <f t="shared" si="56"/>
        <v>يوجد رصيد كافى</v>
      </c>
    </row>
    <row r="1058" spans="7:14" x14ac:dyDescent="0.3">
      <c r="G1058" t="str">
        <f>IFERROR(IF(SUMIF(المشتريات!C:C, 'حركة المخزن'!B1058, المشتريات!F:F)=0,"",SUMIF(المشتريات!C:C, 'حركة المخزن'!B1058, المشتريات!F:F)),"")</f>
        <v/>
      </c>
      <c r="H1058" s="10" t="str">
        <f>IFERROR(IF(SUMIF(المشتريات!C:C, 'حركة المخزن'!B1058, المشتريات!I:I)=0,"",SUMIF(المشتريات!C:C, 'حركة المخزن'!B1058, المشتريات!I:I)),"")</f>
        <v/>
      </c>
      <c r="I1058" s="10" t="str">
        <f>IFERROR(IF(SUMIF('تحليل مبيعات'!C:C, 'حركة المخزن'!B1058, 'تحليل مبيعات'!H:H)=0,"",SUMIF('تحليل مبيعات'!C:C, 'حركة المخزن'!B1058, 'تحليل مبيعات'!H:H)),"")</f>
        <v/>
      </c>
      <c r="J1058" s="10" t="str">
        <f>IFERROR(IF(SUMIF('تحليل مبيعات'!C:C, 'حركة المخزن'!B1058, 'تحليل مبيعات'!L:L)=0,"",SUMIF('تحليل مبيعات'!C:C, 'حركة المخزن'!B1058, 'تحليل مبيعات'!L:L)),"")</f>
        <v/>
      </c>
      <c r="K1058" s="10" t="str">
        <f t="shared" si="54"/>
        <v/>
      </c>
      <c r="L1058" s="10" t="str">
        <f t="shared" si="55"/>
        <v/>
      </c>
      <c r="M1058">
        <v>5</v>
      </c>
      <c r="N1058" t="str">
        <f t="shared" si="56"/>
        <v>يوجد رصيد كافى</v>
      </c>
    </row>
    <row r="1059" spans="7:14" x14ac:dyDescent="0.3">
      <c r="G1059" t="str">
        <f>IFERROR(IF(SUMIF(المشتريات!C:C, 'حركة المخزن'!B1059, المشتريات!F:F)=0,"",SUMIF(المشتريات!C:C, 'حركة المخزن'!B1059, المشتريات!F:F)),"")</f>
        <v/>
      </c>
      <c r="H1059" s="10" t="str">
        <f>IFERROR(IF(SUMIF(المشتريات!C:C, 'حركة المخزن'!B1059, المشتريات!I:I)=0,"",SUMIF(المشتريات!C:C, 'حركة المخزن'!B1059, المشتريات!I:I)),"")</f>
        <v/>
      </c>
      <c r="I1059" s="10" t="str">
        <f>IFERROR(IF(SUMIF('تحليل مبيعات'!C:C, 'حركة المخزن'!B1059, 'تحليل مبيعات'!H:H)=0,"",SUMIF('تحليل مبيعات'!C:C, 'حركة المخزن'!B1059, 'تحليل مبيعات'!H:H)),"")</f>
        <v/>
      </c>
      <c r="J1059" s="10" t="str">
        <f>IFERROR(IF(SUMIF('تحليل مبيعات'!C:C, 'حركة المخزن'!B1059, 'تحليل مبيعات'!L:L)=0,"",SUMIF('تحليل مبيعات'!C:C, 'حركة المخزن'!B1059, 'تحليل مبيعات'!L:L)),"")</f>
        <v/>
      </c>
      <c r="K1059" s="10" t="str">
        <f t="shared" si="54"/>
        <v/>
      </c>
      <c r="L1059" s="10" t="str">
        <f t="shared" si="55"/>
        <v/>
      </c>
      <c r="M1059">
        <v>5</v>
      </c>
      <c r="N1059" t="str">
        <f t="shared" si="56"/>
        <v>يوجد رصيد كافى</v>
      </c>
    </row>
    <row r="1060" spans="7:14" x14ac:dyDescent="0.3">
      <c r="G1060" t="str">
        <f>IFERROR(IF(SUMIF(المشتريات!C:C, 'حركة المخزن'!B1060, المشتريات!F:F)=0,"",SUMIF(المشتريات!C:C, 'حركة المخزن'!B1060, المشتريات!F:F)),"")</f>
        <v/>
      </c>
      <c r="H1060" s="10" t="str">
        <f>IFERROR(IF(SUMIF(المشتريات!C:C, 'حركة المخزن'!B1060, المشتريات!I:I)=0,"",SUMIF(المشتريات!C:C, 'حركة المخزن'!B1060, المشتريات!I:I)),"")</f>
        <v/>
      </c>
      <c r="I1060" s="10" t="str">
        <f>IFERROR(IF(SUMIF('تحليل مبيعات'!C:C, 'حركة المخزن'!B1060, 'تحليل مبيعات'!H:H)=0,"",SUMIF('تحليل مبيعات'!C:C, 'حركة المخزن'!B1060, 'تحليل مبيعات'!H:H)),"")</f>
        <v/>
      </c>
      <c r="J1060" s="10" t="str">
        <f>IFERROR(IF(SUMIF('تحليل مبيعات'!C:C, 'حركة المخزن'!B1060, 'تحليل مبيعات'!L:L)=0,"",SUMIF('تحليل مبيعات'!C:C, 'حركة المخزن'!B1060, 'تحليل مبيعات'!L:L)),"")</f>
        <v/>
      </c>
      <c r="K1060" s="10" t="str">
        <f t="shared" si="54"/>
        <v/>
      </c>
      <c r="L1060" s="10" t="str">
        <f t="shared" si="55"/>
        <v/>
      </c>
      <c r="M1060">
        <v>5</v>
      </c>
      <c r="N1060" t="str">
        <f t="shared" si="56"/>
        <v>يوجد رصيد كافى</v>
      </c>
    </row>
    <row r="1061" spans="7:14" x14ac:dyDescent="0.3">
      <c r="G1061" t="str">
        <f>IFERROR(IF(SUMIF(المشتريات!C:C, 'حركة المخزن'!B1061, المشتريات!F:F)=0,"",SUMIF(المشتريات!C:C, 'حركة المخزن'!B1061, المشتريات!F:F)),"")</f>
        <v/>
      </c>
      <c r="H1061" s="10" t="str">
        <f>IFERROR(IF(SUMIF(المشتريات!C:C, 'حركة المخزن'!B1061, المشتريات!I:I)=0,"",SUMIF(المشتريات!C:C, 'حركة المخزن'!B1061, المشتريات!I:I)),"")</f>
        <v/>
      </c>
      <c r="I1061" s="10" t="str">
        <f>IFERROR(IF(SUMIF('تحليل مبيعات'!C:C, 'حركة المخزن'!B1061, 'تحليل مبيعات'!H:H)=0,"",SUMIF('تحليل مبيعات'!C:C, 'حركة المخزن'!B1061, 'تحليل مبيعات'!H:H)),"")</f>
        <v/>
      </c>
      <c r="J1061" s="10" t="str">
        <f>IFERROR(IF(SUMIF('تحليل مبيعات'!C:C, 'حركة المخزن'!B1061, 'تحليل مبيعات'!L:L)=0,"",SUMIF('تحليل مبيعات'!C:C, 'حركة المخزن'!B1061, 'تحليل مبيعات'!L:L)),"")</f>
        <v/>
      </c>
      <c r="K1061" s="10" t="str">
        <f t="shared" si="54"/>
        <v/>
      </c>
      <c r="L1061" s="10" t="str">
        <f t="shared" si="55"/>
        <v/>
      </c>
      <c r="M1061">
        <v>5</v>
      </c>
      <c r="N1061" t="str">
        <f t="shared" si="56"/>
        <v>يوجد رصيد كافى</v>
      </c>
    </row>
    <row r="1062" spans="7:14" x14ac:dyDescent="0.3">
      <c r="G1062" t="str">
        <f>IFERROR(IF(SUMIF(المشتريات!C:C, 'حركة المخزن'!B1062, المشتريات!F:F)=0,"",SUMIF(المشتريات!C:C, 'حركة المخزن'!B1062, المشتريات!F:F)),"")</f>
        <v/>
      </c>
      <c r="H1062" s="10" t="str">
        <f>IFERROR(IF(SUMIF(المشتريات!C:C, 'حركة المخزن'!B1062, المشتريات!I:I)=0,"",SUMIF(المشتريات!C:C, 'حركة المخزن'!B1062, المشتريات!I:I)),"")</f>
        <v/>
      </c>
      <c r="I1062" s="10" t="str">
        <f>IFERROR(IF(SUMIF('تحليل مبيعات'!C:C, 'حركة المخزن'!B1062, 'تحليل مبيعات'!H:H)=0,"",SUMIF('تحليل مبيعات'!C:C, 'حركة المخزن'!B1062, 'تحليل مبيعات'!H:H)),"")</f>
        <v/>
      </c>
      <c r="J1062" s="10" t="str">
        <f>IFERROR(IF(SUMIF('تحليل مبيعات'!C:C, 'حركة المخزن'!B1062, 'تحليل مبيعات'!L:L)=0,"",SUMIF('تحليل مبيعات'!C:C, 'حركة المخزن'!B1062, 'تحليل مبيعات'!L:L)),"")</f>
        <v/>
      </c>
      <c r="K1062" s="10" t="str">
        <f t="shared" si="54"/>
        <v/>
      </c>
      <c r="L1062" s="10" t="str">
        <f t="shared" si="55"/>
        <v/>
      </c>
      <c r="M1062">
        <v>5</v>
      </c>
      <c r="N1062" t="str">
        <f t="shared" si="56"/>
        <v>يوجد رصيد كافى</v>
      </c>
    </row>
    <row r="1063" spans="7:14" x14ac:dyDescent="0.3">
      <c r="G1063" t="str">
        <f>IFERROR(IF(SUMIF(المشتريات!C:C, 'حركة المخزن'!B1063, المشتريات!F:F)=0,"",SUMIF(المشتريات!C:C, 'حركة المخزن'!B1063, المشتريات!F:F)),"")</f>
        <v/>
      </c>
      <c r="H1063" s="10" t="str">
        <f>IFERROR(IF(SUMIF(المشتريات!C:C, 'حركة المخزن'!B1063, المشتريات!I:I)=0,"",SUMIF(المشتريات!C:C, 'حركة المخزن'!B1063, المشتريات!I:I)),"")</f>
        <v/>
      </c>
      <c r="I1063" s="10" t="str">
        <f>IFERROR(IF(SUMIF('تحليل مبيعات'!C:C, 'حركة المخزن'!B1063, 'تحليل مبيعات'!H:H)=0,"",SUMIF('تحليل مبيعات'!C:C, 'حركة المخزن'!B1063, 'تحليل مبيعات'!H:H)),"")</f>
        <v/>
      </c>
      <c r="J1063" s="10" t="str">
        <f>IFERROR(IF(SUMIF('تحليل مبيعات'!C:C, 'حركة المخزن'!B1063, 'تحليل مبيعات'!L:L)=0,"",SUMIF('تحليل مبيعات'!C:C, 'حركة المخزن'!B1063, 'تحليل مبيعات'!L:L)),"")</f>
        <v/>
      </c>
      <c r="K1063" s="10" t="str">
        <f t="shared" si="54"/>
        <v/>
      </c>
      <c r="L1063" s="10" t="str">
        <f t="shared" si="55"/>
        <v/>
      </c>
      <c r="M1063">
        <v>5</v>
      </c>
      <c r="N1063" t="str">
        <f t="shared" si="56"/>
        <v>يوجد رصيد كافى</v>
      </c>
    </row>
    <row r="1064" spans="7:14" x14ac:dyDescent="0.3">
      <c r="G1064" t="str">
        <f>IFERROR(IF(SUMIF(المشتريات!C:C, 'حركة المخزن'!B1064, المشتريات!F:F)=0,"",SUMIF(المشتريات!C:C, 'حركة المخزن'!B1064, المشتريات!F:F)),"")</f>
        <v/>
      </c>
      <c r="H1064" s="10" t="str">
        <f>IFERROR(IF(SUMIF(المشتريات!C:C, 'حركة المخزن'!B1064, المشتريات!I:I)=0,"",SUMIF(المشتريات!C:C, 'حركة المخزن'!B1064, المشتريات!I:I)),"")</f>
        <v/>
      </c>
      <c r="I1064" s="10" t="str">
        <f>IFERROR(IF(SUMIF('تحليل مبيعات'!C:C, 'حركة المخزن'!B1064, 'تحليل مبيعات'!H:H)=0,"",SUMIF('تحليل مبيعات'!C:C, 'حركة المخزن'!B1064, 'تحليل مبيعات'!H:H)),"")</f>
        <v/>
      </c>
      <c r="J1064" s="10" t="str">
        <f>IFERROR(IF(SUMIF('تحليل مبيعات'!C:C, 'حركة المخزن'!B1064, 'تحليل مبيعات'!L:L)=0,"",SUMIF('تحليل مبيعات'!C:C, 'حركة المخزن'!B1064, 'تحليل مبيعات'!L:L)),"")</f>
        <v/>
      </c>
      <c r="K1064" s="10" t="str">
        <f t="shared" si="54"/>
        <v/>
      </c>
      <c r="L1064" s="10" t="str">
        <f t="shared" si="55"/>
        <v/>
      </c>
      <c r="M1064">
        <v>5</v>
      </c>
      <c r="N1064" t="str">
        <f t="shared" si="56"/>
        <v>يوجد رصيد كافى</v>
      </c>
    </row>
    <row r="1065" spans="7:14" x14ac:dyDescent="0.3">
      <c r="G1065" t="str">
        <f>IFERROR(IF(SUMIF(المشتريات!C:C, 'حركة المخزن'!B1065, المشتريات!F:F)=0,"",SUMIF(المشتريات!C:C, 'حركة المخزن'!B1065, المشتريات!F:F)),"")</f>
        <v/>
      </c>
      <c r="H1065" s="10" t="str">
        <f>IFERROR(IF(SUMIF(المشتريات!C:C, 'حركة المخزن'!B1065, المشتريات!I:I)=0,"",SUMIF(المشتريات!C:C, 'حركة المخزن'!B1065, المشتريات!I:I)),"")</f>
        <v/>
      </c>
      <c r="I1065" s="10" t="str">
        <f>IFERROR(IF(SUMIF('تحليل مبيعات'!C:C, 'حركة المخزن'!B1065, 'تحليل مبيعات'!H:H)=0,"",SUMIF('تحليل مبيعات'!C:C, 'حركة المخزن'!B1065, 'تحليل مبيعات'!H:H)),"")</f>
        <v/>
      </c>
      <c r="J1065" s="10" t="str">
        <f>IFERROR(IF(SUMIF('تحليل مبيعات'!C:C, 'حركة المخزن'!B1065, 'تحليل مبيعات'!L:L)=0,"",SUMIF('تحليل مبيعات'!C:C, 'حركة المخزن'!B1065, 'تحليل مبيعات'!L:L)),"")</f>
        <v/>
      </c>
      <c r="K1065" s="10" t="str">
        <f t="shared" si="54"/>
        <v/>
      </c>
      <c r="L1065" s="10" t="str">
        <f t="shared" si="55"/>
        <v/>
      </c>
      <c r="M1065">
        <v>5</v>
      </c>
      <c r="N1065" t="str">
        <f t="shared" si="56"/>
        <v>يوجد رصيد كافى</v>
      </c>
    </row>
    <row r="1066" spans="7:14" x14ac:dyDescent="0.3">
      <c r="G1066" t="str">
        <f>IFERROR(IF(SUMIF(المشتريات!C:C, 'حركة المخزن'!B1066, المشتريات!F:F)=0,"",SUMIF(المشتريات!C:C, 'حركة المخزن'!B1066, المشتريات!F:F)),"")</f>
        <v/>
      </c>
      <c r="H1066" s="10" t="str">
        <f>IFERROR(IF(SUMIF(المشتريات!C:C, 'حركة المخزن'!B1066, المشتريات!I:I)=0,"",SUMIF(المشتريات!C:C, 'حركة المخزن'!B1066, المشتريات!I:I)),"")</f>
        <v/>
      </c>
      <c r="I1066" s="10" t="str">
        <f>IFERROR(IF(SUMIF('تحليل مبيعات'!C:C, 'حركة المخزن'!B1066, 'تحليل مبيعات'!H:H)=0,"",SUMIF('تحليل مبيعات'!C:C, 'حركة المخزن'!B1066, 'تحليل مبيعات'!H:H)),"")</f>
        <v/>
      </c>
      <c r="J1066" s="10" t="str">
        <f>IFERROR(IF(SUMIF('تحليل مبيعات'!C:C, 'حركة المخزن'!B1066, 'تحليل مبيعات'!L:L)=0,"",SUMIF('تحليل مبيعات'!C:C, 'حركة المخزن'!B1066, 'تحليل مبيعات'!L:L)),"")</f>
        <v/>
      </c>
      <c r="K1066" s="10" t="str">
        <f t="shared" si="54"/>
        <v/>
      </c>
      <c r="L1066" s="10" t="str">
        <f t="shared" si="55"/>
        <v/>
      </c>
      <c r="M1066">
        <v>5</v>
      </c>
      <c r="N1066" t="str">
        <f t="shared" si="56"/>
        <v>يوجد رصيد كافى</v>
      </c>
    </row>
    <row r="1067" spans="7:14" x14ac:dyDescent="0.3">
      <c r="G1067" t="str">
        <f>IFERROR(IF(SUMIF(المشتريات!C:C, 'حركة المخزن'!B1067, المشتريات!F:F)=0,"",SUMIF(المشتريات!C:C, 'حركة المخزن'!B1067, المشتريات!F:F)),"")</f>
        <v/>
      </c>
      <c r="H1067" s="10" t="str">
        <f>IFERROR(IF(SUMIF(المشتريات!C:C, 'حركة المخزن'!B1067, المشتريات!I:I)=0,"",SUMIF(المشتريات!C:C, 'حركة المخزن'!B1067, المشتريات!I:I)),"")</f>
        <v/>
      </c>
      <c r="I1067" s="10" t="str">
        <f>IFERROR(IF(SUMIF('تحليل مبيعات'!C:C, 'حركة المخزن'!B1067, 'تحليل مبيعات'!H:H)=0,"",SUMIF('تحليل مبيعات'!C:C, 'حركة المخزن'!B1067, 'تحليل مبيعات'!H:H)),"")</f>
        <v/>
      </c>
      <c r="J1067" s="10" t="str">
        <f>IFERROR(IF(SUMIF('تحليل مبيعات'!C:C, 'حركة المخزن'!B1067, 'تحليل مبيعات'!L:L)=0,"",SUMIF('تحليل مبيعات'!C:C, 'حركة المخزن'!B1067, 'تحليل مبيعات'!L:L)),"")</f>
        <v/>
      </c>
      <c r="K1067" s="10" t="str">
        <f t="shared" si="54"/>
        <v/>
      </c>
      <c r="L1067" s="10" t="str">
        <f t="shared" si="55"/>
        <v/>
      </c>
      <c r="M1067">
        <v>5</v>
      </c>
      <c r="N1067" t="str">
        <f t="shared" si="56"/>
        <v>يوجد رصيد كافى</v>
      </c>
    </row>
    <row r="1068" spans="7:14" x14ac:dyDescent="0.3">
      <c r="G1068" t="str">
        <f>IFERROR(IF(SUMIF(المشتريات!C:C, 'حركة المخزن'!B1068, المشتريات!F:F)=0,"",SUMIF(المشتريات!C:C, 'حركة المخزن'!B1068, المشتريات!F:F)),"")</f>
        <v/>
      </c>
      <c r="H1068" s="10" t="str">
        <f>IFERROR(IF(SUMIF(المشتريات!C:C, 'حركة المخزن'!B1068, المشتريات!I:I)=0,"",SUMIF(المشتريات!C:C, 'حركة المخزن'!B1068, المشتريات!I:I)),"")</f>
        <v/>
      </c>
      <c r="I1068" s="10" t="str">
        <f>IFERROR(IF(SUMIF('تحليل مبيعات'!C:C, 'حركة المخزن'!B1068, 'تحليل مبيعات'!H:H)=0,"",SUMIF('تحليل مبيعات'!C:C, 'حركة المخزن'!B1068, 'تحليل مبيعات'!H:H)),"")</f>
        <v/>
      </c>
      <c r="J1068" s="10" t="str">
        <f>IFERROR(IF(SUMIF('تحليل مبيعات'!C:C, 'حركة المخزن'!B1068, 'تحليل مبيعات'!L:L)=0,"",SUMIF('تحليل مبيعات'!C:C, 'حركة المخزن'!B1068, 'تحليل مبيعات'!L:L)),"")</f>
        <v/>
      </c>
      <c r="K1068" s="10" t="str">
        <f t="shared" si="54"/>
        <v/>
      </c>
      <c r="L1068" s="10" t="str">
        <f t="shared" si="55"/>
        <v/>
      </c>
      <c r="M1068">
        <v>5</v>
      </c>
      <c r="N1068" t="str">
        <f t="shared" si="56"/>
        <v>يوجد رصيد كافى</v>
      </c>
    </row>
    <row r="1069" spans="7:14" x14ac:dyDescent="0.3">
      <c r="G1069" t="str">
        <f>IFERROR(IF(SUMIF(المشتريات!C:C, 'حركة المخزن'!B1069, المشتريات!F:F)=0,"",SUMIF(المشتريات!C:C, 'حركة المخزن'!B1069, المشتريات!F:F)),"")</f>
        <v/>
      </c>
      <c r="H1069" s="10" t="str">
        <f>IFERROR(IF(SUMIF(المشتريات!C:C, 'حركة المخزن'!B1069, المشتريات!I:I)=0,"",SUMIF(المشتريات!C:C, 'حركة المخزن'!B1069, المشتريات!I:I)),"")</f>
        <v/>
      </c>
      <c r="I1069" s="10" t="str">
        <f>IFERROR(IF(SUMIF('تحليل مبيعات'!C:C, 'حركة المخزن'!B1069, 'تحليل مبيعات'!H:H)=0,"",SUMIF('تحليل مبيعات'!C:C, 'حركة المخزن'!B1069, 'تحليل مبيعات'!H:H)),"")</f>
        <v/>
      </c>
      <c r="J1069" s="10" t="str">
        <f>IFERROR(IF(SUMIF('تحليل مبيعات'!C:C, 'حركة المخزن'!B1069, 'تحليل مبيعات'!L:L)=0,"",SUMIF('تحليل مبيعات'!C:C, 'حركة المخزن'!B1069, 'تحليل مبيعات'!L:L)),"")</f>
        <v/>
      </c>
      <c r="K1069" s="10" t="str">
        <f t="shared" si="54"/>
        <v/>
      </c>
      <c r="L1069" s="10" t="str">
        <f t="shared" si="55"/>
        <v/>
      </c>
      <c r="M1069">
        <v>5</v>
      </c>
      <c r="N1069" t="str">
        <f t="shared" si="56"/>
        <v>يوجد رصيد كافى</v>
      </c>
    </row>
    <row r="1070" spans="7:14" x14ac:dyDescent="0.3">
      <c r="G1070" t="str">
        <f>IFERROR(IF(SUMIF(المشتريات!C:C, 'حركة المخزن'!B1070, المشتريات!F:F)=0,"",SUMIF(المشتريات!C:C, 'حركة المخزن'!B1070, المشتريات!F:F)),"")</f>
        <v/>
      </c>
      <c r="H1070" s="10" t="str">
        <f>IFERROR(IF(SUMIF(المشتريات!C:C, 'حركة المخزن'!B1070, المشتريات!I:I)=0,"",SUMIF(المشتريات!C:C, 'حركة المخزن'!B1070, المشتريات!I:I)),"")</f>
        <v/>
      </c>
      <c r="I1070" s="10" t="str">
        <f>IFERROR(IF(SUMIF('تحليل مبيعات'!C:C, 'حركة المخزن'!B1070, 'تحليل مبيعات'!H:H)=0,"",SUMIF('تحليل مبيعات'!C:C, 'حركة المخزن'!B1070, 'تحليل مبيعات'!H:H)),"")</f>
        <v/>
      </c>
      <c r="J1070" s="10" t="str">
        <f>IFERROR(IF(SUMIF('تحليل مبيعات'!C:C, 'حركة المخزن'!B1070, 'تحليل مبيعات'!L:L)=0,"",SUMIF('تحليل مبيعات'!C:C, 'حركة المخزن'!B1070, 'تحليل مبيعات'!L:L)),"")</f>
        <v/>
      </c>
      <c r="K1070" s="10" t="str">
        <f t="shared" si="54"/>
        <v/>
      </c>
      <c r="L1070" s="10" t="str">
        <f t="shared" si="55"/>
        <v/>
      </c>
      <c r="M1070">
        <v>5</v>
      </c>
      <c r="N1070" t="str">
        <f t="shared" si="56"/>
        <v>يوجد رصيد كافى</v>
      </c>
    </row>
    <row r="1071" spans="7:14" x14ac:dyDescent="0.3">
      <c r="G1071" t="str">
        <f>IFERROR(IF(SUMIF(المشتريات!C:C, 'حركة المخزن'!B1071, المشتريات!F:F)=0,"",SUMIF(المشتريات!C:C, 'حركة المخزن'!B1071, المشتريات!F:F)),"")</f>
        <v/>
      </c>
      <c r="H1071" s="10" t="str">
        <f>IFERROR(IF(SUMIF(المشتريات!C:C, 'حركة المخزن'!B1071, المشتريات!I:I)=0,"",SUMIF(المشتريات!C:C, 'حركة المخزن'!B1071, المشتريات!I:I)),"")</f>
        <v/>
      </c>
      <c r="I1071" s="10" t="str">
        <f>IFERROR(IF(SUMIF('تحليل مبيعات'!C:C, 'حركة المخزن'!B1071, 'تحليل مبيعات'!H:H)=0,"",SUMIF('تحليل مبيعات'!C:C, 'حركة المخزن'!B1071, 'تحليل مبيعات'!H:H)),"")</f>
        <v/>
      </c>
      <c r="J1071" s="10" t="str">
        <f>IFERROR(IF(SUMIF('تحليل مبيعات'!C:C, 'حركة المخزن'!B1071, 'تحليل مبيعات'!L:L)=0,"",SUMIF('تحليل مبيعات'!C:C, 'حركة المخزن'!B1071, 'تحليل مبيعات'!L:L)),"")</f>
        <v/>
      </c>
      <c r="K1071" s="10" t="str">
        <f t="shared" si="54"/>
        <v/>
      </c>
      <c r="L1071" s="10" t="str">
        <f t="shared" si="55"/>
        <v/>
      </c>
      <c r="M1071">
        <v>5</v>
      </c>
      <c r="N1071" t="str">
        <f t="shared" si="56"/>
        <v>يوجد رصيد كافى</v>
      </c>
    </row>
    <row r="1072" spans="7:14" x14ac:dyDescent="0.3">
      <c r="G1072" t="str">
        <f>IFERROR(IF(SUMIF(المشتريات!C:C, 'حركة المخزن'!B1072, المشتريات!F:F)=0,"",SUMIF(المشتريات!C:C, 'حركة المخزن'!B1072, المشتريات!F:F)),"")</f>
        <v/>
      </c>
      <c r="H1072" s="10" t="str">
        <f>IFERROR(IF(SUMIF(المشتريات!C:C, 'حركة المخزن'!B1072, المشتريات!I:I)=0,"",SUMIF(المشتريات!C:C, 'حركة المخزن'!B1072, المشتريات!I:I)),"")</f>
        <v/>
      </c>
      <c r="I1072" s="10" t="str">
        <f>IFERROR(IF(SUMIF('تحليل مبيعات'!C:C, 'حركة المخزن'!B1072, 'تحليل مبيعات'!H:H)=0,"",SUMIF('تحليل مبيعات'!C:C, 'حركة المخزن'!B1072, 'تحليل مبيعات'!H:H)),"")</f>
        <v/>
      </c>
      <c r="J1072" s="10" t="str">
        <f>IFERROR(IF(SUMIF('تحليل مبيعات'!C:C, 'حركة المخزن'!B1072, 'تحليل مبيعات'!L:L)=0,"",SUMIF('تحليل مبيعات'!C:C, 'حركة المخزن'!B1072, 'تحليل مبيعات'!L:L)),"")</f>
        <v/>
      </c>
      <c r="K1072" s="10" t="str">
        <f t="shared" si="54"/>
        <v/>
      </c>
      <c r="L1072" s="10" t="str">
        <f t="shared" si="55"/>
        <v/>
      </c>
      <c r="M1072">
        <v>5</v>
      </c>
      <c r="N1072" t="str">
        <f t="shared" si="56"/>
        <v>يوجد رصيد كافى</v>
      </c>
    </row>
    <row r="1073" spans="7:14" x14ac:dyDescent="0.3">
      <c r="G1073" t="str">
        <f>IFERROR(IF(SUMIF(المشتريات!C:C, 'حركة المخزن'!B1073, المشتريات!F:F)=0,"",SUMIF(المشتريات!C:C, 'حركة المخزن'!B1073, المشتريات!F:F)),"")</f>
        <v/>
      </c>
      <c r="H1073" s="10" t="str">
        <f>IFERROR(IF(SUMIF(المشتريات!C:C, 'حركة المخزن'!B1073, المشتريات!I:I)=0,"",SUMIF(المشتريات!C:C, 'حركة المخزن'!B1073, المشتريات!I:I)),"")</f>
        <v/>
      </c>
      <c r="I1073" s="10" t="str">
        <f>IFERROR(IF(SUMIF('تحليل مبيعات'!C:C, 'حركة المخزن'!B1073, 'تحليل مبيعات'!H:H)=0,"",SUMIF('تحليل مبيعات'!C:C, 'حركة المخزن'!B1073, 'تحليل مبيعات'!H:H)),"")</f>
        <v/>
      </c>
      <c r="J1073" s="10" t="str">
        <f>IFERROR(IF(SUMIF('تحليل مبيعات'!C:C, 'حركة المخزن'!B1073, 'تحليل مبيعات'!L:L)=0,"",SUMIF('تحليل مبيعات'!C:C, 'حركة المخزن'!B1073, 'تحليل مبيعات'!L:L)),"")</f>
        <v/>
      </c>
      <c r="K1073" s="10" t="str">
        <f t="shared" si="54"/>
        <v/>
      </c>
      <c r="L1073" s="10" t="str">
        <f t="shared" si="55"/>
        <v/>
      </c>
      <c r="M1073">
        <v>5</v>
      </c>
      <c r="N1073" t="str">
        <f t="shared" si="56"/>
        <v>يوجد رصيد كافى</v>
      </c>
    </row>
    <row r="1074" spans="7:14" x14ac:dyDescent="0.3">
      <c r="G1074" t="str">
        <f>IFERROR(IF(SUMIF(المشتريات!C:C, 'حركة المخزن'!B1074, المشتريات!F:F)=0,"",SUMIF(المشتريات!C:C, 'حركة المخزن'!B1074, المشتريات!F:F)),"")</f>
        <v/>
      </c>
      <c r="H1074" s="10" t="str">
        <f>IFERROR(IF(SUMIF(المشتريات!C:C, 'حركة المخزن'!B1074, المشتريات!I:I)=0,"",SUMIF(المشتريات!C:C, 'حركة المخزن'!B1074, المشتريات!I:I)),"")</f>
        <v/>
      </c>
      <c r="I1074" s="10" t="str">
        <f>IFERROR(IF(SUMIF('تحليل مبيعات'!C:C, 'حركة المخزن'!B1074, 'تحليل مبيعات'!H:H)=0,"",SUMIF('تحليل مبيعات'!C:C, 'حركة المخزن'!B1074, 'تحليل مبيعات'!H:H)),"")</f>
        <v/>
      </c>
      <c r="J1074" s="10" t="str">
        <f>IFERROR(IF(SUMIF('تحليل مبيعات'!C:C, 'حركة المخزن'!B1074, 'تحليل مبيعات'!L:L)=0,"",SUMIF('تحليل مبيعات'!C:C, 'حركة المخزن'!B1074, 'تحليل مبيعات'!L:L)),"")</f>
        <v/>
      </c>
      <c r="K1074" s="10" t="str">
        <f t="shared" si="54"/>
        <v/>
      </c>
      <c r="L1074" s="10" t="str">
        <f t="shared" si="55"/>
        <v/>
      </c>
      <c r="M1074">
        <v>5</v>
      </c>
      <c r="N1074" t="str">
        <f t="shared" si="56"/>
        <v>يوجد رصيد كافى</v>
      </c>
    </row>
    <row r="1075" spans="7:14" x14ac:dyDescent="0.3">
      <c r="G1075" t="str">
        <f>IFERROR(IF(SUMIF(المشتريات!C:C, 'حركة المخزن'!B1075, المشتريات!F:F)=0,"",SUMIF(المشتريات!C:C, 'حركة المخزن'!B1075, المشتريات!F:F)),"")</f>
        <v/>
      </c>
      <c r="H1075" s="10" t="str">
        <f>IFERROR(IF(SUMIF(المشتريات!C:C, 'حركة المخزن'!B1075, المشتريات!I:I)=0,"",SUMIF(المشتريات!C:C, 'حركة المخزن'!B1075, المشتريات!I:I)),"")</f>
        <v/>
      </c>
      <c r="I1075" s="10" t="str">
        <f>IFERROR(IF(SUMIF('تحليل مبيعات'!C:C, 'حركة المخزن'!B1075, 'تحليل مبيعات'!H:H)=0,"",SUMIF('تحليل مبيعات'!C:C, 'حركة المخزن'!B1075, 'تحليل مبيعات'!H:H)),"")</f>
        <v/>
      </c>
      <c r="J1075" s="10" t="str">
        <f>IFERROR(IF(SUMIF('تحليل مبيعات'!C:C, 'حركة المخزن'!B1075, 'تحليل مبيعات'!L:L)=0,"",SUMIF('تحليل مبيعات'!C:C, 'حركة المخزن'!B1075, 'تحليل مبيعات'!L:L)),"")</f>
        <v/>
      </c>
      <c r="K1075" s="10" t="str">
        <f t="shared" si="54"/>
        <v/>
      </c>
      <c r="L1075" s="10" t="str">
        <f t="shared" si="55"/>
        <v/>
      </c>
      <c r="M1075">
        <v>5</v>
      </c>
      <c r="N1075" t="str">
        <f t="shared" si="56"/>
        <v>يوجد رصيد كافى</v>
      </c>
    </row>
    <row r="1076" spans="7:14" x14ac:dyDescent="0.3">
      <c r="G1076" t="str">
        <f>IFERROR(IF(SUMIF(المشتريات!C:C, 'حركة المخزن'!B1076, المشتريات!F:F)=0,"",SUMIF(المشتريات!C:C, 'حركة المخزن'!B1076, المشتريات!F:F)),"")</f>
        <v/>
      </c>
      <c r="H1076" s="10" t="str">
        <f>IFERROR(IF(SUMIF(المشتريات!C:C, 'حركة المخزن'!B1076, المشتريات!I:I)=0,"",SUMIF(المشتريات!C:C, 'حركة المخزن'!B1076, المشتريات!I:I)),"")</f>
        <v/>
      </c>
      <c r="I1076" s="10" t="str">
        <f>IFERROR(IF(SUMIF('تحليل مبيعات'!C:C, 'حركة المخزن'!B1076, 'تحليل مبيعات'!H:H)=0,"",SUMIF('تحليل مبيعات'!C:C, 'حركة المخزن'!B1076, 'تحليل مبيعات'!H:H)),"")</f>
        <v/>
      </c>
      <c r="J1076" s="10" t="str">
        <f>IFERROR(IF(SUMIF('تحليل مبيعات'!C:C, 'حركة المخزن'!B1076, 'تحليل مبيعات'!L:L)=0,"",SUMIF('تحليل مبيعات'!C:C, 'حركة المخزن'!B1076, 'تحليل مبيعات'!L:L)),"")</f>
        <v/>
      </c>
      <c r="K1076" s="10" t="str">
        <f t="shared" si="54"/>
        <v/>
      </c>
      <c r="L1076" s="10" t="str">
        <f t="shared" si="55"/>
        <v/>
      </c>
      <c r="M1076">
        <v>5</v>
      </c>
      <c r="N1076" t="str">
        <f t="shared" si="56"/>
        <v>يوجد رصيد كافى</v>
      </c>
    </row>
    <row r="1077" spans="7:14" x14ac:dyDescent="0.3">
      <c r="G1077" t="str">
        <f>IFERROR(IF(SUMIF(المشتريات!C:C, 'حركة المخزن'!B1077, المشتريات!F:F)=0,"",SUMIF(المشتريات!C:C, 'حركة المخزن'!B1077, المشتريات!F:F)),"")</f>
        <v/>
      </c>
      <c r="H1077" s="10" t="str">
        <f>IFERROR(IF(SUMIF(المشتريات!C:C, 'حركة المخزن'!B1077, المشتريات!I:I)=0,"",SUMIF(المشتريات!C:C, 'حركة المخزن'!B1077, المشتريات!I:I)),"")</f>
        <v/>
      </c>
      <c r="I1077" s="10" t="str">
        <f>IFERROR(IF(SUMIF('تحليل مبيعات'!C:C, 'حركة المخزن'!B1077, 'تحليل مبيعات'!H:H)=0,"",SUMIF('تحليل مبيعات'!C:C, 'حركة المخزن'!B1077, 'تحليل مبيعات'!H:H)),"")</f>
        <v/>
      </c>
      <c r="J1077" s="10" t="str">
        <f>IFERROR(IF(SUMIF('تحليل مبيعات'!C:C, 'حركة المخزن'!B1077, 'تحليل مبيعات'!L:L)=0,"",SUMIF('تحليل مبيعات'!C:C, 'حركة المخزن'!B1077, 'تحليل مبيعات'!L:L)),"")</f>
        <v/>
      </c>
      <c r="K1077" s="10" t="str">
        <f t="shared" si="54"/>
        <v/>
      </c>
      <c r="L1077" s="10" t="str">
        <f t="shared" si="55"/>
        <v/>
      </c>
      <c r="M1077">
        <v>5</v>
      </c>
      <c r="N1077" t="str">
        <f t="shared" si="56"/>
        <v>يوجد رصيد كافى</v>
      </c>
    </row>
    <row r="1078" spans="7:14" x14ac:dyDescent="0.3">
      <c r="G1078" t="str">
        <f>IFERROR(IF(SUMIF(المشتريات!C:C, 'حركة المخزن'!B1078, المشتريات!F:F)=0,"",SUMIF(المشتريات!C:C, 'حركة المخزن'!B1078, المشتريات!F:F)),"")</f>
        <v/>
      </c>
      <c r="H1078" s="10" t="str">
        <f>IFERROR(IF(SUMIF(المشتريات!C:C, 'حركة المخزن'!B1078, المشتريات!I:I)=0,"",SUMIF(المشتريات!C:C, 'حركة المخزن'!B1078, المشتريات!I:I)),"")</f>
        <v/>
      </c>
      <c r="I1078" s="10" t="str">
        <f>IFERROR(IF(SUMIF('تحليل مبيعات'!C:C, 'حركة المخزن'!B1078, 'تحليل مبيعات'!H:H)=0,"",SUMIF('تحليل مبيعات'!C:C, 'حركة المخزن'!B1078, 'تحليل مبيعات'!H:H)),"")</f>
        <v/>
      </c>
      <c r="J1078" s="10" t="str">
        <f>IFERROR(IF(SUMIF('تحليل مبيعات'!C:C, 'حركة المخزن'!B1078, 'تحليل مبيعات'!L:L)=0,"",SUMIF('تحليل مبيعات'!C:C, 'حركة المخزن'!B1078, 'تحليل مبيعات'!L:L)),"")</f>
        <v/>
      </c>
      <c r="K1078" s="10" t="str">
        <f t="shared" si="54"/>
        <v/>
      </c>
      <c r="L1078" s="10" t="str">
        <f t="shared" si="55"/>
        <v/>
      </c>
      <c r="M1078">
        <v>5</v>
      </c>
      <c r="N1078" t="str">
        <f t="shared" si="56"/>
        <v>يوجد رصيد كافى</v>
      </c>
    </row>
    <row r="1079" spans="7:14" x14ac:dyDescent="0.3">
      <c r="G1079" t="str">
        <f>IFERROR(IF(SUMIF(المشتريات!C:C, 'حركة المخزن'!B1079, المشتريات!F:F)=0,"",SUMIF(المشتريات!C:C, 'حركة المخزن'!B1079, المشتريات!F:F)),"")</f>
        <v/>
      </c>
      <c r="H1079" s="10" t="str">
        <f>IFERROR(IF(SUMIF(المشتريات!C:C, 'حركة المخزن'!B1079, المشتريات!I:I)=0,"",SUMIF(المشتريات!C:C, 'حركة المخزن'!B1079, المشتريات!I:I)),"")</f>
        <v/>
      </c>
      <c r="I1079" s="10" t="str">
        <f>IFERROR(IF(SUMIF('تحليل مبيعات'!C:C, 'حركة المخزن'!B1079, 'تحليل مبيعات'!H:H)=0,"",SUMIF('تحليل مبيعات'!C:C, 'حركة المخزن'!B1079, 'تحليل مبيعات'!H:H)),"")</f>
        <v/>
      </c>
      <c r="J1079" s="10" t="str">
        <f>IFERROR(IF(SUMIF('تحليل مبيعات'!C:C, 'حركة المخزن'!B1079, 'تحليل مبيعات'!L:L)=0,"",SUMIF('تحليل مبيعات'!C:C, 'حركة المخزن'!B1079, 'تحليل مبيعات'!L:L)),"")</f>
        <v/>
      </c>
      <c r="K1079" s="10" t="str">
        <f t="shared" si="54"/>
        <v/>
      </c>
      <c r="L1079" s="10" t="str">
        <f t="shared" si="55"/>
        <v/>
      </c>
      <c r="M1079">
        <v>5</v>
      </c>
      <c r="N1079" t="str">
        <f t="shared" si="56"/>
        <v>يوجد رصيد كافى</v>
      </c>
    </row>
    <row r="1080" spans="7:14" x14ac:dyDescent="0.3">
      <c r="G1080" t="str">
        <f>IFERROR(IF(SUMIF(المشتريات!C:C, 'حركة المخزن'!B1080, المشتريات!F:F)=0,"",SUMIF(المشتريات!C:C, 'حركة المخزن'!B1080, المشتريات!F:F)),"")</f>
        <v/>
      </c>
      <c r="H1080" s="10" t="str">
        <f>IFERROR(IF(SUMIF(المشتريات!C:C, 'حركة المخزن'!B1080, المشتريات!I:I)=0,"",SUMIF(المشتريات!C:C, 'حركة المخزن'!B1080, المشتريات!I:I)),"")</f>
        <v/>
      </c>
      <c r="I1080" s="10" t="str">
        <f>IFERROR(IF(SUMIF('تحليل مبيعات'!C:C, 'حركة المخزن'!B1080, 'تحليل مبيعات'!H:H)=0,"",SUMIF('تحليل مبيعات'!C:C, 'حركة المخزن'!B1080, 'تحليل مبيعات'!H:H)),"")</f>
        <v/>
      </c>
      <c r="J1080" s="10" t="str">
        <f>IFERROR(IF(SUMIF('تحليل مبيعات'!C:C, 'حركة المخزن'!B1080, 'تحليل مبيعات'!L:L)=0,"",SUMIF('تحليل مبيعات'!C:C, 'حركة المخزن'!B1080, 'تحليل مبيعات'!L:L)),"")</f>
        <v/>
      </c>
      <c r="K1080" s="10" t="str">
        <f t="shared" si="54"/>
        <v/>
      </c>
      <c r="L1080" s="10" t="str">
        <f t="shared" si="55"/>
        <v/>
      </c>
      <c r="M1080">
        <v>5</v>
      </c>
      <c r="N1080" t="str">
        <f t="shared" si="56"/>
        <v>يوجد رصيد كافى</v>
      </c>
    </row>
    <row r="1081" spans="7:14" x14ac:dyDescent="0.3">
      <c r="G1081" t="str">
        <f>IFERROR(IF(SUMIF(المشتريات!C:C, 'حركة المخزن'!B1081, المشتريات!F:F)=0,"",SUMIF(المشتريات!C:C, 'حركة المخزن'!B1081, المشتريات!F:F)),"")</f>
        <v/>
      </c>
      <c r="H1081" s="10" t="str">
        <f>IFERROR(IF(SUMIF(المشتريات!C:C, 'حركة المخزن'!B1081, المشتريات!I:I)=0,"",SUMIF(المشتريات!C:C, 'حركة المخزن'!B1081, المشتريات!I:I)),"")</f>
        <v/>
      </c>
      <c r="I1081" s="10" t="str">
        <f>IFERROR(IF(SUMIF('تحليل مبيعات'!C:C, 'حركة المخزن'!B1081, 'تحليل مبيعات'!H:H)=0,"",SUMIF('تحليل مبيعات'!C:C, 'حركة المخزن'!B1081, 'تحليل مبيعات'!H:H)),"")</f>
        <v/>
      </c>
      <c r="J1081" s="10" t="str">
        <f>IFERROR(IF(SUMIF('تحليل مبيعات'!C:C, 'حركة المخزن'!B1081, 'تحليل مبيعات'!L:L)=0,"",SUMIF('تحليل مبيعات'!C:C, 'حركة المخزن'!B1081, 'تحليل مبيعات'!L:L)),"")</f>
        <v/>
      </c>
      <c r="K1081" s="10" t="str">
        <f t="shared" si="54"/>
        <v/>
      </c>
      <c r="L1081" s="10" t="str">
        <f t="shared" si="55"/>
        <v/>
      </c>
      <c r="M1081">
        <v>5</v>
      </c>
      <c r="N1081" t="str">
        <f t="shared" si="56"/>
        <v>يوجد رصيد كافى</v>
      </c>
    </row>
    <row r="1082" spans="7:14" x14ac:dyDescent="0.3">
      <c r="G1082" t="str">
        <f>IFERROR(IF(SUMIF(المشتريات!C:C, 'حركة المخزن'!B1082, المشتريات!F:F)=0,"",SUMIF(المشتريات!C:C, 'حركة المخزن'!B1082, المشتريات!F:F)),"")</f>
        <v/>
      </c>
      <c r="H1082" s="10" t="str">
        <f>IFERROR(IF(SUMIF(المشتريات!C:C, 'حركة المخزن'!B1082, المشتريات!I:I)=0,"",SUMIF(المشتريات!C:C, 'حركة المخزن'!B1082, المشتريات!I:I)),"")</f>
        <v/>
      </c>
      <c r="I1082" s="10" t="str">
        <f>IFERROR(IF(SUMIF('تحليل مبيعات'!C:C, 'حركة المخزن'!B1082, 'تحليل مبيعات'!H:H)=0,"",SUMIF('تحليل مبيعات'!C:C, 'حركة المخزن'!B1082, 'تحليل مبيعات'!H:H)),"")</f>
        <v/>
      </c>
      <c r="J1082" s="10" t="str">
        <f>IFERROR(IF(SUMIF('تحليل مبيعات'!C:C, 'حركة المخزن'!B1082, 'تحليل مبيعات'!L:L)=0,"",SUMIF('تحليل مبيعات'!C:C, 'حركة المخزن'!B1082, 'تحليل مبيعات'!L:L)),"")</f>
        <v/>
      </c>
      <c r="K1082" s="10" t="str">
        <f t="shared" si="54"/>
        <v/>
      </c>
      <c r="L1082" s="10" t="str">
        <f t="shared" si="55"/>
        <v/>
      </c>
      <c r="M1082">
        <v>5</v>
      </c>
      <c r="N1082" t="str">
        <f t="shared" si="56"/>
        <v>يوجد رصيد كافى</v>
      </c>
    </row>
    <row r="1083" spans="7:14" x14ac:dyDescent="0.3">
      <c r="G1083" t="str">
        <f>IFERROR(IF(SUMIF(المشتريات!C:C, 'حركة المخزن'!B1083, المشتريات!F:F)=0,"",SUMIF(المشتريات!C:C, 'حركة المخزن'!B1083, المشتريات!F:F)),"")</f>
        <v/>
      </c>
      <c r="H1083" s="10" t="str">
        <f>IFERROR(IF(SUMIF(المشتريات!C:C, 'حركة المخزن'!B1083, المشتريات!I:I)=0,"",SUMIF(المشتريات!C:C, 'حركة المخزن'!B1083, المشتريات!I:I)),"")</f>
        <v/>
      </c>
      <c r="I1083" s="10" t="str">
        <f>IFERROR(IF(SUMIF('تحليل مبيعات'!C:C, 'حركة المخزن'!B1083, 'تحليل مبيعات'!H:H)=0,"",SUMIF('تحليل مبيعات'!C:C, 'حركة المخزن'!B1083, 'تحليل مبيعات'!H:H)),"")</f>
        <v/>
      </c>
      <c r="J1083" s="10" t="str">
        <f>IFERROR(IF(SUMIF('تحليل مبيعات'!C:C, 'حركة المخزن'!B1083, 'تحليل مبيعات'!L:L)=0,"",SUMIF('تحليل مبيعات'!C:C, 'حركة المخزن'!B1083, 'تحليل مبيعات'!L:L)),"")</f>
        <v/>
      </c>
      <c r="K1083" s="10" t="str">
        <f t="shared" si="54"/>
        <v/>
      </c>
      <c r="L1083" s="10" t="str">
        <f t="shared" si="55"/>
        <v/>
      </c>
      <c r="M1083">
        <v>5</v>
      </c>
      <c r="N1083" t="str">
        <f t="shared" si="56"/>
        <v>يوجد رصيد كافى</v>
      </c>
    </row>
    <row r="1084" spans="7:14" x14ac:dyDescent="0.3">
      <c r="G1084" t="str">
        <f>IFERROR(IF(SUMIF(المشتريات!C:C, 'حركة المخزن'!B1084, المشتريات!F:F)=0,"",SUMIF(المشتريات!C:C, 'حركة المخزن'!B1084, المشتريات!F:F)),"")</f>
        <v/>
      </c>
      <c r="H1084" s="10" t="str">
        <f>IFERROR(IF(SUMIF(المشتريات!C:C, 'حركة المخزن'!B1084, المشتريات!I:I)=0,"",SUMIF(المشتريات!C:C, 'حركة المخزن'!B1084, المشتريات!I:I)),"")</f>
        <v/>
      </c>
      <c r="I1084" s="10" t="str">
        <f>IFERROR(IF(SUMIF('تحليل مبيعات'!C:C, 'حركة المخزن'!B1084, 'تحليل مبيعات'!H:H)=0,"",SUMIF('تحليل مبيعات'!C:C, 'حركة المخزن'!B1084, 'تحليل مبيعات'!H:H)),"")</f>
        <v/>
      </c>
      <c r="J1084" s="10" t="str">
        <f>IFERROR(IF(SUMIF('تحليل مبيعات'!C:C, 'حركة المخزن'!B1084, 'تحليل مبيعات'!L:L)=0,"",SUMIF('تحليل مبيعات'!C:C, 'حركة المخزن'!B1084, 'تحليل مبيعات'!L:L)),"")</f>
        <v/>
      </c>
      <c r="K1084" s="10" t="str">
        <f t="shared" si="54"/>
        <v/>
      </c>
      <c r="L1084" s="10" t="str">
        <f t="shared" si="55"/>
        <v/>
      </c>
      <c r="M1084">
        <v>5</v>
      </c>
      <c r="N1084" t="str">
        <f t="shared" si="56"/>
        <v>يوجد رصيد كافى</v>
      </c>
    </row>
    <row r="1085" spans="7:14" x14ac:dyDescent="0.3">
      <c r="G1085" t="str">
        <f>IFERROR(IF(SUMIF(المشتريات!C:C, 'حركة المخزن'!B1085, المشتريات!F:F)=0,"",SUMIF(المشتريات!C:C, 'حركة المخزن'!B1085, المشتريات!F:F)),"")</f>
        <v/>
      </c>
      <c r="H1085" s="10" t="str">
        <f>IFERROR(IF(SUMIF(المشتريات!C:C, 'حركة المخزن'!B1085, المشتريات!I:I)=0,"",SUMIF(المشتريات!C:C, 'حركة المخزن'!B1085, المشتريات!I:I)),"")</f>
        <v/>
      </c>
      <c r="I1085" s="10" t="str">
        <f>IFERROR(IF(SUMIF('تحليل مبيعات'!C:C, 'حركة المخزن'!B1085, 'تحليل مبيعات'!H:H)=0,"",SUMIF('تحليل مبيعات'!C:C, 'حركة المخزن'!B1085, 'تحليل مبيعات'!H:H)),"")</f>
        <v/>
      </c>
      <c r="J1085" s="10" t="str">
        <f>IFERROR(IF(SUMIF('تحليل مبيعات'!C:C, 'حركة المخزن'!B1085, 'تحليل مبيعات'!L:L)=0,"",SUMIF('تحليل مبيعات'!C:C, 'حركة المخزن'!B1085, 'تحليل مبيعات'!L:L)),"")</f>
        <v/>
      </c>
      <c r="K1085" s="10" t="str">
        <f t="shared" si="54"/>
        <v/>
      </c>
      <c r="L1085" s="10" t="str">
        <f t="shared" si="55"/>
        <v/>
      </c>
      <c r="M1085">
        <v>5</v>
      </c>
      <c r="N1085" t="str">
        <f t="shared" si="56"/>
        <v>يوجد رصيد كافى</v>
      </c>
    </row>
    <row r="1086" spans="7:14" x14ac:dyDescent="0.3">
      <c r="G1086" t="str">
        <f>IFERROR(IF(SUMIF(المشتريات!C:C, 'حركة المخزن'!B1086, المشتريات!F:F)=0,"",SUMIF(المشتريات!C:C, 'حركة المخزن'!B1086, المشتريات!F:F)),"")</f>
        <v/>
      </c>
      <c r="H1086" s="10" t="str">
        <f>IFERROR(IF(SUMIF(المشتريات!C:C, 'حركة المخزن'!B1086, المشتريات!I:I)=0,"",SUMIF(المشتريات!C:C, 'حركة المخزن'!B1086, المشتريات!I:I)),"")</f>
        <v/>
      </c>
      <c r="I1086" s="10" t="str">
        <f>IFERROR(IF(SUMIF('تحليل مبيعات'!C:C, 'حركة المخزن'!B1086, 'تحليل مبيعات'!H:H)=0,"",SUMIF('تحليل مبيعات'!C:C, 'حركة المخزن'!B1086, 'تحليل مبيعات'!H:H)),"")</f>
        <v/>
      </c>
      <c r="J1086" s="10" t="str">
        <f>IFERROR(IF(SUMIF('تحليل مبيعات'!C:C, 'حركة المخزن'!B1086, 'تحليل مبيعات'!L:L)=0,"",SUMIF('تحليل مبيعات'!C:C, 'حركة المخزن'!B1086, 'تحليل مبيعات'!L:L)),"")</f>
        <v/>
      </c>
      <c r="K1086" s="10" t="str">
        <f t="shared" si="54"/>
        <v/>
      </c>
      <c r="L1086" s="10" t="str">
        <f t="shared" si="55"/>
        <v/>
      </c>
      <c r="M1086">
        <v>5</v>
      </c>
      <c r="N1086" t="str">
        <f t="shared" si="56"/>
        <v>يوجد رصيد كافى</v>
      </c>
    </row>
    <row r="1087" spans="7:14" x14ac:dyDescent="0.3">
      <c r="G1087" t="str">
        <f>IFERROR(IF(SUMIF(المشتريات!C:C, 'حركة المخزن'!B1087, المشتريات!F:F)=0,"",SUMIF(المشتريات!C:C, 'حركة المخزن'!B1087, المشتريات!F:F)),"")</f>
        <v/>
      </c>
      <c r="H1087" s="10" t="str">
        <f>IFERROR(IF(SUMIF(المشتريات!C:C, 'حركة المخزن'!B1087, المشتريات!I:I)=0,"",SUMIF(المشتريات!C:C, 'حركة المخزن'!B1087, المشتريات!I:I)),"")</f>
        <v/>
      </c>
      <c r="I1087" s="10" t="str">
        <f>IFERROR(IF(SUMIF('تحليل مبيعات'!C:C, 'حركة المخزن'!B1087, 'تحليل مبيعات'!H:H)=0,"",SUMIF('تحليل مبيعات'!C:C, 'حركة المخزن'!B1087, 'تحليل مبيعات'!H:H)),"")</f>
        <v/>
      </c>
      <c r="J1087" s="10" t="str">
        <f>IFERROR(IF(SUMIF('تحليل مبيعات'!C:C, 'حركة المخزن'!B1087, 'تحليل مبيعات'!L:L)=0,"",SUMIF('تحليل مبيعات'!C:C, 'حركة المخزن'!B1087, 'تحليل مبيعات'!L:L)),"")</f>
        <v/>
      </c>
      <c r="K1087" s="10" t="str">
        <f t="shared" si="54"/>
        <v/>
      </c>
      <c r="L1087" s="10" t="str">
        <f t="shared" si="55"/>
        <v/>
      </c>
      <c r="M1087">
        <v>5</v>
      </c>
      <c r="N1087" t="str">
        <f t="shared" si="56"/>
        <v>يوجد رصيد كافى</v>
      </c>
    </row>
    <row r="1088" spans="7:14" x14ac:dyDescent="0.3">
      <c r="G1088" t="str">
        <f>IFERROR(IF(SUMIF(المشتريات!C:C, 'حركة المخزن'!B1088, المشتريات!F:F)=0,"",SUMIF(المشتريات!C:C, 'حركة المخزن'!B1088, المشتريات!F:F)),"")</f>
        <v/>
      </c>
      <c r="H1088" s="10" t="str">
        <f>IFERROR(IF(SUMIF(المشتريات!C:C, 'حركة المخزن'!B1088, المشتريات!I:I)=0,"",SUMIF(المشتريات!C:C, 'حركة المخزن'!B1088, المشتريات!I:I)),"")</f>
        <v/>
      </c>
      <c r="I1088" s="10" t="str">
        <f>IFERROR(IF(SUMIF('تحليل مبيعات'!C:C, 'حركة المخزن'!B1088, 'تحليل مبيعات'!H:H)=0,"",SUMIF('تحليل مبيعات'!C:C, 'حركة المخزن'!B1088, 'تحليل مبيعات'!H:H)),"")</f>
        <v/>
      </c>
      <c r="J1088" s="10" t="str">
        <f>IFERROR(IF(SUMIF('تحليل مبيعات'!C:C, 'حركة المخزن'!B1088, 'تحليل مبيعات'!L:L)=0,"",SUMIF('تحليل مبيعات'!C:C, 'حركة المخزن'!B1088, 'تحليل مبيعات'!L:L)),"")</f>
        <v/>
      </c>
      <c r="K1088" s="10" t="str">
        <f t="shared" si="54"/>
        <v/>
      </c>
      <c r="L1088" s="10" t="str">
        <f t="shared" si="55"/>
        <v/>
      </c>
      <c r="M1088">
        <v>5</v>
      </c>
      <c r="N1088" t="str">
        <f t="shared" si="56"/>
        <v>يوجد رصيد كافى</v>
      </c>
    </row>
    <row r="1089" spans="7:14" x14ac:dyDescent="0.3">
      <c r="G1089" t="str">
        <f>IFERROR(IF(SUMIF(المشتريات!C:C, 'حركة المخزن'!B1089, المشتريات!F:F)=0,"",SUMIF(المشتريات!C:C, 'حركة المخزن'!B1089, المشتريات!F:F)),"")</f>
        <v/>
      </c>
      <c r="H1089" s="10" t="str">
        <f>IFERROR(IF(SUMIF(المشتريات!C:C, 'حركة المخزن'!B1089, المشتريات!I:I)=0,"",SUMIF(المشتريات!C:C, 'حركة المخزن'!B1089, المشتريات!I:I)),"")</f>
        <v/>
      </c>
      <c r="I1089" s="10" t="str">
        <f>IFERROR(IF(SUMIF('تحليل مبيعات'!C:C, 'حركة المخزن'!B1089, 'تحليل مبيعات'!H:H)=0,"",SUMIF('تحليل مبيعات'!C:C, 'حركة المخزن'!B1089, 'تحليل مبيعات'!H:H)),"")</f>
        <v/>
      </c>
      <c r="J1089" s="10" t="str">
        <f>IFERROR(IF(SUMIF('تحليل مبيعات'!C:C, 'حركة المخزن'!B1089, 'تحليل مبيعات'!L:L)=0,"",SUMIF('تحليل مبيعات'!C:C, 'حركة المخزن'!B1089, 'تحليل مبيعات'!L:L)),"")</f>
        <v/>
      </c>
      <c r="K1089" s="10" t="str">
        <f t="shared" si="54"/>
        <v/>
      </c>
      <c r="L1089" s="10" t="str">
        <f t="shared" si="55"/>
        <v/>
      </c>
      <c r="M1089">
        <v>5</v>
      </c>
      <c r="N1089" t="str">
        <f t="shared" si="56"/>
        <v>يوجد رصيد كافى</v>
      </c>
    </row>
    <row r="1090" spans="7:14" x14ac:dyDescent="0.3">
      <c r="G1090" t="str">
        <f>IFERROR(IF(SUMIF(المشتريات!C:C, 'حركة المخزن'!B1090, المشتريات!F:F)=0,"",SUMIF(المشتريات!C:C, 'حركة المخزن'!B1090, المشتريات!F:F)),"")</f>
        <v/>
      </c>
      <c r="H1090" s="10" t="str">
        <f>IFERROR(IF(SUMIF(المشتريات!C:C, 'حركة المخزن'!B1090, المشتريات!I:I)=0,"",SUMIF(المشتريات!C:C, 'حركة المخزن'!B1090, المشتريات!I:I)),"")</f>
        <v/>
      </c>
      <c r="I1090" s="10" t="str">
        <f>IFERROR(IF(SUMIF('تحليل مبيعات'!C:C, 'حركة المخزن'!B1090, 'تحليل مبيعات'!H:H)=0,"",SUMIF('تحليل مبيعات'!C:C, 'حركة المخزن'!B1090, 'تحليل مبيعات'!H:H)),"")</f>
        <v/>
      </c>
      <c r="J1090" s="10" t="str">
        <f>IFERROR(IF(SUMIF('تحليل مبيعات'!C:C, 'حركة المخزن'!B1090, 'تحليل مبيعات'!L:L)=0,"",SUMIF('تحليل مبيعات'!C:C, 'حركة المخزن'!B1090, 'تحليل مبيعات'!L:L)),"")</f>
        <v/>
      </c>
      <c r="K1090" s="10" t="str">
        <f t="shared" si="54"/>
        <v/>
      </c>
      <c r="L1090" s="10" t="str">
        <f t="shared" si="55"/>
        <v/>
      </c>
      <c r="M1090">
        <v>5</v>
      </c>
      <c r="N1090" t="str">
        <f t="shared" si="56"/>
        <v>يوجد رصيد كافى</v>
      </c>
    </row>
    <row r="1091" spans="7:14" x14ac:dyDescent="0.3">
      <c r="G1091" t="str">
        <f>IFERROR(IF(SUMIF(المشتريات!C:C, 'حركة المخزن'!B1091, المشتريات!F:F)=0,"",SUMIF(المشتريات!C:C, 'حركة المخزن'!B1091, المشتريات!F:F)),"")</f>
        <v/>
      </c>
      <c r="H1091" s="10" t="str">
        <f>IFERROR(IF(SUMIF(المشتريات!C:C, 'حركة المخزن'!B1091, المشتريات!I:I)=0,"",SUMIF(المشتريات!C:C, 'حركة المخزن'!B1091, المشتريات!I:I)),"")</f>
        <v/>
      </c>
      <c r="I1091" s="10" t="str">
        <f>IFERROR(IF(SUMIF('تحليل مبيعات'!C:C, 'حركة المخزن'!B1091, 'تحليل مبيعات'!H:H)=0,"",SUMIF('تحليل مبيعات'!C:C, 'حركة المخزن'!B1091, 'تحليل مبيعات'!H:H)),"")</f>
        <v/>
      </c>
      <c r="J1091" s="10" t="str">
        <f>IFERROR(IF(SUMIF('تحليل مبيعات'!C:C, 'حركة المخزن'!B1091, 'تحليل مبيعات'!L:L)=0,"",SUMIF('تحليل مبيعات'!C:C, 'حركة المخزن'!B1091, 'تحليل مبيعات'!L:L)),"")</f>
        <v/>
      </c>
      <c r="K1091" s="10" t="str">
        <f t="shared" si="54"/>
        <v/>
      </c>
      <c r="L1091" s="10" t="str">
        <f t="shared" si="55"/>
        <v/>
      </c>
      <c r="M1091">
        <v>5</v>
      </c>
      <c r="N1091" t="str">
        <f t="shared" si="56"/>
        <v>يوجد رصيد كافى</v>
      </c>
    </row>
    <row r="1092" spans="7:14" x14ac:dyDescent="0.3">
      <c r="G1092" t="str">
        <f>IFERROR(IF(SUMIF(المشتريات!C:C, 'حركة المخزن'!B1092, المشتريات!F:F)=0,"",SUMIF(المشتريات!C:C, 'حركة المخزن'!B1092, المشتريات!F:F)),"")</f>
        <v/>
      </c>
      <c r="H1092" s="10" t="str">
        <f>IFERROR(IF(SUMIF(المشتريات!C:C, 'حركة المخزن'!B1092, المشتريات!I:I)=0,"",SUMIF(المشتريات!C:C, 'حركة المخزن'!B1092, المشتريات!I:I)),"")</f>
        <v/>
      </c>
      <c r="I1092" s="10" t="str">
        <f>IFERROR(IF(SUMIF('تحليل مبيعات'!C:C, 'حركة المخزن'!B1092, 'تحليل مبيعات'!H:H)=0,"",SUMIF('تحليل مبيعات'!C:C, 'حركة المخزن'!B1092, 'تحليل مبيعات'!H:H)),"")</f>
        <v/>
      </c>
      <c r="J1092" s="10" t="str">
        <f>IFERROR(IF(SUMIF('تحليل مبيعات'!C:C, 'حركة المخزن'!B1092, 'تحليل مبيعات'!L:L)=0,"",SUMIF('تحليل مبيعات'!C:C, 'حركة المخزن'!B1092, 'تحليل مبيعات'!L:L)),"")</f>
        <v/>
      </c>
      <c r="K1092" s="10" t="str">
        <f t="shared" si="54"/>
        <v/>
      </c>
      <c r="L1092" s="10" t="str">
        <f t="shared" si="55"/>
        <v/>
      </c>
      <c r="M1092">
        <v>5</v>
      </c>
      <c r="N1092" t="str">
        <f t="shared" si="56"/>
        <v>يوجد رصيد كافى</v>
      </c>
    </row>
    <row r="1093" spans="7:14" x14ac:dyDescent="0.3">
      <c r="G1093" t="str">
        <f>IFERROR(IF(SUMIF(المشتريات!C:C, 'حركة المخزن'!B1093, المشتريات!F:F)=0,"",SUMIF(المشتريات!C:C, 'حركة المخزن'!B1093, المشتريات!F:F)),"")</f>
        <v/>
      </c>
      <c r="H1093" s="10" t="str">
        <f>IFERROR(IF(SUMIF(المشتريات!C:C, 'حركة المخزن'!B1093, المشتريات!I:I)=0,"",SUMIF(المشتريات!C:C, 'حركة المخزن'!B1093, المشتريات!I:I)),"")</f>
        <v/>
      </c>
      <c r="I1093" s="10" t="str">
        <f>IFERROR(IF(SUMIF('تحليل مبيعات'!C:C, 'حركة المخزن'!B1093, 'تحليل مبيعات'!H:H)=0,"",SUMIF('تحليل مبيعات'!C:C, 'حركة المخزن'!B1093, 'تحليل مبيعات'!H:H)),"")</f>
        <v/>
      </c>
      <c r="J1093" s="10" t="str">
        <f>IFERROR(IF(SUMIF('تحليل مبيعات'!C:C, 'حركة المخزن'!B1093, 'تحليل مبيعات'!L:L)=0,"",SUMIF('تحليل مبيعات'!C:C, 'حركة المخزن'!B1093, 'تحليل مبيعات'!L:L)),"")</f>
        <v/>
      </c>
      <c r="K1093" s="10" t="str">
        <f t="shared" si="54"/>
        <v/>
      </c>
      <c r="L1093" s="10" t="str">
        <f t="shared" si="55"/>
        <v/>
      </c>
      <c r="M1093">
        <v>5</v>
      </c>
      <c r="N1093" t="str">
        <f t="shared" si="56"/>
        <v>يوجد رصيد كافى</v>
      </c>
    </row>
    <row r="1094" spans="7:14" x14ac:dyDescent="0.3">
      <c r="G1094" t="str">
        <f>IFERROR(IF(SUMIF(المشتريات!C:C, 'حركة المخزن'!B1094, المشتريات!F:F)=0,"",SUMIF(المشتريات!C:C, 'حركة المخزن'!B1094, المشتريات!F:F)),"")</f>
        <v/>
      </c>
      <c r="H1094" s="10" t="str">
        <f>IFERROR(IF(SUMIF(المشتريات!C:C, 'حركة المخزن'!B1094, المشتريات!I:I)=0,"",SUMIF(المشتريات!C:C, 'حركة المخزن'!B1094, المشتريات!I:I)),"")</f>
        <v/>
      </c>
      <c r="I1094" s="10" t="str">
        <f>IFERROR(IF(SUMIF('تحليل مبيعات'!C:C, 'حركة المخزن'!B1094, 'تحليل مبيعات'!H:H)=0,"",SUMIF('تحليل مبيعات'!C:C, 'حركة المخزن'!B1094, 'تحليل مبيعات'!H:H)),"")</f>
        <v/>
      </c>
      <c r="J1094" s="10" t="str">
        <f>IFERROR(IF(SUMIF('تحليل مبيعات'!C:C, 'حركة المخزن'!B1094, 'تحليل مبيعات'!L:L)=0,"",SUMIF('تحليل مبيعات'!C:C, 'حركة المخزن'!B1094, 'تحليل مبيعات'!L:L)),"")</f>
        <v/>
      </c>
      <c r="K1094" s="10" t="str">
        <f t="shared" si="54"/>
        <v/>
      </c>
      <c r="L1094" s="10" t="str">
        <f t="shared" si="55"/>
        <v/>
      </c>
      <c r="M1094">
        <v>5</v>
      </c>
      <c r="N1094" t="str">
        <f t="shared" si="56"/>
        <v>يوجد رصيد كافى</v>
      </c>
    </row>
    <row r="1095" spans="7:14" x14ac:dyDescent="0.3">
      <c r="G1095" t="str">
        <f>IFERROR(IF(SUMIF(المشتريات!C:C, 'حركة المخزن'!B1095, المشتريات!F:F)=0,"",SUMIF(المشتريات!C:C, 'حركة المخزن'!B1095, المشتريات!F:F)),"")</f>
        <v/>
      </c>
      <c r="H1095" s="10" t="str">
        <f>IFERROR(IF(SUMIF(المشتريات!C:C, 'حركة المخزن'!B1095, المشتريات!I:I)=0,"",SUMIF(المشتريات!C:C, 'حركة المخزن'!B1095, المشتريات!I:I)),"")</f>
        <v/>
      </c>
      <c r="I1095" s="10" t="str">
        <f>IFERROR(IF(SUMIF('تحليل مبيعات'!C:C, 'حركة المخزن'!B1095, 'تحليل مبيعات'!H:H)=0,"",SUMIF('تحليل مبيعات'!C:C, 'حركة المخزن'!B1095, 'تحليل مبيعات'!H:H)),"")</f>
        <v/>
      </c>
      <c r="J1095" s="10" t="str">
        <f>IFERROR(IF(SUMIF('تحليل مبيعات'!C:C, 'حركة المخزن'!B1095, 'تحليل مبيعات'!L:L)=0,"",SUMIF('تحليل مبيعات'!C:C, 'حركة المخزن'!B1095, 'تحليل مبيعات'!L:L)),"")</f>
        <v/>
      </c>
      <c r="K1095" s="10" t="str">
        <f t="shared" si="54"/>
        <v/>
      </c>
      <c r="L1095" s="10" t="str">
        <f t="shared" si="55"/>
        <v/>
      </c>
      <c r="M1095">
        <v>5</v>
      </c>
      <c r="N1095" t="str">
        <f t="shared" si="56"/>
        <v>يوجد رصيد كافى</v>
      </c>
    </row>
    <row r="1096" spans="7:14" x14ac:dyDescent="0.3">
      <c r="G1096" t="str">
        <f>IFERROR(IF(SUMIF(المشتريات!C:C, 'حركة المخزن'!B1096, المشتريات!F:F)=0,"",SUMIF(المشتريات!C:C, 'حركة المخزن'!B1096, المشتريات!F:F)),"")</f>
        <v/>
      </c>
      <c r="H1096" s="10" t="str">
        <f>IFERROR(IF(SUMIF(المشتريات!C:C, 'حركة المخزن'!B1096, المشتريات!I:I)=0,"",SUMIF(المشتريات!C:C, 'حركة المخزن'!B1096, المشتريات!I:I)),"")</f>
        <v/>
      </c>
      <c r="I1096" s="10" t="str">
        <f>IFERROR(IF(SUMIF('تحليل مبيعات'!C:C, 'حركة المخزن'!B1096, 'تحليل مبيعات'!H:H)=0,"",SUMIF('تحليل مبيعات'!C:C, 'حركة المخزن'!B1096, 'تحليل مبيعات'!H:H)),"")</f>
        <v/>
      </c>
      <c r="J1096" s="10" t="str">
        <f>IFERROR(IF(SUMIF('تحليل مبيعات'!C:C, 'حركة المخزن'!B1096, 'تحليل مبيعات'!L:L)=0,"",SUMIF('تحليل مبيعات'!C:C, 'حركة المخزن'!B1096, 'تحليل مبيعات'!L:L)),"")</f>
        <v/>
      </c>
      <c r="K1096" s="10" t="str">
        <f t="shared" si="54"/>
        <v/>
      </c>
      <c r="L1096" s="10" t="str">
        <f t="shared" si="55"/>
        <v/>
      </c>
      <c r="M1096">
        <v>5</v>
      </c>
      <c r="N1096" t="str">
        <f t="shared" si="56"/>
        <v>يوجد رصيد كافى</v>
      </c>
    </row>
    <row r="1097" spans="7:14" x14ac:dyDescent="0.3">
      <c r="G1097" t="str">
        <f>IFERROR(IF(SUMIF(المشتريات!C:C, 'حركة المخزن'!B1097, المشتريات!F:F)=0,"",SUMIF(المشتريات!C:C, 'حركة المخزن'!B1097, المشتريات!F:F)),"")</f>
        <v/>
      </c>
      <c r="H1097" s="10" t="str">
        <f>IFERROR(IF(SUMIF(المشتريات!C:C, 'حركة المخزن'!B1097, المشتريات!I:I)=0,"",SUMIF(المشتريات!C:C, 'حركة المخزن'!B1097, المشتريات!I:I)),"")</f>
        <v/>
      </c>
      <c r="I1097" s="10" t="str">
        <f>IFERROR(IF(SUMIF('تحليل مبيعات'!C:C, 'حركة المخزن'!B1097, 'تحليل مبيعات'!H:H)=0,"",SUMIF('تحليل مبيعات'!C:C, 'حركة المخزن'!B1097, 'تحليل مبيعات'!H:H)),"")</f>
        <v/>
      </c>
      <c r="J1097" s="10" t="str">
        <f>IFERROR(IF(SUMIF('تحليل مبيعات'!C:C, 'حركة المخزن'!B1097, 'تحليل مبيعات'!L:L)=0,"",SUMIF('تحليل مبيعات'!C:C, 'حركة المخزن'!B1097, 'تحليل مبيعات'!L:L)),"")</f>
        <v/>
      </c>
      <c r="K1097" s="10" t="str">
        <f t="shared" ref="K1097:K1117" si="57">IFERROR(E1097+G1097-I1097,"")</f>
        <v/>
      </c>
      <c r="L1097" s="10" t="str">
        <f t="shared" ref="L1097:L1117" si="58">IFERROR(F1097+H1097-J1097,"")</f>
        <v/>
      </c>
      <c r="M1097">
        <v>5</v>
      </c>
      <c r="N1097" t="str">
        <f t="shared" ref="N1097:N1117" si="59">IF(K1097&lt;M1097,"أعادة الطلب","يوجد رصيد كافى")</f>
        <v>يوجد رصيد كافى</v>
      </c>
    </row>
    <row r="1098" spans="7:14" x14ac:dyDescent="0.3">
      <c r="G1098" t="str">
        <f>IFERROR(IF(SUMIF(المشتريات!C:C, 'حركة المخزن'!B1098, المشتريات!F:F)=0,"",SUMIF(المشتريات!C:C, 'حركة المخزن'!B1098, المشتريات!F:F)),"")</f>
        <v/>
      </c>
      <c r="H1098" s="10" t="str">
        <f>IFERROR(IF(SUMIF(المشتريات!C:C, 'حركة المخزن'!B1098, المشتريات!I:I)=0,"",SUMIF(المشتريات!C:C, 'حركة المخزن'!B1098, المشتريات!I:I)),"")</f>
        <v/>
      </c>
      <c r="I1098" s="10" t="str">
        <f>IFERROR(IF(SUMIF('تحليل مبيعات'!C:C, 'حركة المخزن'!B1098, 'تحليل مبيعات'!H:H)=0,"",SUMIF('تحليل مبيعات'!C:C, 'حركة المخزن'!B1098, 'تحليل مبيعات'!H:H)),"")</f>
        <v/>
      </c>
      <c r="J1098" s="10" t="str">
        <f>IFERROR(IF(SUMIF('تحليل مبيعات'!C:C, 'حركة المخزن'!B1098, 'تحليل مبيعات'!L:L)=0,"",SUMIF('تحليل مبيعات'!C:C, 'حركة المخزن'!B1098, 'تحليل مبيعات'!L:L)),"")</f>
        <v/>
      </c>
      <c r="K1098" s="10" t="str">
        <f t="shared" si="57"/>
        <v/>
      </c>
      <c r="L1098" s="10" t="str">
        <f t="shared" si="58"/>
        <v/>
      </c>
      <c r="M1098">
        <v>5</v>
      </c>
      <c r="N1098" t="str">
        <f t="shared" si="59"/>
        <v>يوجد رصيد كافى</v>
      </c>
    </row>
    <row r="1099" spans="7:14" x14ac:dyDescent="0.3">
      <c r="G1099" t="str">
        <f>IFERROR(IF(SUMIF(المشتريات!C:C, 'حركة المخزن'!B1099, المشتريات!F:F)=0,"",SUMIF(المشتريات!C:C, 'حركة المخزن'!B1099, المشتريات!F:F)),"")</f>
        <v/>
      </c>
      <c r="H1099" s="10" t="str">
        <f>IFERROR(IF(SUMIF(المشتريات!C:C, 'حركة المخزن'!B1099, المشتريات!I:I)=0,"",SUMIF(المشتريات!C:C, 'حركة المخزن'!B1099, المشتريات!I:I)),"")</f>
        <v/>
      </c>
      <c r="I1099" s="10" t="str">
        <f>IFERROR(IF(SUMIF('تحليل مبيعات'!C:C, 'حركة المخزن'!B1099, 'تحليل مبيعات'!H:H)=0,"",SUMIF('تحليل مبيعات'!C:C, 'حركة المخزن'!B1099, 'تحليل مبيعات'!H:H)),"")</f>
        <v/>
      </c>
      <c r="J1099" s="10" t="str">
        <f>IFERROR(IF(SUMIF('تحليل مبيعات'!C:C, 'حركة المخزن'!B1099, 'تحليل مبيعات'!L:L)=0,"",SUMIF('تحليل مبيعات'!C:C, 'حركة المخزن'!B1099, 'تحليل مبيعات'!L:L)),"")</f>
        <v/>
      </c>
      <c r="K1099" s="10" t="str">
        <f t="shared" si="57"/>
        <v/>
      </c>
      <c r="L1099" s="10" t="str">
        <f t="shared" si="58"/>
        <v/>
      </c>
      <c r="M1099">
        <v>5</v>
      </c>
      <c r="N1099" t="str">
        <f t="shared" si="59"/>
        <v>يوجد رصيد كافى</v>
      </c>
    </row>
    <row r="1100" spans="7:14" x14ac:dyDescent="0.3">
      <c r="G1100" t="str">
        <f>IFERROR(IF(SUMIF(المشتريات!C:C, 'حركة المخزن'!B1100, المشتريات!F:F)=0,"",SUMIF(المشتريات!C:C, 'حركة المخزن'!B1100, المشتريات!F:F)),"")</f>
        <v/>
      </c>
      <c r="H1100" s="10" t="str">
        <f>IFERROR(IF(SUMIF(المشتريات!C:C, 'حركة المخزن'!B1100, المشتريات!I:I)=0,"",SUMIF(المشتريات!C:C, 'حركة المخزن'!B1100, المشتريات!I:I)),"")</f>
        <v/>
      </c>
      <c r="I1100" s="10" t="str">
        <f>IFERROR(IF(SUMIF('تحليل مبيعات'!C:C, 'حركة المخزن'!B1100, 'تحليل مبيعات'!H:H)=0,"",SUMIF('تحليل مبيعات'!C:C, 'حركة المخزن'!B1100, 'تحليل مبيعات'!H:H)),"")</f>
        <v/>
      </c>
      <c r="J1100" s="10" t="str">
        <f>IFERROR(IF(SUMIF('تحليل مبيعات'!C:C, 'حركة المخزن'!B1100, 'تحليل مبيعات'!L:L)=0,"",SUMIF('تحليل مبيعات'!C:C, 'حركة المخزن'!B1100, 'تحليل مبيعات'!L:L)),"")</f>
        <v/>
      </c>
      <c r="K1100" s="10" t="str">
        <f t="shared" si="57"/>
        <v/>
      </c>
      <c r="L1100" s="10" t="str">
        <f t="shared" si="58"/>
        <v/>
      </c>
      <c r="M1100">
        <v>5</v>
      </c>
      <c r="N1100" t="str">
        <f t="shared" si="59"/>
        <v>يوجد رصيد كافى</v>
      </c>
    </row>
    <row r="1101" spans="7:14" x14ac:dyDescent="0.3">
      <c r="G1101" t="str">
        <f>IFERROR(IF(SUMIF(المشتريات!C:C, 'حركة المخزن'!B1101, المشتريات!F:F)=0,"",SUMIF(المشتريات!C:C, 'حركة المخزن'!B1101, المشتريات!F:F)),"")</f>
        <v/>
      </c>
      <c r="H1101" s="10" t="str">
        <f>IFERROR(IF(SUMIF(المشتريات!C:C, 'حركة المخزن'!B1101, المشتريات!I:I)=0,"",SUMIF(المشتريات!C:C, 'حركة المخزن'!B1101, المشتريات!I:I)),"")</f>
        <v/>
      </c>
      <c r="I1101" s="10" t="str">
        <f>IFERROR(IF(SUMIF('تحليل مبيعات'!C:C, 'حركة المخزن'!B1101, 'تحليل مبيعات'!H:H)=0,"",SUMIF('تحليل مبيعات'!C:C, 'حركة المخزن'!B1101, 'تحليل مبيعات'!H:H)),"")</f>
        <v/>
      </c>
      <c r="J1101" s="10" t="str">
        <f>IFERROR(IF(SUMIF('تحليل مبيعات'!C:C, 'حركة المخزن'!B1101, 'تحليل مبيعات'!L:L)=0,"",SUMIF('تحليل مبيعات'!C:C, 'حركة المخزن'!B1101, 'تحليل مبيعات'!L:L)),"")</f>
        <v/>
      </c>
      <c r="K1101" s="10" t="str">
        <f t="shared" si="57"/>
        <v/>
      </c>
      <c r="L1101" s="10" t="str">
        <f t="shared" si="58"/>
        <v/>
      </c>
      <c r="M1101">
        <v>5</v>
      </c>
      <c r="N1101" t="str">
        <f t="shared" si="59"/>
        <v>يوجد رصيد كافى</v>
      </c>
    </row>
    <row r="1102" spans="7:14" x14ac:dyDescent="0.3">
      <c r="G1102" t="str">
        <f>IFERROR(IF(SUMIF(المشتريات!C:C, 'حركة المخزن'!B1102, المشتريات!F:F)=0,"",SUMIF(المشتريات!C:C, 'حركة المخزن'!B1102, المشتريات!F:F)),"")</f>
        <v/>
      </c>
      <c r="H1102" s="10" t="str">
        <f>IFERROR(IF(SUMIF(المشتريات!C:C, 'حركة المخزن'!B1102, المشتريات!I:I)=0,"",SUMIF(المشتريات!C:C, 'حركة المخزن'!B1102, المشتريات!I:I)),"")</f>
        <v/>
      </c>
      <c r="I1102" s="10" t="str">
        <f>IFERROR(IF(SUMIF('تحليل مبيعات'!C:C, 'حركة المخزن'!B1102, 'تحليل مبيعات'!H:H)=0,"",SUMIF('تحليل مبيعات'!C:C, 'حركة المخزن'!B1102, 'تحليل مبيعات'!H:H)),"")</f>
        <v/>
      </c>
      <c r="J1102" s="10" t="str">
        <f>IFERROR(IF(SUMIF('تحليل مبيعات'!C:C, 'حركة المخزن'!B1102, 'تحليل مبيعات'!L:L)=0,"",SUMIF('تحليل مبيعات'!C:C, 'حركة المخزن'!B1102, 'تحليل مبيعات'!L:L)),"")</f>
        <v/>
      </c>
      <c r="K1102" s="10" t="str">
        <f t="shared" si="57"/>
        <v/>
      </c>
      <c r="L1102" s="10" t="str">
        <f t="shared" si="58"/>
        <v/>
      </c>
      <c r="M1102">
        <v>5</v>
      </c>
      <c r="N1102" t="str">
        <f t="shared" si="59"/>
        <v>يوجد رصيد كافى</v>
      </c>
    </row>
    <row r="1103" spans="7:14" x14ac:dyDescent="0.3">
      <c r="G1103" t="str">
        <f>IFERROR(IF(SUMIF(المشتريات!C:C, 'حركة المخزن'!B1103, المشتريات!F:F)=0,"",SUMIF(المشتريات!C:C, 'حركة المخزن'!B1103, المشتريات!F:F)),"")</f>
        <v/>
      </c>
      <c r="H1103" s="10" t="str">
        <f>IFERROR(IF(SUMIF(المشتريات!C:C, 'حركة المخزن'!B1103, المشتريات!I:I)=0,"",SUMIF(المشتريات!C:C, 'حركة المخزن'!B1103, المشتريات!I:I)),"")</f>
        <v/>
      </c>
      <c r="I1103" s="10" t="str">
        <f>IFERROR(IF(SUMIF('تحليل مبيعات'!C:C, 'حركة المخزن'!B1103, 'تحليل مبيعات'!H:H)=0,"",SUMIF('تحليل مبيعات'!C:C, 'حركة المخزن'!B1103, 'تحليل مبيعات'!H:H)),"")</f>
        <v/>
      </c>
      <c r="J1103" s="10" t="str">
        <f>IFERROR(IF(SUMIF('تحليل مبيعات'!C:C, 'حركة المخزن'!B1103, 'تحليل مبيعات'!L:L)=0,"",SUMIF('تحليل مبيعات'!C:C, 'حركة المخزن'!B1103, 'تحليل مبيعات'!L:L)),"")</f>
        <v/>
      </c>
      <c r="K1103" s="10" t="str">
        <f t="shared" si="57"/>
        <v/>
      </c>
      <c r="L1103" s="10" t="str">
        <f t="shared" si="58"/>
        <v/>
      </c>
      <c r="M1103">
        <v>5</v>
      </c>
      <c r="N1103" t="str">
        <f t="shared" si="59"/>
        <v>يوجد رصيد كافى</v>
      </c>
    </row>
    <row r="1104" spans="7:14" x14ac:dyDescent="0.3">
      <c r="G1104" t="str">
        <f>IFERROR(IF(SUMIF(المشتريات!C:C, 'حركة المخزن'!B1104, المشتريات!F:F)=0,"",SUMIF(المشتريات!C:C, 'حركة المخزن'!B1104, المشتريات!F:F)),"")</f>
        <v/>
      </c>
      <c r="H1104" s="10" t="str">
        <f>IFERROR(IF(SUMIF(المشتريات!C:C, 'حركة المخزن'!B1104, المشتريات!I:I)=0,"",SUMIF(المشتريات!C:C, 'حركة المخزن'!B1104, المشتريات!I:I)),"")</f>
        <v/>
      </c>
      <c r="I1104" s="10" t="str">
        <f>IFERROR(IF(SUMIF('تحليل مبيعات'!C:C, 'حركة المخزن'!B1104, 'تحليل مبيعات'!H:H)=0,"",SUMIF('تحليل مبيعات'!C:C, 'حركة المخزن'!B1104, 'تحليل مبيعات'!H:H)),"")</f>
        <v/>
      </c>
      <c r="J1104" s="10" t="str">
        <f>IFERROR(IF(SUMIF('تحليل مبيعات'!C:C, 'حركة المخزن'!B1104, 'تحليل مبيعات'!L:L)=0,"",SUMIF('تحليل مبيعات'!C:C, 'حركة المخزن'!B1104, 'تحليل مبيعات'!L:L)),"")</f>
        <v/>
      </c>
      <c r="K1104" s="10" t="str">
        <f t="shared" si="57"/>
        <v/>
      </c>
      <c r="L1104" s="10" t="str">
        <f t="shared" si="58"/>
        <v/>
      </c>
      <c r="M1104">
        <v>5</v>
      </c>
      <c r="N1104" t="str">
        <f t="shared" si="59"/>
        <v>يوجد رصيد كافى</v>
      </c>
    </row>
    <row r="1105" spans="7:14" x14ac:dyDescent="0.3">
      <c r="G1105" t="str">
        <f>IFERROR(IF(SUMIF(المشتريات!C:C, 'حركة المخزن'!B1105, المشتريات!F:F)=0,"",SUMIF(المشتريات!C:C, 'حركة المخزن'!B1105, المشتريات!F:F)),"")</f>
        <v/>
      </c>
      <c r="H1105" s="10" t="str">
        <f>IFERROR(IF(SUMIF(المشتريات!C:C, 'حركة المخزن'!B1105, المشتريات!I:I)=0,"",SUMIF(المشتريات!C:C, 'حركة المخزن'!B1105, المشتريات!I:I)),"")</f>
        <v/>
      </c>
      <c r="I1105" s="10" t="str">
        <f>IFERROR(IF(SUMIF('تحليل مبيعات'!C:C, 'حركة المخزن'!B1105, 'تحليل مبيعات'!H:H)=0,"",SUMIF('تحليل مبيعات'!C:C, 'حركة المخزن'!B1105, 'تحليل مبيعات'!H:H)),"")</f>
        <v/>
      </c>
      <c r="J1105" s="10" t="str">
        <f>IFERROR(IF(SUMIF('تحليل مبيعات'!C:C, 'حركة المخزن'!B1105, 'تحليل مبيعات'!L:L)=0,"",SUMIF('تحليل مبيعات'!C:C, 'حركة المخزن'!B1105, 'تحليل مبيعات'!L:L)),"")</f>
        <v/>
      </c>
      <c r="K1105" s="10" t="str">
        <f t="shared" si="57"/>
        <v/>
      </c>
      <c r="L1105" s="10" t="str">
        <f t="shared" si="58"/>
        <v/>
      </c>
      <c r="M1105">
        <v>5</v>
      </c>
      <c r="N1105" t="str">
        <f t="shared" si="59"/>
        <v>يوجد رصيد كافى</v>
      </c>
    </row>
    <row r="1106" spans="7:14" x14ac:dyDescent="0.3">
      <c r="G1106" t="str">
        <f>IFERROR(IF(SUMIF(المشتريات!C:C, 'حركة المخزن'!B1106, المشتريات!F:F)=0,"",SUMIF(المشتريات!C:C, 'حركة المخزن'!B1106, المشتريات!F:F)),"")</f>
        <v/>
      </c>
      <c r="H1106" s="10" t="str">
        <f>IFERROR(IF(SUMIF(المشتريات!C:C, 'حركة المخزن'!B1106, المشتريات!I:I)=0,"",SUMIF(المشتريات!C:C, 'حركة المخزن'!B1106, المشتريات!I:I)),"")</f>
        <v/>
      </c>
      <c r="I1106" s="10" t="str">
        <f>IFERROR(IF(SUMIF('تحليل مبيعات'!C:C, 'حركة المخزن'!B1106, 'تحليل مبيعات'!H:H)=0,"",SUMIF('تحليل مبيعات'!C:C, 'حركة المخزن'!B1106, 'تحليل مبيعات'!H:H)),"")</f>
        <v/>
      </c>
      <c r="J1106" s="10" t="str">
        <f>IFERROR(IF(SUMIF('تحليل مبيعات'!C:C, 'حركة المخزن'!B1106, 'تحليل مبيعات'!L:L)=0,"",SUMIF('تحليل مبيعات'!C:C, 'حركة المخزن'!B1106, 'تحليل مبيعات'!L:L)),"")</f>
        <v/>
      </c>
      <c r="K1106" s="10" t="str">
        <f t="shared" si="57"/>
        <v/>
      </c>
      <c r="L1106" s="10" t="str">
        <f t="shared" si="58"/>
        <v/>
      </c>
      <c r="M1106">
        <v>5</v>
      </c>
      <c r="N1106" t="str">
        <f t="shared" si="59"/>
        <v>يوجد رصيد كافى</v>
      </c>
    </row>
    <row r="1107" spans="7:14" x14ac:dyDescent="0.3">
      <c r="G1107" t="str">
        <f>IFERROR(IF(SUMIF(المشتريات!C:C, 'حركة المخزن'!B1107, المشتريات!F:F)=0,"",SUMIF(المشتريات!C:C, 'حركة المخزن'!B1107, المشتريات!F:F)),"")</f>
        <v/>
      </c>
      <c r="H1107" s="10" t="str">
        <f>IFERROR(IF(SUMIF(المشتريات!C:C, 'حركة المخزن'!B1107, المشتريات!I:I)=0,"",SUMIF(المشتريات!C:C, 'حركة المخزن'!B1107, المشتريات!I:I)),"")</f>
        <v/>
      </c>
      <c r="I1107" s="10" t="str">
        <f>IFERROR(IF(SUMIF('تحليل مبيعات'!C:C, 'حركة المخزن'!B1107, 'تحليل مبيعات'!H:H)=0,"",SUMIF('تحليل مبيعات'!C:C, 'حركة المخزن'!B1107, 'تحليل مبيعات'!H:H)),"")</f>
        <v/>
      </c>
      <c r="J1107" s="10" t="str">
        <f>IFERROR(IF(SUMIF('تحليل مبيعات'!C:C, 'حركة المخزن'!B1107, 'تحليل مبيعات'!L:L)=0,"",SUMIF('تحليل مبيعات'!C:C, 'حركة المخزن'!B1107, 'تحليل مبيعات'!L:L)),"")</f>
        <v/>
      </c>
      <c r="K1107" s="10" t="str">
        <f t="shared" si="57"/>
        <v/>
      </c>
      <c r="L1107" s="10" t="str">
        <f t="shared" si="58"/>
        <v/>
      </c>
      <c r="M1107">
        <v>5</v>
      </c>
      <c r="N1107" t="str">
        <f t="shared" si="59"/>
        <v>يوجد رصيد كافى</v>
      </c>
    </row>
    <row r="1108" spans="7:14" x14ac:dyDescent="0.3">
      <c r="G1108" t="str">
        <f>IFERROR(IF(SUMIF(المشتريات!C:C, 'حركة المخزن'!B1108, المشتريات!F:F)=0,"",SUMIF(المشتريات!C:C, 'حركة المخزن'!B1108, المشتريات!F:F)),"")</f>
        <v/>
      </c>
      <c r="H1108" s="10" t="str">
        <f>IFERROR(IF(SUMIF(المشتريات!C:C, 'حركة المخزن'!B1108, المشتريات!I:I)=0,"",SUMIF(المشتريات!C:C, 'حركة المخزن'!B1108, المشتريات!I:I)),"")</f>
        <v/>
      </c>
      <c r="I1108" s="10" t="str">
        <f>IFERROR(IF(SUMIF('تحليل مبيعات'!C:C, 'حركة المخزن'!B1108, 'تحليل مبيعات'!H:H)=0,"",SUMIF('تحليل مبيعات'!C:C, 'حركة المخزن'!B1108, 'تحليل مبيعات'!H:H)),"")</f>
        <v/>
      </c>
      <c r="J1108" s="10" t="str">
        <f>IFERROR(IF(SUMIF('تحليل مبيعات'!C:C, 'حركة المخزن'!B1108, 'تحليل مبيعات'!L:L)=0,"",SUMIF('تحليل مبيعات'!C:C, 'حركة المخزن'!B1108, 'تحليل مبيعات'!L:L)),"")</f>
        <v/>
      </c>
      <c r="K1108" s="10" t="str">
        <f t="shared" si="57"/>
        <v/>
      </c>
      <c r="L1108" s="10" t="str">
        <f t="shared" si="58"/>
        <v/>
      </c>
      <c r="M1108">
        <v>5</v>
      </c>
      <c r="N1108" t="str">
        <f t="shared" si="59"/>
        <v>يوجد رصيد كافى</v>
      </c>
    </row>
    <row r="1109" spans="7:14" x14ac:dyDescent="0.3">
      <c r="G1109" t="str">
        <f>IFERROR(IF(SUMIF(المشتريات!C:C, 'حركة المخزن'!B1109, المشتريات!F:F)=0,"",SUMIF(المشتريات!C:C, 'حركة المخزن'!B1109, المشتريات!F:F)),"")</f>
        <v/>
      </c>
      <c r="H1109" s="10" t="str">
        <f>IFERROR(IF(SUMIF(المشتريات!C:C, 'حركة المخزن'!B1109, المشتريات!I:I)=0,"",SUMIF(المشتريات!C:C, 'حركة المخزن'!B1109, المشتريات!I:I)),"")</f>
        <v/>
      </c>
      <c r="I1109" s="10" t="str">
        <f>IFERROR(IF(SUMIF('تحليل مبيعات'!C:C, 'حركة المخزن'!B1109, 'تحليل مبيعات'!H:H)=0,"",SUMIF('تحليل مبيعات'!C:C, 'حركة المخزن'!B1109, 'تحليل مبيعات'!H:H)),"")</f>
        <v/>
      </c>
      <c r="J1109" s="10" t="str">
        <f>IFERROR(IF(SUMIF('تحليل مبيعات'!C:C, 'حركة المخزن'!B1109, 'تحليل مبيعات'!L:L)=0,"",SUMIF('تحليل مبيعات'!C:C, 'حركة المخزن'!B1109, 'تحليل مبيعات'!L:L)),"")</f>
        <v/>
      </c>
      <c r="K1109" s="10" t="str">
        <f t="shared" si="57"/>
        <v/>
      </c>
      <c r="L1109" s="10" t="str">
        <f t="shared" si="58"/>
        <v/>
      </c>
      <c r="M1109">
        <v>5</v>
      </c>
      <c r="N1109" t="str">
        <f t="shared" si="59"/>
        <v>يوجد رصيد كافى</v>
      </c>
    </row>
    <row r="1110" spans="7:14" x14ac:dyDescent="0.3">
      <c r="G1110" t="str">
        <f>IFERROR(IF(SUMIF(المشتريات!C:C, 'حركة المخزن'!B1110, المشتريات!F:F)=0,"",SUMIF(المشتريات!C:C, 'حركة المخزن'!B1110, المشتريات!F:F)),"")</f>
        <v/>
      </c>
      <c r="H1110" s="10" t="str">
        <f>IFERROR(IF(SUMIF(المشتريات!C:C, 'حركة المخزن'!B1110, المشتريات!I:I)=0,"",SUMIF(المشتريات!C:C, 'حركة المخزن'!B1110, المشتريات!I:I)),"")</f>
        <v/>
      </c>
      <c r="I1110" s="10" t="str">
        <f>IFERROR(IF(SUMIF('تحليل مبيعات'!C:C, 'حركة المخزن'!B1110, 'تحليل مبيعات'!H:H)=0,"",SUMIF('تحليل مبيعات'!C:C, 'حركة المخزن'!B1110, 'تحليل مبيعات'!H:H)),"")</f>
        <v/>
      </c>
      <c r="J1110" s="10" t="str">
        <f>IFERROR(IF(SUMIF('تحليل مبيعات'!C:C, 'حركة المخزن'!B1110, 'تحليل مبيعات'!L:L)=0,"",SUMIF('تحليل مبيعات'!C:C, 'حركة المخزن'!B1110, 'تحليل مبيعات'!L:L)),"")</f>
        <v/>
      </c>
      <c r="K1110" s="10" t="str">
        <f t="shared" si="57"/>
        <v/>
      </c>
      <c r="L1110" s="10" t="str">
        <f t="shared" si="58"/>
        <v/>
      </c>
      <c r="M1110">
        <v>5</v>
      </c>
      <c r="N1110" t="str">
        <f t="shared" si="59"/>
        <v>يوجد رصيد كافى</v>
      </c>
    </row>
    <row r="1111" spans="7:14" x14ac:dyDescent="0.3">
      <c r="G1111" t="str">
        <f>IFERROR(IF(SUMIF(المشتريات!C:C, 'حركة المخزن'!B1111, المشتريات!F:F)=0,"",SUMIF(المشتريات!C:C, 'حركة المخزن'!B1111, المشتريات!F:F)),"")</f>
        <v/>
      </c>
      <c r="H1111" s="10" t="str">
        <f>IFERROR(IF(SUMIF(المشتريات!C:C, 'حركة المخزن'!B1111, المشتريات!I:I)=0,"",SUMIF(المشتريات!C:C, 'حركة المخزن'!B1111, المشتريات!I:I)),"")</f>
        <v/>
      </c>
      <c r="I1111" s="10" t="str">
        <f>IFERROR(IF(SUMIF('تحليل مبيعات'!C:C, 'حركة المخزن'!B1111, 'تحليل مبيعات'!H:H)=0,"",SUMIF('تحليل مبيعات'!C:C, 'حركة المخزن'!B1111, 'تحليل مبيعات'!H:H)),"")</f>
        <v/>
      </c>
      <c r="J1111" s="10" t="str">
        <f>IFERROR(IF(SUMIF('تحليل مبيعات'!C:C, 'حركة المخزن'!B1111, 'تحليل مبيعات'!L:L)=0,"",SUMIF('تحليل مبيعات'!C:C, 'حركة المخزن'!B1111, 'تحليل مبيعات'!L:L)),"")</f>
        <v/>
      </c>
      <c r="K1111" s="10" t="str">
        <f t="shared" si="57"/>
        <v/>
      </c>
      <c r="L1111" s="10" t="str">
        <f t="shared" si="58"/>
        <v/>
      </c>
      <c r="M1111">
        <v>5</v>
      </c>
      <c r="N1111" t="str">
        <f t="shared" si="59"/>
        <v>يوجد رصيد كافى</v>
      </c>
    </row>
    <row r="1112" spans="7:14" x14ac:dyDescent="0.3">
      <c r="G1112" t="str">
        <f>IFERROR(IF(SUMIF(المشتريات!C:C, 'حركة المخزن'!B1112, المشتريات!F:F)=0,"",SUMIF(المشتريات!C:C, 'حركة المخزن'!B1112, المشتريات!F:F)),"")</f>
        <v/>
      </c>
      <c r="H1112" s="10" t="str">
        <f>IFERROR(IF(SUMIF(المشتريات!C:C, 'حركة المخزن'!B1112, المشتريات!I:I)=0,"",SUMIF(المشتريات!C:C, 'حركة المخزن'!B1112, المشتريات!I:I)),"")</f>
        <v/>
      </c>
      <c r="I1112" s="10" t="str">
        <f>IFERROR(IF(SUMIF('تحليل مبيعات'!C:C, 'حركة المخزن'!B1112, 'تحليل مبيعات'!H:H)=0,"",SUMIF('تحليل مبيعات'!C:C, 'حركة المخزن'!B1112, 'تحليل مبيعات'!H:H)),"")</f>
        <v/>
      </c>
      <c r="J1112" s="10" t="str">
        <f>IFERROR(IF(SUMIF('تحليل مبيعات'!C:C, 'حركة المخزن'!B1112, 'تحليل مبيعات'!L:L)=0,"",SUMIF('تحليل مبيعات'!C:C, 'حركة المخزن'!B1112, 'تحليل مبيعات'!L:L)),"")</f>
        <v/>
      </c>
      <c r="K1112" s="10" t="str">
        <f t="shared" si="57"/>
        <v/>
      </c>
      <c r="L1112" s="10" t="str">
        <f t="shared" si="58"/>
        <v/>
      </c>
      <c r="M1112">
        <v>5</v>
      </c>
      <c r="N1112" t="str">
        <f t="shared" si="59"/>
        <v>يوجد رصيد كافى</v>
      </c>
    </row>
    <row r="1113" spans="7:14" x14ac:dyDescent="0.3">
      <c r="G1113" t="str">
        <f>IFERROR(IF(SUMIF(المشتريات!C:C, 'حركة المخزن'!B1113, المشتريات!F:F)=0,"",SUMIF(المشتريات!C:C, 'حركة المخزن'!B1113, المشتريات!F:F)),"")</f>
        <v/>
      </c>
      <c r="H1113" s="10" t="str">
        <f>IFERROR(IF(SUMIF(المشتريات!C:C, 'حركة المخزن'!B1113, المشتريات!I:I)=0,"",SUMIF(المشتريات!C:C, 'حركة المخزن'!B1113, المشتريات!I:I)),"")</f>
        <v/>
      </c>
      <c r="I1113" s="10" t="str">
        <f>IFERROR(IF(SUMIF('تحليل مبيعات'!C:C, 'حركة المخزن'!B1113, 'تحليل مبيعات'!H:H)=0,"",SUMIF('تحليل مبيعات'!C:C, 'حركة المخزن'!B1113, 'تحليل مبيعات'!H:H)),"")</f>
        <v/>
      </c>
      <c r="J1113" s="10" t="str">
        <f>IFERROR(IF(SUMIF('تحليل مبيعات'!C:C, 'حركة المخزن'!B1113, 'تحليل مبيعات'!L:L)=0,"",SUMIF('تحليل مبيعات'!C:C, 'حركة المخزن'!B1113, 'تحليل مبيعات'!L:L)),"")</f>
        <v/>
      </c>
      <c r="K1113" s="10" t="str">
        <f t="shared" si="57"/>
        <v/>
      </c>
      <c r="L1113" s="10" t="str">
        <f t="shared" si="58"/>
        <v/>
      </c>
      <c r="M1113">
        <v>5</v>
      </c>
      <c r="N1113" t="str">
        <f t="shared" si="59"/>
        <v>يوجد رصيد كافى</v>
      </c>
    </row>
    <row r="1114" spans="7:14" x14ac:dyDescent="0.3">
      <c r="G1114" t="str">
        <f>IFERROR(IF(SUMIF(المشتريات!C:C, 'حركة المخزن'!B1114, المشتريات!F:F)=0,"",SUMIF(المشتريات!C:C, 'حركة المخزن'!B1114, المشتريات!F:F)),"")</f>
        <v/>
      </c>
      <c r="H1114" s="10" t="str">
        <f>IFERROR(IF(SUMIF(المشتريات!C:C, 'حركة المخزن'!B1114, المشتريات!I:I)=0,"",SUMIF(المشتريات!C:C, 'حركة المخزن'!B1114, المشتريات!I:I)),"")</f>
        <v/>
      </c>
      <c r="I1114" s="10" t="str">
        <f>IFERROR(IF(SUMIF('تحليل مبيعات'!C:C, 'حركة المخزن'!B1114, 'تحليل مبيعات'!H:H)=0,"",SUMIF('تحليل مبيعات'!C:C, 'حركة المخزن'!B1114, 'تحليل مبيعات'!H:H)),"")</f>
        <v/>
      </c>
      <c r="J1114" s="10" t="str">
        <f>IFERROR(IF(SUMIF('تحليل مبيعات'!C:C, 'حركة المخزن'!B1114, 'تحليل مبيعات'!L:L)=0,"",SUMIF('تحليل مبيعات'!C:C, 'حركة المخزن'!B1114, 'تحليل مبيعات'!L:L)),"")</f>
        <v/>
      </c>
      <c r="K1114" s="10" t="str">
        <f t="shared" si="57"/>
        <v/>
      </c>
      <c r="L1114" s="10" t="str">
        <f t="shared" si="58"/>
        <v/>
      </c>
      <c r="M1114">
        <v>5</v>
      </c>
      <c r="N1114" t="str">
        <f t="shared" si="59"/>
        <v>يوجد رصيد كافى</v>
      </c>
    </row>
    <row r="1115" spans="7:14" x14ac:dyDescent="0.3">
      <c r="G1115" t="str">
        <f>IFERROR(IF(SUMIF(المشتريات!C:C, 'حركة المخزن'!B1115, المشتريات!F:F)=0,"",SUMIF(المشتريات!C:C, 'حركة المخزن'!B1115, المشتريات!F:F)),"")</f>
        <v/>
      </c>
      <c r="H1115" s="10" t="str">
        <f>IFERROR(IF(SUMIF(المشتريات!C:C, 'حركة المخزن'!B1115, المشتريات!I:I)=0,"",SUMIF(المشتريات!C:C, 'حركة المخزن'!B1115, المشتريات!I:I)),"")</f>
        <v/>
      </c>
      <c r="I1115" s="10" t="str">
        <f>IFERROR(IF(SUMIF('تحليل مبيعات'!C:C, 'حركة المخزن'!B1115, 'تحليل مبيعات'!H:H)=0,"",SUMIF('تحليل مبيعات'!C:C, 'حركة المخزن'!B1115, 'تحليل مبيعات'!H:H)),"")</f>
        <v/>
      </c>
      <c r="J1115" s="10" t="str">
        <f>IFERROR(IF(SUMIF('تحليل مبيعات'!C:C, 'حركة المخزن'!B1115, 'تحليل مبيعات'!L:L)=0,"",SUMIF('تحليل مبيعات'!C:C, 'حركة المخزن'!B1115, 'تحليل مبيعات'!L:L)),"")</f>
        <v/>
      </c>
      <c r="K1115" s="10" t="str">
        <f t="shared" si="57"/>
        <v/>
      </c>
      <c r="L1115" s="10" t="str">
        <f t="shared" si="58"/>
        <v/>
      </c>
      <c r="M1115">
        <v>5</v>
      </c>
      <c r="N1115" t="str">
        <f t="shared" si="59"/>
        <v>يوجد رصيد كافى</v>
      </c>
    </row>
    <row r="1116" spans="7:14" x14ac:dyDescent="0.3">
      <c r="G1116" t="str">
        <f>IFERROR(IF(SUMIF(المشتريات!C:C, 'حركة المخزن'!B1116, المشتريات!F:F)=0,"",SUMIF(المشتريات!C:C, 'حركة المخزن'!B1116, المشتريات!F:F)),"")</f>
        <v/>
      </c>
      <c r="H1116" s="10" t="str">
        <f>IFERROR(IF(SUMIF(المشتريات!C:C, 'حركة المخزن'!B1116, المشتريات!I:I)=0,"",SUMIF(المشتريات!C:C, 'حركة المخزن'!B1116, المشتريات!I:I)),"")</f>
        <v/>
      </c>
      <c r="I1116" s="10" t="str">
        <f>IFERROR(IF(SUMIF('تحليل مبيعات'!C:C, 'حركة المخزن'!B1116, 'تحليل مبيعات'!H:H)=0,"",SUMIF('تحليل مبيعات'!C:C, 'حركة المخزن'!B1116, 'تحليل مبيعات'!H:H)),"")</f>
        <v/>
      </c>
      <c r="J1116" s="10" t="str">
        <f>IFERROR(IF(SUMIF('تحليل مبيعات'!C:C, 'حركة المخزن'!B1116, 'تحليل مبيعات'!L:L)=0,"",SUMIF('تحليل مبيعات'!C:C, 'حركة المخزن'!B1116, 'تحليل مبيعات'!L:L)),"")</f>
        <v/>
      </c>
      <c r="K1116" s="10" t="str">
        <f t="shared" si="57"/>
        <v/>
      </c>
      <c r="L1116" s="10" t="str">
        <f t="shared" si="58"/>
        <v/>
      </c>
      <c r="M1116">
        <v>5</v>
      </c>
      <c r="N1116" t="str">
        <f t="shared" si="59"/>
        <v>يوجد رصيد كافى</v>
      </c>
    </row>
    <row r="1117" spans="7:14" x14ac:dyDescent="0.3">
      <c r="G1117" t="str">
        <f>IFERROR(IF(SUMIF(المشتريات!C:C, 'حركة المخزن'!B1117, المشتريات!F:F)=0,"",SUMIF(المشتريات!C:C, 'حركة المخزن'!B1117, المشتريات!F:F)),"")</f>
        <v/>
      </c>
      <c r="H1117" s="10" t="str">
        <f>IFERROR(IF(SUMIF(المشتريات!C:C, 'حركة المخزن'!B1117, المشتريات!I:I)=0,"",SUMIF(المشتريات!C:C, 'حركة المخزن'!B1117, المشتريات!I:I)),"")</f>
        <v/>
      </c>
      <c r="I1117" s="10" t="str">
        <f>IFERROR(IF(SUMIF('تحليل مبيعات'!C:C, 'حركة المخزن'!B1117, 'تحليل مبيعات'!H:H)=0,"",SUMIF('تحليل مبيعات'!C:C, 'حركة المخزن'!B1117, 'تحليل مبيعات'!H:H)),"")</f>
        <v/>
      </c>
      <c r="J1117" s="10" t="str">
        <f>IFERROR(IF(SUMIF('تحليل مبيعات'!C:C, 'حركة المخزن'!B1117, 'تحليل مبيعات'!L:L)=0,"",SUMIF('تحليل مبيعات'!C:C, 'حركة المخزن'!B1117, 'تحليل مبيعات'!L:L)),"")</f>
        <v/>
      </c>
      <c r="K1117" s="10" t="str">
        <f t="shared" si="57"/>
        <v/>
      </c>
      <c r="L1117" s="10" t="str">
        <f t="shared" si="58"/>
        <v/>
      </c>
      <c r="M1117">
        <v>5</v>
      </c>
      <c r="N1117" t="str">
        <f t="shared" si="59"/>
        <v>يوجد رصيد كافى</v>
      </c>
    </row>
  </sheetData>
  <mergeCells count="4">
    <mergeCell ref="E6:F6"/>
    <mergeCell ref="G6:H6"/>
    <mergeCell ref="I6:J6"/>
    <mergeCell ref="K6:L6"/>
  </mergeCells>
  <phoneticPr fontId="28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E3995B-8D87-47B0-BECA-82E4D47CC5B1}">
          <x14:formula1>
            <xm:f>الاعدادات!$A:$A</xm:f>
          </x14:formula1>
          <xm:sqref>B8:B429</xm:sqref>
        </x14:dataValidation>
        <x14:dataValidation type="list" allowBlank="1" showInputMessage="1" showErrorMessage="1" xr:uid="{FFF0D297-7AA2-41D1-BF1B-0838D696A1B0}">
          <x14:formula1>
            <xm:f>الاعدادات!$B:$B</xm:f>
          </x14:formula1>
          <xm:sqref>D8:D429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2255-C11B-4B9F-BDFE-BB7B90FA55CE}">
  <dimension ref="B1:AP3607"/>
  <sheetViews>
    <sheetView rightToLeft="1" zoomScale="106" workbookViewId="0"/>
  </sheetViews>
  <sheetFormatPr defaultRowHeight="14.4" x14ac:dyDescent="0.3"/>
  <cols>
    <col min="2" max="2" width="14.88671875" style="125" customWidth="1"/>
    <col min="3" max="3" width="67.44140625" bestFit="1" customWidth="1"/>
    <col min="4" max="5" width="20.21875" customWidth="1"/>
    <col min="6" max="6" width="17.88671875" customWidth="1"/>
    <col min="7" max="8" width="19.21875" customWidth="1"/>
    <col min="9" max="9" width="20.44140625" customWidth="1"/>
    <col min="10" max="11" width="18.44140625" customWidth="1"/>
    <col min="12" max="12" width="18.33203125" customWidth="1"/>
    <col min="14" max="14" width="11.109375" bestFit="1" customWidth="1"/>
    <col min="23" max="23" width="8.88671875" style="7"/>
    <col min="41" max="41" width="15.44140625" bestFit="1" customWidth="1"/>
    <col min="42" max="42" width="10.77734375" bestFit="1" customWidth="1"/>
  </cols>
  <sheetData>
    <row r="1" spans="2:42" ht="28.5" customHeight="1" x14ac:dyDescent="0.3">
      <c r="B1" s="126" t="s">
        <v>4</v>
      </c>
      <c r="C1" s="37" t="s">
        <v>228</v>
      </c>
      <c r="D1" s="37" t="s">
        <v>218</v>
      </c>
      <c r="E1" s="37" t="s">
        <v>239</v>
      </c>
      <c r="F1" s="37" t="s">
        <v>3</v>
      </c>
      <c r="G1" s="37" t="s">
        <v>237</v>
      </c>
      <c r="H1" s="37" t="s">
        <v>240</v>
      </c>
      <c r="I1" s="37" t="s">
        <v>238</v>
      </c>
      <c r="J1" s="37" t="s">
        <v>245</v>
      </c>
      <c r="K1" s="37" t="s">
        <v>242</v>
      </c>
      <c r="L1" s="37" t="s">
        <v>241</v>
      </c>
      <c r="W1" s="116" t="s">
        <v>244</v>
      </c>
      <c r="AO1" s="109" t="s">
        <v>228</v>
      </c>
      <c r="AP1" t="s">
        <v>447</v>
      </c>
    </row>
    <row r="2" spans="2:42" ht="15.6" x14ac:dyDescent="0.3">
      <c r="B2" s="127" cm="1">
        <f t="array" ref="B2:B3">_xlfn._xlws.FILTER('دفتر اليومية'!B:B,'دفتر اليومية'!E:E="مشتريات")</f>
        <v>45871</v>
      </c>
      <c r="C2" s="70" t="str" cm="1">
        <f t="array" ref="C2:C3">_xlfn._xlws.FILTER('دفتر اليومية'!D:D,'دفتر اليومية'!E:E="مشتريات")</f>
        <v>بطارية كلورايد 70 نسر</v>
      </c>
      <c r="D2" s="10" cm="1">
        <f t="array" ref="D2:D3">_xlfn._xlws.FILTER('دفتر اليومية'!G:G,'دفتر اليومية'!E:E="مشتريات")</f>
        <v>458885</v>
      </c>
      <c r="E2" s="10" t="str" cm="1">
        <f t="array" ref="E2:E3">_xlfn._xlws.FILTER('دفتر اليومية'!H:H,'دفتر اليومية'!E:E="مشتريات")</f>
        <v>Client 20</v>
      </c>
      <c r="F2" s="38" cm="1">
        <f t="array" ref="F2:F3">_xlfn._xlws.FILTER('دفتر اليومية'!I:I,'دفتر اليومية'!E:E="مشتريات")</f>
        <v>5</v>
      </c>
      <c r="G2" s="38" cm="1">
        <f t="array" ref="G2:G3">_xlfn._xlws.FILTER('دفتر اليومية'!J:J,'دفتر اليومية'!E:E="مشتريات")</f>
        <v>150</v>
      </c>
      <c r="H2" s="38"/>
      <c r="I2" s="38">
        <f>F2*G2+H2</f>
        <v>750</v>
      </c>
      <c r="J2" s="38">
        <f>H2/F2</f>
        <v>0</v>
      </c>
      <c r="K2" s="39"/>
      <c r="L2" s="38"/>
      <c r="W2" s="7" t="str">
        <f>IF(B2="","",TEXT(B2,"mmm"))</f>
        <v>Aug</v>
      </c>
      <c r="AO2" s="110" t="s">
        <v>160</v>
      </c>
      <c r="AP2" s="111">
        <v>2000</v>
      </c>
    </row>
    <row r="3" spans="2:42" ht="15.6" x14ac:dyDescent="0.3">
      <c r="B3" s="127">
        <v>45784</v>
      </c>
      <c r="C3" s="70" t="str">
        <v>اكصدام امامى</v>
      </c>
      <c r="D3" s="10">
        <v>458886</v>
      </c>
      <c r="E3" s="10" t="str">
        <v>Client 20</v>
      </c>
      <c r="F3" s="38">
        <v>10</v>
      </c>
      <c r="G3" s="38">
        <v>200</v>
      </c>
      <c r="H3" s="38"/>
      <c r="I3" s="38">
        <f>F3*G3+H3</f>
        <v>2000</v>
      </c>
      <c r="J3" s="38">
        <f>IFERROR(H3/F3,"")</f>
        <v>0</v>
      </c>
      <c r="K3" s="38"/>
      <c r="L3" s="38"/>
      <c r="W3" s="7" t="str">
        <f t="shared" ref="W3:W66" si="0">IF(B3="","",TEXT(B3,"mmm"))</f>
        <v>May</v>
      </c>
      <c r="AO3" s="110" t="s">
        <v>60</v>
      </c>
      <c r="AP3" s="111">
        <v>750</v>
      </c>
    </row>
    <row r="4" spans="2:42" ht="15.6" x14ac:dyDescent="0.3">
      <c r="B4" s="127"/>
      <c r="C4" s="70"/>
      <c r="D4" s="10"/>
      <c r="E4" s="10"/>
      <c r="F4" s="38"/>
      <c r="G4" s="38"/>
      <c r="H4" s="38"/>
      <c r="I4" s="38">
        <f t="shared" ref="I4:I17" si="1">F4*G4+H4</f>
        <v>0</v>
      </c>
      <c r="J4" s="38" t="str">
        <f t="shared" ref="J4:J17" si="2">IFERROR(H4/F4,"")</f>
        <v/>
      </c>
      <c r="K4" s="38"/>
      <c r="L4" s="38"/>
      <c r="W4" s="7" t="str">
        <f t="shared" si="0"/>
        <v/>
      </c>
      <c r="AO4" s="110" t="s">
        <v>419</v>
      </c>
      <c r="AP4" s="111">
        <v>2750</v>
      </c>
    </row>
    <row r="5" spans="2:42" ht="15.6" x14ac:dyDescent="0.3">
      <c r="B5" s="127"/>
      <c r="C5" s="70"/>
      <c r="D5" s="10"/>
      <c r="E5" s="10"/>
      <c r="F5" s="38"/>
      <c r="G5" s="38"/>
      <c r="H5" s="38"/>
      <c r="I5" s="38">
        <f t="shared" si="1"/>
        <v>0</v>
      </c>
      <c r="J5" s="38" t="str">
        <f t="shared" si="2"/>
        <v/>
      </c>
      <c r="K5" s="38"/>
      <c r="L5" s="38"/>
      <c r="W5" s="7" t="str">
        <f t="shared" si="0"/>
        <v/>
      </c>
    </row>
    <row r="6" spans="2:42" ht="15.6" x14ac:dyDescent="0.3">
      <c r="B6" s="127"/>
      <c r="C6" s="70"/>
      <c r="D6" s="10"/>
      <c r="E6" s="10"/>
      <c r="F6" s="38"/>
      <c r="G6" s="38"/>
      <c r="H6" s="38"/>
      <c r="I6" s="38">
        <f t="shared" si="1"/>
        <v>0</v>
      </c>
      <c r="J6" s="38" t="str">
        <f t="shared" si="2"/>
        <v/>
      </c>
      <c r="K6" s="38"/>
      <c r="L6" s="38"/>
      <c r="W6" s="7" t="str">
        <f t="shared" si="0"/>
        <v/>
      </c>
    </row>
    <row r="7" spans="2:42" ht="15.6" x14ac:dyDescent="0.3">
      <c r="B7" s="127"/>
      <c r="C7" s="70"/>
      <c r="D7" s="10"/>
      <c r="E7" s="10"/>
      <c r="F7" s="38"/>
      <c r="G7" s="38"/>
      <c r="H7" s="38"/>
      <c r="I7" s="38">
        <f t="shared" si="1"/>
        <v>0</v>
      </c>
      <c r="J7" s="38" t="str">
        <f t="shared" si="2"/>
        <v/>
      </c>
      <c r="K7" s="38"/>
      <c r="L7" s="38"/>
      <c r="N7" s="8">
        <v>500000</v>
      </c>
      <c r="W7" s="7" t="str">
        <f t="shared" si="0"/>
        <v/>
      </c>
    </row>
    <row r="8" spans="2:42" ht="15.6" x14ac:dyDescent="0.3">
      <c r="B8" s="127"/>
      <c r="C8" s="70"/>
      <c r="D8" s="10"/>
      <c r="E8" s="10"/>
      <c r="F8" s="38"/>
      <c r="G8" s="38"/>
      <c r="H8" s="38"/>
      <c r="I8" s="38">
        <f t="shared" si="1"/>
        <v>0</v>
      </c>
      <c r="J8" s="38" t="str">
        <f t="shared" si="2"/>
        <v/>
      </c>
      <c r="K8" s="38"/>
      <c r="L8" s="38"/>
      <c r="N8" s="8">
        <v>38000</v>
      </c>
      <c r="W8" s="7" t="str">
        <f t="shared" si="0"/>
        <v/>
      </c>
    </row>
    <row r="9" spans="2:42" ht="15.6" x14ac:dyDescent="0.3">
      <c r="B9" s="127"/>
      <c r="C9" s="70"/>
      <c r="D9" s="10"/>
      <c r="E9" s="10"/>
      <c r="F9" s="38"/>
      <c r="G9" s="38"/>
      <c r="H9" s="38"/>
      <c r="I9" s="38">
        <f t="shared" si="1"/>
        <v>0</v>
      </c>
      <c r="J9" s="38" t="str">
        <f t="shared" si="2"/>
        <v/>
      </c>
      <c r="K9" s="38"/>
      <c r="L9" s="38"/>
      <c r="N9" s="40">
        <f>N8/N7</f>
        <v>7.5999999999999998E-2</v>
      </c>
      <c r="W9" s="7" t="str">
        <f t="shared" si="0"/>
        <v/>
      </c>
    </row>
    <row r="10" spans="2:42" ht="15.6" x14ac:dyDescent="0.3">
      <c r="B10" s="127"/>
      <c r="C10" s="70"/>
      <c r="D10" s="10"/>
      <c r="E10" s="10"/>
      <c r="F10" s="38"/>
      <c r="G10" s="38"/>
      <c r="H10" s="38"/>
      <c r="I10" s="38">
        <f t="shared" si="1"/>
        <v>0</v>
      </c>
      <c r="J10" s="38" t="str">
        <f t="shared" si="2"/>
        <v/>
      </c>
      <c r="K10" s="38"/>
      <c r="L10" s="38"/>
      <c r="N10" s="42">
        <f>N7*5%</f>
        <v>25000</v>
      </c>
      <c r="W10" s="7" t="str">
        <f t="shared" si="0"/>
        <v/>
      </c>
    </row>
    <row r="11" spans="2:42" ht="15.6" x14ac:dyDescent="0.3">
      <c r="B11" s="127"/>
      <c r="C11" s="70"/>
      <c r="D11" s="10"/>
      <c r="E11" s="10"/>
      <c r="F11" s="38"/>
      <c r="G11" s="38"/>
      <c r="H11" s="38"/>
      <c r="I11" s="38">
        <f t="shared" si="1"/>
        <v>0</v>
      </c>
      <c r="J11" s="38" t="str">
        <f t="shared" si="2"/>
        <v/>
      </c>
      <c r="K11" s="38"/>
      <c r="L11" s="38"/>
      <c r="N11">
        <v>30000</v>
      </c>
      <c r="W11" s="7" t="str">
        <f t="shared" si="0"/>
        <v/>
      </c>
    </row>
    <row r="12" spans="2:42" ht="15.6" x14ac:dyDescent="0.3">
      <c r="B12" s="127"/>
      <c r="C12" s="70"/>
      <c r="D12" s="10"/>
      <c r="E12" s="10"/>
      <c r="F12" s="38"/>
      <c r="G12" s="38"/>
      <c r="H12" s="38"/>
      <c r="I12" s="38">
        <f t="shared" si="1"/>
        <v>0</v>
      </c>
      <c r="J12" s="38" t="str">
        <f t="shared" si="2"/>
        <v/>
      </c>
      <c r="K12" s="38"/>
      <c r="L12" s="38"/>
      <c r="N12" s="41">
        <f>N11/N7</f>
        <v>0.06</v>
      </c>
      <c r="W12" s="7" t="str">
        <f t="shared" si="0"/>
        <v/>
      </c>
    </row>
    <row r="13" spans="2:42" ht="15.6" x14ac:dyDescent="0.3">
      <c r="B13" s="127"/>
      <c r="C13" s="70"/>
      <c r="D13" s="10"/>
      <c r="E13" s="10"/>
      <c r="F13" s="38"/>
      <c r="G13" s="38"/>
      <c r="H13" s="38"/>
      <c r="I13" s="38">
        <f t="shared" si="1"/>
        <v>0</v>
      </c>
      <c r="J13" s="38" t="str">
        <f t="shared" si="2"/>
        <v/>
      </c>
      <c r="K13" s="38"/>
      <c r="L13" s="38"/>
      <c r="W13" s="7" t="str">
        <f t="shared" si="0"/>
        <v/>
      </c>
    </row>
    <row r="14" spans="2:42" ht="15.6" x14ac:dyDescent="0.3">
      <c r="B14" s="127"/>
      <c r="C14" s="70"/>
      <c r="D14" s="10"/>
      <c r="E14" s="10"/>
      <c r="F14" s="38"/>
      <c r="G14" s="38"/>
      <c r="H14" s="38"/>
      <c r="I14" s="38">
        <f t="shared" si="1"/>
        <v>0</v>
      </c>
      <c r="J14" s="38" t="str">
        <f t="shared" si="2"/>
        <v/>
      </c>
      <c r="K14" s="38"/>
      <c r="L14" s="38"/>
      <c r="W14" s="7" t="str">
        <f t="shared" si="0"/>
        <v/>
      </c>
    </row>
    <row r="15" spans="2:42" ht="15.6" x14ac:dyDescent="0.3">
      <c r="B15" s="127"/>
      <c r="C15" s="70"/>
      <c r="D15" s="10"/>
      <c r="E15" s="10"/>
      <c r="F15" s="38"/>
      <c r="G15" s="38"/>
      <c r="H15" s="38"/>
      <c r="I15" s="38">
        <f t="shared" si="1"/>
        <v>0</v>
      </c>
      <c r="J15" s="38" t="str">
        <f t="shared" si="2"/>
        <v/>
      </c>
      <c r="K15" s="38"/>
      <c r="L15" s="38"/>
      <c r="W15" s="7" t="str">
        <f t="shared" si="0"/>
        <v/>
      </c>
    </row>
    <row r="16" spans="2:42" ht="15.6" x14ac:dyDescent="0.3">
      <c r="B16" s="127"/>
      <c r="C16" s="70"/>
      <c r="D16" s="10"/>
      <c r="E16" s="10"/>
      <c r="F16" s="38"/>
      <c r="G16" s="38"/>
      <c r="H16" s="38"/>
      <c r="I16" s="38">
        <f t="shared" si="1"/>
        <v>0</v>
      </c>
      <c r="J16" s="38" t="str">
        <f t="shared" si="2"/>
        <v/>
      </c>
      <c r="K16" s="38"/>
      <c r="L16" s="38"/>
      <c r="W16" s="7" t="str">
        <f t="shared" si="0"/>
        <v/>
      </c>
    </row>
    <row r="17" spans="2:23" ht="15.6" x14ac:dyDescent="0.3">
      <c r="B17" s="127"/>
      <c r="C17" s="70"/>
      <c r="D17" s="10"/>
      <c r="E17" s="10"/>
      <c r="F17" s="38"/>
      <c r="G17" s="38"/>
      <c r="H17" s="38"/>
      <c r="I17" s="38">
        <f t="shared" si="1"/>
        <v>0</v>
      </c>
      <c r="J17" s="38" t="str">
        <f t="shared" si="2"/>
        <v/>
      </c>
      <c r="K17" s="38"/>
      <c r="L17" s="38"/>
      <c r="W17" s="7" t="str">
        <f t="shared" si="0"/>
        <v/>
      </c>
    </row>
    <row r="18" spans="2:23" ht="15.6" x14ac:dyDescent="0.3">
      <c r="B18" s="127"/>
      <c r="C18" s="70"/>
      <c r="D18" s="10"/>
      <c r="E18" s="10"/>
      <c r="F18" s="38"/>
      <c r="G18" s="38"/>
      <c r="H18" s="38"/>
      <c r="I18" s="38"/>
      <c r="J18" s="38"/>
      <c r="K18" s="38"/>
      <c r="L18" s="38"/>
      <c r="W18" s="7" t="str">
        <f t="shared" si="0"/>
        <v/>
      </c>
    </row>
    <row r="19" spans="2:23" ht="15.6" x14ac:dyDescent="0.3">
      <c r="B19" s="127"/>
      <c r="C19" s="70"/>
      <c r="D19" s="10"/>
      <c r="E19" s="10"/>
      <c r="F19" s="38"/>
      <c r="G19" s="38"/>
      <c r="H19" s="38"/>
      <c r="I19" s="38"/>
      <c r="J19" s="38"/>
      <c r="K19" s="38"/>
      <c r="L19" s="38"/>
      <c r="W19" s="7" t="str">
        <f t="shared" si="0"/>
        <v/>
      </c>
    </row>
    <row r="20" spans="2:23" ht="15.6" x14ac:dyDescent="0.3">
      <c r="B20" s="127"/>
      <c r="C20" s="70"/>
      <c r="D20" s="10"/>
      <c r="E20" s="10"/>
      <c r="F20" s="38"/>
      <c r="G20" s="38"/>
      <c r="H20" s="38"/>
      <c r="I20" s="38"/>
      <c r="J20" s="38"/>
      <c r="K20" s="38"/>
      <c r="L20" s="38"/>
      <c r="W20" s="7" t="str">
        <f t="shared" si="0"/>
        <v/>
      </c>
    </row>
    <row r="21" spans="2:23" ht="15.6" x14ac:dyDescent="0.3">
      <c r="B21" s="127"/>
      <c r="C21" s="70"/>
      <c r="D21" s="10"/>
      <c r="E21" s="10"/>
      <c r="F21" s="38"/>
      <c r="G21" s="38"/>
      <c r="H21" s="38"/>
      <c r="I21" s="38"/>
      <c r="J21" s="38"/>
      <c r="K21" s="38"/>
      <c r="L21" s="38"/>
      <c r="W21" s="7" t="str">
        <f t="shared" si="0"/>
        <v/>
      </c>
    </row>
    <row r="22" spans="2:23" ht="15.6" x14ac:dyDescent="0.3">
      <c r="B22" s="127"/>
      <c r="C22" s="70"/>
      <c r="D22" s="10"/>
      <c r="E22" s="10"/>
      <c r="F22" s="38"/>
      <c r="G22" s="38"/>
      <c r="H22" s="38"/>
      <c r="I22" s="38"/>
      <c r="J22" s="38"/>
      <c r="K22" s="38"/>
      <c r="L22" s="38"/>
      <c r="W22" s="7" t="str">
        <f t="shared" si="0"/>
        <v/>
      </c>
    </row>
    <row r="23" spans="2:23" ht="15.6" x14ac:dyDescent="0.3">
      <c r="B23" s="127"/>
      <c r="C23" s="70"/>
      <c r="D23" s="10"/>
      <c r="E23" s="10"/>
      <c r="F23" s="38"/>
      <c r="G23" s="38"/>
      <c r="H23" s="38"/>
      <c r="I23" s="38"/>
      <c r="J23" s="38"/>
      <c r="K23" s="38"/>
      <c r="L23" s="38"/>
      <c r="W23" s="7" t="str">
        <f t="shared" si="0"/>
        <v/>
      </c>
    </row>
    <row r="24" spans="2:23" ht="15.6" x14ac:dyDescent="0.3">
      <c r="B24" s="127"/>
      <c r="C24" s="70"/>
      <c r="D24" s="10"/>
      <c r="E24" s="10"/>
      <c r="F24" s="38"/>
      <c r="G24" s="38"/>
      <c r="H24" s="38"/>
      <c r="I24" s="38"/>
      <c r="J24" s="38"/>
      <c r="K24" s="38"/>
      <c r="L24" s="38"/>
      <c r="W24" s="7" t="str">
        <f t="shared" si="0"/>
        <v/>
      </c>
    </row>
    <row r="25" spans="2:23" ht="15.6" x14ac:dyDescent="0.3">
      <c r="B25" s="127"/>
      <c r="C25" s="70"/>
      <c r="D25" s="10"/>
      <c r="E25" s="10"/>
      <c r="F25" s="38"/>
      <c r="G25" s="38"/>
      <c r="H25" s="38"/>
      <c r="I25" s="38"/>
      <c r="J25" s="38"/>
      <c r="K25" s="38"/>
      <c r="L25" s="38"/>
      <c r="W25" s="7" t="str">
        <f t="shared" si="0"/>
        <v/>
      </c>
    </row>
    <row r="26" spans="2:23" ht="15.6" x14ac:dyDescent="0.3">
      <c r="B26" s="127"/>
      <c r="C26" s="70"/>
      <c r="D26" s="10"/>
      <c r="E26" s="10"/>
      <c r="F26" s="38"/>
      <c r="G26" s="38"/>
      <c r="H26" s="38"/>
      <c r="I26" s="38"/>
      <c r="J26" s="38"/>
      <c r="K26" s="38"/>
      <c r="L26" s="38"/>
      <c r="W26" s="7" t="str">
        <f t="shared" si="0"/>
        <v/>
      </c>
    </row>
    <row r="27" spans="2:23" ht="15.6" x14ac:dyDescent="0.3">
      <c r="B27" s="127"/>
      <c r="C27" s="70"/>
      <c r="D27" s="10"/>
      <c r="E27" s="10"/>
      <c r="F27" s="38"/>
      <c r="G27" s="38"/>
      <c r="H27" s="38"/>
      <c r="I27" s="38"/>
      <c r="J27" s="38"/>
      <c r="K27" s="38"/>
      <c r="L27" s="38"/>
      <c r="W27" s="7" t="str">
        <f t="shared" si="0"/>
        <v/>
      </c>
    </row>
    <row r="28" spans="2:23" ht="15.6" x14ac:dyDescent="0.3">
      <c r="B28" s="127"/>
      <c r="C28" s="70"/>
      <c r="D28" s="10"/>
      <c r="E28" s="10"/>
      <c r="F28" s="38"/>
      <c r="G28" s="38"/>
      <c r="H28" s="38"/>
      <c r="I28" s="38"/>
      <c r="J28" s="38"/>
      <c r="K28" s="38"/>
      <c r="L28" s="38"/>
      <c r="W28" s="7" t="str">
        <f t="shared" si="0"/>
        <v/>
      </c>
    </row>
    <row r="29" spans="2:23" ht="15.6" x14ac:dyDescent="0.3">
      <c r="B29" s="127"/>
      <c r="C29" s="70"/>
      <c r="D29" s="10"/>
      <c r="E29" s="10"/>
      <c r="F29" s="38"/>
      <c r="G29" s="38"/>
      <c r="H29" s="38"/>
      <c r="I29" s="38"/>
      <c r="J29" s="38"/>
      <c r="K29" s="38"/>
      <c r="L29" s="38"/>
      <c r="W29" s="7" t="str">
        <f t="shared" si="0"/>
        <v/>
      </c>
    </row>
    <row r="30" spans="2:23" ht="15.6" x14ac:dyDescent="0.3">
      <c r="B30" s="127"/>
      <c r="C30" s="70"/>
      <c r="D30" s="10"/>
      <c r="E30" s="10"/>
      <c r="F30" s="38"/>
      <c r="G30" s="38"/>
      <c r="H30" s="38"/>
      <c r="I30" s="38"/>
      <c r="J30" s="38"/>
      <c r="K30" s="38"/>
      <c r="L30" s="38"/>
      <c r="W30" s="7" t="str">
        <f t="shared" si="0"/>
        <v/>
      </c>
    </row>
    <row r="31" spans="2:23" ht="15.6" x14ac:dyDescent="0.3">
      <c r="B31" s="127"/>
      <c r="C31" s="70"/>
      <c r="D31" s="10"/>
      <c r="E31" s="10"/>
      <c r="F31" s="38"/>
      <c r="G31" s="38"/>
      <c r="H31" s="38"/>
      <c r="I31" s="38"/>
      <c r="J31" s="38"/>
      <c r="K31" s="38"/>
      <c r="L31" s="38"/>
      <c r="W31" s="7" t="str">
        <f t="shared" si="0"/>
        <v/>
      </c>
    </row>
    <row r="32" spans="2:23" ht="15.6" x14ac:dyDescent="0.3">
      <c r="B32" s="127"/>
      <c r="C32" s="70"/>
      <c r="D32" s="10"/>
      <c r="E32" s="10"/>
      <c r="F32" s="38"/>
      <c r="G32" s="38"/>
      <c r="H32" s="38"/>
      <c r="I32" s="38"/>
      <c r="J32" s="38"/>
      <c r="K32" s="38"/>
      <c r="L32" s="38"/>
      <c r="W32" s="7" t="str">
        <f t="shared" si="0"/>
        <v/>
      </c>
    </row>
    <row r="33" spans="2:23" ht="15.6" x14ac:dyDescent="0.3">
      <c r="B33" s="127"/>
      <c r="C33" s="70"/>
      <c r="D33" s="10"/>
      <c r="E33" s="10"/>
      <c r="F33" s="38"/>
      <c r="G33" s="38"/>
      <c r="H33" s="38"/>
      <c r="I33" s="38"/>
      <c r="J33" s="38"/>
      <c r="K33" s="38"/>
      <c r="L33" s="38"/>
      <c r="W33" s="7" t="str">
        <f t="shared" si="0"/>
        <v/>
      </c>
    </row>
    <row r="34" spans="2:23" ht="15.6" x14ac:dyDescent="0.3">
      <c r="B34" s="127"/>
      <c r="C34" s="70"/>
      <c r="D34" s="10"/>
      <c r="E34" s="10"/>
      <c r="F34" s="38"/>
      <c r="G34" s="38"/>
      <c r="H34" s="38"/>
      <c r="I34" s="38"/>
      <c r="J34" s="38"/>
      <c r="K34" s="38"/>
      <c r="L34" s="38"/>
      <c r="W34" s="7" t="str">
        <f t="shared" si="0"/>
        <v/>
      </c>
    </row>
    <row r="35" spans="2:23" ht="15.6" x14ac:dyDescent="0.3">
      <c r="B35" s="127"/>
      <c r="C35" s="70"/>
      <c r="D35" s="10"/>
      <c r="E35" s="10"/>
      <c r="F35" s="38"/>
      <c r="G35" s="38"/>
      <c r="H35" s="38"/>
      <c r="I35" s="38"/>
      <c r="J35" s="38"/>
      <c r="K35" s="38"/>
      <c r="L35" s="38"/>
      <c r="W35" s="7" t="str">
        <f t="shared" si="0"/>
        <v/>
      </c>
    </row>
    <row r="36" spans="2:23" ht="15.6" x14ac:dyDescent="0.3">
      <c r="B36" s="127"/>
      <c r="C36" s="70"/>
      <c r="D36" s="10"/>
      <c r="E36" s="10"/>
      <c r="F36" s="38"/>
      <c r="G36" s="38"/>
      <c r="H36" s="38"/>
      <c r="I36" s="38"/>
      <c r="J36" s="38"/>
      <c r="K36" s="38"/>
      <c r="L36" s="38"/>
      <c r="W36" s="7" t="str">
        <f t="shared" si="0"/>
        <v/>
      </c>
    </row>
    <row r="37" spans="2:23" ht="15.6" x14ac:dyDescent="0.3">
      <c r="B37" s="127"/>
      <c r="C37" s="70"/>
      <c r="D37" s="10"/>
      <c r="E37" s="10"/>
      <c r="F37" s="38"/>
      <c r="G37" s="38"/>
      <c r="H37" s="38"/>
      <c r="I37" s="38"/>
      <c r="J37" s="38"/>
      <c r="K37" s="38"/>
      <c r="L37" s="38"/>
      <c r="W37" s="7" t="str">
        <f t="shared" si="0"/>
        <v/>
      </c>
    </row>
    <row r="38" spans="2:23" ht="15.6" x14ac:dyDescent="0.3">
      <c r="B38" s="127"/>
      <c r="C38" s="70"/>
      <c r="D38" s="10"/>
      <c r="E38" s="10"/>
      <c r="F38" s="38"/>
      <c r="G38" s="38"/>
      <c r="H38" s="38"/>
      <c r="I38" s="38"/>
      <c r="J38" s="38"/>
      <c r="K38" s="38"/>
      <c r="L38" s="38"/>
      <c r="W38" s="7" t="str">
        <f t="shared" si="0"/>
        <v/>
      </c>
    </row>
    <row r="39" spans="2:23" ht="15.6" x14ac:dyDescent="0.3">
      <c r="B39" s="127"/>
      <c r="C39" s="70"/>
      <c r="D39" s="10"/>
      <c r="E39" s="10"/>
      <c r="F39" s="38"/>
      <c r="G39" s="38"/>
      <c r="H39" s="38"/>
      <c r="I39" s="38"/>
      <c r="J39" s="38"/>
      <c r="K39" s="38"/>
      <c r="L39" s="38"/>
      <c r="W39" s="7" t="str">
        <f t="shared" si="0"/>
        <v/>
      </c>
    </row>
    <row r="40" spans="2:23" ht="15.6" x14ac:dyDescent="0.3">
      <c r="B40" s="127"/>
      <c r="C40" s="70"/>
      <c r="D40" s="10"/>
      <c r="E40" s="10"/>
      <c r="F40" s="38"/>
      <c r="G40" s="38"/>
      <c r="H40" s="38"/>
      <c r="I40" s="38"/>
      <c r="J40" s="38"/>
      <c r="K40" s="38"/>
      <c r="L40" s="38"/>
      <c r="W40" s="7" t="str">
        <f t="shared" si="0"/>
        <v/>
      </c>
    </row>
    <row r="41" spans="2:23" ht="15.6" x14ac:dyDescent="0.3">
      <c r="B41" s="127"/>
      <c r="C41" s="70"/>
      <c r="D41" s="10"/>
      <c r="E41" s="10"/>
      <c r="F41" s="38"/>
      <c r="G41" s="38"/>
      <c r="H41" s="38"/>
      <c r="I41" s="38"/>
      <c r="J41" s="38"/>
      <c r="K41" s="38"/>
      <c r="L41" s="38"/>
      <c r="W41" s="7" t="str">
        <f t="shared" si="0"/>
        <v/>
      </c>
    </row>
    <row r="42" spans="2:23" ht="15.6" x14ac:dyDescent="0.3">
      <c r="B42" s="127"/>
      <c r="C42" s="70"/>
      <c r="D42" s="10"/>
      <c r="E42" s="10"/>
      <c r="F42" s="38"/>
      <c r="G42" s="38"/>
      <c r="H42" s="38"/>
      <c r="I42" s="38"/>
      <c r="J42" s="38"/>
      <c r="K42" s="38"/>
      <c r="L42" s="38"/>
      <c r="W42" s="7" t="str">
        <f t="shared" si="0"/>
        <v/>
      </c>
    </row>
    <row r="43" spans="2:23" ht="15.6" x14ac:dyDescent="0.3">
      <c r="B43" s="127"/>
      <c r="C43" s="70"/>
      <c r="D43" s="10"/>
      <c r="E43" s="10"/>
      <c r="F43" s="38"/>
      <c r="G43" s="38"/>
      <c r="H43" s="38"/>
      <c r="I43" s="38"/>
      <c r="J43" s="38"/>
      <c r="K43" s="38"/>
      <c r="L43" s="38"/>
      <c r="W43" s="7" t="str">
        <f t="shared" si="0"/>
        <v/>
      </c>
    </row>
    <row r="44" spans="2:23" ht="15.6" x14ac:dyDescent="0.3">
      <c r="B44" s="127"/>
      <c r="C44" s="70"/>
      <c r="D44" s="10"/>
      <c r="E44" s="10"/>
      <c r="F44" s="38"/>
      <c r="G44" s="38"/>
      <c r="H44" s="38"/>
      <c r="I44" s="38"/>
      <c r="J44" s="38"/>
      <c r="K44" s="38"/>
      <c r="L44" s="38"/>
      <c r="W44" s="7" t="str">
        <f t="shared" si="0"/>
        <v/>
      </c>
    </row>
    <row r="45" spans="2:23" ht="15.6" x14ac:dyDescent="0.3">
      <c r="B45" s="127"/>
      <c r="C45" s="70"/>
      <c r="D45" s="10"/>
      <c r="E45" s="10"/>
      <c r="F45" s="38"/>
      <c r="G45" s="38"/>
      <c r="H45" s="38"/>
      <c r="I45" s="38"/>
      <c r="J45" s="38"/>
      <c r="K45" s="38"/>
      <c r="L45" s="38"/>
      <c r="W45" s="7" t="str">
        <f t="shared" si="0"/>
        <v/>
      </c>
    </row>
    <row r="46" spans="2:23" ht="15.6" x14ac:dyDescent="0.3">
      <c r="B46" s="127"/>
      <c r="C46" s="70"/>
      <c r="D46" s="10"/>
      <c r="E46" s="10"/>
      <c r="F46" s="38"/>
      <c r="G46" s="38"/>
      <c r="H46" s="38"/>
      <c r="I46" s="38"/>
      <c r="J46" s="38"/>
      <c r="K46" s="38"/>
      <c r="L46" s="38"/>
      <c r="W46" s="7" t="str">
        <f t="shared" si="0"/>
        <v/>
      </c>
    </row>
    <row r="47" spans="2:23" ht="15.6" x14ac:dyDescent="0.3">
      <c r="B47" s="127"/>
      <c r="C47" s="70"/>
      <c r="D47" s="10"/>
      <c r="E47" s="10"/>
      <c r="F47" s="38"/>
      <c r="G47" s="38"/>
      <c r="H47" s="38"/>
      <c r="I47" s="38"/>
      <c r="J47" s="38"/>
      <c r="K47" s="38"/>
      <c r="L47" s="38"/>
      <c r="W47" s="7" t="str">
        <f t="shared" si="0"/>
        <v/>
      </c>
    </row>
    <row r="48" spans="2:23" ht="15.6" x14ac:dyDescent="0.3">
      <c r="B48" s="127"/>
      <c r="C48" s="70"/>
      <c r="D48" s="10"/>
      <c r="E48" s="10"/>
      <c r="F48" s="38"/>
      <c r="G48" s="38"/>
      <c r="H48" s="38"/>
      <c r="I48" s="38"/>
      <c r="J48" s="38"/>
      <c r="K48" s="38"/>
      <c r="L48" s="38"/>
      <c r="W48" s="7" t="str">
        <f t="shared" si="0"/>
        <v/>
      </c>
    </row>
    <row r="49" spans="2:23" ht="15.6" x14ac:dyDescent="0.3">
      <c r="B49" s="127"/>
      <c r="C49" s="70"/>
      <c r="D49" s="10"/>
      <c r="E49" s="10"/>
      <c r="F49" s="38"/>
      <c r="G49" s="38"/>
      <c r="H49" s="38"/>
      <c r="I49" s="38"/>
      <c r="J49" s="38"/>
      <c r="K49" s="38"/>
      <c r="L49" s="38"/>
      <c r="W49" s="7" t="str">
        <f t="shared" si="0"/>
        <v/>
      </c>
    </row>
    <row r="50" spans="2:23" ht="15.6" x14ac:dyDescent="0.3">
      <c r="B50" s="127"/>
      <c r="C50" s="70"/>
      <c r="D50" s="10"/>
      <c r="E50" s="10"/>
      <c r="F50" s="38"/>
      <c r="G50" s="38"/>
      <c r="H50" s="38"/>
      <c r="I50" s="38"/>
      <c r="J50" s="38"/>
      <c r="K50" s="38"/>
      <c r="L50" s="38"/>
      <c r="W50" s="7" t="str">
        <f t="shared" si="0"/>
        <v/>
      </c>
    </row>
    <row r="51" spans="2:23" ht="15.6" x14ac:dyDescent="0.3">
      <c r="B51" s="127"/>
      <c r="C51" s="70"/>
      <c r="D51" s="10"/>
      <c r="E51" s="10"/>
      <c r="F51" s="38"/>
      <c r="G51" s="38"/>
      <c r="H51" s="38"/>
      <c r="I51" s="38"/>
      <c r="J51" s="38"/>
      <c r="K51" s="38"/>
      <c r="L51" s="38"/>
      <c r="W51" s="7" t="str">
        <f t="shared" si="0"/>
        <v/>
      </c>
    </row>
    <row r="52" spans="2:23" ht="15.6" x14ac:dyDescent="0.3">
      <c r="B52" s="127"/>
      <c r="C52" s="70"/>
      <c r="D52" s="10"/>
      <c r="E52" s="10"/>
      <c r="F52" s="38"/>
      <c r="G52" s="38"/>
      <c r="H52" s="38"/>
      <c r="I52" s="38"/>
      <c r="J52" s="38"/>
      <c r="K52" s="38"/>
      <c r="L52" s="38"/>
      <c r="W52" s="7" t="str">
        <f t="shared" si="0"/>
        <v/>
      </c>
    </row>
    <row r="53" spans="2:23" ht="15.6" x14ac:dyDescent="0.3">
      <c r="B53" s="127"/>
      <c r="C53" s="70"/>
      <c r="D53" s="10"/>
      <c r="E53" s="10"/>
      <c r="F53" s="38"/>
      <c r="G53" s="38"/>
      <c r="H53" s="38"/>
      <c r="I53" s="38"/>
      <c r="J53" s="38"/>
      <c r="K53" s="38"/>
      <c r="L53" s="38"/>
      <c r="W53" s="7" t="str">
        <f t="shared" si="0"/>
        <v/>
      </c>
    </row>
    <row r="54" spans="2:23" ht="15.6" x14ac:dyDescent="0.3">
      <c r="B54" s="127"/>
      <c r="C54" s="70"/>
      <c r="D54" s="10"/>
      <c r="E54" s="10"/>
      <c r="F54" s="38"/>
      <c r="G54" s="38"/>
      <c r="H54" s="38"/>
      <c r="I54" s="38"/>
      <c r="J54" s="38"/>
      <c r="K54" s="38"/>
      <c r="L54" s="38"/>
      <c r="W54" s="7" t="str">
        <f t="shared" si="0"/>
        <v/>
      </c>
    </row>
    <row r="55" spans="2:23" ht="15.6" x14ac:dyDescent="0.3">
      <c r="B55" s="127"/>
      <c r="C55" s="70"/>
      <c r="D55" s="10"/>
      <c r="E55" s="10"/>
      <c r="F55" s="38"/>
      <c r="G55" s="38"/>
      <c r="H55" s="38"/>
      <c r="I55" s="38"/>
      <c r="J55" s="38"/>
      <c r="K55" s="38"/>
      <c r="L55" s="38"/>
      <c r="W55" s="7" t="str">
        <f t="shared" si="0"/>
        <v/>
      </c>
    </row>
    <row r="56" spans="2:23" ht="15.6" x14ac:dyDescent="0.3">
      <c r="B56" s="127"/>
      <c r="C56" s="70"/>
      <c r="D56" s="10"/>
      <c r="E56" s="10"/>
      <c r="F56" s="38"/>
      <c r="G56" s="38"/>
      <c r="H56" s="38"/>
      <c r="I56" s="38"/>
      <c r="J56" s="38"/>
      <c r="K56" s="38"/>
      <c r="L56" s="38"/>
      <c r="W56" s="7" t="str">
        <f t="shared" si="0"/>
        <v/>
      </c>
    </row>
    <row r="57" spans="2:23" ht="15.6" x14ac:dyDescent="0.3">
      <c r="B57" s="127"/>
      <c r="C57" s="70"/>
      <c r="D57" s="10"/>
      <c r="E57" s="10"/>
      <c r="F57" s="38"/>
      <c r="G57" s="38"/>
      <c r="H57" s="38"/>
      <c r="I57" s="38"/>
      <c r="J57" s="38"/>
      <c r="K57" s="38"/>
      <c r="L57" s="38"/>
      <c r="W57" s="7" t="str">
        <f t="shared" si="0"/>
        <v/>
      </c>
    </row>
    <row r="58" spans="2:23" ht="15.6" x14ac:dyDescent="0.3">
      <c r="B58" s="127"/>
      <c r="C58" s="70"/>
      <c r="D58" s="10"/>
      <c r="E58" s="10"/>
      <c r="F58" s="38"/>
      <c r="G58" s="38"/>
      <c r="H58" s="38"/>
      <c r="I58" s="38"/>
      <c r="J58" s="38"/>
      <c r="K58" s="38"/>
      <c r="L58" s="38"/>
      <c r="W58" s="7" t="str">
        <f t="shared" si="0"/>
        <v/>
      </c>
    </row>
    <row r="59" spans="2:23" ht="15.6" x14ac:dyDescent="0.3">
      <c r="B59" s="127"/>
      <c r="C59" s="70"/>
      <c r="D59" s="10"/>
      <c r="E59" s="10"/>
      <c r="F59" s="38"/>
      <c r="G59" s="38"/>
      <c r="H59" s="38"/>
      <c r="I59" s="38"/>
      <c r="J59" s="38"/>
      <c r="K59" s="38"/>
      <c r="L59" s="38"/>
      <c r="W59" s="7" t="str">
        <f t="shared" si="0"/>
        <v/>
      </c>
    </row>
    <row r="60" spans="2:23" ht="15.6" x14ac:dyDescent="0.3">
      <c r="B60" s="127"/>
      <c r="C60" s="70"/>
      <c r="D60" s="10"/>
      <c r="E60" s="10"/>
      <c r="F60" s="38"/>
      <c r="G60" s="38"/>
      <c r="H60" s="38"/>
      <c r="I60" s="38"/>
      <c r="J60" s="38"/>
      <c r="K60" s="38"/>
      <c r="L60" s="38"/>
      <c r="W60" s="7" t="str">
        <f t="shared" si="0"/>
        <v/>
      </c>
    </row>
    <row r="61" spans="2:23" ht="15.6" x14ac:dyDescent="0.3">
      <c r="B61" s="127"/>
      <c r="C61" s="70"/>
      <c r="D61" s="10"/>
      <c r="E61" s="10"/>
      <c r="F61" s="38"/>
      <c r="G61" s="38"/>
      <c r="H61" s="38"/>
      <c r="I61" s="38"/>
      <c r="J61" s="38"/>
      <c r="K61" s="38"/>
      <c r="L61" s="38"/>
      <c r="W61" s="7" t="str">
        <f t="shared" si="0"/>
        <v/>
      </c>
    </row>
    <row r="62" spans="2:23" ht="15.6" x14ac:dyDescent="0.3">
      <c r="B62" s="127"/>
      <c r="C62" s="70"/>
      <c r="D62" s="10"/>
      <c r="E62" s="10"/>
      <c r="F62" s="38"/>
      <c r="G62" s="38"/>
      <c r="H62" s="38"/>
      <c r="I62" s="38"/>
      <c r="J62" s="38"/>
      <c r="K62" s="38"/>
      <c r="L62" s="38"/>
      <c r="W62" s="7" t="str">
        <f t="shared" si="0"/>
        <v/>
      </c>
    </row>
    <row r="63" spans="2:23" ht="15.6" x14ac:dyDescent="0.3">
      <c r="B63" s="127"/>
      <c r="C63" s="70"/>
      <c r="D63" s="10"/>
      <c r="E63" s="10"/>
      <c r="F63" s="38"/>
      <c r="G63" s="38"/>
      <c r="H63" s="38"/>
      <c r="I63" s="38"/>
      <c r="J63" s="38"/>
      <c r="K63" s="38"/>
      <c r="L63" s="38"/>
      <c r="W63" s="7" t="str">
        <f t="shared" si="0"/>
        <v/>
      </c>
    </row>
    <row r="64" spans="2:23" ht="15.6" x14ac:dyDescent="0.3">
      <c r="B64" s="127"/>
      <c r="C64" s="70"/>
      <c r="D64" s="10"/>
      <c r="E64" s="10"/>
      <c r="F64" s="38"/>
      <c r="G64" s="38"/>
      <c r="H64" s="38"/>
      <c r="I64" s="38"/>
      <c r="J64" s="38"/>
      <c r="K64" s="38"/>
      <c r="L64" s="38"/>
      <c r="W64" s="7" t="str">
        <f t="shared" si="0"/>
        <v/>
      </c>
    </row>
    <row r="65" spans="2:23" ht="15.6" x14ac:dyDescent="0.3">
      <c r="B65" s="127"/>
      <c r="C65" s="70"/>
      <c r="D65" s="10"/>
      <c r="E65" s="10"/>
      <c r="F65" s="38"/>
      <c r="G65" s="38"/>
      <c r="H65" s="38"/>
      <c r="I65" s="38"/>
      <c r="J65" s="38"/>
      <c r="K65" s="38"/>
      <c r="L65" s="38"/>
      <c r="W65" s="7" t="str">
        <f t="shared" si="0"/>
        <v/>
      </c>
    </row>
    <row r="66" spans="2:23" ht="15.6" x14ac:dyDescent="0.3">
      <c r="B66" s="127"/>
      <c r="C66" s="70"/>
      <c r="D66" s="10"/>
      <c r="E66" s="10"/>
      <c r="F66" s="38"/>
      <c r="G66" s="38"/>
      <c r="H66" s="38"/>
      <c r="I66" s="38"/>
      <c r="J66" s="38"/>
      <c r="K66" s="38"/>
      <c r="L66" s="38"/>
      <c r="W66" s="7" t="str">
        <f t="shared" si="0"/>
        <v/>
      </c>
    </row>
    <row r="67" spans="2:23" ht="15.6" x14ac:dyDescent="0.3">
      <c r="B67" s="127"/>
      <c r="C67" s="70"/>
      <c r="D67" s="10"/>
      <c r="E67" s="10"/>
      <c r="F67" s="38"/>
      <c r="G67" s="38"/>
      <c r="H67" s="38"/>
      <c r="I67" s="38"/>
      <c r="J67" s="38"/>
      <c r="K67" s="38"/>
      <c r="L67" s="38"/>
      <c r="W67" s="7" t="str">
        <f t="shared" ref="W67:W130" si="3">IF(B67="","",TEXT(B67,"mmm"))</f>
        <v/>
      </c>
    </row>
    <row r="68" spans="2:23" ht="15.6" x14ac:dyDescent="0.3">
      <c r="B68" s="127"/>
      <c r="C68" s="70"/>
      <c r="D68" s="10"/>
      <c r="E68" s="10"/>
      <c r="F68" s="38"/>
      <c r="G68" s="38"/>
      <c r="H68" s="38"/>
      <c r="I68" s="38"/>
      <c r="J68" s="38"/>
      <c r="K68" s="38"/>
      <c r="L68" s="38"/>
      <c r="W68" s="7" t="str">
        <f t="shared" si="3"/>
        <v/>
      </c>
    </row>
    <row r="69" spans="2:23" ht="15.6" x14ac:dyDescent="0.3">
      <c r="B69" s="127"/>
      <c r="C69" s="70"/>
      <c r="D69" s="10"/>
      <c r="E69" s="10"/>
      <c r="F69" s="38"/>
      <c r="G69" s="38"/>
      <c r="H69" s="38"/>
      <c r="I69" s="38"/>
      <c r="J69" s="38"/>
      <c r="K69" s="38"/>
      <c r="L69" s="38"/>
      <c r="W69" s="7" t="str">
        <f t="shared" si="3"/>
        <v/>
      </c>
    </row>
    <row r="70" spans="2:23" ht="15.6" x14ac:dyDescent="0.3">
      <c r="B70" s="127"/>
      <c r="C70" s="70"/>
      <c r="D70" s="10"/>
      <c r="E70" s="10"/>
      <c r="F70" s="38"/>
      <c r="G70" s="38"/>
      <c r="H70" s="38"/>
      <c r="I70" s="38"/>
      <c r="J70" s="38"/>
      <c r="K70" s="38"/>
      <c r="L70" s="38"/>
      <c r="W70" s="7" t="str">
        <f t="shared" si="3"/>
        <v/>
      </c>
    </row>
    <row r="71" spans="2:23" ht="15.6" x14ac:dyDescent="0.3">
      <c r="B71" s="127"/>
      <c r="C71" s="70"/>
      <c r="D71" s="10"/>
      <c r="E71" s="10"/>
      <c r="F71" s="38"/>
      <c r="G71" s="38"/>
      <c r="H71" s="38"/>
      <c r="I71" s="38"/>
      <c r="J71" s="38"/>
      <c r="K71" s="38"/>
      <c r="L71" s="38"/>
      <c r="W71" s="7" t="str">
        <f t="shared" si="3"/>
        <v/>
      </c>
    </row>
    <row r="72" spans="2:23" ht="15.6" x14ac:dyDescent="0.3">
      <c r="B72" s="127"/>
      <c r="C72" s="70"/>
      <c r="D72" s="10"/>
      <c r="E72" s="10"/>
      <c r="F72" s="38"/>
      <c r="G72" s="38"/>
      <c r="H72" s="38"/>
      <c r="I72" s="38"/>
      <c r="J72" s="38"/>
      <c r="K72" s="38"/>
      <c r="L72" s="38"/>
      <c r="W72" s="7" t="str">
        <f t="shared" si="3"/>
        <v/>
      </c>
    </row>
    <row r="73" spans="2:23" ht="15.6" x14ac:dyDescent="0.3">
      <c r="B73" s="127"/>
      <c r="C73" s="70"/>
      <c r="D73" s="10"/>
      <c r="E73" s="10"/>
      <c r="F73" s="38"/>
      <c r="G73" s="38"/>
      <c r="H73" s="38"/>
      <c r="I73" s="38"/>
      <c r="J73" s="38"/>
      <c r="K73" s="38"/>
      <c r="L73" s="38"/>
      <c r="W73" s="7" t="str">
        <f t="shared" si="3"/>
        <v/>
      </c>
    </row>
    <row r="74" spans="2:23" ht="15.6" x14ac:dyDescent="0.3">
      <c r="B74" s="127"/>
      <c r="C74" s="70"/>
      <c r="D74" s="10"/>
      <c r="E74" s="10"/>
      <c r="F74" s="38"/>
      <c r="G74" s="38"/>
      <c r="H74" s="38"/>
      <c r="I74" s="38"/>
      <c r="J74" s="38"/>
      <c r="K74" s="38"/>
      <c r="L74" s="38"/>
      <c r="W74" s="7" t="str">
        <f t="shared" si="3"/>
        <v/>
      </c>
    </row>
    <row r="75" spans="2:23" ht="15.6" x14ac:dyDescent="0.3">
      <c r="B75" s="127"/>
      <c r="C75" s="70"/>
      <c r="D75" s="10"/>
      <c r="E75" s="10"/>
      <c r="F75" s="38"/>
      <c r="G75" s="38"/>
      <c r="H75" s="38"/>
      <c r="I75" s="38"/>
      <c r="J75" s="38"/>
      <c r="K75" s="38"/>
      <c r="L75" s="38"/>
      <c r="W75" s="7" t="str">
        <f t="shared" si="3"/>
        <v/>
      </c>
    </row>
    <row r="76" spans="2:23" ht="15.6" x14ac:dyDescent="0.3">
      <c r="B76" s="127"/>
      <c r="C76" s="70"/>
      <c r="D76" s="10"/>
      <c r="E76" s="10"/>
      <c r="F76" s="38"/>
      <c r="G76" s="38"/>
      <c r="H76" s="38"/>
      <c r="I76" s="38"/>
      <c r="J76" s="38"/>
      <c r="K76" s="38"/>
      <c r="L76" s="38"/>
      <c r="W76" s="7" t="str">
        <f t="shared" si="3"/>
        <v/>
      </c>
    </row>
    <row r="77" spans="2:23" ht="15.6" x14ac:dyDescent="0.3">
      <c r="B77" s="127"/>
      <c r="C77" s="70"/>
      <c r="D77" s="10"/>
      <c r="E77" s="10"/>
      <c r="F77" s="38"/>
      <c r="G77" s="38"/>
      <c r="H77" s="38"/>
      <c r="I77" s="38"/>
      <c r="J77" s="38"/>
      <c r="K77" s="38"/>
      <c r="L77" s="38"/>
      <c r="W77" s="7" t="str">
        <f t="shared" si="3"/>
        <v/>
      </c>
    </row>
    <row r="78" spans="2:23" ht="15.6" x14ac:dyDescent="0.3">
      <c r="B78" s="127"/>
      <c r="C78" s="70"/>
      <c r="D78" s="10"/>
      <c r="E78" s="10"/>
      <c r="F78" s="38"/>
      <c r="G78" s="38"/>
      <c r="H78" s="38"/>
      <c r="I78" s="38"/>
      <c r="J78" s="38"/>
      <c r="K78" s="38"/>
      <c r="L78" s="38"/>
      <c r="W78" s="7" t="str">
        <f t="shared" si="3"/>
        <v/>
      </c>
    </row>
    <row r="79" spans="2:23" ht="15.6" x14ac:dyDescent="0.3">
      <c r="B79" s="127"/>
      <c r="C79" s="70"/>
      <c r="D79" s="10"/>
      <c r="E79" s="10"/>
      <c r="F79" s="38"/>
      <c r="G79" s="38"/>
      <c r="H79" s="38"/>
      <c r="I79" s="38"/>
      <c r="J79" s="38"/>
      <c r="K79" s="38"/>
      <c r="L79" s="38"/>
      <c r="W79" s="7" t="str">
        <f t="shared" si="3"/>
        <v/>
      </c>
    </row>
    <row r="80" spans="2:23" ht="15.6" x14ac:dyDescent="0.3">
      <c r="B80" s="127"/>
      <c r="C80" s="70"/>
      <c r="D80" s="10"/>
      <c r="E80" s="10"/>
      <c r="F80" s="38"/>
      <c r="G80" s="38"/>
      <c r="H80" s="38"/>
      <c r="I80" s="38"/>
      <c r="J80" s="38"/>
      <c r="K80" s="38"/>
      <c r="L80" s="38"/>
      <c r="W80" s="7" t="str">
        <f t="shared" si="3"/>
        <v/>
      </c>
    </row>
    <row r="81" spans="2:23" ht="15.6" x14ac:dyDescent="0.3">
      <c r="B81" s="127"/>
      <c r="C81" s="70"/>
      <c r="D81" s="10"/>
      <c r="E81" s="10"/>
      <c r="F81" s="38"/>
      <c r="G81" s="38"/>
      <c r="H81" s="38"/>
      <c r="I81" s="38"/>
      <c r="J81" s="38"/>
      <c r="K81" s="38"/>
      <c r="L81" s="38"/>
      <c r="W81" s="7" t="str">
        <f t="shared" si="3"/>
        <v/>
      </c>
    </row>
    <row r="82" spans="2:23" ht="15.6" x14ac:dyDescent="0.3">
      <c r="B82" s="127"/>
      <c r="C82" s="70"/>
      <c r="D82" s="10"/>
      <c r="E82" s="10"/>
      <c r="F82" s="38"/>
      <c r="G82" s="38"/>
      <c r="H82" s="38"/>
      <c r="I82" s="38"/>
      <c r="J82" s="38"/>
      <c r="K82" s="38"/>
      <c r="L82" s="38"/>
      <c r="W82" s="7" t="str">
        <f t="shared" si="3"/>
        <v/>
      </c>
    </row>
    <row r="83" spans="2:23" ht="15.6" x14ac:dyDescent="0.3">
      <c r="B83" s="127"/>
      <c r="C83" s="70"/>
      <c r="D83" s="10"/>
      <c r="E83" s="10"/>
      <c r="F83" s="38"/>
      <c r="G83" s="38"/>
      <c r="H83" s="38"/>
      <c r="I83" s="38"/>
      <c r="J83" s="38"/>
      <c r="K83" s="38"/>
      <c r="L83" s="38"/>
      <c r="W83" s="7" t="str">
        <f t="shared" si="3"/>
        <v/>
      </c>
    </row>
    <row r="84" spans="2:23" ht="15.6" x14ac:dyDescent="0.3">
      <c r="B84" s="127"/>
      <c r="C84" s="70"/>
      <c r="D84" s="10"/>
      <c r="E84" s="10"/>
      <c r="F84" s="38"/>
      <c r="G84" s="38"/>
      <c r="H84" s="38"/>
      <c r="I84" s="38"/>
      <c r="J84" s="38"/>
      <c r="K84" s="38"/>
      <c r="L84" s="38"/>
      <c r="W84" s="7" t="str">
        <f t="shared" si="3"/>
        <v/>
      </c>
    </row>
    <row r="85" spans="2:23" ht="15.6" x14ac:dyDescent="0.3">
      <c r="B85" s="127"/>
      <c r="C85" s="70"/>
      <c r="D85" s="10"/>
      <c r="E85" s="10"/>
      <c r="F85" s="38"/>
      <c r="G85" s="38"/>
      <c r="H85" s="38"/>
      <c r="I85" s="38"/>
      <c r="J85" s="38"/>
      <c r="K85" s="38"/>
      <c r="L85" s="38"/>
      <c r="W85" s="7" t="str">
        <f t="shared" si="3"/>
        <v/>
      </c>
    </row>
    <row r="86" spans="2:23" ht="15.6" x14ac:dyDescent="0.3">
      <c r="B86" s="127"/>
      <c r="C86" s="70"/>
      <c r="D86" s="10"/>
      <c r="E86" s="10"/>
      <c r="F86" s="38"/>
      <c r="G86" s="38"/>
      <c r="H86" s="38"/>
      <c r="I86" s="38"/>
      <c r="J86" s="38"/>
      <c r="K86" s="38"/>
      <c r="L86" s="38"/>
      <c r="W86" s="7" t="str">
        <f t="shared" si="3"/>
        <v/>
      </c>
    </row>
    <row r="87" spans="2:23" ht="15.6" x14ac:dyDescent="0.3">
      <c r="B87" s="127"/>
      <c r="C87" s="70"/>
      <c r="D87" s="10"/>
      <c r="E87" s="10"/>
      <c r="F87" s="38"/>
      <c r="G87" s="38"/>
      <c r="H87" s="38"/>
      <c r="I87" s="38"/>
      <c r="J87" s="38"/>
      <c r="K87" s="38"/>
      <c r="L87" s="38"/>
      <c r="W87" s="7" t="str">
        <f t="shared" si="3"/>
        <v/>
      </c>
    </row>
    <row r="88" spans="2:23" ht="15.6" x14ac:dyDescent="0.3">
      <c r="B88" s="127"/>
      <c r="C88" s="70"/>
      <c r="D88" s="10"/>
      <c r="E88" s="10"/>
      <c r="F88" s="38"/>
      <c r="G88" s="38"/>
      <c r="H88" s="38"/>
      <c r="I88" s="38"/>
      <c r="J88" s="38"/>
      <c r="K88" s="38"/>
      <c r="L88" s="38"/>
      <c r="W88" s="7" t="str">
        <f t="shared" si="3"/>
        <v/>
      </c>
    </row>
    <row r="89" spans="2:23" ht="15.6" x14ac:dyDescent="0.3">
      <c r="B89" s="127"/>
      <c r="C89" s="70"/>
      <c r="D89" s="10"/>
      <c r="E89" s="10"/>
      <c r="F89" s="38"/>
      <c r="G89" s="38"/>
      <c r="H89" s="38"/>
      <c r="I89" s="38"/>
      <c r="J89" s="38"/>
      <c r="K89" s="38"/>
      <c r="L89" s="38"/>
      <c r="W89" s="7" t="str">
        <f t="shared" si="3"/>
        <v/>
      </c>
    </row>
    <row r="90" spans="2:23" ht="15.6" x14ac:dyDescent="0.3">
      <c r="B90" s="127"/>
      <c r="C90" s="70"/>
      <c r="D90" s="10"/>
      <c r="E90" s="10"/>
      <c r="F90" s="38"/>
      <c r="G90" s="38"/>
      <c r="H90" s="38"/>
      <c r="I90" s="38"/>
      <c r="J90" s="38"/>
      <c r="K90" s="38"/>
      <c r="L90" s="38"/>
      <c r="W90" s="7" t="str">
        <f t="shared" si="3"/>
        <v/>
      </c>
    </row>
    <row r="91" spans="2:23" ht="15.6" x14ac:dyDescent="0.3">
      <c r="B91" s="127"/>
      <c r="C91" s="70"/>
      <c r="D91" s="10"/>
      <c r="E91" s="10"/>
      <c r="F91" s="38"/>
      <c r="G91" s="38"/>
      <c r="H91" s="38"/>
      <c r="I91" s="38"/>
      <c r="J91" s="38"/>
      <c r="K91" s="38"/>
      <c r="L91" s="38"/>
      <c r="W91" s="7" t="str">
        <f t="shared" si="3"/>
        <v/>
      </c>
    </row>
    <row r="92" spans="2:23" ht="15.6" x14ac:dyDescent="0.3">
      <c r="B92" s="127"/>
      <c r="C92" s="70"/>
      <c r="D92" s="10"/>
      <c r="E92" s="10"/>
      <c r="F92" s="38"/>
      <c r="G92" s="38"/>
      <c r="H92" s="38"/>
      <c r="I92" s="38"/>
      <c r="J92" s="38"/>
      <c r="K92" s="38"/>
      <c r="L92" s="38"/>
      <c r="W92" s="7" t="str">
        <f t="shared" si="3"/>
        <v/>
      </c>
    </row>
    <row r="93" spans="2:23" ht="15.6" x14ac:dyDescent="0.3">
      <c r="B93" s="127"/>
      <c r="C93" s="70"/>
      <c r="D93" s="10"/>
      <c r="E93" s="10"/>
      <c r="F93" s="38"/>
      <c r="G93" s="38"/>
      <c r="H93" s="38"/>
      <c r="I93" s="38"/>
      <c r="J93" s="38"/>
      <c r="K93" s="38"/>
      <c r="L93" s="38"/>
      <c r="W93" s="7" t="str">
        <f t="shared" si="3"/>
        <v/>
      </c>
    </row>
    <row r="94" spans="2:23" ht="15.6" x14ac:dyDescent="0.3">
      <c r="B94" s="127"/>
      <c r="C94" s="70"/>
      <c r="D94" s="10"/>
      <c r="E94" s="10"/>
      <c r="F94" s="38"/>
      <c r="G94" s="38"/>
      <c r="H94" s="38"/>
      <c r="I94" s="38"/>
      <c r="J94" s="38"/>
      <c r="K94" s="38"/>
      <c r="L94" s="38"/>
      <c r="W94" s="7" t="str">
        <f t="shared" si="3"/>
        <v/>
      </c>
    </row>
    <row r="95" spans="2:23" ht="15.6" x14ac:dyDescent="0.3">
      <c r="B95" s="127"/>
      <c r="C95" s="70"/>
      <c r="D95" s="10"/>
      <c r="E95" s="10"/>
      <c r="F95" s="38"/>
      <c r="G95" s="38"/>
      <c r="H95" s="38"/>
      <c r="I95" s="38"/>
      <c r="J95" s="38"/>
      <c r="K95" s="38"/>
      <c r="L95" s="38"/>
      <c r="W95" s="7" t="str">
        <f t="shared" si="3"/>
        <v/>
      </c>
    </row>
    <row r="96" spans="2:23" ht="15.6" x14ac:dyDescent="0.3">
      <c r="B96" s="127"/>
      <c r="C96" s="70"/>
      <c r="D96" s="10"/>
      <c r="E96" s="10"/>
      <c r="F96" s="38"/>
      <c r="G96" s="38"/>
      <c r="H96" s="38"/>
      <c r="I96" s="38"/>
      <c r="J96" s="38"/>
      <c r="K96" s="38"/>
      <c r="L96" s="38"/>
      <c r="W96" s="7" t="str">
        <f t="shared" si="3"/>
        <v/>
      </c>
    </row>
    <row r="97" spans="2:23" ht="15.6" x14ac:dyDescent="0.3">
      <c r="B97" s="127"/>
      <c r="C97" s="70"/>
      <c r="D97" s="10"/>
      <c r="E97" s="10"/>
      <c r="F97" s="38"/>
      <c r="G97" s="38"/>
      <c r="H97" s="38"/>
      <c r="I97" s="38"/>
      <c r="J97" s="38"/>
      <c r="K97" s="38"/>
      <c r="L97" s="38"/>
      <c r="W97" s="7" t="str">
        <f t="shared" si="3"/>
        <v/>
      </c>
    </row>
    <row r="98" spans="2:23" ht="15.6" x14ac:dyDescent="0.3">
      <c r="B98" s="127"/>
      <c r="C98" s="70"/>
      <c r="D98" s="10"/>
      <c r="E98" s="10"/>
      <c r="F98" s="38"/>
      <c r="G98" s="38"/>
      <c r="H98" s="38"/>
      <c r="I98" s="38"/>
      <c r="J98" s="38"/>
      <c r="K98" s="38"/>
      <c r="L98" s="38"/>
      <c r="W98" s="7" t="str">
        <f t="shared" si="3"/>
        <v/>
      </c>
    </row>
    <row r="99" spans="2:23" ht="15.6" x14ac:dyDescent="0.3">
      <c r="B99" s="127"/>
      <c r="C99" s="70"/>
      <c r="D99" s="10"/>
      <c r="E99" s="10"/>
      <c r="F99" s="38"/>
      <c r="G99" s="38"/>
      <c r="H99" s="38"/>
      <c r="I99" s="38"/>
      <c r="J99" s="38"/>
      <c r="K99" s="38"/>
      <c r="L99" s="38"/>
      <c r="W99" s="7" t="str">
        <f t="shared" si="3"/>
        <v/>
      </c>
    </row>
    <row r="100" spans="2:23" ht="15.6" x14ac:dyDescent="0.3">
      <c r="B100" s="127"/>
      <c r="C100" s="70"/>
      <c r="D100" s="10"/>
      <c r="E100" s="10"/>
      <c r="F100" s="38"/>
      <c r="G100" s="38"/>
      <c r="H100" s="38"/>
      <c r="I100" s="38"/>
      <c r="J100" s="38"/>
      <c r="K100" s="38"/>
      <c r="L100" s="38"/>
      <c r="W100" s="7" t="str">
        <f t="shared" si="3"/>
        <v/>
      </c>
    </row>
    <row r="101" spans="2:23" ht="15.6" x14ac:dyDescent="0.3">
      <c r="B101" s="127"/>
      <c r="C101" s="70"/>
      <c r="D101" s="10"/>
      <c r="E101" s="10"/>
      <c r="F101" s="38"/>
      <c r="G101" s="38"/>
      <c r="H101" s="38"/>
      <c r="I101" s="38"/>
      <c r="J101" s="38"/>
      <c r="K101" s="38"/>
      <c r="L101" s="38"/>
      <c r="W101" s="7" t="str">
        <f t="shared" si="3"/>
        <v/>
      </c>
    </row>
    <row r="102" spans="2:23" ht="15.6" x14ac:dyDescent="0.3">
      <c r="B102" s="127"/>
      <c r="C102" s="70"/>
      <c r="D102" s="10"/>
      <c r="E102" s="10"/>
      <c r="F102" s="38"/>
      <c r="G102" s="38"/>
      <c r="H102" s="38"/>
      <c r="I102" s="38"/>
      <c r="J102" s="38"/>
      <c r="K102" s="38"/>
      <c r="L102" s="38"/>
      <c r="W102" s="7" t="str">
        <f t="shared" si="3"/>
        <v/>
      </c>
    </row>
    <row r="103" spans="2:23" ht="15.6" x14ac:dyDescent="0.3">
      <c r="B103" s="127"/>
      <c r="C103" s="70"/>
      <c r="D103" s="10"/>
      <c r="E103" s="10"/>
      <c r="F103" s="38"/>
      <c r="G103" s="38"/>
      <c r="H103" s="38"/>
      <c r="I103" s="38"/>
      <c r="J103" s="38"/>
      <c r="K103" s="38"/>
      <c r="L103" s="38"/>
      <c r="W103" s="7" t="str">
        <f t="shared" si="3"/>
        <v/>
      </c>
    </row>
    <row r="104" spans="2:23" ht="15.6" x14ac:dyDescent="0.3">
      <c r="B104" s="127"/>
      <c r="C104" s="70"/>
      <c r="D104" s="10"/>
      <c r="E104" s="10"/>
      <c r="F104" s="38"/>
      <c r="G104" s="38"/>
      <c r="H104" s="38"/>
      <c r="I104" s="38"/>
      <c r="J104" s="38"/>
      <c r="K104" s="38"/>
      <c r="L104" s="38"/>
      <c r="W104" s="7" t="str">
        <f t="shared" si="3"/>
        <v/>
      </c>
    </row>
    <row r="105" spans="2:23" ht="15.6" x14ac:dyDescent="0.3">
      <c r="B105" s="127"/>
      <c r="C105" s="70"/>
      <c r="D105" s="10"/>
      <c r="E105" s="10"/>
      <c r="F105" s="38"/>
      <c r="G105" s="38"/>
      <c r="H105" s="38"/>
      <c r="I105" s="38"/>
      <c r="J105" s="38"/>
      <c r="K105" s="38"/>
      <c r="L105" s="38"/>
      <c r="W105" s="7" t="str">
        <f t="shared" si="3"/>
        <v/>
      </c>
    </row>
    <row r="106" spans="2:23" ht="15.6" x14ac:dyDescent="0.3">
      <c r="B106" s="127"/>
      <c r="C106" s="70"/>
      <c r="D106" s="10"/>
      <c r="E106" s="10"/>
      <c r="F106" s="38"/>
      <c r="G106" s="38"/>
      <c r="H106" s="38"/>
      <c r="I106" s="38"/>
      <c r="J106" s="38"/>
      <c r="K106" s="38"/>
      <c r="L106" s="38"/>
      <c r="W106" s="7" t="str">
        <f t="shared" si="3"/>
        <v/>
      </c>
    </row>
    <row r="107" spans="2:23" ht="15.6" x14ac:dyDescent="0.3">
      <c r="B107" s="127"/>
      <c r="C107" s="70"/>
      <c r="D107" s="10"/>
      <c r="E107" s="10"/>
      <c r="F107" s="38"/>
      <c r="G107" s="38"/>
      <c r="H107" s="38"/>
      <c r="I107" s="38"/>
      <c r="J107" s="38"/>
      <c r="K107" s="38"/>
      <c r="L107" s="38"/>
      <c r="W107" s="7" t="str">
        <f t="shared" si="3"/>
        <v/>
      </c>
    </row>
    <row r="108" spans="2:23" ht="15.6" x14ac:dyDescent="0.3">
      <c r="B108" s="127"/>
      <c r="C108" s="70"/>
      <c r="D108" s="10"/>
      <c r="E108" s="10"/>
      <c r="F108" s="38"/>
      <c r="G108" s="38"/>
      <c r="H108" s="38"/>
      <c r="I108" s="38"/>
      <c r="J108" s="38"/>
      <c r="K108" s="38"/>
      <c r="L108" s="38"/>
      <c r="W108" s="7" t="str">
        <f t="shared" si="3"/>
        <v/>
      </c>
    </row>
    <row r="109" spans="2:23" ht="15.6" x14ac:dyDescent="0.3">
      <c r="B109" s="127"/>
      <c r="C109" s="70"/>
      <c r="D109" s="10"/>
      <c r="E109" s="10"/>
      <c r="F109" s="38"/>
      <c r="G109" s="38"/>
      <c r="H109" s="38"/>
      <c r="I109" s="38"/>
      <c r="J109" s="38"/>
      <c r="K109" s="38"/>
      <c r="L109" s="38"/>
      <c r="W109" s="7" t="str">
        <f t="shared" si="3"/>
        <v/>
      </c>
    </row>
    <row r="110" spans="2:23" ht="15.6" x14ac:dyDescent="0.3">
      <c r="B110" s="127"/>
      <c r="C110" s="70"/>
      <c r="D110" s="10"/>
      <c r="E110" s="10"/>
      <c r="F110" s="38"/>
      <c r="G110" s="38"/>
      <c r="H110" s="38"/>
      <c r="I110" s="38"/>
      <c r="J110" s="38"/>
      <c r="K110" s="38"/>
      <c r="L110" s="38"/>
      <c r="W110" s="7" t="str">
        <f t="shared" si="3"/>
        <v/>
      </c>
    </row>
    <row r="111" spans="2:23" ht="15.6" x14ac:dyDescent="0.3">
      <c r="B111" s="127"/>
      <c r="C111" s="70"/>
      <c r="D111" s="10"/>
      <c r="E111" s="10"/>
      <c r="F111" s="38"/>
      <c r="G111" s="38"/>
      <c r="H111" s="38"/>
      <c r="I111" s="38"/>
      <c r="J111" s="38"/>
      <c r="K111" s="38"/>
      <c r="L111" s="38"/>
      <c r="W111" s="7" t="str">
        <f t="shared" si="3"/>
        <v/>
      </c>
    </row>
    <row r="112" spans="2:23" ht="15.6" x14ac:dyDescent="0.3">
      <c r="B112" s="127"/>
      <c r="C112" s="70"/>
      <c r="D112" s="10"/>
      <c r="E112" s="10"/>
      <c r="F112" s="38"/>
      <c r="G112" s="38"/>
      <c r="H112" s="38"/>
      <c r="I112" s="38"/>
      <c r="J112" s="38"/>
      <c r="K112" s="38"/>
      <c r="L112" s="38"/>
      <c r="W112" s="7" t="str">
        <f t="shared" si="3"/>
        <v/>
      </c>
    </row>
    <row r="113" spans="2:23" ht="15.6" x14ac:dyDescent="0.3">
      <c r="B113" s="127"/>
      <c r="C113" s="70"/>
      <c r="D113" s="10"/>
      <c r="E113" s="10"/>
      <c r="F113" s="38"/>
      <c r="G113" s="38"/>
      <c r="H113" s="38"/>
      <c r="I113" s="38"/>
      <c r="J113" s="38"/>
      <c r="K113" s="38"/>
      <c r="L113" s="38"/>
      <c r="W113" s="7" t="str">
        <f t="shared" si="3"/>
        <v/>
      </c>
    </row>
    <row r="114" spans="2:23" ht="15.6" x14ac:dyDescent="0.3">
      <c r="B114" s="127"/>
      <c r="C114" s="70"/>
      <c r="D114" s="10"/>
      <c r="E114" s="10"/>
      <c r="F114" s="38"/>
      <c r="G114" s="38"/>
      <c r="H114" s="38"/>
      <c r="I114" s="38"/>
      <c r="J114" s="38"/>
      <c r="K114" s="38"/>
      <c r="L114" s="38"/>
      <c r="W114" s="7" t="str">
        <f t="shared" si="3"/>
        <v/>
      </c>
    </row>
    <row r="115" spans="2:23" ht="15.6" x14ac:dyDescent="0.3">
      <c r="B115" s="127"/>
      <c r="C115" s="70"/>
      <c r="D115" s="10"/>
      <c r="E115" s="10"/>
      <c r="F115" s="38"/>
      <c r="G115" s="38"/>
      <c r="H115" s="38"/>
      <c r="I115" s="38"/>
      <c r="J115" s="38"/>
      <c r="K115" s="38"/>
      <c r="L115" s="38"/>
      <c r="W115" s="7" t="str">
        <f t="shared" si="3"/>
        <v/>
      </c>
    </row>
    <row r="116" spans="2:23" ht="15.6" x14ac:dyDescent="0.3">
      <c r="B116" s="127"/>
      <c r="C116" s="70"/>
      <c r="D116" s="10"/>
      <c r="E116" s="10"/>
      <c r="F116" s="38"/>
      <c r="G116" s="38"/>
      <c r="H116" s="38"/>
      <c r="I116" s="38"/>
      <c r="J116" s="38"/>
      <c r="K116" s="38"/>
      <c r="L116" s="38"/>
      <c r="W116" s="7" t="str">
        <f t="shared" si="3"/>
        <v/>
      </c>
    </row>
    <row r="117" spans="2:23" ht="15.6" x14ac:dyDescent="0.3">
      <c r="B117" s="127"/>
      <c r="C117" s="70"/>
      <c r="D117" s="10"/>
      <c r="E117" s="10"/>
      <c r="F117" s="38"/>
      <c r="G117" s="38"/>
      <c r="H117" s="38"/>
      <c r="I117" s="38"/>
      <c r="J117" s="38"/>
      <c r="K117" s="38"/>
      <c r="L117" s="38"/>
      <c r="W117" s="7" t="str">
        <f t="shared" si="3"/>
        <v/>
      </c>
    </row>
    <row r="118" spans="2:23" ht="15.6" x14ac:dyDescent="0.3">
      <c r="B118" s="127"/>
      <c r="C118" s="70"/>
      <c r="D118" s="10"/>
      <c r="E118" s="10"/>
      <c r="F118" s="38"/>
      <c r="G118" s="38"/>
      <c r="H118" s="38"/>
      <c r="I118" s="38"/>
      <c r="J118" s="38"/>
      <c r="K118" s="38"/>
      <c r="L118" s="38"/>
      <c r="W118" s="7" t="str">
        <f t="shared" si="3"/>
        <v/>
      </c>
    </row>
    <row r="119" spans="2:23" ht="15.6" x14ac:dyDescent="0.3">
      <c r="B119" s="127"/>
      <c r="C119" s="70"/>
      <c r="D119" s="10"/>
      <c r="E119" s="10"/>
      <c r="F119" s="38"/>
      <c r="G119" s="38"/>
      <c r="H119" s="38"/>
      <c r="I119" s="38"/>
      <c r="J119" s="38"/>
      <c r="K119" s="38"/>
      <c r="L119" s="38"/>
      <c r="W119" s="7" t="str">
        <f t="shared" si="3"/>
        <v/>
      </c>
    </row>
    <row r="120" spans="2:23" ht="15.6" x14ac:dyDescent="0.3">
      <c r="B120" s="127"/>
      <c r="C120" s="70"/>
      <c r="D120" s="10"/>
      <c r="E120" s="10"/>
      <c r="F120" s="38"/>
      <c r="G120" s="38"/>
      <c r="H120" s="38"/>
      <c r="I120" s="38"/>
      <c r="J120" s="38"/>
      <c r="K120" s="38"/>
      <c r="L120" s="38"/>
      <c r="W120" s="7" t="str">
        <f t="shared" si="3"/>
        <v/>
      </c>
    </row>
    <row r="121" spans="2:23" ht="15.6" x14ac:dyDescent="0.3">
      <c r="B121" s="127"/>
      <c r="C121" s="70"/>
      <c r="D121" s="10"/>
      <c r="E121" s="10"/>
      <c r="F121" s="38"/>
      <c r="G121" s="38"/>
      <c r="H121" s="38"/>
      <c r="I121" s="38"/>
      <c r="J121" s="38"/>
      <c r="K121" s="38"/>
      <c r="L121" s="38"/>
      <c r="W121" s="7" t="str">
        <f t="shared" si="3"/>
        <v/>
      </c>
    </row>
    <row r="122" spans="2:23" ht="15.6" x14ac:dyDescent="0.3">
      <c r="B122" s="127"/>
      <c r="C122" s="70"/>
      <c r="D122" s="10"/>
      <c r="E122" s="10"/>
      <c r="F122" s="38"/>
      <c r="G122" s="38"/>
      <c r="H122" s="38"/>
      <c r="I122" s="38"/>
      <c r="J122" s="38"/>
      <c r="K122" s="38"/>
      <c r="L122" s="38"/>
      <c r="W122" s="7" t="str">
        <f t="shared" si="3"/>
        <v/>
      </c>
    </row>
    <row r="123" spans="2:23" ht="15.6" x14ac:dyDescent="0.3">
      <c r="B123" s="127"/>
      <c r="C123" s="70"/>
      <c r="D123" s="10"/>
      <c r="E123" s="10"/>
      <c r="F123" s="38"/>
      <c r="G123" s="38"/>
      <c r="H123" s="38"/>
      <c r="I123" s="38"/>
      <c r="J123" s="38"/>
      <c r="K123" s="38"/>
      <c r="L123" s="38"/>
      <c r="W123" s="7" t="str">
        <f t="shared" si="3"/>
        <v/>
      </c>
    </row>
    <row r="124" spans="2:23" ht="15.6" x14ac:dyDescent="0.3">
      <c r="B124" s="127"/>
      <c r="C124" s="70"/>
      <c r="D124" s="10"/>
      <c r="E124" s="10"/>
      <c r="F124" s="38"/>
      <c r="G124" s="38"/>
      <c r="H124" s="38"/>
      <c r="I124" s="38"/>
      <c r="J124" s="38"/>
      <c r="K124" s="38"/>
      <c r="L124" s="38"/>
      <c r="W124" s="7" t="str">
        <f t="shared" si="3"/>
        <v/>
      </c>
    </row>
    <row r="125" spans="2:23" ht="15.6" x14ac:dyDescent="0.3">
      <c r="B125" s="127"/>
      <c r="C125" s="70"/>
      <c r="D125" s="10"/>
      <c r="E125" s="10"/>
      <c r="F125" s="38"/>
      <c r="G125" s="38"/>
      <c r="H125" s="38"/>
      <c r="I125" s="38"/>
      <c r="J125" s="38"/>
      <c r="K125" s="38"/>
      <c r="L125" s="38"/>
      <c r="W125" s="7" t="str">
        <f t="shared" si="3"/>
        <v/>
      </c>
    </row>
    <row r="126" spans="2:23" ht="15.6" x14ac:dyDescent="0.3">
      <c r="B126" s="127"/>
      <c r="C126" s="70"/>
      <c r="D126" s="10"/>
      <c r="E126" s="10"/>
      <c r="F126" s="38"/>
      <c r="G126" s="38"/>
      <c r="H126" s="38"/>
      <c r="I126" s="38"/>
      <c r="J126" s="38"/>
      <c r="K126" s="38"/>
      <c r="L126" s="38"/>
      <c r="W126" s="7" t="str">
        <f t="shared" si="3"/>
        <v/>
      </c>
    </row>
    <row r="127" spans="2:23" ht="15.6" x14ac:dyDescent="0.3">
      <c r="B127" s="127"/>
      <c r="C127" s="70"/>
      <c r="D127" s="10"/>
      <c r="E127" s="10"/>
      <c r="F127" s="38"/>
      <c r="G127" s="38"/>
      <c r="H127" s="38"/>
      <c r="I127" s="38"/>
      <c r="J127" s="38"/>
      <c r="K127" s="38"/>
      <c r="L127" s="38"/>
      <c r="W127" s="7" t="str">
        <f t="shared" si="3"/>
        <v/>
      </c>
    </row>
    <row r="128" spans="2:23" ht="15.6" x14ac:dyDescent="0.3">
      <c r="B128" s="127"/>
      <c r="C128" s="70"/>
      <c r="D128" s="10"/>
      <c r="E128" s="10"/>
      <c r="F128" s="38"/>
      <c r="G128" s="38"/>
      <c r="H128" s="38"/>
      <c r="I128" s="38"/>
      <c r="J128" s="38"/>
      <c r="K128" s="38"/>
      <c r="L128" s="38"/>
      <c r="W128" s="7" t="str">
        <f t="shared" si="3"/>
        <v/>
      </c>
    </row>
    <row r="129" spans="2:23" ht="15.6" x14ac:dyDescent="0.3">
      <c r="B129" s="127"/>
      <c r="C129" s="70"/>
      <c r="D129" s="10"/>
      <c r="E129" s="10"/>
      <c r="F129" s="38"/>
      <c r="G129" s="38"/>
      <c r="H129" s="38"/>
      <c r="I129" s="38"/>
      <c r="J129" s="38"/>
      <c r="K129" s="38"/>
      <c r="L129" s="38"/>
      <c r="W129" s="7" t="str">
        <f t="shared" si="3"/>
        <v/>
      </c>
    </row>
    <row r="130" spans="2:23" ht="15.6" x14ac:dyDescent="0.3">
      <c r="B130" s="127"/>
      <c r="C130" s="70"/>
      <c r="D130" s="10"/>
      <c r="E130" s="10"/>
      <c r="F130" s="38"/>
      <c r="G130" s="38"/>
      <c r="H130" s="38"/>
      <c r="I130" s="38"/>
      <c r="J130" s="38"/>
      <c r="K130" s="38"/>
      <c r="L130" s="38"/>
      <c r="W130" s="7" t="str">
        <f t="shared" si="3"/>
        <v/>
      </c>
    </row>
    <row r="131" spans="2:23" ht="15.6" x14ac:dyDescent="0.3">
      <c r="B131" s="127"/>
      <c r="C131" s="70"/>
      <c r="D131" s="10"/>
      <c r="E131" s="10"/>
      <c r="F131" s="38"/>
      <c r="G131" s="38"/>
      <c r="H131" s="38"/>
      <c r="I131" s="38"/>
      <c r="J131" s="38"/>
      <c r="K131" s="38"/>
      <c r="L131" s="38"/>
      <c r="W131" s="7" t="str">
        <f t="shared" ref="W131:W194" si="4">IF(B131="","",TEXT(B131,"mmm"))</f>
        <v/>
      </c>
    </row>
    <row r="132" spans="2:23" ht="15.6" x14ac:dyDescent="0.3">
      <c r="B132" s="127"/>
      <c r="C132" s="70"/>
      <c r="D132" s="10"/>
      <c r="E132" s="10"/>
      <c r="F132" s="38"/>
      <c r="G132" s="38"/>
      <c r="H132" s="38"/>
      <c r="I132" s="38"/>
      <c r="J132" s="38"/>
      <c r="K132" s="38"/>
      <c r="L132" s="38"/>
      <c r="W132" s="7" t="str">
        <f t="shared" si="4"/>
        <v/>
      </c>
    </row>
    <row r="133" spans="2:23" ht="15.6" x14ac:dyDescent="0.3">
      <c r="B133" s="127"/>
      <c r="C133" s="70"/>
      <c r="D133" s="10"/>
      <c r="E133" s="10"/>
      <c r="F133" s="38"/>
      <c r="G133" s="38"/>
      <c r="H133" s="38"/>
      <c r="I133" s="38"/>
      <c r="J133" s="38"/>
      <c r="K133" s="38"/>
      <c r="L133" s="38"/>
      <c r="W133" s="7" t="str">
        <f t="shared" si="4"/>
        <v/>
      </c>
    </row>
    <row r="134" spans="2:23" ht="15.6" x14ac:dyDescent="0.3">
      <c r="B134" s="127"/>
      <c r="C134" s="70"/>
      <c r="D134" s="10"/>
      <c r="E134" s="10"/>
      <c r="F134" s="38"/>
      <c r="G134" s="38"/>
      <c r="H134" s="38"/>
      <c r="I134" s="38"/>
      <c r="J134" s="38"/>
      <c r="K134" s="38"/>
      <c r="L134" s="38"/>
      <c r="W134" s="7" t="str">
        <f t="shared" si="4"/>
        <v/>
      </c>
    </row>
    <row r="135" spans="2:23" ht="15.6" x14ac:dyDescent="0.3">
      <c r="B135" s="127"/>
      <c r="C135" s="70"/>
      <c r="D135" s="10"/>
      <c r="E135" s="10"/>
      <c r="F135" s="38"/>
      <c r="G135" s="38"/>
      <c r="H135" s="38"/>
      <c r="I135" s="38"/>
      <c r="J135" s="38"/>
      <c r="K135" s="38"/>
      <c r="L135" s="38"/>
      <c r="W135" s="7" t="str">
        <f t="shared" si="4"/>
        <v/>
      </c>
    </row>
    <row r="136" spans="2:23" ht="15.6" x14ac:dyDescent="0.3">
      <c r="B136" s="127"/>
      <c r="C136" s="70"/>
      <c r="D136" s="10"/>
      <c r="E136" s="10"/>
      <c r="F136" s="38"/>
      <c r="G136" s="38"/>
      <c r="H136" s="38"/>
      <c r="I136" s="38"/>
      <c r="J136" s="38"/>
      <c r="K136" s="38"/>
      <c r="L136" s="38"/>
      <c r="W136" s="7" t="str">
        <f t="shared" si="4"/>
        <v/>
      </c>
    </row>
    <row r="137" spans="2:23" ht="15.6" x14ac:dyDescent="0.3">
      <c r="B137" s="127"/>
      <c r="C137" s="70"/>
      <c r="D137" s="10"/>
      <c r="E137" s="10"/>
      <c r="F137" s="38"/>
      <c r="G137" s="38"/>
      <c r="H137" s="38"/>
      <c r="I137" s="38"/>
      <c r="J137" s="38"/>
      <c r="K137" s="38"/>
      <c r="L137" s="38"/>
      <c r="W137" s="7" t="str">
        <f t="shared" si="4"/>
        <v/>
      </c>
    </row>
    <row r="138" spans="2:23" ht="15.6" x14ac:dyDescent="0.3">
      <c r="B138" s="127"/>
      <c r="C138" s="70"/>
      <c r="D138" s="10"/>
      <c r="E138" s="10"/>
      <c r="F138" s="38"/>
      <c r="G138" s="38"/>
      <c r="H138" s="38"/>
      <c r="I138" s="38"/>
      <c r="J138" s="38"/>
      <c r="K138" s="38"/>
      <c r="L138" s="38"/>
      <c r="W138" s="7" t="str">
        <f t="shared" si="4"/>
        <v/>
      </c>
    </row>
    <row r="139" spans="2:23" ht="15.6" x14ac:dyDescent="0.3">
      <c r="B139" s="127"/>
      <c r="C139" s="70"/>
      <c r="D139" s="10"/>
      <c r="E139" s="10"/>
      <c r="F139" s="38"/>
      <c r="G139" s="38"/>
      <c r="H139" s="38"/>
      <c r="I139" s="38"/>
      <c r="J139" s="38"/>
      <c r="K139" s="38"/>
      <c r="L139" s="38"/>
      <c r="W139" s="7" t="str">
        <f t="shared" si="4"/>
        <v/>
      </c>
    </row>
    <row r="140" spans="2:23" ht="15.6" x14ac:dyDescent="0.3">
      <c r="B140" s="127"/>
      <c r="C140" s="70"/>
      <c r="D140" s="10"/>
      <c r="E140" s="10"/>
      <c r="F140" s="38"/>
      <c r="G140" s="38"/>
      <c r="H140" s="38"/>
      <c r="I140" s="38"/>
      <c r="J140" s="38"/>
      <c r="K140" s="38"/>
      <c r="L140" s="38"/>
      <c r="W140" s="7" t="str">
        <f t="shared" si="4"/>
        <v/>
      </c>
    </row>
    <row r="141" spans="2:23" ht="15.6" x14ac:dyDescent="0.3">
      <c r="B141" s="127"/>
      <c r="C141" s="70"/>
      <c r="D141" s="10"/>
      <c r="E141" s="10"/>
      <c r="F141" s="38"/>
      <c r="G141" s="38"/>
      <c r="H141" s="38"/>
      <c r="I141" s="38"/>
      <c r="J141" s="38"/>
      <c r="K141" s="38"/>
      <c r="L141" s="38"/>
      <c r="W141" s="7" t="str">
        <f t="shared" si="4"/>
        <v/>
      </c>
    </row>
    <row r="142" spans="2:23" ht="15.6" x14ac:dyDescent="0.3">
      <c r="B142" s="127"/>
      <c r="C142" s="70"/>
      <c r="D142" s="10"/>
      <c r="E142" s="10"/>
      <c r="F142" s="38"/>
      <c r="G142" s="38"/>
      <c r="H142" s="38"/>
      <c r="I142" s="38"/>
      <c r="J142" s="38"/>
      <c r="K142" s="38"/>
      <c r="L142" s="38"/>
      <c r="W142" s="7" t="str">
        <f t="shared" si="4"/>
        <v/>
      </c>
    </row>
    <row r="143" spans="2:23" ht="15.6" x14ac:dyDescent="0.3">
      <c r="B143" s="127"/>
      <c r="C143" s="70"/>
      <c r="D143" s="10"/>
      <c r="E143" s="10"/>
      <c r="F143" s="38"/>
      <c r="G143" s="38"/>
      <c r="H143" s="38"/>
      <c r="I143" s="38"/>
      <c r="J143" s="38"/>
      <c r="K143" s="38"/>
      <c r="L143" s="38"/>
      <c r="W143" s="7" t="str">
        <f t="shared" si="4"/>
        <v/>
      </c>
    </row>
    <row r="144" spans="2:23" ht="15.6" x14ac:dyDescent="0.3">
      <c r="B144" s="127"/>
      <c r="C144" s="70"/>
      <c r="D144" s="10"/>
      <c r="E144" s="10"/>
      <c r="F144" s="38"/>
      <c r="G144" s="38"/>
      <c r="H144" s="38"/>
      <c r="I144" s="38"/>
      <c r="J144" s="38"/>
      <c r="K144" s="38"/>
      <c r="L144" s="38"/>
      <c r="W144" s="7" t="str">
        <f t="shared" si="4"/>
        <v/>
      </c>
    </row>
    <row r="145" spans="2:23" ht="15.6" x14ac:dyDescent="0.3">
      <c r="B145" s="127"/>
      <c r="C145" s="70"/>
      <c r="D145" s="10"/>
      <c r="E145" s="10"/>
      <c r="F145" s="38"/>
      <c r="G145" s="38"/>
      <c r="H145" s="38"/>
      <c r="I145" s="38"/>
      <c r="J145" s="38"/>
      <c r="K145" s="38"/>
      <c r="L145" s="38"/>
      <c r="W145" s="7" t="str">
        <f t="shared" si="4"/>
        <v/>
      </c>
    </row>
    <row r="146" spans="2:23" ht="15.6" x14ac:dyDescent="0.3">
      <c r="B146" s="127"/>
      <c r="C146" s="70"/>
      <c r="D146" s="10"/>
      <c r="E146" s="10"/>
      <c r="F146" s="38"/>
      <c r="G146" s="38"/>
      <c r="H146" s="38"/>
      <c r="I146" s="38"/>
      <c r="J146" s="38"/>
      <c r="K146" s="38"/>
      <c r="L146" s="38"/>
      <c r="W146" s="7" t="str">
        <f t="shared" si="4"/>
        <v/>
      </c>
    </row>
    <row r="147" spans="2:23" ht="15.6" x14ac:dyDescent="0.3">
      <c r="B147" s="127"/>
      <c r="C147" s="70"/>
      <c r="D147" s="10"/>
      <c r="E147" s="10"/>
      <c r="F147" s="38"/>
      <c r="G147" s="38"/>
      <c r="H147" s="38"/>
      <c r="I147" s="38"/>
      <c r="J147" s="38"/>
      <c r="K147" s="38"/>
      <c r="L147" s="38"/>
      <c r="W147" s="7" t="str">
        <f t="shared" si="4"/>
        <v/>
      </c>
    </row>
    <row r="148" spans="2:23" ht="15.6" x14ac:dyDescent="0.3">
      <c r="B148" s="127"/>
      <c r="C148" s="70"/>
      <c r="D148" s="10"/>
      <c r="E148" s="10"/>
      <c r="F148" s="38"/>
      <c r="G148" s="38"/>
      <c r="H148" s="38"/>
      <c r="I148" s="38"/>
      <c r="J148" s="38"/>
      <c r="K148" s="38"/>
      <c r="L148" s="38"/>
      <c r="W148" s="7" t="str">
        <f t="shared" si="4"/>
        <v/>
      </c>
    </row>
    <row r="149" spans="2:23" ht="15.6" x14ac:dyDescent="0.3">
      <c r="B149" s="127"/>
      <c r="C149" s="70"/>
      <c r="D149" s="10"/>
      <c r="E149" s="10"/>
      <c r="F149" s="38"/>
      <c r="G149" s="38"/>
      <c r="H149" s="38"/>
      <c r="I149" s="38"/>
      <c r="J149" s="38"/>
      <c r="K149" s="38"/>
      <c r="L149" s="38"/>
      <c r="W149" s="7" t="str">
        <f t="shared" si="4"/>
        <v/>
      </c>
    </row>
    <row r="150" spans="2:23" ht="15.6" x14ac:dyDescent="0.3">
      <c r="B150" s="127"/>
      <c r="C150" s="70"/>
      <c r="D150" s="10"/>
      <c r="E150" s="10"/>
      <c r="F150" s="38"/>
      <c r="G150" s="38"/>
      <c r="H150" s="38"/>
      <c r="I150" s="38"/>
      <c r="J150" s="38"/>
      <c r="K150" s="38"/>
      <c r="L150" s="38"/>
      <c r="W150" s="7" t="str">
        <f t="shared" si="4"/>
        <v/>
      </c>
    </row>
    <row r="151" spans="2:23" ht="15.6" x14ac:dyDescent="0.3">
      <c r="B151" s="127"/>
      <c r="C151" s="70"/>
      <c r="D151" s="10"/>
      <c r="E151" s="10"/>
      <c r="F151" s="38"/>
      <c r="G151" s="38"/>
      <c r="H151" s="38"/>
      <c r="I151" s="38"/>
      <c r="J151" s="38"/>
      <c r="K151" s="38"/>
      <c r="L151" s="38"/>
      <c r="W151" s="7" t="str">
        <f t="shared" si="4"/>
        <v/>
      </c>
    </row>
    <row r="152" spans="2:23" ht="15.6" x14ac:dyDescent="0.3">
      <c r="B152" s="127"/>
      <c r="C152" s="70"/>
      <c r="D152" s="10"/>
      <c r="E152" s="10"/>
      <c r="F152" s="38"/>
      <c r="G152" s="38"/>
      <c r="H152" s="38"/>
      <c r="I152" s="38"/>
      <c r="J152" s="38"/>
      <c r="K152" s="38"/>
      <c r="L152" s="38"/>
      <c r="W152" s="7" t="str">
        <f t="shared" si="4"/>
        <v/>
      </c>
    </row>
    <row r="153" spans="2:23" ht="15.6" x14ac:dyDescent="0.3">
      <c r="B153" s="127"/>
      <c r="C153" s="70"/>
      <c r="D153" s="10"/>
      <c r="E153" s="10"/>
      <c r="F153" s="38"/>
      <c r="G153" s="38"/>
      <c r="H153" s="38"/>
      <c r="I153" s="38"/>
      <c r="J153" s="38"/>
      <c r="K153" s="38"/>
      <c r="L153" s="38"/>
      <c r="W153" s="7" t="str">
        <f t="shared" si="4"/>
        <v/>
      </c>
    </row>
    <row r="154" spans="2:23" ht="15.6" x14ac:dyDescent="0.3">
      <c r="B154" s="127"/>
      <c r="C154" s="70"/>
      <c r="D154" s="10"/>
      <c r="E154" s="10"/>
      <c r="F154" s="38"/>
      <c r="G154" s="38"/>
      <c r="H154" s="38"/>
      <c r="I154" s="38"/>
      <c r="J154" s="38"/>
      <c r="K154" s="38"/>
      <c r="L154" s="38"/>
      <c r="W154" s="7" t="str">
        <f t="shared" si="4"/>
        <v/>
      </c>
    </row>
    <row r="155" spans="2:23" ht="15.6" x14ac:dyDescent="0.3">
      <c r="B155" s="127"/>
      <c r="C155" s="70"/>
      <c r="D155" s="10"/>
      <c r="E155" s="10"/>
      <c r="F155" s="38"/>
      <c r="G155" s="38"/>
      <c r="H155" s="38"/>
      <c r="I155" s="38"/>
      <c r="J155" s="38"/>
      <c r="K155" s="38"/>
      <c r="L155" s="38"/>
      <c r="W155" s="7" t="str">
        <f t="shared" si="4"/>
        <v/>
      </c>
    </row>
    <row r="156" spans="2:23" ht="15.6" x14ac:dyDescent="0.3">
      <c r="B156" s="127"/>
      <c r="C156" s="70"/>
      <c r="D156" s="10"/>
      <c r="E156" s="10"/>
      <c r="F156" s="38"/>
      <c r="G156" s="38"/>
      <c r="H156" s="38"/>
      <c r="I156" s="38"/>
      <c r="J156" s="38"/>
      <c r="K156" s="38"/>
      <c r="L156" s="38"/>
      <c r="W156" s="7" t="str">
        <f t="shared" si="4"/>
        <v/>
      </c>
    </row>
    <row r="157" spans="2:23" ht="15.6" x14ac:dyDescent="0.3">
      <c r="B157" s="127"/>
      <c r="C157" s="70"/>
      <c r="D157" s="10"/>
      <c r="E157" s="10"/>
      <c r="F157" s="38"/>
      <c r="G157" s="38"/>
      <c r="H157" s="38"/>
      <c r="I157" s="38"/>
      <c r="J157" s="38"/>
      <c r="K157" s="38"/>
      <c r="L157" s="38"/>
      <c r="W157" s="7" t="str">
        <f t="shared" si="4"/>
        <v/>
      </c>
    </row>
    <row r="158" spans="2:23" ht="15.6" x14ac:dyDescent="0.3">
      <c r="B158" s="127"/>
      <c r="C158" s="70"/>
      <c r="D158" s="10"/>
      <c r="E158" s="10"/>
      <c r="F158" s="38"/>
      <c r="G158" s="38"/>
      <c r="H158" s="38"/>
      <c r="I158" s="38"/>
      <c r="J158" s="38"/>
      <c r="K158" s="38"/>
      <c r="L158" s="38"/>
      <c r="W158" s="7" t="str">
        <f t="shared" si="4"/>
        <v/>
      </c>
    </row>
    <row r="159" spans="2:23" ht="15.6" x14ac:dyDescent="0.3">
      <c r="B159" s="127"/>
      <c r="C159" s="70"/>
      <c r="D159" s="10"/>
      <c r="E159" s="10"/>
      <c r="F159" s="38"/>
      <c r="G159" s="38"/>
      <c r="H159" s="38"/>
      <c r="I159" s="38"/>
      <c r="J159" s="38"/>
      <c r="K159" s="38"/>
      <c r="L159" s="38"/>
      <c r="W159" s="7" t="str">
        <f t="shared" si="4"/>
        <v/>
      </c>
    </row>
    <row r="160" spans="2:23" ht="15.6" x14ac:dyDescent="0.3">
      <c r="B160" s="127"/>
      <c r="C160" s="70"/>
      <c r="D160" s="10"/>
      <c r="E160" s="10"/>
      <c r="F160" s="38"/>
      <c r="G160" s="38"/>
      <c r="H160" s="38"/>
      <c r="I160" s="38"/>
      <c r="J160" s="38"/>
      <c r="K160" s="38"/>
      <c r="L160" s="38"/>
      <c r="W160" s="7" t="str">
        <f t="shared" si="4"/>
        <v/>
      </c>
    </row>
    <row r="161" spans="2:23" ht="15.6" x14ac:dyDescent="0.3">
      <c r="B161" s="127"/>
      <c r="C161" s="70"/>
      <c r="D161" s="10"/>
      <c r="E161" s="10"/>
      <c r="F161" s="38"/>
      <c r="G161" s="38"/>
      <c r="H161" s="38"/>
      <c r="I161" s="38"/>
      <c r="J161" s="38"/>
      <c r="K161" s="38"/>
      <c r="L161" s="38"/>
      <c r="W161" s="7" t="str">
        <f t="shared" si="4"/>
        <v/>
      </c>
    </row>
    <row r="162" spans="2:23" ht="15.6" x14ac:dyDescent="0.3">
      <c r="B162" s="127"/>
      <c r="C162" s="70"/>
      <c r="D162" s="10"/>
      <c r="E162" s="10"/>
      <c r="F162" s="38"/>
      <c r="G162" s="38"/>
      <c r="H162" s="38"/>
      <c r="I162" s="38"/>
      <c r="J162" s="38"/>
      <c r="K162" s="38"/>
      <c r="L162" s="38"/>
      <c r="W162" s="7" t="str">
        <f t="shared" si="4"/>
        <v/>
      </c>
    </row>
    <row r="163" spans="2:23" ht="15.6" x14ac:dyDescent="0.3">
      <c r="B163" s="127"/>
      <c r="C163" s="70"/>
      <c r="D163" s="10"/>
      <c r="E163" s="10"/>
      <c r="F163" s="38"/>
      <c r="G163" s="38"/>
      <c r="H163" s="38"/>
      <c r="I163" s="38"/>
      <c r="J163" s="38"/>
      <c r="K163" s="38"/>
      <c r="L163" s="38"/>
      <c r="W163" s="7" t="str">
        <f t="shared" si="4"/>
        <v/>
      </c>
    </row>
    <row r="164" spans="2:23" ht="15.6" x14ac:dyDescent="0.3">
      <c r="B164" s="127"/>
      <c r="C164" s="70"/>
      <c r="D164" s="10"/>
      <c r="E164" s="10"/>
      <c r="F164" s="38"/>
      <c r="G164" s="38"/>
      <c r="H164" s="38"/>
      <c r="I164" s="38"/>
      <c r="J164" s="38"/>
      <c r="K164" s="38"/>
      <c r="L164" s="38"/>
      <c r="W164" s="7" t="str">
        <f t="shared" si="4"/>
        <v/>
      </c>
    </row>
    <row r="165" spans="2:23" ht="15.6" x14ac:dyDescent="0.3">
      <c r="B165" s="127"/>
      <c r="C165" s="70"/>
      <c r="D165" s="10"/>
      <c r="E165" s="10"/>
      <c r="F165" s="38"/>
      <c r="G165" s="38"/>
      <c r="H165" s="38"/>
      <c r="I165" s="38"/>
      <c r="J165" s="38"/>
      <c r="K165" s="38"/>
      <c r="L165" s="38"/>
      <c r="W165" s="7" t="str">
        <f t="shared" si="4"/>
        <v/>
      </c>
    </row>
    <row r="166" spans="2:23" ht="15.6" x14ac:dyDescent="0.3">
      <c r="B166" s="127"/>
      <c r="C166" s="70"/>
      <c r="D166" s="10"/>
      <c r="E166" s="10"/>
      <c r="F166" s="38"/>
      <c r="G166" s="38"/>
      <c r="H166" s="38"/>
      <c r="I166" s="38"/>
      <c r="J166" s="38"/>
      <c r="K166" s="38"/>
      <c r="L166" s="38"/>
      <c r="W166" s="7" t="str">
        <f t="shared" si="4"/>
        <v/>
      </c>
    </row>
    <row r="167" spans="2:23" ht="15.6" x14ac:dyDescent="0.3">
      <c r="B167" s="127"/>
      <c r="C167" s="70"/>
      <c r="D167" s="10"/>
      <c r="E167" s="10"/>
      <c r="F167" s="38"/>
      <c r="G167" s="38"/>
      <c r="H167" s="38"/>
      <c r="I167" s="38"/>
      <c r="J167" s="38"/>
      <c r="K167" s="38"/>
      <c r="L167" s="38"/>
      <c r="W167" s="7" t="str">
        <f t="shared" si="4"/>
        <v/>
      </c>
    </row>
    <row r="168" spans="2:23" ht="15.6" x14ac:dyDescent="0.3">
      <c r="B168" s="127"/>
      <c r="C168" s="70"/>
      <c r="D168" s="10"/>
      <c r="E168" s="10"/>
      <c r="F168" s="38"/>
      <c r="G168" s="38"/>
      <c r="H168" s="38"/>
      <c r="I168" s="38"/>
      <c r="J168" s="38"/>
      <c r="K168" s="38"/>
      <c r="L168" s="38"/>
      <c r="W168" s="7" t="str">
        <f t="shared" si="4"/>
        <v/>
      </c>
    </row>
    <row r="169" spans="2:23" ht="15.6" x14ac:dyDescent="0.3">
      <c r="B169" s="127"/>
      <c r="C169" s="70"/>
      <c r="D169" s="10"/>
      <c r="E169" s="10"/>
      <c r="F169" s="38"/>
      <c r="G169" s="38"/>
      <c r="H169" s="38"/>
      <c r="I169" s="38"/>
      <c r="J169" s="38"/>
      <c r="K169" s="38"/>
      <c r="L169" s="38"/>
      <c r="W169" s="7" t="str">
        <f t="shared" si="4"/>
        <v/>
      </c>
    </row>
    <row r="170" spans="2:23" ht="15.6" x14ac:dyDescent="0.3">
      <c r="B170" s="127"/>
      <c r="C170" s="70"/>
      <c r="D170" s="10"/>
      <c r="E170" s="10"/>
      <c r="F170" s="38"/>
      <c r="G170" s="38"/>
      <c r="H170" s="38"/>
      <c r="I170" s="38"/>
      <c r="J170" s="38"/>
      <c r="K170" s="38"/>
      <c r="L170" s="38"/>
      <c r="W170" s="7" t="str">
        <f t="shared" si="4"/>
        <v/>
      </c>
    </row>
    <row r="171" spans="2:23" ht="15.6" x14ac:dyDescent="0.3">
      <c r="B171" s="127"/>
      <c r="C171" s="70"/>
      <c r="D171" s="10"/>
      <c r="E171" s="10"/>
      <c r="F171" s="38"/>
      <c r="G171" s="38"/>
      <c r="H171" s="38"/>
      <c r="I171" s="38"/>
      <c r="J171" s="38"/>
      <c r="K171" s="38"/>
      <c r="L171" s="38"/>
      <c r="W171" s="7" t="str">
        <f t="shared" si="4"/>
        <v/>
      </c>
    </row>
    <row r="172" spans="2:23" ht="15.6" x14ac:dyDescent="0.3">
      <c r="B172" s="127"/>
      <c r="C172" s="70"/>
      <c r="D172" s="10"/>
      <c r="E172" s="10"/>
      <c r="F172" s="38"/>
      <c r="G172" s="38"/>
      <c r="H172" s="38"/>
      <c r="I172" s="38"/>
      <c r="J172" s="38"/>
      <c r="K172" s="38"/>
      <c r="L172" s="38"/>
      <c r="W172" s="7" t="str">
        <f t="shared" si="4"/>
        <v/>
      </c>
    </row>
    <row r="173" spans="2:23" ht="15.6" x14ac:dyDescent="0.3">
      <c r="B173" s="127"/>
      <c r="C173" s="70"/>
      <c r="D173" s="10"/>
      <c r="E173" s="10"/>
      <c r="F173" s="38"/>
      <c r="G173" s="38"/>
      <c r="H173" s="38"/>
      <c r="I173" s="38"/>
      <c r="J173" s="38"/>
      <c r="K173" s="38"/>
      <c r="L173" s="38"/>
      <c r="W173" s="7" t="str">
        <f t="shared" si="4"/>
        <v/>
      </c>
    </row>
    <row r="174" spans="2:23" ht="15.6" x14ac:dyDescent="0.3">
      <c r="B174" s="127"/>
      <c r="C174" s="70"/>
      <c r="D174" s="10"/>
      <c r="E174" s="10"/>
      <c r="F174" s="38"/>
      <c r="G174" s="38"/>
      <c r="H174" s="38"/>
      <c r="I174" s="38"/>
      <c r="J174" s="38"/>
      <c r="K174" s="38"/>
      <c r="L174" s="38"/>
      <c r="W174" s="7" t="str">
        <f t="shared" si="4"/>
        <v/>
      </c>
    </row>
    <row r="175" spans="2:23" ht="15.6" x14ac:dyDescent="0.3">
      <c r="B175" s="127"/>
      <c r="C175" s="70"/>
      <c r="D175" s="10"/>
      <c r="E175" s="10"/>
      <c r="F175" s="38"/>
      <c r="G175" s="38"/>
      <c r="H175" s="38"/>
      <c r="I175" s="38"/>
      <c r="J175" s="38"/>
      <c r="K175" s="38"/>
      <c r="L175" s="38"/>
      <c r="W175" s="7" t="str">
        <f t="shared" si="4"/>
        <v/>
      </c>
    </row>
    <row r="176" spans="2:23" ht="15.6" x14ac:dyDescent="0.3">
      <c r="B176" s="127"/>
      <c r="C176" s="70"/>
      <c r="D176" s="10"/>
      <c r="E176" s="10"/>
      <c r="F176" s="38"/>
      <c r="G176" s="38"/>
      <c r="H176" s="38"/>
      <c r="I176" s="38"/>
      <c r="J176" s="38"/>
      <c r="K176" s="38"/>
      <c r="L176" s="38"/>
      <c r="W176" s="7" t="str">
        <f t="shared" si="4"/>
        <v/>
      </c>
    </row>
    <row r="177" spans="2:23" ht="15.6" x14ac:dyDescent="0.3">
      <c r="B177" s="127"/>
      <c r="C177" s="70"/>
      <c r="D177" s="10"/>
      <c r="E177" s="10"/>
      <c r="F177" s="38"/>
      <c r="G177" s="38"/>
      <c r="H177" s="38"/>
      <c r="I177" s="38"/>
      <c r="J177" s="38"/>
      <c r="K177" s="38"/>
      <c r="L177" s="38"/>
      <c r="W177" s="7" t="str">
        <f t="shared" si="4"/>
        <v/>
      </c>
    </row>
    <row r="178" spans="2:23" ht="15.6" x14ac:dyDescent="0.3">
      <c r="B178" s="127"/>
      <c r="C178" s="70"/>
      <c r="D178" s="10"/>
      <c r="E178" s="10"/>
      <c r="F178" s="38"/>
      <c r="G178" s="38"/>
      <c r="H178" s="38"/>
      <c r="I178" s="38"/>
      <c r="J178" s="38"/>
      <c r="K178" s="38"/>
      <c r="L178" s="38"/>
      <c r="W178" s="7" t="str">
        <f t="shared" si="4"/>
        <v/>
      </c>
    </row>
    <row r="179" spans="2:23" ht="15.6" x14ac:dyDescent="0.3">
      <c r="B179" s="127"/>
      <c r="C179" s="70"/>
      <c r="D179" s="10"/>
      <c r="E179" s="10"/>
      <c r="F179" s="38"/>
      <c r="G179" s="38"/>
      <c r="H179" s="38"/>
      <c r="I179" s="38"/>
      <c r="J179" s="38"/>
      <c r="K179" s="38"/>
      <c r="L179" s="38"/>
      <c r="W179" s="7" t="str">
        <f t="shared" si="4"/>
        <v/>
      </c>
    </row>
    <row r="180" spans="2:23" ht="15.6" x14ac:dyDescent="0.3">
      <c r="B180" s="127"/>
      <c r="C180" s="70"/>
      <c r="D180" s="10"/>
      <c r="E180" s="10"/>
      <c r="F180" s="38"/>
      <c r="G180" s="38"/>
      <c r="H180" s="38"/>
      <c r="I180" s="38"/>
      <c r="J180" s="38"/>
      <c r="K180" s="38"/>
      <c r="L180" s="38"/>
      <c r="W180" s="7" t="str">
        <f t="shared" si="4"/>
        <v/>
      </c>
    </row>
    <row r="181" spans="2:23" ht="15.6" x14ac:dyDescent="0.3">
      <c r="B181" s="127"/>
      <c r="C181" s="70"/>
      <c r="D181" s="10"/>
      <c r="E181" s="10"/>
      <c r="F181" s="38"/>
      <c r="G181" s="38"/>
      <c r="H181" s="38"/>
      <c r="I181" s="38"/>
      <c r="J181" s="38"/>
      <c r="K181" s="38"/>
      <c r="L181" s="38"/>
      <c r="W181" s="7" t="str">
        <f t="shared" si="4"/>
        <v/>
      </c>
    </row>
    <row r="182" spans="2:23" ht="15.6" x14ac:dyDescent="0.3">
      <c r="B182" s="127"/>
      <c r="C182" s="70"/>
      <c r="D182" s="10"/>
      <c r="E182" s="10"/>
      <c r="F182" s="38"/>
      <c r="G182" s="38"/>
      <c r="H182" s="38"/>
      <c r="I182" s="38"/>
      <c r="J182" s="38"/>
      <c r="K182" s="38"/>
      <c r="L182" s="38"/>
      <c r="W182" s="7" t="str">
        <f t="shared" si="4"/>
        <v/>
      </c>
    </row>
    <row r="183" spans="2:23" ht="15.6" x14ac:dyDescent="0.3">
      <c r="B183" s="127"/>
      <c r="C183" s="70"/>
      <c r="D183" s="10"/>
      <c r="E183" s="10"/>
      <c r="F183" s="38"/>
      <c r="G183" s="38"/>
      <c r="H183" s="38"/>
      <c r="I183" s="38"/>
      <c r="J183" s="38"/>
      <c r="K183" s="38"/>
      <c r="L183" s="38"/>
      <c r="W183" s="7" t="str">
        <f t="shared" si="4"/>
        <v/>
      </c>
    </row>
    <row r="184" spans="2:23" ht="15.6" x14ac:dyDescent="0.3">
      <c r="B184" s="127"/>
      <c r="C184" s="70"/>
      <c r="D184" s="10"/>
      <c r="E184" s="10"/>
      <c r="F184" s="38"/>
      <c r="G184" s="38"/>
      <c r="H184" s="38"/>
      <c r="I184" s="38"/>
      <c r="J184" s="38"/>
      <c r="K184" s="38"/>
      <c r="L184" s="38"/>
      <c r="W184" s="7" t="str">
        <f t="shared" si="4"/>
        <v/>
      </c>
    </row>
    <row r="185" spans="2:23" ht="15.6" x14ac:dyDescent="0.3">
      <c r="B185" s="127"/>
      <c r="C185" s="70"/>
      <c r="D185" s="10"/>
      <c r="E185" s="10"/>
      <c r="F185" s="38"/>
      <c r="G185" s="38"/>
      <c r="H185" s="38"/>
      <c r="I185" s="38"/>
      <c r="J185" s="38"/>
      <c r="K185" s="38"/>
      <c r="L185" s="38"/>
      <c r="W185" s="7" t="str">
        <f t="shared" si="4"/>
        <v/>
      </c>
    </row>
    <row r="186" spans="2:23" ht="15.6" x14ac:dyDescent="0.3">
      <c r="B186" s="127"/>
      <c r="C186" s="70"/>
      <c r="D186" s="10"/>
      <c r="E186" s="10"/>
      <c r="F186" s="38"/>
      <c r="G186" s="38"/>
      <c r="H186" s="38"/>
      <c r="I186" s="38"/>
      <c r="J186" s="38"/>
      <c r="K186" s="38"/>
      <c r="L186" s="38"/>
      <c r="W186" s="7" t="str">
        <f t="shared" si="4"/>
        <v/>
      </c>
    </row>
    <row r="187" spans="2:23" ht="15.6" x14ac:dyDescent="0.3">
      <c r="B187" s="127"/>
      <c r="C187" s="70"/>
      <c r="D187" s="10"/>
      <c r="E187" s="10"/>
      <c r="F187" s="38"/>
      <c r="G187" s="38"/>
      <c r="H187" s="38"/>
      <c r="I187" s="38"/>
      <c r="J187" s="38"/>
      <c r="K187" s="38"/>
      <c r="L187" s="38"/>
      <c r="W187" s="7" t="str">
        <f t="shared" si="4"/>
        <v/>
      </c>
    </row>
    <row r="188" spans="2:23" ht="15.6" x14ac:dyDescent="0.3">
      <c r="B188" s="127"/>
      <c r="C188" s="70"/>
      <c r="D188" s="10"/>
      <c r="E188" s="10"/>
      <c r="F188" s="38"/>
      <c r="G188" s="38"/>
      <c r="H188" s="38"/>
      <c r="I188" s="38"/>
      <c r="J188" s="38"/>
      <c r="K188" s="38"/>
      <c r="L188" s="38"/>
      <c r="W188" s="7" t="str">
        <f t="shared" si="4"/>
        <v/>
      </c>
    </row>
    <row r="189" spans="2:23" ht="15.6" x14ac:dyDescent="0.3">
      <c r="B189" s="127"/>
      <c r="C189" s="70"/>
      <c r="D189" s="10"/>
      <c r="E189" s="10"/>
      <c r="F189" s="38"/>
      <c r="G189" s="38"/>
      <c r="H189" s="38"/>
      <c r="I189" s="38"/>
      <c r="J189" s="38"/>
      <c r="K189" s="38"/>
      <c r="L189" s="38"/>
      <c r="W189" s="7" t="str">
        <f t="shared" si="4"/>
        <v/>
      </c>
    </row>
    <row r="190" spans="2:23" ht="15.6" x14ac:dyDescent="0.3">
      <c r="B190" s="127"/>
      <c r="C190" s="70"/>
      <c r="D190" s="10"/>
      <c r="E190" s="10"/>
      <c r="F190" s="38"/>
      <c r="G190" s="38"/>
      <c r="H190" s="38"/>
      <c r="I190" s="38"/>
      <c r="J190" s="38"/>
      <c r="K190" s="38"/>
      <c r="L190" s="38"/>
      <c r="W190" s="7" t="str">
        <f t="shared" si="4"/>
        <v/>
      </c>
    </row>
    <row r="191" spans="2:23" ht="15.6" x14ac:dyDescent="0.3">
      <c r="B191" s="127"/>
      <c r="C191" s="70"/>
      <c r="D191" s="10"/>
      <c r="E191" s="10"/>
      <c r="F191" s="38"/>
      <c r="G191" s="38"/>
      <c r="H191" s="38"/>
      <c r="I191" s="38"/>
      <c r="J191" s="38"/>
      <c r="K191" s="38"/>
      <c r="L191" s="38"/>
      <c r="W191" s="7" t="str">
        <f t="shared" si="4"/>
        <v/>
      </c>
    </row>
    <row r="192" spans="2:23" ht="15.6" x14ac:dyDescent="0.3">
      <c r="B192" s="127"/>
      <c r="C192" s="70"/>
      <c r="D192" s="10"/>
      <c r="E192" s="10"/>
      <c r="F192" s="38"/>
      <c r="G192" s="38"/>
      <c r="H192" s="38"/>
      <c r="I192" s="38"/>
      <c r="J192" s="38"/>
      <c r="K192" s="38"/>
      <c r="L192" s="38"/>
      <c r="W192" s="7" t="str">
        <f t="shared" si="4"/>
        <v/>
      </c>
    </row>
    <row r="193" spans="2:23" ht="15.6" x14ac:dyDescent="0.3">
      <c r="B193" s="127"/>
      <c r="C193" s="70"/>
      <c r="D193" s="10"/>
      <c r="E193" s="10"/>
      <c r="F193" s="38"/>
      <c r="G193" s="38"/>
      <c r="H193" s="38"/>
      <c r="I193" s="38"/>
      <c r="J193" s="38"/>
      <c r="K193" s="38"/>
      <c r="L193" s="38"/>
      <c r="W193" s="7" t="str">
        <f t="shared" si="4"/>
        <v/>
      </c>
    </row>
    <row r="194" spans="2:23" ht="15.6" x14ac:dyDescent="0.3">
      <c r="B194" s="127"/>
      <c r="C194" s="70"/>
      <c r="D194" s="10"/>
      <c r="E194" s="10"/>
      <c r="F194" s="38"/>
      <c r="G194" s="38"/>
      <c r="H194" s="38"/>
      <c r="I194" s="38"/>
      <c r="J194" s="38"/>
      <c r="K194" s="38"/>
      <c r="L194" s="38"/>
      <c r="W194" s="7" t="str">
        <f t="shared" si="4"/>
        <v/>
      </c>
    </row>
    <row r="195" spans="2:23" ht="15.6" x14ac:dyDescent="0.3">
      <c r="B195" s="127"/>
      <c r="C195" s="70"/>
      <c r="D195" s="10"/>
      <c r="E195" s="10"/>
      <c r="F195" s="38"/>
      <c r="G195" s="38"/>
      <c r="H195" s="38"/>
      <c r="I195" s="38"/>
      <c r="J195" s="38"/>
      <c r="K195" s="38"/>
      <c r="L195" s="38"/>
      <c r="W195" s="7" t="str">
        <f t="shared" ref="W195:W258" si="5">IF(B195="","",TEXT(B195,"mmm"))</f>
        <v/>
      </c>
    </row>
    <row r="196" spans="2:23" ht="15.6" x14ac:dyDescent="0.3">
      <c r="B196" s="127"/>
      <c r="C196" s="70"/>
      <c r="D196" s="10"/>
      <c r="E196" s="10"/>
      <c r="F196" s="38"/>
      <c r="G196" s="38"/>
      <c r="H196" s="38"/>
      <c r="I196" s="38"/>
      <c r="J196" s="38"/>
      <c r="K196" s="38"/>
      <c r="L196" s="38"/>
      <c r="W196" s="7" t="str">
        <f t="shared" si="5"/>
        <v/>
      </c>
    </row>
    <row r="197" spans="2:23" ht="15.6" x14ac:dyDescent="0.3">
      <c r="B197" s="127"/>
      <c r="C197" s="70"/>
      <c r="D197" s="10"/>
      <c r="E197" s="10"/>
      <c r="F197" s="38"/>
      <c r="G197" s="38"/>
      <c r="H197" s="38"/>
      <c r="I197" s="38"/>
      <c r="J197" s="38"/>
      <c r="K197" s="38"/>
      <c r="L197" s="38"/>
      <c r="W197" s="7" t="str">
        <f t="shared" si="5"/>
        <v/>
      </c>
    </row>
    <row r="198" spans="2:23" ht="15.6" x14ac:dyDescent="0.3">
      <c r="B198" s="127"/>
      <c r="C198" s="70"/>
      <c r="D198" s="10"/>
      <c r="E198" s="10"/>
      <c r="F198" s="38"/>
      <c r="G198" s="38"/>
      <c r="H198" s="38"/>
      <c r="I198" s="38"/>
      <c r="J198" s="38"/>
      <c r="K198" s="38"/>
      <c r="L198" s="38"/>
      <c r="W198" s="7" t="str">
        <f t="shared" si="5"/>
        <v/>
      </c>
    </row>
    <row r="199" spans="2:23" ht="15.6" x14ac:dyDescent="0.3">
      <c r="B199" s="127"/>
      <c r="C199" s="70"/>
      <c r="D199" s="10"/>
      <c r="E199" s="10"/>
      <c r="F199" s="38"/>
      <c r="G199" s="38"/>
      <c r="H199" s="38"/>
      <c r="I199" s="38"/>
      <c r="J199" s="38"/>
      <c r="K199" s="38"/>
      <c r="L199" s="38"/>
      <c r="W199" s="7" t="str">
        <f t="shared" si="5"/>
        <v/>
      </c>
    </row>
    <row r="200" spans="2:23" ht="15.6" x14ac:dyDescent="0.3">
      <c r="B200" s="127"/>
      <c r="C200" s="70"/>
      <c r="D200" s="10"/>
      <c r="E200" s="10"/>
      <c r="F200" s="38"/>
      <c r="G200" s="38"/>
      <c r="H200" s="38"/>
      <c r="I200" s="38"/>
      <c r="J200" s="38"/>
      <c r="K200" s="38"/>
      <c r="L200" s="38"/>
      <c r="W200" s="7" t="str">
        <f t="shared" si="5"/>
        <v/>
      </c>
    </row>
    <row r="201" spans="2:23" ht="15.6" x14ac:dyDescent="0.3">
      <c r="B201" s="127"/>
      <c r="C201" s="70"/>
      <c r="D201" s="10"/>
      <c r="E201" s="10"/>
      <c r="F201" s="38"/>
      <c r="G201" s="38"/>
      <c r="H201" s="38"/>
      <c r="I201" s="38"/>
      <c r="J201" s="38"/>
      <c r="K201" s="38"/>
      <c r="L201" s="38"/>
      <c r="W201" s="7" t="str">
        <f t="shared" si="5"/>
        <v/>
      </c>
    </row>
    <row r="202" spans="2:23" ht="15.6" x14ac:dyDescent="0.3">
      <c r="B202" s="127"/>
      <c r="C202" s="70"/>
      <c r="D202" s="10"/>
      <c r="E202" s="10"/>
      <c r="F202" s="38"/>
      <c r="G202" s="38"/>
      <c r="H202" s="38"/>
      <c r="I202" s="38"/>
      <c r="J202" s="38"/>
      <c r="K202" s="38"/>
      <c r="L202" s="38"/>
      <c r="W202" s="7" t="str">
        <f t="shared" si="5"/>
        <v/>
      </c>
    </row>
    <row r="203" spans="2:23" ht="15.6" x14ac:dyDescent="0.3">
      <c r="B203" s="127"/>
      <c r="C203" s="70"/>
      <c r="D203" s="10"/>
      <c r="E203" s="10"/>
      <c r="F203" s="38"/>
      <c r="G203" s="38"/>
      <c r="H203" s="38"/>
      <c r="I203" s="38"/>
      <c r="J203" s="38"/>
      <c r="K203" s="38"/>
      <c r="L203" s="38"/>
      <c r="W203" s="7" t="str">
        <f t="shared" si="5"/>
        <v/>
      </c>
    </row>
    <row r="204" spans="2:23" ht="15.6" x14ac:dyDescent="0.3">
      <c r="B204" s="127"/>
      <c r="C204" s="70"/>
      <c r="D204" s="10"/>
      <c r="E204" s="10"/>
      <c r="F204" s="38"/>
      <c r="G204" s="38"/>
      <c r="H204" s="38"/>
      <c r="I204" s="38"/>
      <c r="J204" s="38"/>
      <c r="K204" s="38"/>
      <c r="L204" s="38"/>
      <c r="W204" s="7" t="str">
        <f t="shared" si="5"/>
        <v/>
      </c>
    </row>
    <row r="205" spans="2:23" ht="15.6" x14ac:dyDescent="0.3">
      <c r="B205" s="127"/>
      <c r="C205" s="70"/>
      <c r="D205" s="10"/>
      <c r="E205" s="10"/>
      <c r="F205" s="38"/>
      <c r="G205" s="38"/>
      <c r="H205" s="38"/>
      <c r="I205" s="38"/>
      <c r="J205" s="38"/>
      <c r="K205" s="38"/>
      <c r="L205" s="38"/>
      <c r="W205" s="7" t="str">
        <f t="shared" si="5"/>
        <v/>
      </c>
    </row>
    <row r="206" spans="2:23" ht="15.6" x14ac:dyDescent="0.3">
      <c r="B206" s="127"/>
      <c r="C206" s="70"/>
      <c r="D206" s="10"/>
      <c r="E206" s="10"/>
      <c r="F206" s="38"/>
      <c r="G206" s="38"/>
      <c r="H206" s="38"/>
      <c r="I206" s="38"/>
      <c r="J206" s="38"/>
      <c r="K206" s="38"/>
      <c r="L206" s="38"/>
      <c r="W206" s="7" t="str">
        <f t="shared" si="5"/>
        <v/>
      </c>
    </row>
    <row r="207" spans="2:23" ht="15.6" x14ac:dyDescent="0.3">
      <c r="B207" s="127"/>
      <c r="C207" s="70"/>
      <c r="D207" s="10"/>
      <c r="E207" s="10"/>
      <c r="F207" s="38"/>
      <c r="G207" s="38"/>
      <c r="H207" s="38"/>
      <c r="I207" s="38"/>
      <c r="J207" s="38"/>
      <c r="K207" s="38"/>
      <c r="L207" s="38"/>
      <c r="W207" s="7" t="str">
        <f t="shared" si="5"/>
        <v/>
      </c>
    </row>
    <row r="208" spans="2:23" ht="15.6" x14ac:dyDescent="0.3">
      <c r="B208" s="127"/>
      <c r="C208" s="70"/>
      <c r="D208" s="10"/>
      <c r="E208" s="10"/>
      <c r="F208" s="38"/>
      <c r="G208" s="38"/>
      <c r="H208" s="38"/>
      <c r="I208" s="38"/>
      <c r="J208" s="38"/>
      <c r="K208" s="38"/>
      <c r="L208" s="38"/>
      <c r="W208" s="7" t="str">
        <f t="shared" si="5"/>
        <v/>
      </c>
    </row>
    <row r="209" spans="2:23" ht="15.6" x14ac:dyDescent="0.3">
      <c r="B209" s="127"/>
      <c r="C209" s="70"/>
      <c r="D209" s="10"/>
      <c r="E209" s="10"/>
      <c r="F209" s="38"/>
      <c r="G209" s="38"/>
      <c r="H209" s="38"/>
      <c r="I209" s="38"/>
      <c r="J209" s="38"/>
      <c r="K209" s="38"/>
      <c r="L209" s="38"/>
      <c r="W209" s="7" t="str">
        <f t="shared" si="5"/>
        <v/>
      </c>
    </row>
    <row r="210" spans="2:23" ht="15.6" x14ac:dyDescent="0.3">
      <c r="B210" s="127"/>
      <c r="C210" s="70"/>
      <c r="D210" s="10"/>
      <c r="E210" s="10"/>
      <c r="F210" s="38"/>
      <c r="G210" s="38"/>
      <c r="H210" s="38"/>
      <c r="I210" s="38"/>
      <c r="J210" s="38"/>
      <c r="K210" s="38"/>
      <c r="L210" s="38"/>
      <c r="W210" s="7" t="str">
        <f t="shared" si="5"/>
        <v/>
      </c>
    </row>
    <row r="211" spans="2:23" ht="15.6" x14ac:dyDescent="0.3">
      <c r="B211" s="127"/>
      <c r="C211" s="70"/>
      <c r="D211" s="10"/>
      <c r="E211" s="10"/>
      <c r="F211" s="38"/>
      <c r="G211" s="38"/>
      <c r="H211" s="38"/>
      <c r="I211" s="38"/>
      <c r="J211" s="38"/>
      <c r="K211" s="38"/>
      <c r="L211" s="38"/>
      <c r="W211" s="7" t="str">
        <f t="shared" si="5"/>
        <v/>
      </c>
    </row>
    <row r="212" spans="2:23" ht="15.6" x14ac:dyDescent="0.3">
      <c r="B212" s="127"/>
      <c r="C212" s="70"/>
      <c r="D212" s="10"/>
      <c r="E212" s="10"/>
      <c r="F212" s="38"/>
      <c r="G212" s="38"/>
      <c r="H212" s="38"/>
      <c r="I212" s="38"/>
      <c r="J212" s="38"/>
      <c r="K212" s="38"/>
      <c r="L212" s="38"/>
      <c r="W212" s="7" t="str">
        <f t="shared" si="5"/>
        <v/>
      </c>
    </row>
    <row r="213" spans="2:23" ht="15.6" x14ac:dyDescent="0.3">
      <c r="B213" s="127"/>
      <c r="C213" s="70"/>
      <c r="D213" s="10"/>
      <c r="E213" s="10"/>
      <c r="F213" s="38"/>
      <c r="G213" s="38"/>
      <c r="H213" s="38"/>
      <c r="I213" s="38"/>
      <c r="J213" s="38"/>
      <c r="K213" s="38"/>
      <c r="L213" s="38"/>
      <c r="W213" s="7" t="str">
        <f t="shared" si="5"/>
        <v/>
      </c>
    </row>
    <row r="214" spans="2:23" ht="15.6" x14ac:dyDescent="0.3">
      <c r="B214" s="127"/>
      <c r="C214" s="70"/>
      <c r="D214" s="10"/>
      <c r="E214" s="10"/>
      <c r="F214" s="38"/>
      <c r="G214" s="38"/>
      <c r="H214" s="38"/>
      <c r="I214" s="38"/>
      <c r="J214" s="38"/>
      <c r="K214" s="38"/>
      <c r="L214" s="38"/>
      <c r="W214" s="7" t="str">
        <f t="shared" si="5"/>
        <v/>
      </c>
    </row>
    <row r="215" spans="2:23" ht="15.6" x14ac:dyDescent="0.3">
      <c r="B215" s="127"/>
      <c r="C215" s="70"/>
      <c r="D215" s="10"/>
      <c r="E215" s="10"/>
      <c r="F215" s="38"/>
      <c r="G215" s="38"/>
      <c r="H215" s="38"/>
      <c r="I215" s="38"/>
      <c r="J215" s="38"/>
      <c r="K215" s="38"/>
      <c r="L215" s="38"/>
      <c r="W215" s="7" t="str">
        <f t="shared" si="5"/>
        <v/>
      </c>
    </row>
    <row r="216" spans="2:23" ht="15.6" x14ac:dyDescent="0.3">
      <c r="B216" s="127"/>
      <c r="C216" s="70"/>
      <c r="D216" s="10"/>
      <c r="E216" s="10"/>
      <c r="F216" s="38"/>
      <c r="G216" s="38"/>
      <c r="H216" s="38"/>
      <c r="I216" s="38"/>
      <c r="J216" s="38"/>
      <c r="K216" s="38"/>
      <c r="L216" s="38"/>
      <c r="W216" s="7" t="str">
        <f t="shared" si="5"/>
        <v/>
      </c>
    </row>
    <row r="217" spans="2:23" ht="15.6" x14ac:dyDescent="0.3">
      <c r="B217" s="127"/>
      <c r="C217" s="70"/>
      <c r="D217" s="10"/>
      <c r="E217" s="10"/>
      <c r="F217" s="38"/>
      <c r="G217" s="38"/>
      <c r="H217" s="38"/>
      <c r="I217" s="38"/>
      <c r="J217" s="38"/>
      <c r="K217" s="38"/>
      <c r="L217" s="38"/>
      <c r="W217" s="7" t="str">
        <f t="shared" si="5"/>
        <v/>
      </c>
    </row>
    <row r="218" spans="2:23" ht="15.6" x14ac:dyDescent="0.3">
      <c r="B218" s="127"/>
      <c r="C218" s="70"/>
      <c r="D218" s="10"/>
      <c r="E218" s="10"/>
      <c r="F218" s="38"/>
      <c r="G218" s="38"/>
      <c r="H218" s="38"/>
      <c r="I218" s="38"/>
      <c r="J218" s="38"/>
      <c r="K218" s="38"/>
      <c r="L218" s="38"/>
      <c r="W218" s="7" t="str">
        <f t="shared" si="5"/>
        <v/>
      </c>
    </row>
    <row r="219" spans="2:23" ht="15.6" x14ac:dyDescent="0.3">
      <c r="B219" s="127"/>
      <c r="C219" s="70"/>
      <c r="D219" s="10"/>
      <c r="E219" s="10"/>
      <c r="F219" s="38"/>
      <c r="G219" s="38"/>
      <c r="H219" s="38"/>
      <c r="I219" s="38"/>
      <c r="J219" s="38"/>
      <c r="K219" s="38"/>
      <c r="L219" s="38"/>
      <c r="W219" s="7" t="str">
        <f t="shared" si="5"/>
        <v/>
      </c>
    </row>
    <row r="220" spans="2:23" ht="15.6" x14ac:dyDescent="0.3">
      <c r="B220" s="127"/>
      <c r="C220" s="70"/>
      <c r="D220" s="10"/>
      <c r="E220" s="10"/>
      <c r="F220" s="38"/>
      <c r="G220" s="38"/>
      <c r="H220" s="38"/>
      <c r="I220" s="38"/>
      <c r="J220" s="38"/>
      <c r="K220" s="38"/>
      <c r="L220" s="38"/>
      <c r="W220" s="7" t="str">
        <f t="shared" si="5"/>
        <v/>
      </c>
    </row>
    <row r="221" spans="2:23" ht="15.6" x14ac:dyDescent="0.3">
      <c r="B221" s="127"/>
      <c r="C221" s="70"/>
      <c r="D221" s="10"/>
      <c r="E221" s="10"/>
      <c r="F221" s="38"/>
      <c r="G221" s="38"/>
      <c r="H221" s="38"/>
      <c r="I221" s="38"/>
      <c r="J221" s="38"/>
      <c r="K221" s="38"/>
      <c r="L221" s="38"/>
      <c r="W221" s="7" t="str">
        <f t="shared" si="5"/>
        <v/>
      </c>
    </row>
    <row r="222" spans="2:23" ht="15.6" x14ac:dyDescent="0.3">
      <c r="B222" s="127"/>
      <c r="C222" s="70"/>
      <c r="D222" s="10"/>
      <c r="E222" s="10"/>
      <c r="F222" s="38"/>
      <c r="G222" s="38"/>
      <c r="H222" s="38"/>
      <c r="I222" s="38"/>
      <c r="J222" s="38"/>
      <c r="K222" s="38"/>
      <c r="L222" s="38"/>
      <c r="W222" s="7" t="str">
        <f t="shared" si="5"/>
        <v/>
      </c>
    </row>
    <row r="223" spans="2:23" ht="15.6" x14ac:dyDescent="0.3">
      <c r="B223" s="127"/>
      <c r="C223" s="70"/>
      <c r="D223" s="10"/>
      <c r="E223" s="10"/>
      <c r="F223" s="38"/>
      <c r="G223" s="38"/>
      <c r="H223" s="38"/>
      <c r="I223" s="38"/>
      <c r="J223" s="38"/>
      <c r="K223" s="38"/>
      <c r="L223" s="38"/>
      <c r="W223" s="7" t="str">
        <f t="shared" si="5"/>
        <v/>
      </c>
    </row>
    <row r="224" spans="2:23" ht="15.6" x14ac:dyDescent="0.3">
      <c r="B224" s="127"/>
      <c r="C224" s="70"/>
      <c r="D224" s="10"/>
      <c r="E224" s="10"/>
      <c r="F224" s="38"/>
      <c r="G224" s="38"/>
      <c r="H224" s="38"/>
      <c r="I224" s="38"/>
      <c r="J224" s="38"/>
      <c r="K224" s="38"/>
      <c r="L224" s="38"/>
      <c r="W224" s="7" t="str">
        <f t="shared" si="5"/>
        <v/>
      </c>
    </row>
    <row r="225" spans="2:23" ht="15.6" x14ac:dyDescent="0.3">
      <c r="B225" s="127"/>
      <c r="C225" s="70"/>
      <c r="D225" s="10"/>
      <c r="E225" s="10"/>
      <c r="F225" s="38"/>
      <c r="G225" s="38"/>
      <c r="H225" s="38"/>
      <c r="I225" s="38"/>
      <c r="J225" s="38"/>
      <c r="K225" s="38"/>
      <c r="L225" s="38"/>
      <c r="W225" s="7" t="str">
        <f t="shared" si="5"/>
        <v/>
      </c>
    </row>
    <row r="226" spans="2:23" ht="15.6" x14ac:dyDescent="0.3">
      <c r="B226" s="127"/>
      <c r="C226" s="70"/>
      <c r="D226" s="10"/>
      <c r="E226" s="10"/>
      <c r="F226" s="38"/>
      <c r="G226" s="38"/>
      <c r="H226" s="38"/>
      <c r="I226" s="38"/>
      <c r="J226" s="38"/>
      <c r="K226" s="38"/>
      <c r="L226" s="38"/>
      <c r="W226" s="7" t="str">
        <f t="shared" si="5"/>
        <v/>
      </c>
    </row>
    <row r="227" spans="2:23" ht="15.6" x14ac:dyDescent="0.3">
      <c r="B227" s="127"/>
      <c r="C227" s="70"/>
      <c r="D227" s="10"/>
      <c r="E227" s="10"/>
      <c r="F227" s="38"/>
      <c r="G227" s="38"/>
      <c r="H227" s="38"/>
      <c r="I227" s="38"/>
      <c r="J227" s="38"/>
      <c r="K227" s="38"/>
      <c r="L227" s="38"/>
      <c r="W227" s="7" t="str">
        <f t="shared" si="5"/>
        <v/>
      </c>
    </row>
    <row r="228" spans="2:23" ht="15.6" x14ac:dyDescent="0.3">
      <c r="B228" s="127"/>
      <c r="C228" s="70"/>
      <c r="D228" s="10"/>
      <c r="E228" s="10"/>
      <c r="F228" s="38"/>
      <c r="G228" s="38"/>
      <c r="H228" s="38"/>
      <c r="I228" s="38"/>
      <c r="J228" s="38"/>
      <c r="K228" s="38"/>
      <c r="L228" s="38"/>
      <c r="W228" s="7" t="str">
        <f t="shared" si="5"/>
        <v/>
      </c>
    </row>
    <row r="229" spans="2:23" ht="15.6" x14ac:dyDescent="0.3">
      <c r="B229" s="127"/>
      <c r="C229" s="70"/>
      <c r="D229" s="10"/>
      <c r="E229" s="10"/>
      <c r="F229" s="38"/>
      <c r="G229" s="38"/>
      <c r="H229" s="38"/>
      <c r="I229" s="38"/>
      <c r="J229" s="38"/>
      <c r="K229" s="38"/>
      <c r="L229" s="38"/>
      <c r="W229" s="7" t="str">
        <f t="shared" si="5"/>
        <v/>
      </c>
    </row>
    <row r="230" spans="2:23" ht="15.6" x14ac:dyDescent="0.3">
      <c r="B230" s="127"/>
      <c r="C230" s="70"/>
      <c r="D230" s="10"/>
      <c r="E230" s="10"/>
      <c r="F230" s="38"/>
      <c r="G230" s="38"/>
      <c r="H230" s="38"/>
      <c r="I230" s="38"/>
      <c r="J230" s="38"/>
      <c r="K230" s="38"/>
      <c r="L230" s="38"/>
      <c r="W230" s="7" t="str">
        <f t="shared" si="5"/>
        <v/>
      </c>
    </row>
    <row r="231" spans="2:23" ht="15.6" x14ac:dyDescent="0.3">
      <c r="B231" s="127"/>
      <c r="C231" s="70"/>
      <c r="D231" s="10"/>
      <c r="E231" s="10"/>
      <c r="F231" s="38"/>
      <c r="G231" s="38"/>
      <c r="H231" s="38"/>
      <c r="I231" s="38"/>
      <c r="J231" s="38"/>
      <c r="K231" s="38"/>
      <c r="L231" s="38"/>
      <c r="W231" s="7" t="str">
        <f t="shared" si="5"/>
        <v/>
      </c>
    </row>
    <row r="232" spans="2:23" ht="15.6" x14ac:dyDescent="0.3">
      <c r="B232" s="127"/>
      <c r="C232" s="70"/>
      <c r="D232" s="10"/>
      <c r="E232" s="10"/>
      <c r="F232" s="38"/>
      <c r="G232" s="38"/>
      <c r="H232" s="38"/>
      <c r="I232" s="38"/>
      <c r="J232" s="38"/>
      <c r="K232" s="38"/>
      <c r="L232" s="38"/>
      <c r="W232" s="7" t="str">
        <f t="shared" si="5"/>
        <v/>
      </c>
    </row>
    <row r="233" spans="2:23" ht="15.6" x14ac:dyDescent="0.3">
      <c r="B233" s="127"/>
      <c r="C233" s="70"/>
      <c r="D233" s="10"/>
      <c r="E233" s="10"/>
      <c r="F233" s="38"/>
      <c r="G233" s="38"/>
      <c r="H233" s="38"/>
      <c r="I233" s="38"/>
      <c r="J233" s="38"/>
      <c r="K233" s="38"/>
      <c r="L233" s="38"/>
      <c r="W233" s="7" t="str">
        <f t="shared" si="5"/>
        <v/>
      </c>
    </row>
    <row r="234" spans="2:23" ht="15.6" x14ac:dyDescent="0.3">
      <c r="B234" s="127"/>
      <c r="C234" s="70"/>
      <c r="D234" s="10"/>
      <c r="E234" s="10"/>
      <c r="F234" s="38"/>
      <c r="G234" s="38"/>
      <c r="H234" s="38"/>
      <c r="I234" s="38"/>
      <c r="J234" s="38"/>
      <c r="K234" s="38"/>
      <c r="L234" s="38"/>
      <c r="W234" s="7" t="str">
        <f t="shared" si="5"/>
        <v/>
      </c>
    </row>
    <row r="235" spans="2:23" ht="15.6" x14ac:dyDescent="0.3">
      <c r="B235" s="127"/>
      <c r="C235" s="70"/>
      <c r="D235" s="10"/>
      <c r="E235" s="10"/>
      <c r="F235" s="38"/>
      <c r="G235" s="38"/>
      <c r="H235" s="38"/>
      <c r="I235" s="38"/>
      <c r="J235" s="38"/>
      <c r="K235" s="38"/>
      <c r="L235" s="38"/>
      <c r="W235" s="7" t="str">
        <f t="shared" si="5"/>
        <v/>
      </c>
    </row>
    <row r="236" spans="2:23" ht="15.6" x14ac:dyDescent="0.3">
      <c r="B236" s="127"/>
      <c r="C236" s="70"/>
      <c r="D236" s="10"/>
      <c r="E236" s="10"/>
      <c r="F236" s="38"/>
      <c r="G236" s="38"/>
      <c r="H236" s="38"/>
      <c r="I236" s="38"/>
      <c r="J236" s="38"/>
      <c r="K236" s="38"/>
      <c r="L236" s="38"/>
      <c r="W236" s="7" t="str">
        <f t="shared" si="5"/>
        <v/>
      </c>
    </row>
    <row r="237" spans="2:23" ht="15.6" x14ac:dyDescent="0.3">
      <c r="B237" s="127"/>
      <c r="C237" s="70"/>
      <c r="D237" s="10"/>
      <c r="E237" s="10"/>
      <c r="F237" s="38"/>
      <c r="G237" s="38"/>
      <c r="H237" s="38"/>
      <c r="I237" s="38"/>
      <c r="J237" s="38"/>
      <c r="K237" s="38"/>
      <c r="L237" s="38"/>
      <c r="W237" s="7" t="str">
        <f t="shared" si="5"/>
        <v/>
      </c>
    </row>
    <row r="238" spans="2:23" ht="15.6" x14ac:dyDescent="0.3">
      <c r="B238" s="127"/>
      <c r="C238" s="70"/>
      <c r="D238" s="10"/>
      <c r="E238" s="10"/>
      <c r="F238" s="38"/>
      <c r="G238" s="38"/>
      <c r="H238" s="38"/>
      <c r="I238" s="38"/>
      <c r="J238" s="38"/>
      <c r="K238" s="38"/>
      <c r="L238" s="38"/>
      <c r="W238" s="7" t="str">
        <f t="shared" si="5"/>
        <v/>
      </c>
    </row>
    <row r="239" spans="2:23" ht="15.6" x14ac:dyDescent="0.3">
      <c r="B239" s="127"/>
      <c r="C239" s="70"/>
      <c r="D239" s="10"/>
      <c r="E239" s="10"/>
      <c r="F239" s="38"/>
      <c r="G239" s="38"/>
      <c r="H239" s="38"/>
      <c r="I239" s="38"/>
      <c r="J239" s="38"/>
      <c r="K239" s="38"/>
      <c r="L239" s="38"/>
      <c r="W239" s="7" t="str">
        <f t="shared" si="5"/>
        <v/>
      </c>
    </row>
    <row r="240" spans="2:23" ht="15.6" x14ac:dyDescent="0.3">
      <c r="B240" s="127"/>
      <c r="C240" s="70"/>
      <c r="D240" s="10"/>
      <c r="E240" s="10"/>
      <c r="F240" s="38"/>
      <c r="G240" s="38"/>
      <c r="H240" s="38"/>
      <c r="I240" s="38"/>
      <c r="J240" s="38"/>
      <c r="K240" s="38"/>
      <c r="L240" s="38"/>
      <c r="W240" s="7" t="str">
        <f t="shared" si="5"/>
        <v/>
      </c>
    </row>
    <row r="241" spans="2:23" ht="15.6" x14ac:dyDescent="0.3">
      <c r="B241" s="127"/>
      <c r="C241" s="70"/>
      <c r="D241" s="10"/>
      <c r="E241" s="10"/>
      <c r="F241" s="38"/>
      <c r="G241" s="38"/>
      <c r="H241" s="38"/>
      <c r="I241" s="38"/>
      <c r="J241" s="38"/>
      <c r="K241" s="38"/>
      <c r="L241" s="38"/>
      <c r="W241" s="7" t="str">
        <f t="shared" si="5"/>
        <v/>
      </c>
    </row>
    <row r="242" spans="2:23" ht="15.6" x14ac:dyDescent="0.3">
      <c r="B242" s="127"/>
      <c r="C242" s="70"/>
      <c r="D242" s="10"/>
      <c r="E242" s="10"/>
      <c r="F242" s="38"/>
      <c r="G242" s="38"/>
      <c r="H242" s="38"/>
      <c r="I242" s="38"/>
      <c r="J242" s="38"/>
      <c r="K242" s="38"/>
      <c r="L242" s="38"/>
      <c r="W242" s="7" t="str">
        <f t="shared" si="5"/>
        <v/>
      </c>
    </row>
    <row r="243" spans="2:23" ht="15.6" x14ac:dyDescent="0.3">
      <c r="B243" s="127"/>
      <c r="C243" s="70"/>
      <c r="D243" s="10"/>
      <c r="E243" s="10"/>
      <c r="F243" s="38"/>
      <c r="G243" s="38"/>
      <c r="H243" s="38"/>
      <c r="I243" s="38"/>
      <c r="J243" s="38"/>
      <c r="K243" s="38"/>
      <c r="L243" s="38"/>
      <c r="W243" s="7" t="str">
        <f t="shared" si="5"/>
        <v/>
      </c>
    </row>
    <row r="244" spans="2:23" ht="15.6" x14ac:dyDescent="0.3">
      <c r="B244" s="127"/>
      <c r="C244" s="70"/>
      <c r="D244" s="10"/>
      <c r="E244" s="10"/>
      <c r="F244" s="38"/>
      <c r="G244" s="38"/>
      <c r="H244" s="38"/>
      <c r="I244" s="38"/>
      <c r="J244" s="38"/>
      <c r="K244" s="38"/>
      <c r="L244" s="38"/>
      <c r="W244" s="7" t="str">
        <f t="shared" si="5"/>
        <v/>
      </c>
    </row>
    <row r="245" spans="2:23" ht="15.6" x14ac:dyDescent="0.3">
      <c r="B245" s="127"/>
      <c r="C245" s="70"/>
      <c r="D245" s="10"/>
      <c r="E245" s="10"/>
      <c r="F245" s="38"/>
      <c r="G245" s="38"/>
      <c r="H245" s="38"/>
      <c r="I245" s="38"/>
      <c r="J245" s="38"/>
      <c r="K245" s="38"/>
      <c r="L245" s="38"/>
      <c r="W245" s="7" t="str">
        <f t="shared" si="5"/>
        <v/>
      </c>
    </row>
    <row r="246" spans="2:23" ht="15.6" x14ac:dyDescent="0.3">
      <c r="B246" s="127"/>
      <c r="C246" s="70"/>
      <c r="D246" s="10"/>
      <c r="E246" s="10"/>
      <c r="F246" s="38"/>
      <c r="G246" s="38"/>
      <c r="H246" s="38"/>
      <c r="I246" s="38"/>
      <c r="J246" s="38"/>
      <c r="K246" s="38"/>
      <c r="L246" s="38"/>
      <c r="W246" s="7" t="str">
        <f t="shared" si="5"/>
        <v/>
      </c>
    </row>
    <row r="247" spans="2:23" ht="15.6" x14ac:dyDescent="0.3">
      <c r="B247" s="127"/>
      <c r="C247" s="70"/>
      <c r="D247" s="10"/>
      <c r="E247" s="10"/>
      <c r="F247" s="38"/>
      <c r="G247" s="38"/>
      <c r="H247" s="38"/>
      <c r="I247" s="38"/>
      <c r="J247" s="38"/>
      <c r="K247" s="38"/>
      <c r="L247" s="38"/>
      <c r="W247" s="7" t="str">
        <f t="shared" si="5"/>
        <v/>
      </c>
    </row>
    <row r="248" spans="2:23" ht="15.6" x14ac:dyDescent="0.3">
      <c r="B248" s="127"/>
      <c r="C248" s="70"/>
      <c r="D248" s="10"/>
      <c r="E248" s="10"/>
      <c r="F248" s="38"/>
      <c r="G248" s="38"/>
      <c r="H248" s="38"/>
      <c r="I248" s="38"/>
      <c r="J248" s="38"/>
      <c r="K248" s="38"/>
      <c r="L248" s="38"/>
      <c r="W248" s="7" t="str">
        <f t="shared" si="5"/>
        <v/>
      </c>
    </row>
    <row r="249" spans="2:23" ht="15.6" x14ac:dyDescent="0.3">
      <c r="B249" s="127"/>
      <c r="C249" s="70"/>
      <c r="D249" s="10"/>
      <c r="E249" s="10"/>
      <c r="F249" s="38"/>
      <c r="G249" s="38"/>
      <c r="H249" s="38"/>
      <c r="I249" s="38"/>
      <c r="J249" s="38"/>
      <c r="K249" s="38"/>
      <c r="L249" s="38"/>
      <c r="W249" s="7" t="str">
        <f t="shared" si="5"/>
        <v/>
      </c>
    </row>
    <row r="250" spans="2:23" ht="15.6" x14ac:dyDescent="0.3">
      <c r="B250" s="127"/>
      <c r="C250" s="70"/>
      <c r="D250" s="10"/>
      <c r="E250" s="10"/>
      <c r="F250" s="38"/>
      <c r="G250" s="38"/>
      <c r="H250" s="38"/>
      <c r="I250" s="38"/>
      <c r="J250" s="38"/>
      <c r="K250" s="38"/>
      <c r="L250" s="38"/>
      <c r="W250" s="7" t="str">
        <f t="shared" si="5"/>
        <v/>
      </c>
    </row>
    <row r="251" spans="2:23" ht="15.6" x14ac:dyDescent="0.3">
      <c r="B251" s="127"/>
      <c r="C251" s="70"/>
      <c r="D251" s="10"/>
      <c r="E251" s="10"/>
      <c r="F251" s="38"/>
      <c r="G251" s="38"/>
      <c r="H251" s="38"/>
      <c r="I251" s="38"/>
      <c r="J251" s="38"/>
      <c r="K251" s="38"/>
      <c r="L251" s="38"/>
      <c r="W251" s="7" t="str">
        <f t="shared" si="5"/>
        <v/>
      </c>
    </row>
    <row r="252" spans="2:23" ht="15.6" x14ac:dyDescent="0.3">
      <c r="B252" s="127"/>
      <c r="C252" s="70"/>
      <c r="D252" s="10"/>
      <c r="E252" s="10"/>
      <c r="F252" s="38"/>
      <c r="G252" s="38"/>
      <c r="H252" s="38"/>
      <c r="I252" s="38"/>
      <c r="J252" s="38"/>
      <c r="K252" s="38"/>
      <c r="L252" s="38"/>
      <c r="W252" s="7" t="str">
        <f t="shared" si="5"/>
        <v/>
      </c>
    </row>
    <row r="253" spans="2:23" ht="15.6" x14ac:dyDescent="0.3">
      <c r="B253" s="127"/>
      <c r="C253" s="70"/>
      <c r="D253" s="10"/>
      <c r="E253" s="10"/>
      <c r="F253" s="38"/>
      <c r="G253" s="38"/>
      <c r="H253" s="38"/>
      <c r="I253" s="38"/>
      <c r="J253" s="38"/>
      <c r="K253" s="38"/>
      <c r="L253" s="38"/>
      <c r="W253" s="7" t="str">
        <f t="shared" si="5"/>
        <v/>
      </c>
    </row>
    <row r="254" spans="2:23" ht="15.6" x14ac:dyDescent="0.3">
      <c r="B254" s="127"/>
      <c r="C254" s="70"/>
      <c r="D254" s="10"/>
      <c r="E254" s="10"/>
      <c r="F254" s="38"/>
      <c r="G254" s="38"/>
      <c r="H254" s="38"/>
      <c r="I254" s="38"/>
      <c r="J254" s="38"/>
      <c r="K254" s="38"/>
      <c r="L254" s="38"/>
      <c r="W254" s="7" t="str">
        <f t="shared" si="5"/>
        <v/>
      </c>
    </row>
    <row r="255" spans="2:23" ht="15.6" x14ac:dyDescent="0.3">
      <c r="B255" s="127"/>
      <c r="C255" s="70"/>
      <c r="D255" s="10"/>
      <c r="E255" s="10"/>
      <c r="F255" s="38"/>
      <c r="G255" s="38"/>
      <c r="H255" s="38"/>
      <c r="I255" s="38"/>
      <c r="J255" s="38"/>
      <c r="K255" s="38"/>
      <c r="L255" s="38"/>
      <c r="W255" s="7" t="str">
        <f t="shared" si="5"/>
        <v/>
      </c>
    </row>
    <row r="256" spans="2:23" ht="15.6" x14ac:dyDescent="0.3">
      <c r="B256" s="127"/>
      <c r="C256" s="70"/>
      <c r="D256" s="10"/>
      <c r="E256" s="10"/>
      <c r="F256" s="38"/>
      <c r="G256" s="38"/>
      <c r="H256" s="38"/>
      <c r="I256" s="38"/>
      <c r="J256" s="38"/>
      <c r="K256" s="38"/>
      <c r="L256" s="38"/>
      <c r="W256" s="7" t="str">
        <f t="shared" si="5"/>
        <v/>
      </c>
    </row>
    <row r="257" spans="2:23" ht="15.6" x14ac:dyDescent="0.3">
      <c r="B257" s="127"/>
      <c r="C257" s="70"/>
      <c r="D257" s="10"/>
      <c r="E257" s="10"/>
      <c r="F257" s="38"/>
      <c r="G257" s="38"/>
      <c r="H257" s="38"/>
      <c r="I257" s="38"/>
      <c r="J257" s="38"/>
      <c r="K257" s="38"/>
      <c r="L257" s="38"/>
      <c r="W257" s="7" t="str">
        <f t="shared" si="5"/>
        <v/>
      </c>
    </row>
    <row r="258" spans="2:23" ht="15.6" x14ac:dyDescent="0.3">
      <c r="B258" s="127"/>
      <c r="C258" s="70"/>
      <c r="D258" s="10"/>
      <c r="E258" s="10"/>
      <c r="F258" s="38"/>
      <c r="G258" s="38"/>
      <c r="H258" s="38"/>
      <c r="I258" s="38"/>
      <c r="J258" s="38"/>
      <c r="K258" s="38"/>
      <c r="L258" s="38"/>
      <c r="W258" s="7" t="str">
        <f t="shared" si="5"/>
        <v/>
      </c>
    </row>
    <row r="259" spans="2:23" ht="15.6" x14ac:dyDescent="0.3">
      <c r="B259" s="127"/>
      <c r="C259" s="70"/>
      <c r="D259" s="10"/>
      <c r="E259" s="10"/>
      <c r="F259" s="38"/>
      <c r="G259" s="38"/>
      <c r="H259" s="38"/>
      <c r="I259" s="38"/>
      <c r="J259" s="38"/>
      <c r="K259" s="38"/>
      <c r="L259" s="38"/>
      <c r="W259" s="7" t="str">
        <f t="shared" ref="W259:W322" si="6">IF(B259="","",TEXT(B259,"mmm"))</f>
        <v/>
      </c>
    </row>
    <row r="260" spans="2:23" ht="15.6" x14ac:dyDescent="0.3">
      <c r="B260" s="127"/>
      <c r="C260" s="70"/>
      <c r="D260" s="10"/>
      <c r="E260" s="10"/>
      <c r="F260" s="38"/>
      <c r="G260" s="38"/>
      <c r="H260" s="38"/>
      <c r="I260" s="38"/>
      <c r="J260" s="38"/>
      <c r="K260" s="38"/>
      <c r="L260" s="38"/>
      <c r="W260" s="7" t="str">
        <f t="shared" si="6"/>
        <v/>
      </c>
    </row>
    <row r="261" spans="2:23" ht="15.6" x14ac:dyDescent="0.3">
      <c r="B261" s="127"/>
      <c r="C261" s="70"/>
      <c r="D261" s="10"/>
      <c r="E261" s="10"/>
      <c r="F261" s="38"/>
      <c r="G261" s="38"/>
      <c r="H261" s="38"/>
      <c r="I261" s="38"/>
      <c r="J261" s="38"/>
      <c r="K261" s="38"/>
      <c r="L261" s="38"/>
      <c r="W261" s="7" t="str">
        <f t="shared" si="6"/>
        <v/>
      </c>
    </row>
    <row r="262" spans="2:23" ht="15.6" x14ac:dyDescent="0.3">
      <c r="B262" s="127"/>
      <c r="C262" s="70"/>
      <c r="D262" s="10"/>
      <c r="E262" s="10"/>
      <c r="F262" s="38"/>
      <c r="G262" s="38"/>
      <c r="H262" s="38"/>
      <c r="I262" s="38"/>
      <c r="J262" s="38"/>
      <c r="K262" s="38"/>
      <c r="L262" s="38"/>
      <c r="W262" s="7" t="str">
        <f t="shared" si="6"/>
        <v/>
      </c>
    </row>
    <row r="263" spans="2:23" ht="15.6" x14ac:dyDescent="0.3">
      <c r="B263" s="127"/>
      <c r="C263" s="70"/>
      <c r="D263" s="10"/>
      <c r="E263" s="10"/>
      <c r="F263" s="38"/>
      <c r="G263" s="38"/>
      <c r="H263" s="38"/>
      <c r="I263" s="38"/>
      <c r="J263" s="38"/>
      <c r="K263" s="38"/>
      <c r="L263" s="38"/>
      <c r="W263" s="7" t="str">
        <f t="shared" si="6"/>
        <v/>
      </c>
    </row>
    <row r="264" spans="2:23" ht="15.6" x14ac:dyDescent="0.3">
      <c r="B264" s="127"/>
      <c r="C264" s="70"/>
      <c r="D264" s="10"/>
      <c r="E264" s="10"/>
      <c r="F264" s="38"/>
      <c r="G264" s="38"/>
      <c r="H264" s="38"/>
      <c r="I264" s="38"/>
      <c r="J264" s="38"/>
      <c r="K264" s="38"/>
      <c r="L264" s="38"/>
      <c r="W264" s="7" t="str">
        <f t="shared" si="6"/>
        <v/>
      </c>
    </row>
    <row r="265" spans="2:23" ht="15.6" x14ac:dyDescent="0.3">
      <c r="B265" s="127"/>
      <c r="C265" s="70"/>
      <c r="D265" s="10"/>
      <c r="E265" s="10"/>
      <c r="F265" s="38"/>
      <c r="G265" s="38"/>
      <c r="H265" s="38"/>
      <c r="I265" s="38"/>
      <c r="J265" s="38"/>
      <c r="K265" s="38"/>
      <c r="L265" s="38"/>
      <c r="W265" s="7" t="str">
        <f t="shared" si="6"/>
        <v/>
      </c>
    </row>
    <row r="266" spans="2:23" ht="15.6" x14ac:dyDescent="0.3">
      <c r="B266" s="127"/>
      <c r="C266" s="70"/>
      <c r="D266" s="10"/>
      <c r="E266" s="10"/>
      <c r="F266" s="38"/>
      <c r="G266" s="38"/>
      <c r="H266" s="38"/>
      <c r="I266" s="38"/>
      <c r="J266" s="38"/>
      <c r="K266" s="38"/>
      <c r="L266" s="38"/>
      <c r="W266" s="7" t="str">
        <f t="shared" si="6"/>
        <v/>
      </c>
    </row>
    <row r="267" spans="2:23" ht="15.6" x14ac:dyDescent="0.3">
      <c r="B267" s="127"/>
      <c r="C267" s="70"/>
      <c r="D267" s="10"/>
      <c r="E267" s="10"/>
      <c r="F267" s="38"/>
      <c r="G267" s="38"/>
      <c r="H267" s="38"/>
      <c r="I267" s="38"/>
      <c r="J267" s="38"/>
      <c r="K267" s="38"/>
      <c r="L267" s="38"/>
      <c r="W267" s="7" t="str">
        <f t="shared" si="6"/>
        <v/>
      </c>
    </row>
    <row r="268" spans="2:23" ht="15.6" x14ac:dyDescent="0.3">
      <c r="B268" s="127"/>
      <c r="C268" s="70"/>
      <c r="D268" s="10"/>
      <c r="E268" s="10"/>
      <c r="F268" s="38"/>
      <c r="G268" s="38"/>
      <c r="H268" s="38"/>
      <c r="I268" s="38"/>
      <c r="J268" s="38"/>
      <c r="K268" s="38"/>
      <c r="L268" s="38"/>
      <c r="W268" s="7" t="str">
        <f t="shared" si="6"/>
        <v/>
      </c>
    </row>
    <row r="269" spans="2:23" ht="15.6" x14ac:dyDescent="0.3">
      <c r="B269" s="127"/>
      <c r="C269" s="70"/>
      <c r="D269" s="10"/>
      <c r="E269" s="10"/>
      <c r="F269" s="38"/>
      <c r="G269" s="38"/>
      <c r="H269" s="38"/>
      <c r="I269" s="38"/>
      <c r="J269" s="38"/>
      <c r="K269" s="38"/>
      <c r="L269" s="38"/>
      <c r="W269" s="7" t="str">
        <f t="shared" si="6"/>
        <v/>
      </c>
    </row>
    <row r="270" spans="2:23" ht="15.6" x14ac:dyDescent="0.3">
      <c r="B270" s="127"/>
      <c r="C270" s="70"/>
      <c r="D270" s="10"/>
      <c r="E270" s="10"/>
      <c r="F270" s="38"/>
      <c r="G270" s="38"/>
      <c r="H270" s="38"/>
      <c r="I270" s="38"/>
      <c r="J270" s="38"/>
      <c r="K270" s="38"/>
      <c r="L270" s="38"/>
      <c r="W270" s="7" t="str">
        <f t="shared" si="6"/>
        <v/>
      </c>
    </row>
    <row r="271" spans="2:23" ht="15.6" x14ac:dyDescent="0.3">
      <c r="B271" s="127"/>
      <c r="C271" s="70"/>
      <c r="D271" s="10"/>
      <c r="E271" s="10"/>
      <c r="F271" s="38"/>
      <c r="G271" s="38"/>
      <c r="H271" s="38"/>
      <c r="I271" s="38"/>
      <c r="J271" s="38"/>
      <c r="K271" s="38"/>
      <c r="L271" s="38"/>
      <c r="W271" s="7" t="str">
        <f t="shared" si="6"/>
        <v/>
      </c>
    </row>
    <row r="272" spans="2:23" ht="15.6" x14ac:dyDescent="0.3">
      <c r="B272" s="127"/>
      <c r="C272" s="70"/>
      <c r="D272" s="10"/>
      <c r="E272" s="10"/>
      <c r="F272" s="38"/>
      <c r="G272" s="38"/>
      <c r="H272" s="38"/>
      <c r="I272" s="38"/>
      <c r="J272" s="38"/>
      <c r="K272" s="38"/>
      <c r="L272" s="38"/>
      <c r="W272" s="7" t="str">
        <f t="shared" si="6"/>
        <v/>
      </c>
    </row>
    <row r="273" spans="2:23" ht="15.6" x14ac:dyDescent="0.3">
      <c r="B273" s="127"/>
      <c r="C273" s="70"/>
      <c r="D273" s="10"/>
      <c r="E273" s="10"/>
      <c r="F273" s="38"/>
      <c r="G273" s="38"/>
      <c r="H273" s="38"/>
      <c r="I273" s="38"/>
      <c r="J273" s="38"/>
      <c r="K273" s="38"/>
      <c r="L273" s="38"/>
      <c r="W273" s="7" t="str">
        <f t="shared" si="6"/>
        <v/>
      </c>
    </row>
    <row r="274" spans="2:23" ht="15.6" x14ac:dyDescent="0.3">
      <c r="B274" s="127"/>
      <c r="C274" s="70"/>
      <c r="D274" s="10"/>
      <c r="E274" s="10"/>
      <c r="F274" s="38"/>
      <c r="G274" s="38"/>
      <c r="H274" s="38"/>
      <c r="I274" s="38"/>
      <c r="J274" s="38"/>
      <c r="K274" s="38"/>
      <c r="L274" s="38"/>
      <c r="W274" s="7" t="str">
        <f t="shared" si="6"/>
        <v/>
      </c>
    </row>
    <row r="275" spans="2:23" ht="15.6" x14ac:dyDescent="0.3">
      <c r="B275" s="127"/>
      <c r="C275" s="70"/>
      <c r="D275" s="10"/>
      <c r="E275" s="10"/>
      <c r="F275" s="38"/>
      <c r="G275" s="38"/>
      <c r="H275" s="38"/>
      <c r="I275" s="38"/>
      <c r="J275" s="38"/>
      <c r="K275" s="38"/>
      <c r="L275" s="38"/>
      <c r="W275" s="7" t="str">
        <f t="shared" si="6"/>
        <v/>
      </c>
    </row>
    <row r="276" spans="2:23" ht="15.6" x14ac:dyDescent="0.3">
      <c r="B276" s="127"/>
      <c r="C276" s="70"/>
      <c r="D276" s="10"/>
      <c r="E276" s="10"/>
      <c r="F276" s="38"/>
      <c r="G276" s="38"/>
      <c r="H276" s="38"/>
      <c r="I276" s="38"/>
      <c r="J276" s="38"/>
      <c r="K276" s="38"/>
      <c r="L276" s="38"/>
      <c r="W276" s="7" t="str">
        <f t="shared" si="6"/>
        <v/>
      </c>
    </row>
    <row r="277" spans="2:23" ht="15.6" x14ac:dyDescent="0.3">
      <c r="B277" s="127"/>
      <c r="C277" s="70"/>
      <c r="D277" s="10"/>
      <c r="E277" s="10"/>
      <c r="F277" s="38"/>
      <c r="G277" s="38"/>
      <c r="H277" s="38"/>
      <c r="I277" s="38"/>
      <c r="J277" s="38"/>
      <c r="K277" s="38"/>
      <c r="L277" s="38"/>
      <c r="W277" s="7" t="str">
        <f t="shared" si="6"/>
        <v/>
      </c>
    </row>
    <row r="278" spans="2:23" ht="15.6" x14ac:dyDescent="0.3">
      <c r="B278" s="127"/>
      <c r="C278" s="70"/>
      <c r="D278" s="10"/>
      <c r="E278" s="10"/>
      <c r="F278" s="38"/>
      <c r="G278" s="38"/>
      <c r="H278" s="38"/>
      <c r="I278" s="38"/>
      <c r="J278" s="38"/>
      <c r="K278" s="38"/>
      <c r="L278" s="38"/>
      <c r="W278" s="7" t="str">
        <f t="shared" si="6"/>
        <v/>
      </c>
    </row>
    <row r="279" spans="2:23" ht="15.6" x14ac:dyDescent="0.3">
      <c r="B279" s="127"/>
      <c r="C279" s="70"/>
      <c r="D279" s="10"/>
      <c r="E279" s="10"/>
      <c r="F279" s="38"/>
      <c r="G279" s="38"/>
      <c r="H279" s="38"/>
      <c r="I279" s="38"/>
      <c r="J279" s="38"/>
      <c r="K279" s="38"/>
      <c r="L279" s="38"/>
      <c r="W279" s="7" t="str">
        <f t="shared" si="6"/>
        <v/>
      </c>
    </row>
    <row r="280" spans="2:23" ht="15.6" x14ac:dyDescent="0.3">
      <c r="B280" s="127"/>
      <c r="C280" s="70"/>
      <c r="D280" s="10"/>
      <c r="E280" s="10"/>
      <c r="F280" s="38"/>
      <c r="G280" s="38"/>
      <c r="H280" s="38"/>
      <c r="I280" s="38"/>
      <c r="J280" s="38"/>
      <c r="K280" s="38"/>
      <c r="L280" s="38"/>
      <c r="W280" s="7" t="str">
        <f t="shared" si="6"/>
        <v/>
      </c>
    </row>
    <row r="281" spans="2:23" ht="15.6" x14ac:dyDescent="0.3">
      <c r="B281" s="127"/>
      <c r="C281" s="70"/>
      <c r="D281" s="10"/>
      <c r="E281" s="10"/>
      <c r="F281" s="38"/>
      <c r="G281" s="38"/>
      <c r="H281" s="38"/>
      <c r="I281" s="38"/>
      <c r="J281" s="38"/>
      <c r="K281" s="38"/>
      <c r="L281" s="38"/>
      <c r="W281" s="7" t="str">
        <f t="shared" si="6"/>
        <v/>
      </c>
    </row>
    <row r="282" spans="2:23" ht="15.6" x14ac:dyDescent="0.3">
      <c r="B282" s="127"/>
      <c r="C282" s="70"/>
      <c r="D282" s="10"/>
      <c r="E282" s="10"/>
      <c r="F282" s="38"/>
      <c r="G282" s="38"/>
      <c r="H282" s="38"/>
      <c r="I282" s="38"/>
      <c r="J282" s="38"/>
      <c r="K282" s="38"/>
      <c r="L282" s="38"/>
      <c r="W282" s="7" t="str">
        <f t="shared" si="6"/>
        <v/>
      </c>
    </row>
    <row r="283" spans="2:23" ht="15.6" x14ac:dyDescent="0.3">
      <c r="B283" s="127"/>
      <c r="C283" s="70"/>
      <c r="D283" s="10"/>
      <c r="E283" s="10"/>
      <c r="F283" s="38"/>
      <c r="G283" s="38"/>
      <c r="H283" s="38"/>
      <c r="I283" s="38"/>
      <c r="J283" s="38"/>
      <c r="K283" s="38"/>
      <c r="L283" s="38"/>
      <c r="W283" s="7" t="str">
        <f t="shared" si="6"/>
        <v/>
      </c>
    </row>
    <row r="284" spans="2:23" ht="15.6" x14ac:dyDescent="0.3">
      <c r="B284" s="127"/>
      <c r="C284" s="70"/>
      <c r="D284" s="10"/>
      <c r="E284" s="10"/>
      <c r="F284" s="38"/>
      <c r="G284" s="38"/>
      <c r="H284" s="38"/>
      <c r="I284" s="38"/>
      <c r="J284" s="38"/>
      <c r="K284" s="38"/>
      <c r="L284" s="38"/>
      <c r="W284" s="7" t="str">
        <f t="shared" si="6"/>
        <v/>
      </c>
    </row>
    <row r="285" spans="2:23" ht="15.6" x14ac:dyDescent="0.3">
      <c r="B285" s="127"/>
      <c r="C285" s="70"/>
      <c r="D285" s="10"/>
      <c r="E285" s="10"/>
      <c r="F285" s="38"/>
      <c r="G285" s="38"/>
      <c r="H285" s="38"/>
      <c r="I285" s="38"/>
      <c r="J285" s="38"/>
      <c r="K285" s="38"/>
      <c r="L285" s="38"/>
      <c r="W285" s="7" t="str">
        <f t="shared" si="6"/>
        <v/>
      </c>
    </row>
    <row r="286" spans="2:23" ht="15.6" x14ac:dyDescent="0.3">
      <c r="B286" s="127"/>
      <c r="C286" s="70"/>
      <c r="D286" s="10"/>
      <c r="E286" s="10"/>
      <c r="F286" s="38"/>
      <c r="G286" s="38"/>
      <c r="H286" s="38"/>
      <c r="I286" s="38"/>
      <c r="J286" s="38"/>
      <c r="K286" s="38"/>
      <c r="L286" s="38"/>
      <c r="W286" s="7" t="str">
        <f t="shared" si="6"/>
        <v/>
      </c>
    </row>
    <row r="287" spans="2:23" ht="15.6" x14ac:dyDescent="0.3">
      <c r="B287" s="127"/>
      <c r="C287" s="70"/>
      <c r="D287" s="10"/>
      <c r="E287" s="10"/>
      <c r="F287" s="38"/>
      <c r="G287" s="38"/>
      <c r="H287" s="38"/>
      <c r="I287" s="38"/>
      <c r="J287" s="38"/>
      <c r="K287" s="38"/>
      <c r="L287" s="38"/>
      <c r="W287" s="7" t="str">
        <f t="shared" si="6"/>
        <v/>
      </c>
    </row>
    <row r="288" spans="2:23" ht="15.6" x14ac:dyDescent="0.3">
      <c r="B288" s="127"/>
      <c r="C288" s="70"/>
      <c r="D288" s="10"/>
      <c r="E288" s="10"/>
      <c r="F288" s="38"/>
      <c r="G288" s="38"/>
      <c r="H288" s="38"/>
      <c r="I288" s="38"/>
      <c r="J288" s="38"/>
      <c r="K288" s="38"/>
      <c r="L288" s="38"/>
      <c r="W288" s="7" t="str">
        <f t="shared" si="6"/>
        <v/>
      </c>
    </row>
    <row r="289" spans="2:23" ht="15.6" x14ac:dyDescent="0.3">
      <c r="B289" s="127"/>
      <c r="C289" s="70"/>
      <c r="D289" s="10"/>
      <c r="E289" s="10"/>
      <c r="F289" s="38"/>
      <c r="G289" s="38"/>
      <c r="H289" s="38"/>
      <c r="I289" s="38"/>
      <c r="J289" s="38"/>
      <c r="K289" s="38"/>
      <c r="L289" s="38"/>
      <c r="W289" s="7" t="str">
        <f t="shared" si="6"/>
        <v/>
      </c>
    </row>
    <row r="290" spans="2:23" ht="15.6" x14ac:dyDescent="0.3">
      <c r="B290" s="127"/>
      <c r="C290" s="70"/>
      <c r="D290" s="10"/>
      <c r="E290" s="10"/>
      <c r="F290" s="38"/>
      <c r="G290" s="38"/>
      <c r="H290" s="38"/>
      <c r="I290" s="38"/>
      <c r="J290" s="38"/>
      <c r="K290" s="38"/>
      <c r="L290" s="38"/>
      <c r="W290" s="7" t="str">
        <f t="shared" si="6"/>
        <v/>
      </c>
    </row>
    <row r="291" spans="2:23" ht="15.6" x14ac:dyDescent="0.3">
      <c r="B291" s="127"/>
      <c r="C291" s="70"/>
      <c r="D291" s="10"/>
      <c r="E291" s="10"/>
      <c r="F291" s="38"/>
      <c r="G291" s="38"/>
      <c r="H291" s="38"/>
      <c r="I291" s="38"/>
      <c r="J291" s="38"/>
      <c r="K291" s="38"/>
      <c r="L291" s="38"/>
      <c r="W291" s="7" t="str">
        <f t="shared" si="6"/>
        <v/>
      </c>
    </row>
    <row r="292" spans="2:23" ht="15.6" x14ac:dyDescent="0.3">
      <c r="B292" s="127"/>
      <c r="C292" s="70"/>
      <c r="D292" s="10"/>
      <c r="E292" s="10"/>
      <c r="F292" s="38"/>
      <c r="G292" s="38"/>
      <c r="H292" s="38"/>
      <c r="I292" s="38"/>
      <c r="J292" s="38"/>
      <c r="K292" s="38"/>
      <c r="L292" s="38"/>
      <c r="W292" s="7" t="str">
        <f t="shared" si="6"/>
        <v/>
      </c>
    </row>
    <row r="293" spans="2:23" ht="15.6" x14ac:dyDescent="0.3">
      <c r="B293" s="127"/>
      <c r="C293" s="70"/>
      <c r="D293" s="10"/>
      <c r="E293" s="10"/>
      <c r="F293" s="38"/>
      <c r="G293" s="38"/>
      <c r="H293" s="38"/>
      <c r="I293" s="38"/>
      <c r="J293" s="38"/>
      <c r="K293" s="38"/>
      <c r="L293" s="38"/>
      <c r="W293" s="7" t="str">
        <f t="shared" si="6"/>
        <v/>
      </c>
    </row>
    <row r="294" spans="2:23" ht="15.6" x14ac:dyDescent="0.3">
      <c r="B294" s="127"/>
      <c r="C294" s="70"/>
      <c r="D294" s="10"/>
      <c r="E294" s="10"/>
      <c r="F294" s="38"/>
      <c r="G294" s="38"/>
      <c r="H294" s="38"/>
      <c r="I294" s="38"/>
      <c r="J294" s="38"/>
      <c r="K294" s="38"/>
      <c r="L294" s="38"/>
      <c r="W294" s="7" t="str">
        <f t="shared" si="6"/>
        <v/>
      </c>
    </row>
    <row r="295" spans="2:23" ht="15.6" x14ac:dyDescent="0.3">
      <c r="B295" s="127"/>
      <c r="C295" s="70"/>
      <c r="D295" s="10"/>
      <c r="E295" s="10"/>
      <c r="F295" s="38"/>
      <c r="G295" s="38"/>
      <c r="H295" s="38"/>
      <c r="I295" s="38"/>
      <c r="J295" s="38"/>
      <c r="K295" s="38"/>
      <c r="L295" s="38"/>
      <c r="W295" s="7" t="str">
        <f t="shared" si="6"/>
        <v/>
      </c>
    </row>
    <row r="296" spans="2:23" ht="15.6" x14ac:dyDescent="0.3">
      <c r="B296" s="127"/>
      <c r="C296" s="70"/>
      <c r="D296" s="10"/>
      <c r="E296" s="10"/>
      <c r="F296" s="38"/>
      <c r="G296" s="38"/>
      <c r="H296" s="38"/>
      <c r="I296" s="38"/>
      <c r="J296" s="38"/>
      <c r="K296" s="38"/>
      <c r="L296" s="38"/>
      <c r="W296" s="7" t="str">
        <f t="shared" si="6"/>
        <v/>
      </c>
    </row>
    <row r="297" spans="2:23" ht="15.6" x14ac:dyDescent="0.3">
      <c r="B297" s="127"/>
      <c r="C297" s="70"/>
      <c r="D297" s="10"/>
      <c r="E297" s="10"/>
      <c r="F297" s="38"/>
      <c r="G297" s="38"/>
      <c r="H297" s="38"/>
      <c r="I297" s="38"/>
      <c r="J297" s="38"/>
      <c r="K297" s="38"/>
      <c r="L297" s="38"/>
      <c r="W297" s="7" t="str">
        <f t="shared" si="6"/>
        <v/>
      </c>
    </row>
    <row r="298" spans="2:23" ht="15.6" x14ac:dyDescent="0.3">
      <c r="B298" s="127"/>
      <c r="C298" s="70"/>
      <c r="D298" s="10"/>
      <c r="E298" s="10"/>
      <c r="F298" s="38"/>
      <c r="G298" s="38"/>
      <c r="H298" s="38"/>
      <c r="I298" s="38"/>
      <c r="J298" s="38"/>
      <c r="K298" s="38"/>
      <c r="L298" s="38"/>
      <c r="W298" s="7" t="str">
        <f t="shared" si="6"/>
        <v/>
      </c>
    </row>
    <row r="299" spans="2:23" ht="15.6" x14ac:dyDescent="0.3">
      <c r="B299" s="127"/>
      <c r="C299" s="70"/>
      <c r="D299" s="10"/>
      <c r="E299" s="10"/>
      <c r="F299" s="38"/>
      <c r="G299" s="38"/>
      <c r="H299" s="38"/>
      <c r="I299" s="38"/>
      <c r="J299" s="38"/>
      <c r="K299" s="38"/>
      <c r="L299" s="38"/>
      <c r="W299" s="7" t="str">
        <f t="shared" si="6"/>
        <v/>
      </c>
    </row>
    <row r="300" spans="2:23" ht="15.6" x14ac:dyDescent="0.3">
      <c r="B300" s="127"/>
      <c r="C300" s="70"/>
      <c r="D300" s="10"/>
      <c r="E300" s="10"/>
      <c r="F300" s="38"/>
      <c r="G300" s="38"/>
      <c r="H300" s="38"/>
      <c r="I300" s="38"/>
      <c r="J300" s="38"/>
      <c r="K300" s="38"/>
      <c r="L300" s="38"/>
      <c r="W300" s="7" t="str">
        <f t="shared" si="6"/>
        <v/>
      </c>
    </row>
    <row r="301" spans="2:23" ht="15.6" x14ac:dyDescent="0.3">
      <c r="B301" s="127"/>
      <c r="C301" s="70"/>
      <c r="D301" s="10"/>
      <c r="E301" s="10"/>
      <c r="F301" s="38"/>
      <c r="G301" s="38"/>
      <c r="H301" s="38"/>
      <c r="I301" s="38"/>
      <c r="J301" s="38"/>
      <c r="K301" s="38"/>
      <c r="L301" s="38"/>
      <c r="W301" s="7" t="str">
        <f t="shared" si="6"/>
        <v/>
      </c>
    </row>
    <row r="302" spans="2:23" ht="15.6" x14ac:dyDescent="0.3">
      <c r="B302" s="127"/>
      <c r="C302" s="70"/>
      <c r="D302" s="10"/>
      <c r="E302" s="10"/>
      <c r="F302" s="38"/>
      <c r="G302" s="38"/>
      <c r="H302" s="38"/>
      <c r="I302" s="38"/>
      <c r="J302" s="38"/>
      <c r="K302" s="38"/>
      <c r="L302" s="38"/>
      <c r="W302" s="7" t="str">
        <f t="shared" si="6"/>
        <v/>
      </c>
    </row>
    <row r="303" spans="2:23" ht="15.6" x14ac:dyDescent="0.3">
      <c r="B303" s="127"/>
      <c r="C303" s="70"/>
      <c r="D303" s="10"/>
      <c r="E303" s="10"/>
      <c r="F303" s="38"/>
      <c r="G303" s="38"/>
      <c r="H303" s="38"/>
      <c r="I303" s="38"/>
      <c r="J303" s="38"/>
      <c r="K303" s="38"/>
      <c r="L303" s="38"/>
      <c r="W303" s="7" t="str">
        <f t="shared" si="6"/>
        <v/>
      </c>
    </row>
    <row r="304" spans="2:23" ht="15.6" x14ac:dyDescent="0.3">
      <c r="B304" s="127"/>
      <c r="C304" s="70"/>
      <c r="D304" s="10"/>
      <c r="E304" s="10"/>
      <c r="F304" s="38"/>
      <c r="G304" s="38"/>
      <c r="H304" s="38"/>
      <c r="I304" s="38"/>
      <c r="J304" s="38"/>
      <c r="K304" s="38"/>
      <c r="L304" s="38"/>
      <c r="W304" s="7" t="str">
        <f t="shared" si="6"/>
        <v/>
      </c>
    </row>
    <row r="305" spans="2:23" ht="15.6" x14ac:dyDescent="0.3">
      <c r="B305" s="127"/>
      <c r="C305" s="70"/>
      <c r="D305" s="10"/>
      <c r="E305" s="10"/>
      <c r="F305" s="38"/>
      <c r="G305" s="38"/>
      <c r="H305" s="38"/>
      <c r="I305" s="38"/>
      <c r="J305" s="38"/>
      <c r="K305" s="38"/>
      <c r="L305" s="38"/>
      <c r="W305" s="7" t="str">
        <f t="shared" si="6"/>
        <v/>
      </c>
    </row>
    <row r="306" spans="2:23" ht="15.6" x14ac:dyDescent="0.3">
      <c r="B306" s="127"/>
      <c r="C306" s="70"/>
      <c r="D306" s="10"/>
      <c r="E306" s="10"/>
      <c r="F306" s="38"/>
      <c r="G306" s="38"/>
      <c r="H306" s="38"/>
      <c r="I306" s="38"/>
      <c r="J306" s="38"/>
      <c r="K306" s="38"/>
      <c r="L306" s="38"/>
      <c r="W306" s="7" t="str">
        <f t="shared" si="6"/>
        <v/>
      </c>
    </row>
    <row r="307" spans="2:23" ht="15.6" x14ac:dyDescent="0.3">
      <c r="B307" s="127"/>
      <c r="C307" s="70"/>
      <c r="D307" s="10"/>
      <c r="E307" s="10"/>
      <c r="F307" s="38"/>
      <c r="G307" s="38"/>
      <c r="H307" s="38"/>
      <c r="I307" s="38"/>
      <c r="J307" s="38"/>
      <c r="K307" s="38"/>
      <c r="L307" s="38"/>
      <c r="W307" s="7" t="str">
        <f t="shared" si="6"/>
        <v/>
      </c>
    </row>
    <row r="308" spans="2:23" ht="15.6" x14ac:dyDescent="0.3">
      <c r="B308" s="127"/>
      <c r="C308" s="70"/>
      <c r="D308" s="10"/>
      <c r="E308" s="10"/>
      <c r="F308" s="38"/>
      <c r="G308" s="38"/>
      <c r="H308" s="38"/>
      <c r="I308" s="38"/>
      <c r="J308" s="38"/>
      <c r="K308" s="38"/>
      <c r="L308" s="38"/>
      <c r="W308" s="7" t="str">
        <f t="shared" si="6"/>
        <v/>
      </c>
    </row>
    <row r="309" spans="2:23" ht="15.6" x14ac:dyDescent="0.3">
      <c r="B309" s="127"/>
      <c r="C309" s="70"/>
      <c r="D309" s="10"/>
      <c r="E309" s="10"/>
      <c r="F309" s="38"/>
      <c r="G309" s="38"/>
      <c r="H309" s="38"/>
      <c r="I309" s="38"/>
      <c r="J309" s="38"/>
      <c r="K309" s="38"/>
      <c r="L309" s="38"/>
      <c r="W309" s="7" t="str">
        <f t="shared" si="6"/>
        <v/>
      </c>
    </row>
    <row r="310" spans="2:23" ht="15.6" x14ac:dyDescent="0.3">
      <c r="B310" s="127"/>
      <c r="C310" s="70"/>
      <c r="D310" s="10"/>
      <c r="E310" s="10"/>
      <c r="F310" s="38"/>
      <c r="G310" s="38"/>
      <c r="H310" s="38"/>
      <c r="I310" s="38"/>
      <c r="J310" s="38"/>
      <c r="K310" s="38"/>
      <c r="L310" s="38"/>
      <c r="W310" s="7" t="str">
        <f t="shared" si="6"/>
        <v/>
      </c>
    </row>
    <row r="311" spans="2:23" ht="15.6" x14ac:dyDescent="0.3">
      <c r="B311" s="127"/>
      <c r="C311" s="70"/>
      <c r="D311" s="10"/>
      <c r="E311" s="10"/>
      <c r="F311" s="38"/>
      <c r="G311" s="38"/>
      <c r="H311" s="38"/>
      <c r="I311" s="38"/>
      <c r="J311" s="38"/>
      <c r="K311" s="38"/>
      <c r="L311" s="38"/>
      <c r="W311" s="7" t="str">
        <f t="shared" si="6"/>
        <v/>
      </c>
    </row>
    <row r="312" spans="2:23" ht="15.6" x14ac:dyDescent="0.3">
      <c r="B312" s="127"/>
      <c r="C312" s="70"/>
      <c r="D312" s="10"/>
      <c r="E312" s="10"/>
      <c r="F312" s="38"/>
      <c r="G312" s="38"/>
      <c r="H312" s="38"/>
      <c r="I312" s="38"/>
      <c r="J312" s="38"/>
      <c r="K312" s="38"/>
      <c r="L312" s="38"/>
      <c r="W312" s="7" t="str">
        <f t="shared" si="6"/>
        <v/>
      </c>
    </row>
    <row r="313" spans="2:23" ht="15.6" x14ac:dyDescent="0.3">
      <c r="B313" s="127"/>
      <c r="C313" s="70"/>
      <c r="D313" s="10"/>
      <c r="E313" s="10"/>
      <c r="F313" s="38"/>
      <c r="G313" s="38"/>
      <c r="H313" s="38"/>
      <c r="I313" s="38"/>
      <c r="J313" s="38"/>
      <c r="K313" s="38"/>
      <c r="L313" s="38"/>
      <c r="W313" s="7" t="str">
        <f t="shared" si="6"/>
        <v/>
      </c>
    </row>
    <row r="314" spans="2:23" ht="15.6" x14ac:dyDescent="0.3">
      <c r="B314" s="127"/>
      <c r="C314" s="70"/>
      <c r="D314" s="10"/>
      <c r="E314" s="10"/>
      <c r="F314" s="38"/>
      <c r="G314" s="38"/>
      <c r="H314" s="38"/>
      <c r="I314" s="38"/>
      <c r="J314" s="38"/>
      <c r="K314" s="38"/>
      <c r="L314" s="38"/>
      <c r="W314" s="7" t="str">
        <f t="shared" si="6"/>
        <v/>
      </c>
    </row>
    <row r="315" spans="2:23" ht="15.6" x14ac:dyDescent="0.3">
      <c r="B315" s="127"/>
      <c r="C315" s="70"/>
      <c r="D315" s="10"/>
      <c r="E315" s="10"/>
      <c r="F315" s="38"/>
      <c r="G315" s="38"/>
      <c r="H315" s="38"/>
      <c r="I315" s="38"/>
      <c r="J315" s="38"/>
      <c r="K315" s="38"/>
      <c r="L315" s="38"/>
      <c r="W315" s="7" t="str">
        <f t="shared" si="6"/>
        <v/>
      </c>
    </row>
    <row r="316" spans="2:23" ht="15.6" x14ac:dyDescent="0.3">
      <c r="B316" s="127"/>
      <c r="C316" s="70"/>
      <c r="D316" s="10"/>
      <c r="E316" s="10"/>
      <c r="F316" s="38"/>
      <c r="G316" s="38"/>
      <c r="H316" s="38"/>
      <c r="I316" s="38"/>
      <c r="J316" s="38"/>
      <c r="K316" s="38"/>
      <c r="L316" s="38"/>
      <c r="W316" s="7" t="str">
        <f t="shared" si="6"/>
        <v/>
      </c>
    </row>
    <row r="317" spans="2:23" ht="15.6" x14ac:dyDescent="0.3">
      <c r="B317" s="127"/>
      <c r="C317" s="70"/>
      <c r="D317" s="10"/>
      <c r="E317" s="10"/>
      <c r="F317" s="38"/>
      <c r="G317" s="38"/>
      <c r="H317" s="38"/>
      <c r="I317" s="38"/>
      <c r="J317" s="38"/>
      <c r="K317" s="38"/>
      <c r="L317" s="38"/>
      <c r="W317" s="7" t="str">
        <f t="shared" si="6"/>
        <v/>
      </c>
    </row>
    <row r="318" spans="2:23" ht="15.6" x14ac:dyDescent="0.3">
      <c r="B318" s="127"/>
      <c r="C318" s="70"/>
      <c r="D318" s="10"/>
      <c r="E318" s="10"/>
      <c r="F318" s="38"/>
      <c r="G318" s="38"/>
      <c r="H318" s="38"/>
      <c r="I318" s="38"/>
      <c r="J318" s="38"/>
      <c r="K318" s="38"/>
      <c r="L318" s="38"/>
      <c r="W318" s="7" t="str">
        <f t="shared" si="6"/>
        <v/>
      </c>
    </row>
    <row r="319" spans="2:23" ht="15.6" x14ac:dyDescent="0.3">
      <c r="B319" s="127"/>
      <c r="C319" s="70"/>
      <c r="D319" s="10"/>
      <c r="E319" s="10"/>
      <c r="F319" s="38"/>
      <c r="G319" s="38"/>
      <c r="H319" s="38"/>
      <c r="I319" s="38"/>
      <c r="J319" s="38"/>
      <c r="K319" s="38"/>
      <c r="L319" s="38"/>
      <c r="W319" s="7" t="str">
        <f t="shared" si="6"/>
        <v/>
      </c>
    </row>
    <row r="320" spans="2:23" ht="15.6" x14ac:dyDescent="0.3">
      <c r="B320" s="127"/>
      <c r="C320" s="70"/>
      <c r="D320" s="10"/>
      <c r="E320" s="10"/>
      <c r="F320" s="38"/>
      <c r="G320" s="38"/>
      <c r="H320" s="38"/>
      <c r="I320" s="38"/>
      <c r="J320" s="38"/>
      <c r="K320" s="38"/>
      <c r="L320" s="38"/>
      <c r="W320" s="7" t="str">
        <f t="shared" si="6"/>
        <v/>
      </c>
    </row>
    <row r="321" spans="2:23" ht="15.6" x14ac:dyDescent="0.3">
      <c r="B321" s="127"/>
      <c r="C321" s="70"/>
      <c r="D321" s="10"/>
      <c r="E321" s="10"/>
      <c r="F321" s="38"/>
      <c r="G321" s="38"/>
      <c r="H321" s="38"/>
      <c r="I321" s="38"/>
      <c r="J321" s="38"/>
      <c r="K321" s="38"/>
      <c r="L321" s="38"/>
      <c r="W321" s="7" t="str">
        <f t="shared" si="6"/>
        <v/>
      </c>
    </row>
    <row r="322" spans="2:23" ht="15.6" x14ac:dyDescent="0.3">
      <c r="B322" s="127"/>
      <c r="C322" s="70"/>
      <c r="D322" s="10"/>
      <c r="E322" s="10"/>
      <c r="F322" s="38"/>
      <c r="G322" s="38"/>
      <c r="H322" s="38"/>
      <c r="I322" s="38"/>
      <c r="J322" s="38"/>
      <c r="K322" s="38"/>
      <c r="L322" s="38"/>
      <c r="W322" s="7" t="str">
        <f t="shared" si="6"/>
        <v/>
      </c>
    </row>
    <row r="323" spans="2:23" ht="15.6" x14ac:dyDescent="0.3">
      <c r="B323" s="127"/>
      <c r="C323" s="70"/>
      <c r="D323" s="10"/>
      <c r="E323" s="10"/>
      <c r="F323" s="38"/>
      <c r="G323" s="38"/>
      <c r="H323" s="38"/>
      <c r="I323" s="38"/>
      <c r="J323" s="38"/>
      <c r="K323" s="38"/>
      <c r="L323" s="38"/>
      <c r="W323" s="7" t="str">
        <f t="shared" ref="W323:W386" si="7">IF(B323="","",TEXT(B323,"mmm"))</f>
        <v/>
      </c>
    </row>
    <row r="324" spans="2:23" ht="15.6" x14ac:dyDescent="0.3">
      <c r="B324" s="127"/>
      <c r="C324" s="70"/>
      <c r="D324" s="10"/>
      <c r="E324" s="10"/>
      <c r="F324" s="38"/>
      <c r="G324" s="38"/>
      <c r="H324" s="38"/>
      <c r="I324" s="38"/>
      <c r="J324" s="38"/>
      <c r="K324" s="38"/>
      <c r="L324" s="38"/>
      <c r="W324" s="7" t="str">
        <f t="shared" si="7"/>
        <v/>
      </c>
    </row>
    <row r="325" spans="2:23" ht="15.6" x14ac:dyDescent="0.3">
      <c r="B325" s="127"/>
      <c r="C325" s="70"/>
      <c r="D325" s="10"/>
      <c r="E325" s="10"/>
      <c r="F325" s="38"/>
      <c r="G325" s="38"/>
      <c r="H325" s="38"/>
      <c r="I325" s="38"/>
      <c r="J325" s="38"/>
      <c r="K325" s="38"/>
      <c r="L325" s="38"/>
      <c r="W325" s="7" t="str">
        <f t="shared" si="7"/>
        <v/>
      </c>
    </row>
    <row r="326" spans="2:23" ht="15.6" x14ac:dyDescent="0.3">
      <c r="B326" s="127"/>
      <c r="C326" s="70"/>
      <c r="D326" s="10"/>
      <c r="E326" s="10"/>
      <c r="F326" s="38"/>
      <c r="G326" s="38"/>
      <c r="H326" s="38"/>
      <c r="I326" s="38"/>
      <c r="J326" s="38"/>
      <c r="K326" s="38"/>
      <c r="L326" s="38"/>
      <c r="W326" s="7" t="str">
        <f t="shared" si="7"/>
        <v/>
      </c>
    </row>
    <row r="327" spans="2:23" ht="15.6" x14ac:dyDescent="0.3">
      <c r="B327" s="127"/>
      <c r="C327" s="70"/>
      <c r="D327" s="10"/>
      <c r="E327" s="10"/>
      <c r="F327" s="38"/>
      <c r="G327" s="38"/>
      <c r="H327" s="38"/>
      <c r="I327" s="38"/>
      <c r="J327" s="38"/>
      <c r="K327" s="38"/>
      <c r="L327" s="38"/>
      <c r="W327" s="7" t="str">
        <f t="shared" si="7"/>
        <v/>
      </c>
    </row>
    <row r="328" spans="2:23" ht="15.6" x14ac:dyDescent="0.3">
      <c r="B328" s="127"/>
      <c r="C328" s="70"/>
      <c r="D328" s="10"/>
      <c r="E328" s="10"/>
      <c r="F328" s="38"/>
      <c r="G328" s="38"/>
      <c r="H328" s="38"/>
      <c r="I328" s="38"/>
      <c r="J328" s="38"/>
      <c r="K328" s="38"/>
      <c r="L328" s="38"/>
      <c r="W328" s="7" t="str">
        <f t="shared" si="7"/>
        <v/>
      </c>
    </row>
    <row r="329" spans="2:23" ht="15.6" x14ac:dyDescent="0.3">
      <c r="B329" s="127"/>
      <c r="C329" s="70"/>
      <c r="D329" s="10"/>
      <c r="E329" s="10"/>
      <c r="F329" s="38"/>
      <c r="G329" s="38"/>
      <c r="H329" s="38"/>
      <c r="I329" s="38"/>
      <c r="J329" s="38"/>
      <c r="K329" s="38"/>
      <c r="L329" s="38"/>
      <c r="W329" s="7" t="str">
        <f t="shared" si="7"/>
        <v/>
      </c>
    </row>
    <row r="330" spans="2:23" ht="15.6" x14ac:dyDescent="0.3">
      <c r="B330" s="127"/>
      <c r="C330" s="70"/>
      <c r="D330" s="10"/>
      <c r="E330" s="10"/>
      <c r="F330" s="38"/>
      <c r="G330" s="38"/>
      <c r="H330" s="38"/>
      <c r="I330" s="38"/>
      <c r="J330" s="38"/>
      <c r="K330" s="38"/>
      <c r="L330" s="38"/>
      <c r="W330" s="7" t="str">
        <f t="shared" si="7"/>
        <v/>
      </c>
    </row>
    <row r="331" spans="2:23" ht="15.6" x14ac:dyDescent="0.3">
      <c r="B331" s="127"/>
      <c r="C331" s="70"/>
      <c r="D331" s="10"/>
      <c r="E331" s="10"/>
      <c r="F331" s="38"/>
      <c r="G331" s="38"/>
      <c r="H331" s="38"/>
      <c r="I331" s="38"/>
      <c r="J331" s="38"/>
      <c r="K331" s="38"/>
      <c r="L331" s="38"/>
      <c r="W331" s="7" t="str">
        <f t="shared" si="7"/>
        <v/>
      </c>
    </row>
    <row r="332" spans="2:23" ht="15.6" x14ac:dyDescent="0.3">
      <c r="B332" s="127"/>
      <c r="C332" s="70"/>
      <c r="D332" s="10"/>
      <c r="E332" s="10"/>
      <c r="F332" s="38"/>
      <c r="G332" s="38"/>
      <c r="H332" s="38"/>
      <c r="I332" s="38"/>
      <c r="J332" s="38"/>
      <c r="K332" s="38"/>
      <c r="L332" s="38"/>
      <c r="W332" s="7" t="str">
        <f t="shared" si="7"/>
        <v/>
      </c>
    </row>
    <row r="333" spans="2:23" ht="15.6" x14ac:dyDescent="0.3">
      <c r="B333" s="127"/>
      <c r="C333" s="70"/>
      <c r="D333" s="10"/>
      <c r="E333" s="10"/>
      <c r="F333" s="38"/>
      <c r="G333" s="38"/>
      <c r="H333" s="38"/>
      <c r="I333" s="38"/>
      <c r="J333" s="38"/>
      <c r="K333" s="38"/>
      <c r="L333" s="38"/>
      <c r="W333" s="7" t="str">
        <f t="shared" si="7"/>
        <v/>
      </c>
    </row>
    <row r="334" spans="2:23" ht="15.6" x14ac:dyDescent="0.3">
      <c r="B334" s="127"/>
      <c r="C334" s="70"/>
      <c r="D334" s="10"/>
      <c r="E334" s="10"/>
      <c r="F334" s="38"/>
      <c r="G334" s="38"/>
      <c r="H334" s="38"/>
      <c r="I334" s="38"/>
      <c r="J334" s="38"/>
      <c r="K334" s="38"/>
      <c r="L334" s="38"/>
      <c r="W334" s="7" t="str">
        <f t="shared" si="7"/>
        <v/>
      </c>
    </row>
    <row r="335" spans="2:23" ht="15.6" x14ac:dyDescent="0.3">
      <c r="B335" s="127"/>
      <c r="C335" s="70"/>
      <c r="D335" s="10"/>
      <c r="E335" s="10"/>
      <c r="F335" s="38"/>
      <c r="G335" s="38"/>
      <c r="H335" s="38"/>
      <c r="I335" s="38"/>
      <c r="J335" s="38"/>
      <c r="K335" s="38"/>
      <c r="L335" s="38"/>
      <c r="W335" s="7" t="str">
        <f t="shared" si="7"/>
        <v/>
      </c>
    </row>
    <row r="336" spans="2:23" ht="15.6" x14ac:dyDescent="0.3">
      <c r="B336" s="127"/>
      <c r="C336" s="70"/>
      <c r="D336" s="10"/>
      <c r="E336" s="10"/>
      <c r="F336" s="38"/>
      <c r="G336" s="38"/>
      <c r="H336" s="38"/>
      <c r="I336" s="38"/>
      <c r="J336" s="38"/>
      <c r="K336" s="38"/>
      <c r="L336" s="38"/>
      <c r="W336" s="7" t="str">
        <f t="shared" si="7"/>
        <v/>
      </c>
    </row>
    <row r="337" spans="2:23" ht="15.6" x14ac:dyDescent="0.3">
      <c r="B337" s="127"/>
      <c r="C337" s="70"/>
      <c r="D337" s="10"/>
      <c r="E337" s="10"/>
      <c r="F337" s="38"/>
      <c r="G337" s="38"/>
      <c r="H337" s="38"/>
      <c r="I337" s="38"/>
      <c r="J337" s="38"/>
      <c r="K337" s="38"/>
      <c r="L337" s="38"/>
      <c r="W337" s="7" t="str">
        <f t="shared" si="7"/>
        <v/>
      </c>
    </row>
    <row r="338" spans="2:23" ht="15.6" x14ac:dyDescent="0.3">
      <c r="B338" s="127"/>
      <c r="C338" s="70"/>
      <c r="D338" s="10"/>
      <c r="E338" s="10"/>
      <c r="F338" s="38"/>
      <c r="G338" s="38"/>
      <c r="H338" s="38"/>
      <c r="I338" s="38"/>
      <c r="J338" s="38"/>
      <c r="K338" s="38"/>
      <c r="L338" s="38"/>
      <c r="W338" s="7" t="str">
        <f t="shared" si="7"/>
        <v/>
      </c>
    </row>
    <row r="339" spans="2:23" ht="15.6" x14ac:dyDescent="0.3">
      <c r="B339" s="127"/>
      <c r="C339" s="70"/>
      <c r="D339" s="10"/>
      <c r="E339" s="10"/>
      <c r="F339" s="38"/>
      <c r="G339" s="38"/>
      <c r="H339" s="38"/>
      <c r="I339" s="38"/>
      <c r="J339" s="38"/>
      <c r="K339" s="38"/>
      <c r="L339" s="38"/>
      <c r="W339" s="7" t="str">
        <f t="shared" si="7"/>
        <v/>
      </c>
    </row>
    <row r="340" spans="2:23" ht="15.6" x14ac:dyDescent="0.3">
      <c r="B340" s="127"/>
      <c r="C340" s="70"/>
      <c r="D340" s="10"/>
      <c r="E340" s="10"/>
      <c r="F340" s="38"/>
      <c r="G340" s="38"/>
      <c r="H340" s="38"/>
      <c r="I340" s="38"/>
      <c r="J340" s="38"/>
      <c r="K340" s="38"/>
      <c r="L340" s="38"/>
      <c r="W340" s="7" t="str">
        <f t="shared" si="7"/>
        <v/>
      </c>
    </row>
    <row r="341" spans="2:23" ht="15.6" x14ac:dyDescent="0.3">
      <c r="B341" s="127"/>
      <c r="C341" s="70"/>
      <c r="D341" s="10"/>
      <c r="E341" s="10"/>
      <c r="F341" s="38"/>
      <c r="G341" s="38"/>
      <c r="H341" s="38"/>
      <c r="I341" s="38"/>
      <c r="J341" s="38"/>
      <c r="K341" s="38"/>
      <c r="L341" s="38"/>
      <c r="W341" s="7" t="str">
        <f t="shared" si="7"/>
        <v/>
      </c>
    </row>
    <row r="342" spans="2:23" ht="15.6" x14ac:dyDescent="0.3">
      <c r="B342" s="127"/>
      <c r="C342" s="70"/>
      <c r="D342" s="10"/>
      <c r="E342" s="10"/>
      <c r="F342" s="38"/>
      <c r="G342" s="38"/>
      <c r="H342" s="38"/>
      <c r="I342" s="38"/>
      <c r="J342" s="38"/>
      <c r="K342" s="38"/>
      <c r="L342" s="38"/>
      <c r="W342" s="7" t="str">
        <f t="shared" si="7"/>
        <v/>
      </c>
    </row>
    <row r="343" spans="2:23" ht="15.6" x14ac:dyDescent="0.3">
      <c r="B343" s="127"/>
      <c r="C343" s="70"/>
      <c r="D343" s="10"/>
      <c r="E343" s="10"/>
      <c r="F343" s="38"/>
      <c r="G343" s="38"/>
      <c r="H343" s="38"/>
      <c r="I343" s="38"/>
      <c r="J343" s="38"/>
      <c r="K343" s="38"/>
      <c r="L343" s="38"/>
      <c r="W343" s="7" t="str">
        <f t="shared" si="7"/>
        <v/>
      </c>
    </row>
    <row r="344" spans="2:23" ht="15.6" x14ac:dyDescent="0.3">
      <c r="B344" s="127"/>
      <c r="C344" s="70"/>
      <c r="D344" s="10"/>
      <c r="E344" s="10"/>
      <c r="F344" s="38"/>
      <c r="G344" s="38"/>
      <c r="H344" s="38"/>
      <c r="I344" s="38"/>
      <c r="J344" s="38"/>
      <c r="K344" s="38"/>
      <c r="L344" s="38"/>
      <c r="W344" s="7" t="str">
        <f t="shared" si="7"/>
        <v/>
      </c>
    </row>
    <row r="345" spans="2:23" ht="15.6" x14ac:dyDescent="0.3">
      <c r="B345" s="127"/>
      <c r="C345" s="70"/>
      <c r="D345" s="10"/>
      <c r="E345" s="10"/>
      <c r="F345" s="38"/>
      <c r="G345" s="38"/>
      <c r="H345" s="38"/>
      <c r="I345" s="38"/>
      <c r="J345" s="38"/>
      <c r="K345" s="38"/>
      <c r="L345" s="38"/>
      <c r="W345" s="7" t="str">
        <f t="shared" si="7"/>
        <v/>
      </c>
    </row>
    <row r="346" spans="2:23" ht="15.6" x14ac:dyDescent="0.3">
      <c r="B346" s="127"/>
      <c r="C346" s="70"/>
      <c r="D346" s="10"/>
      <c r="E346" s="10"/>
      <c r="F346" s="38"/>
      <c r="G346" s="38"/>
      <c r="H346" s="38"/>
      <c r="I346" s="38"/>
      <c r="J346" s="38"/>
      <c r="K346" s="38"/>
      <c r="L346" s="38"/>
      <c r="W346" s="7" t="str">
        <f t="shared" si="7"/>
        <v/>
      </c>
    </row>
    <row r="347" spans="2:23" ht="15.6" x14ac:dyDescent="0.3">
      <c r="B347" s="127"/>
      <c r="C347" s="70"/>
      <c r="D347" s="10"/>
      <c r="E347" s="10"/>
      <c r="F347" s="38"/>
      <c r="G347" s="38"/>
      <c r="H347" s="38"/>
      <c r="I347" s="38"/>
      <c r="J347" s="38"/>
      <c r="K347" s="38"/>
      <c r="L347" s="38"/>
      <c r="W347" s="7" t="str">
        <f t="shared" si="7"/>
        <v/>
      </c>
    </row>
    <row r="348" spans="2:23" ht="15.6" x14ac:dyDescent="0.3">
      <c r="B348" s="127"/>
      <c r="C348" s="70"/>
      <c r="D348" s="10"/>
      <c r="E348" s="10"/>
      <c r="F348" s="38"/>
      <c r="G348" s="38"/>
      <c r="H348" s="38"/>
      <c r="I348" s="38"/>
      <c r="J348" s="38"/>
      <c r="K348" s="38"/>
      <c r="L348" s="38"/>
      <c r="W348" s="7" t="str">
        <f t="shared" si="7"/>
        <v/>
      </c>
    </row>
    <row r="349" spans="2:23" ht="15.6" x14ac:dyDescent="0.3">
      <c r="B349" s="127"/>
      <c r="C349" s="70"/>
      <c r="D349" s="10"/>
      <c r="E349" s="10"/>
      <c r="F349" s="38"/>
      <c r="G349" s="38"/>
      <c r="H349" s="38"/>
      <c r="I349" s="38"/>
      <c r="J349" s="38"/>
      <c r="K349" s="38"/>
      <c r="L349" s="38"/>
      <c r="W349" s="7" t="str">
        <f t="shared" si="7"/>
        <v/>
      </c>
    </row>
    <row r="350" spans="2:23" ht="15.6" x14ac:dyDescent="0.3">
      <c r="B350" s="127"/>
      <c r="C350" s="70"/>
      <c r="D350" s="10"/>
      <c r="E350" s="10"/>
      <c r="F350" s="38"/>
      <c r="G350" s="38"/>
      <c r="H350" s="38"/>
      <c r="I350" s="38"/>
      <c r="J350" s="38"/>
      <c r="K350" s="38"/>
      <c r="L350" s="38"/>
      <c r="W350" s="7" t="str">
        <f t="shared" si="7"/>
        <v/>
      </c>
    </row>
    <row r="351" spans="2:23" ht="15.6" x14ac:dyDescent="0.3">
      <c r="B351" s="127"/>
      <c r="C351" s="70"/>
      <c r="D351" s="10"/>
      <c r="E351" s="10"/>
      <c r="F351" s="38"/>
      <c r="G351" s="38"/>
      <c r="H351" s="38"/>
      <c r="I351" s="38"/>
      <c r="J351" s="38"/>
      <c r="K351" s="38"/>
      <c r="L351" s="38"/>
      <c r="W351" s="7" t="str">
        <f t="shared" si="7"/>
        <v/>
      </c>
    </row>
    <row r="352" spans="2:23" ht="15.6" x14ac:dyDescent="0.3">
      <c r="B352" s="127"/>
      <c r="C352" s="70"/>
      <c r="D352" s="10"/>
      <c r="E352" s="10"/>
      <c r="F352" s="38"/>
      <c r="G352" s="38"/>
      <c r="H352" s="38"/>
      <c r="I352" s="38"/>
      <c r="J352" s="38"/>
      <c r="K352" s="38"/>
      <c r="L352" s="38"/>
      <c r="W352" s="7" t="str">
        <f t="shared" si="7"/>
        <v/>
      </c>
    </row>
    <row r="353" spans="2:23" ht="15.6" x14ac:dyDescent="0.3">
      <c r="B353" s="127"/>
      <c r="C353" s="70"/>
      <c r="D353" s="10"/>
      <c r="E353" s="10"/>
      <c r="F353" s="38"/>
      <c r="G353" s="38"/>
      <c r="H353" s="38"/>
      <c r="I353" s="38"/>
      <c r="J353" s="38"/>
      <c r="K353" s="38"/>
      <c r="L353" s="38"/>
      <c r="W353" s="7" t="str">
        <f t="shared" si="7"/>
        <v/>
      </c>
    </row>
    <row r="354" spans="2:23" ht="15.6" x14ac:dyDescent="0.3">
      <c r="B354" s="127"/>
      <c r="C354" s="70"/>
      <c r="D354" s="10"/>
      <c r="E354" s="10"/>
      <c r="F354" s="38"/>
      <c r="G354" s="38"/>
      <c r="H354" s="38"/>
      <c r="I354" s="38"/>
      <c r="J354" s="38"/>
      <c r="K354" s="38"/>
      <c r="L354" s="38"/>
      <c r="W354" s="7" t="str">
        <f t="shared" si="7"/>
        <v/>
      </c>
    </row>
    <row r="355" spans="2:23" ht="15.6" x14ac:dyDescent="0.3">
      <c r="B355" s="127"/>
      <c r="C355" s="70"/>
      <c r="D355" s="10"/>
      <c r="E355" s="10"/>
      <c r="F355" s="38"/>
      <c r="G355" s="38"/>
      <c r="H355" s="38"/>
      <c r="I355" s="38"/>
      <c r="J355" s="38"/>
      <c r="K355" s="38"/>
      <c r="L355" s="38"/>
      <c r="W355" s="7" t="str">
        <f t="shared" si="7"/>
        <v/>
      </c>
    </row>
    <row r="356" spans="2:23" ht="15.6" x14ac:dyDescent="0.3">
      <c r="B356" s="127"/>
      <c r="C356" s="70"/>
      <c r="D356" s="10"/>
      <c r="E356" s="10"/>
      <c r="F356" s="38"/>
      <c r="G356" s="38"/>
      <c r="H356" s="38"/>
      <c r="I356" s="38"/>
      <c r="J356" s="38"/>
      <c r="K356" s="38"/>
      <c r="L356" s="38"/>
      <c r="W356" s="7" t="str">
        <f t="shared" si="7"/>
        <v/>
      </c>
    </row>
    <row r="357" spans="2:23" ht="15.6" x14ac:dyDescent="0.3">
      <c r="B357" s="127"/>
      <c r="C357" s="70"/>
      <c r="D357" s="10"/>
      <c r="E357" s="10"/>
      <c r="F357" s="38"/>
      <c r="G357" s="38"/>
      <c r="H357" s="38"/>
      <c r="I357" s="38"/>
      <c r="J357" s="38"/>
      <c r="K357" s="38"/>
      <c r="L357" s="38"/>
      <c r="W357" s="7" t="str">
        <f t="shared" si="7"/>
        <v/>
      </c>
    </row>
    <row r="358" spans="2:23" ht="15.6" x14ac:dyDescent="0.3">
      <c r="B358" s="127"/>
      <c r="C358" s="70"/>
      <c r="D358" s="10"/>
      <c r="E358" s="10"/>
      <c r="F358" s="38"/>
      <c r="G358" s="38"/>
      <c r="H358" s="38"/>
      <c r="I358" s="38"/>
      <c r="J358" s="38"/>
      <c r="K358" s="38"/>
      <c r="L358" s="38"/>
      <c r="W358" s="7" t="str">
        <f t="shared" si="7"/>
        <v/>
      </c>
    </row>
    <row r="359" spans="2:23" ht="15.6" x14ac:dyDescent="0.3">
      <c r="B359" s="127"/>
      <c r="C359" s="70"/>
      <c r="D359" s="10"/>
      <c r="E359" s="10"/>
      <c r="F359" s="38"/>
      <c r="G359" s="38"/>
      <c r="H359" s="38"/>
      <c r="I359" s="38"/>
      <c r="J359" s="38"/>
      <c r="K359" s="38"/>
      <c r="L359" s="38"/>
      <c r="W359" s="7" t="str">
        <f t="shared" si="7"/>
        <v/>
      </c>
    </row>
    <row r="360" spans="2:23" ht="15.6" x14ac:dyDescent="0.3">
      <c r="B360" s="127"/>
      <c r="C360" s="70"/>
      <c r="D360" s="10"/>
      <c r="E360" s="10"/>
      <c r="F360" s="38"/>
      <c r="G360" s="38"/>
      <c r="H360" s="38"/>
      <c r="I360" s="38"/>
      <c r="J360" s="38"/>
      <c r="K360" s="38"/>
      <c r="L360" s="38"/>
      <c r="W360" s="7" t="str">
        <f t="shared" si="7"/>
        <v/>
      </c>
    </row>
    <row r="361" spans="2:23" ht="15.6" x14ac:dyDescent="0.3">
      <c r="B361" s="127"/>
      <c r="C361" s="70"/>
      <c r="D361" s="10"/>
      <c r="E361" s="10"/>
      <c r="F361" s="38"/>
      <c r="G361" s="38"/>
      <c r="H361" s="38"/>
      <c r="I361" s="38"/>
      <c r="J361" s="38"/>
      <c r="K361" s="38"/>
      <c r="L361" s="38"/>
      <c r="W361" s="7" t="str">
        <f t="shared" si="7"/>
        <v/>
      </c>
    </row>
    <row r="362" spans="2:23" ht="15.6" x14ac:dyDescent="0.3">
      <c r="B362" s="127"/>
      <c r="C362" s="70"/>
      <c r="D362" s="10"/>
      <c r="E362" s="10"/>
      <c r="F362" s="38"/>
      <c r="G362" s="38"/>
      <c r="H362" s="38"/>
      <c r="I362" s="38"/>
      <c r="J362" s="38"/>
      <c r="K362" s="38"/>
      <c r="L362" s="38"/>
      <c r="W362" s="7" t="str">
        <f t="shared" si="7"/>
        <v/>
      </c>
    </row>
    <row r="363" spans="2:23" ht="15.6" x14ac:dyDescent="0.3">
      <c r="B363" s="127"/>
      <c r="C363" s="70"/>
      <c r="D363" s="10"/>
      <c r="E363" s="10"/>
      <c r="F363" s="38"/>
      <c r="G363" s="38"/>
      <c r="H363" s="38"/>
      <c r="I363" s="38"/>
      <c r="J363" s="38"/>
      <c r="K363" s="38"/>
      <c r="L363" s="38"/>
      <c r="W363" s="7" t="str">
        <f t="shared" si="7"/>
        <v/>
      </c>
    </row>
    <row r="364" spans="2:23" ht="15.6" x14ac:dyDescent="0.3">
      <c r="B364" s="127"/>
      <c r="C364" s="70"/>
      <c r="D364" s="10"/>
      <c r="E364" s="10"/>
      <c r="F364" s="38"/>
      <c r="G364" s="38"/>
      <c r="H364" s="38"/>
      <c r="I364" s="38"/>
      <c r="J364" s="38"/>
      <c r="K364" s="38"/>
      <c r="L364" s="38"/>
      <c r="W364" s="7" t="str">
        <f t="shared" si="7"/>
        <v/>
      </c>
    </row>
    <row r="365" spans="2:23" ht="15.6" x14ac:dyDescent="0.3">
      <c r="B365" s="127"/>
      <c r="C365" s="70"/>
      <c r="D365" s="10"/>
      <c r="E365" s="10"/>
      <c r="F365" s="38"/>
      <c r="G365" s="38"/>
      <c r="H365" s="38"/>
      <c r="I365" s="38"/>
      <c r="J365" s="38"/>
      <c r="K365" s="38"/>
      <c r="L365" s="38"/>
      <c r="W365" s="7" t="str">
        <f t="shared" si="7"/>
        <v/>
      </c>
    </row>
    <row r="366" spans="2:23" ht="15.6" x14ac:dyDescent="0.3">
      <c r="B366" s="127"/>
      <c r="C366" s="70"/>
      <c r="D366" s="10"/>
      <c r="E366" s="10"/>
      <c r="F366" s="38"/>
      <c r="G366" s="38"/>
      <c r="H366" s="38"/>
      <c r="I366" s="38"/>
      <c r="J366" s="38"/>
      <c r="K366" s="38"/>
      <c r="L366" s="38"/>
      <c r="W366" s="7" t="str">
        <f t="shared" si="7"/>
        <v/>
      </c>
    </row>
    <row r="367" spans="2:23" ht="15.6" x14ac:dyDescent="0.3">
      <c r="B367" s="127"/>
      <c r="C367" s="70"/>
      <c r="D367" s="10"/>
      <c r="E367" s="10"/>
      <c r="F367" s="38"/>
      <c r="G367" s="38"/>
      <c r="H367" s="38"/>
      <c r="I367" s="38"/>
      <c r="J367" s="38"/>
      <c r="K367" s="38"/>
      <c r="L367" s="38"/>
      <c r="W367" s="7" t="str">
        <f t="shared" si="7"/>
        <v/>
      </c>
    </row>
    <row r="368" spans="2:23" ht="15.6" x14ac:dyDescent="0.3">
      <c r="B368" s="127"/>
      <c r="C368" s="70"/>
      <c r="D368" s="10"/>
      <c r="E368" s="10"/>
      <c r="F368" s="38"/>
      <c r="G368" s="38"/>
      <c r="H368" s="38"/>
      <c r="I368" s="38"/>
      <c r="J368" s="38"/>
      <c r="K368" s="38"/>
      <c r="L368" s="38"/>
      <c r="W368" s="7" t="str">
        <f t="shared" si="7"/>
        <v/>
      </c>
    </row>
    <row r="369" spans="2:23" ht="15.6" x14ac:dyDescent="0.3">
      <c r="B369" s="127"/>
      <c r="C369" s="70"/>
      <c r="D369" s="10"/>
      <c r="E369" s="10"/>
      <c r="F369" s="38"/>
      <c r="G369" s="38"/>
      <c r="H369" s="38"/>
      <c r="I369" s="38"/>
      <c r="J369" s="38"/>
      <c r="K369" s="38"/>
      <c r="L369" s="38"/>
      <c r="W369" s="7" t="str">
        <f t="shared" si="7"/>
        <v/>
      </c>
    </row>
    <row r="370" spans="2:23" ht="15.6" x14ac:dyDescent="0.3">
      <c r="B370" s="127"/>
      <c r="C370" s="70"/>
      <c r="D370" s="10"/>
      <c r="E370" s="10"/>
      <c r="F370" s="38"/>
      <c r="G370" s="38"/>
      <c r="H370" s="38"/>
      <c r="I370" s="38"/>
      <c r="J370" s="38"/>
      <c r="K370" s="38"/>
      <c r="L370" s="38"/>
      <c r="W370" s="7" t="str">
        <f t="shared" si="7"/>
        <v/>
      </c>
    </row>
    <row r="371" spans="2:23" ht="15.6" x14ac:dyDescent="0.3">
      <c r="B371" s="127"/>
      <c r="C371" s="70"/>
      <c r="D371" s="10"/>
      <c r="E371" s="10"/>
      <c r="F371" s="38"/>
      <c r="G371" s="38"/>
      <c r="H371" s="38"/>
      <c r="I371" s="38"/>
      <c r="J371" s="38"/>
      <c r="K371" s="38"/>
      <c r="L371" s="38"/>
      <c r="W371" s="7" t="str">
        <f t="shared" si="7"/>
        <v/>
      </c>
    </row>
    <row r="372" spans="2:23" ht="15.6" x14ac:dyDescent="0.3">
      <c r="B372" s="127"/>
      <c r="C372" s="70"/>
      <c r="D372" s="10"/>
      <c r="E372" s="10"/>
      <c r="F372" s="38"/>
      <c r="G372" s="38"/>
      <c r="H372" s="38"/>
      <c r="I372" s="38"/>
      <c r="J372" s="38"/>
      <c r="K372" s="38"/>
      <c r="L372" s="38"/>
      <c r="W372" s="7" t="str">
        <f t="shared" si="7"/>
        <v/>
      </c>
    </row>
    <row r="373" spans="2:23" ht="15.6" x14ac:dyDescent="0.3">
      <c r="B373" s="127"/>
      <c r="C373" s="70"/>
      <c r="D373" s="10"/>
      <c r="E373" s="10"/>
      <c r="F373" s="38"/>
      <c r="G373" s="38"/>
      <c r="H373" s="38"/>
      <c r="I373" s="38"/>
      <c r="J373" s="38"/>
      <c r="K373" s="38"/>
      <c r="L373" s="38"/>
      <c r="W373" s="7" t="str">
        <f t="shared" si="7"/>
        <v/>
      </c>
    </row>
    <row r="374" spans="2:23" ht="15.6" x14ac:dyDescent="0.3">
      <c r="B374" s="127"/>
      <c r="C374" s="70"/>
      <c r="D374" s="10"/>
      <c r="E374" s="10"/>
      <c r="F374" s="38"/>
      <c r="G374" s="38"/>
      <c r="H374" s="38"/>
      <c r="I374" s="38"/>
      <c r="J374" s="38"/>
      <c r="K374" s="38"/>
      <c r="L374" s="38"/>
      <c r="W374" s="7" t="str">
        <f t="shared" si="7"/>
        <v/>
      </c>
    </row>
    <row r="375" spans="2:23" ht="15.6" x14ac:dyDescent="0.3">
      <c r="B375" s="127"/>
      <c r="C375" s="70"/>
      <c r="D375" s="10"/>
      <c r="E375" s="10"/>
      <c r="F375" s="38"/>
      <c r="G375" s="38"/>
      <c r="H375" s="38"/>
      <c r="I375" s="38"/>
      <c r="J375" s="38"/>
      <c r="K375" s="38"/>
      <c r="L375" s="38"/>
      <c r="W375" s="7" t="str">
        <f t="shared" si="7"/>
        <v/>
      </c>
    </row>
    <row r="376" spans="2:23" ht="15.6" x14ac:dyDescent="0.3">
      <c r="B376" s="127"/>
      <c r="C376" s="70"/>
      <c r="D376" s="10"/>
      <c r="E376" s="10"/>
      <c r="F376" s="38"/>
      <c r="G376" s="38"/>
      <c r="H376" s="38"/>
      <c r="I376" s="38"/>
      <c r="J376" s="38"/>
      <c r="K376" s="38"/>
      <c r="L376" s="38"/>
      <c r="W376" s="7" t="str">
        <f t="shared" si="7"/>
        <v/>
      </c>
    </row>
    <row r="377" spans="2:23" ht="15.6" x14ac:dyDescent="0.3">
      <c r="B377" s="127"/>
      <c r="C377" s="70"/>
      <c r="D377" s="10"/>
      <c r="E377" s="10"/>
      <c r="F377" s="38"/>
      <c r="G377" s="38"/>
      <c r="H377" s="38"/>
      <c r="I377" s="38"/>
      <c r="J377" s="38"/>
      <c r="K377" s="38"/>
      <c r="L377" s="38"/>
      <c r="W377" s="7" t="str">
        <f t="shared" si="7"/>
        <v/>
      </c>
    </row>
    <row r="378" spans="2:23" ht="15.6" x14ac:dyDescent="0.3">
      <c r="B378" s="127"/>
      <c r="C378" s="70"/>
      <c r="D378" s="10"/>
      <c r="E378" s="10"/>
      <c r="F378" s="38"/>
      <c r="G378" s="38"/>
      <c r="H378" s="38"/>
      <c r="I378" s="38"/>
      <c r="J378" s="38"/>
      <c r="K378" s="38"/>
      <c r="L378" s="38"/>
      <c r="W378" s="7" t="str">
        <f t="shared" si="7"/>
        <v/>
      </c>
    </row>
    <row r="379" spans="2:23" ht="15.6" x14ac:dyDescent="0.3">
      <c r="B379" s="127"/>
      <c r="C379" s="70"/>
      <c r="D379" s="10"/>
      <c r="E379" s="10"/>
      <c r="F379" s="38"/>
      <c r="G379" s="38"/>
      <c r="H379" s="38"/>
      <c r="I379" s="38"/>
      <c r="J379" s="38"/>
      <c r="K379" s="38"/>
      <c r="L379" s="38"/>
      <c r="W379" s="7" t="str">
        <f t="shared" si="7"/>
        <v/>
      </c>
    </row>
    <row r="380" spans="2:23" ht="15.6" x14ac:dyDescent="0.3">
      <c r="B380" s="127"/>
      <c r="C380" s="70"/>
      <c r="D380" s="10"/>
      <c r="E380" s="10"/>
      <c r="F380" s="38"/>
      <c r="G380" s="38"/>
      <c r="H380" s="38"/>
      <c r="I380" s="38"/>
      <c r="J380" s="38"/>
      <c r="K380" s="38"/>
      <c r="L380" s="38"/>
      <c r="W380" s="7" t="str">
        <f t="shared" si="7"/>
        <v/>
      </c>
    </row>
    <row r="381" spans="2:23" ht="15.6" x14ac:dyDescent="0.3">
      <c r="B381" s="127"/>
      <c r="C381" s="70"/>
      <c r="D381" s="10"/>
      <c r="E381" s="10"/>
      <c r="F381" s="38"/>
      <c r="G381" s="38"/>
      <c r="H381" s="38"/>
      <c r="I381" s="38"/>
      <c r="J381" s="38"/>
      <c r="K381" s="38"/>
      <c r="L381" s="38"/>
      <c r="W381" s="7" t="str">
        <f t="shared" si="7"/>
        <v/>
      </c>
    </row>
    <row r="382" spans="2:23" ht="15.6" x14ac:dyDescent="0.3">
      <c r="B382" s="127"/>
      <c r="C382" s="70"/>
      <c r="D382" s="10"/>
      <c r="E382" s="10"/>
      <c r="F382" s="38"/>
      <c r="G382" s="38"/>
      <c r="H382" s="38"/>
      <c r="I382" s="38"/>
      <c r="J382" s="38"/>
      <c r="K382" s="38"/>
      <c r="L382" s="38"/>
      <c r="W382" s="7" t="str">
        <f t="shared" si="7"/>
        <v/>
      </c>
    </row>
    <row r="383" spans="2:23" ht="15.6" x14ac:dyDescent="0.3">
      <c r="B383" s="127"/>
      <c r="C383" s="70"/>
      <c r="D383" s="10"/>
      <c r="E383" s="10"/>
      <c r="F383" s="38"/>
      <c r="G383" s="38"/>
      <c r="H383" s="38"/>
      <c r="I383" s="38"/>
      <c r="J383" s="38"/>
      <c r="K383" s="38"/>
      <c r="L383" s="38"/>
      <c r="W383" s="7" t="str">
        <f t="shared" si="7"/>
        <v/>
      </c>
    </row>
    <row r="384" spans="2:23" ht="15.6" x14ac:dyDescent="0.3">
      <c r="B384" s="127"/>
      <c r="C384" s="70"/>
      <c r="D384" s="10"/>
      <c r="E384" s="10"/>
      <c r="F384" s="38"/>
      <c r="G384" s="38"/>
      <c r="H384" s="38"/>
      <c r="I384" s="38"/>
      <c r="J384" s="38"/>
      <c r="K384" s="38"/>
      <c r="L384" s="38"/>
      <c r="W384" s="7" t="str">
        <f t="shared" si="7"/>
        <v/>
      </c>
    </row>
    <row r="385" spans="2:23" ht="15.6" x14ac:dyDescent="0.3">
      <c r="B385" s="127"/>
      <c r="C385" s="70"/>
      <c r="D385" s="10"/>
      <c r="E385" s="10"/>
      <c r="F385" s="38"/>
      <c r="G385" s="38"/>
      <c r="H385" s="38"/>
      <c r="I385" s="38"/>
      <c r="J385" s="38"/>
      <c r="K385" s="38"/>
      <c r="L385" s="38"/>
      <c r="W385" s="7" t="str">
        <f t="shared" si="7"/>
        <v/>
      </c>
    </row>
    <row r="386" spans="2:23" ht="15.6" x14ac:dyDescent="0.3">
      <c r="B386" s="127"/>
      <c r="C386" s="70"/>
      <c r="D386" s="10"/>
      <c r="E386" s="10"/>
      <c r="F386" s="38"/>
      <c r="G386" s="38"/>
      <c r="H386" s="38"/>
      <c r="I386" s="38"/>
      <c r="J386" s="38"/>
      <c r="K386" s="38"/>
      <c r="L386" s="38"/>
      <c r="W386" s="7" t="str">
        <f t="shared" si="7"/>
        <v/>
      </c>
    </row>
    <row r="387" spans="2:23" ht="15.6" x14ac:dyDescent="0.3">
      <c r="B387" s="127"/>
      <c r="C387" s="70"/>
      <c r="D387" s="10"/>
      <c r="E387" s="10"/>
      <c r="F387" s="38"/>
      <c r="G387" s="38"/>
      <c r="H387" s="38"/>
      <c r="I387" s="38"/>
      <c r="J387" s="38"/>
      <c r="K387" s="38"/>
      <c r="L387" s="38"/>
      <c r="W387" s="7" t="str">
        <f t="shared" ref="W387:W450" si="8">IF(B387="","",TEXT(B387,"mmm"))</f>
        <v/>
      </c>
    </row>
    <row r="388" spans="2:23" ht="15.6" x14ac:dyDescent="0.3">
      <c r="B388" s="127"/>
      <c r="C388" s="70"/>
      <c r="D388" s="10"/>
      <c r="E388" s="10"/>
      <c r="F388" s="38"/>
      <c r="G388" s="38"/>
      <c r="H388" s="38"/>
      <c r="I388" s="38"/>
      <c r="J388" s="38"/>
      <c r="K388" s="38"/>
      <c r="L388" s="38"/>
      <c r="W388" s="7" t="str">
        <f t="shared" si="8"/>
        <v/>
      </c>
    </row>
    <row r="389" spans="2:23" ht="15.6" x14ac:dyDescent="0.3">
      <c r="B389" s="127"/>
      <c r="C389" s="70"/>
      <c r="D389" s="10"/>
      <c r="E389" s="10"/>
      <c r="F389" s="38"/>
      <c r="G389" s="38"/>
      <c r="H389" s="38"/>
      <c r="I389" s="38"/>
      <c r="J389" s="38"/>
      <c r="K389" s="38"/>
      <c r="L389" s="38"/>
      <c r="W389" s="7" t="str">
        <f t="shared" si="8"/>
        <v/>
      </c>
    </row>
    <row r="390" spans="2:23" ht="15.6" x14ac:dyDescent="0.3">
      <c r="B390" s="127"/>
      <c r="C390" s="70"/>
      <c r="D390" s="10"/>
      <c r="E390" s="10"/>
      <c r="F390" s="38"/>
      <c r="G390" s="38"/>
      <c r="H390" s="38"/>
      <c r="I390" s="38"/>
      <c r="J390" s="38"/>
      <c r="K390" s="38"/>
      <c r="L390" s="38"/>
      <c r="W390" s="7" t="str">
        <f t="shared" si="8"/>
        <v/>
      </c>
    </row>
    <row r="391" spans="2:23" ht="15.6" x14ac:dyDescent="0.3">
      <c r="B391" s="127"/>
      <c r="C391" s="70"/>
      <c r="D391" s="10"/>
      <c r="E391" s="10"/>
      <c r="F391" s="38"/>
      <c r="G391" s="38"/>
      <c r="H391" s="38"/>
      <c r="I391" s="38"/>
      <c r="J391" s="38"/>
      <c r="K391" s="38"/>
      <c r="L391" s="38"/>
      <c r="W391" s="7" t="str">
        <f t="shared" si="8"/>
        <v/>
      </c>
    </row>
    <row r="392" spans="2:23" ht="15.6" x14ac:dyDescent="0.3">
      <c r="B392" s="127"/>
      <c r="C392" s="70"/>
      <c r="D392" s="10"/>
      <c r="E392" s="10"/>
      <c r="F392" s="38"/>
      <c r="G392" s="38"/>
      <c r="H392" s="38"/>
      <c r="I392" s="38"/>
      <c r="J392" s="38"/>
      <c r="K392" s="38"/>
      <c r="L392" s="38"/>
      <c r="W392" s="7" t="str">
        <f t="shared" si="8"/>
        <v/>
      </c>
    </row>
    <row r="393" spans="2:23" ht="15.6" x14ac:dyDescent="0.3">
      <c r="B393" s="127"/>
      <c r="C393" s="70"/>
      <c r="D393" s="10"/>
      <c r="E393" s="10"/>
      <c r="F393" s="38"/>
      <c r="G393" s="38"/>
      <c r="H393" s="38"/>
      <c r="I393" s="38"/>
      <c r="J393" s="38"/>
      <c r="K393" s="38"/>
      <c r="L393" s="38"/>
      <c r="W393" s="7" t="str">
        <f t="shared" si="8"/>
        <v/>
      </c>
    </row>
    <row r="394" spans="2:23" ht="15.6" x14ac:dyDescent="0.3">
      <c r="B394" s="127"/>
      <c r="C394" s="70"/>
      <c r="D394" s="10"/>
      <c r="E394" s="10"/>
      <c r="F394" s="38"/>
      <c r="G394" s="38"/>
      <c r="H394" s="38"/>
      <c r="I394" s="38"/>
      <c r="J394" s="38"/>
      <c r="K394" s="38"/>
      <c r="L394" s="38"/>
      <c r="W394" s="7" t="str">
        <f t="shared" si="8"/>
        <v/>
      </c>
    </row>
    <row r="395" spans="2:23" ht="15.6" x14ac:dyDescent="0.3">
      <c r="B395" s="127"/>
      <c r="C395" s="70"/>
      <c r="D395" s="10"/>
      <c r="E395" s="10"/>
      <c r="F395" s="38"/>
      <c r="G395" s="38"/>
      <c r="H395" s="38"/>
      <c r="I395" s="38"/>
      <c r="J395" s="38"/>
      <c r="K395" s="38"/>
      <c r="L395" s="38"/>
      <c r="W395" s="7" t="str">
        <f t="shared" si="8"/>
        <v/>
      </c>
    </row>
    <row r="396" spans="2:23" ht="15.6" x14ac:dyDescent="0.3">
      <c r="B396" s="127"/>
      <c r="C396" s="70"/>
      <c r="D396" s="10"/>
      <c r="E396" s="10"/>
      <c r="F396" s="38"/>
      <c r="G396" s="38"/>
      <c r="H396" s="38"/>
      <c r="I396" s="38"/>
      <c r="J396" s="38"/>
      <c r="K396" s="38"/>
      <c r="L396" s="38"/>
      <c r="W396" s="7" t="str">
        <f t="shared" si="8"/>
        <v/>
      </c>
    </row>
    <row r="397" spans="2:23" ht="15.6" x14ac:dyDescent="0.3">
      <c r="B397" s="127"/>
      <c r="C397" s="70"/>
      <c r="D397" s="10"/>
      <c r="E397" s="10"/>
      <c r="F397" s="38"/>
      <c r="G397" s="38"/>
      <c r="H397" s="38"/>
      <c r="I397" s="38"/>
      <c r="J397" s="38"/>
      <c r="K397" s="38"/>
      <c r="L397" s="38"/>
      <c r="W397" s="7" t="str">
        <f t="shared" si="8"/>
        <v/>
      </c>
    </row>
    <row r="398" spans="2:23" ht="15.6" x14ac:dyDescent="0.3">
      <c r="B398" s="127"/>
      <c r="C398" s="70"/>
      <c r="D398" s="10"/>
      <c r="E398" s="10"/>
      <c r="F398" s="38"/>
      <c r="G398" s="38"/>
      <c r="H398" s="38"/>
      <c r="I398" s="38"/>
      <c r="J398" s="38"/>
      <c r="K398" s="38"/>
      <c r="L398" s="38"/>
      <c r="W398" s="7" t="str">
        <f t="shared" si="8"/>
        <v/>
      </c>
    </row>
    <row r="399" spans="2:23" ht="15.6" x14ac:dyDescent="0.3">
      <c r="B399" s="127"/>
      <c r="C399" s="70"/>
      <c r="D399" s="10"/>
      <c r="E399" s="10"/>
      <c r="F399" s="38"/>
      <c r="G399" s="38"/>
      <c r="H399" s="38"/>
      <c r="I399" s="38"/>
      <c r="J399" s="38"/>
      <c r="K399" s="38"/>
      <c r="L399" s="38"/>
      <c r="W399" s="7" t="str">
        <f t="shared" si="8"/>
        <v/>
      </c>
    </row>
    <row r="400" spans="2:23" ht="15.6" x14ac:dyDescent="0.3">
      <c r="B400" s="127"/>
      <c r="C400" s="70"/>
      <c r="D400" s="10"/>
      <c r="E400" s="10"/>
      <c r="F400" s="38"/>
      <c r="G400" s="38"/>
      <c r="H400" s="38"/>
      <c r="I400" s="38"/>
      <c r="J400" s="38"/>
      <c r="K400" s="38"/>
      <c r="L400" s="38"/>
      <c r="W400" s="7" t="str">
        <f t="shared" si="8"/>
        <v/>
      </c>
    </row>
    <row r="401" spans="2:23" ht="15.6" x14ac:dyDescent="0.3">
      <c r="B401" s="127"/>
      <c r="C401" s="70"/>
      <c r="D401" s="10"/>
      <c r="E401" s="10"/>
      <c r="F401" s="38"/>
      <c r="G401" s="38"/>
      <c r="H401" s="38"/>
      <c r="I401" s="38"/>
      <c r="J401" s="38"/>
      <c r="K401" s="38"/>
      <c r="L401" s="38"/>
      <c r="W401" s="7" t="str">
        <f t="shared" si="8"/>
        <v/>
      </c>
    </row>
    <row r="402" spans="2:23" ht="15.6" x14ac:dyDescent="0.3">
      <c r="B402" s="127"/>
      <c r="C402" s="70"/>
      <c r="D402" s="10"/>
      <c r="E402" s="10"/>
      <c r="F402" s="38"/>
      <c r="G402" s="38"/>
      <c r="H402" s="38"/>
      <c r="I402" s="38"/>
      <c r="J402" s="38"/>
      <c r="K402" s="38"/>
      <c r="L402" s="38"/>
      <c r="W402" s="7" t="str">
        <f t="shared" si="8"/>
        <v/>
      </c>
    </row>
    <row r="403" spans="2:23" ht="15.6" x14ac:dyDescent="0.3">
      <c r="B403" s="127"/>
      <c r="C403" s="70"/>
      <c r="D403" s="10"/>
      <c r="E403" s="10"/>
      <c r="F403" s="38"/>
      <c r="G403" s="38"/>
      <c r="H403" s="38"/>
      <c r="I403" s="38"/>
      <c r="J403" s="38"/>
      <c r="K403" s="38"/>
      <c r="L403" s="38"/>
      <c r="W403" s="7" t="str">
        <f t="shared" si="8"/>
        <v/>
      </c>
    </row>
    <row r="404" spans="2:23" ht="15.6" x14ac:dyDescent="0.3">
      <c r="B404" s="127"/>
      <c r="C404" s="70"/>
      <c r="D404" s="10"/>
      <c r="E404" s="10"/>
      <c r="F404" s="38"/>
      <c r="G404" s="38"/>
      <c r="H404" s="38"/>
      <c r="I404" s="38"/>
      <c r="J404" s="38"/>
      <c r="K404" s="38"/>
      <c r="L404" s="38"/>
      <c r="W404" s="7" t="str">
        <f t="shared" si="8"/>
        <v/>
      </c>
    </row>
    <row r="405" spans="2:23" ht="15.6" x14ac:dyDescent="0.3">
      <c r="B405" s="127"/>
      <c r="C405" s="70"/>
      <c r="D405" s="10"/>
      <c r="E405" s="10"/>
      <c r="F405" s="38"/>
      <c r="G405" s="38"/>
      <c r="H405" s="38"/>
      <c r="I405" s="38"/>
      <c r="J405" s="38"/>
      <c r="K405" s="38"/>
      <c r="L405" s="38"/>
      <c r="W405" s="7" t="str">
        <f t="shared" si="8"/>
        <v/>
      </c>
    </row>
    <row r="406" spans="2:23" ht="15.6" x14ac:dyDescent="0.3">
      <c r="B406" s="127"/>
      <c r="C406" s="70"/>
      <c r="D406" s="10"/>
      <c r="E406" s="10"/>
      <c r="F406" s="38"/>
      <c r="G406" s="38"/>
      <c r="H406" s="38"/>
      <c r="I406" s="38"/>
      <c r="J406" s="38"/>
      <c r="K406" s="38"/>
      <c r="L406" s="38"/>
      <c r="W406" s="7" t="str">
        <f t="shared" si="8"/>
        <v/>
      </c>
    </row>
    <row r="407" spans="2:23" ht="15.6" x14ac:dyDescent="0.3">
      <c r="B407" s="127"/>
      <c r="C407" s="70"/>
      <c r="D407" s="10"/>
      <c r="E407" s="10"/>
      <c r="F407" s="38"/>
      <c r="G407" s="38"/>
      <c r="H407" s="38"/>
      <c r="I407" s="38"/>
      <c r="J407" s="38"/>
      <c r="K407" s="38"/>
      <c r="L407" s="38"/>
      <c r="W407" s="7" t="str">
        <f t="shared" si="8"/>
        <v/>
      </c>
    </row>
    <row r="408" spans="2:23" ht="15.6" x14ac:dyDescent="0.3">
      <c r="B408" s="127"/>
      <c r="C408" s="70"/>
      <c r="D408" s="10"/>
      <c r="E408" s="10"/>
      <c r="F408" s="38"/>
      <c r="G408" s="38"/>
      <c r="H408" s="38"/>
      <c r="I408" s="38"/>
      <c r="J408" s="38"/>
      <c r="K408" s="38"/>
      <c r="L408" s="38"/>
      <c r="W408" s="7" t="str">
        <f t="shared" si="8"/>
        <v/>
      </c>
    </row>
    <row r="409" spans="2:23" ht="15.6" x14ac:dyDescent="0.3">
      <c r="B409" s="127"/>
      <c r="C409" s="70"/>
      <c r="D409" s="10"/>
      <c r="E409" s="10"/>
      <c r="F409" s="38"/>
      <c r="G409" s="38"/>
      <c r="H409" s="38"/>
      <c r="I409" s="38"/>
      <c r="J409" s="38"/>
      <c r="K409" s="38"/>
      <c r="L409" s="38"/>
      <c r="W409" s="7" t="str">
        <f t="shared" si="8"/>
        <v/>
      </c>
    </row>
    <row r="410" spans="2:23" ht="15.6" x14ac:dyDescent="0.3">
      <c r="B410" s="127"/>
      <c r="C410" s="70"/>
      <c r="D410" s="10"/>
      <c r="E410" s="10"/>
      <c r="F410" s="38"/>
      <c r="G410" s="38"/>
      <c r="H410" s="38"/>
      <c r="I410" s="38"/>
      <c r="J410" s="38"/>
      <c r="K410" s="38"/>
      <c r="L410" s="38"/>
      <c r="W410" s="7" t="str">
        <f t="shared" si="8"/>
        <v/>
      </c>
    </row>
    <row r="411" spans="2:23" ht="15.6" x14ac:dyDescent="0.3">
      <c r="B411" s="127"/>
      <c r="C411" s="70"/>
      <c r="D411" s="10"/>
      <c r="E411" s="10"/>
      <c r="F411" s="38"/>
      <c r="G411" s="38"/>
      <c r="H411" s="38"/>
      <c r="I411" s="38"/>
      <c r="J411" s="38"/>
      <c r="K411" s="38"/>
      <c r="L411" s="38"/>
      <c r="W411" s="7" t="str">
        <f t="shared" si="8"/>
        <v/>
      </c>
    </row>
    <row r="412" spans="2:23" ht="15.6" x14ac:dyDescent="0.3">
      <c r="B412" s="127"/>
      <c r="C412" s="70"/>
      <c r="D412" s="10"/>
      <c r="E412" s="10"/>
      <c r="F412" s="38"/>
      <c r="G412" s="38"/>
      <c r="H412" s="38"/>
      <c r="I412" s="38"/>
      <c r="J412" s="38"/>
      <c r="K412" s="38"/>
      <c r="L412" s="38"/>
      <c r="W412" s="7" t="str">
        <f t="shared" si="8"/>
        <v/>
      </c>
    </row>
    <row r="413" spans="2:23" ht="15.6" x14ac:dyDescent="0.3">
      <c r="B413" s="127"/>
      <c r="C413" s="70"/>
      <c r="D413" s="10"/>
      <c r="E413" s="10"/>
      <c r="F413" s="38"/>
      <c r="G413" s="38"/>
      <c r="H413" s="38"/>
      <c r="I413" s="38"/>
      <c r="J413" s="38"/>
      <c r="K413" s="38"/>
      <c r="L413" s="38"/>
      <c r="W413" s="7" t="str">
        <f t="shared" si="8"/>
        <v/>
      </c>
    </row>
    <row r="414" spans="2:23" ht="15.6" x14ac:dyDescent="0.3">
      <c r="B414" s="127"/>
      <c r="C414" s="70"/>
      <c r="D414" s="10"/>
      <c r="E414" s="10"/>
      <c r="F414" s="38"/>
      <c r="G414" s="38"/>
      <c r="H414" s="38"/>
      <c r="I414" s="38"/>
      <c r="J414" s="38"/>
      <c r="K414" s="38"/>
      <c r="L414" s="38"/>
      <c r="W414" s="7" t="str">
        <f t="shared" si="8"/>
        <v/>
      </c>
    </row>
    <row r="415" spans="2:23" ht="15.6" x14ac:dyDescent="0.3">
      <c r="B415" s="127"/>
      <c r="C415" s="70"/>
      <c r="D415" s="10"/>
      <c r="E415" s="10"/>
      <c r="F415" s="38"/>
      <c r="G415" s="38"/>
      <c r="H415" s="38"/>
      <c r="I415" s="38"/>
      <c r="J415" s="38"/>
      <c r="K415" s="38"/>
      <c r="L415" s="38"/>
      <c r="W415" s="7" t="str">
        <f t="shared" si="8"/>
        <v/>
      </c>
    </row>
    <row r="416" spans="2:23" ht="15.6" x14ac:dyDescent="0.3">
      <c r="B416" s="127"/>
      <c r="C416" s="70"/>
      <c r="D416" s="10"/>
      <c r="E416" s="10"/>
      <c r="F416" s="38"/>
      <c r="G416" s="38"/>
      <c r="H416" s="38"/>
      <c r="I416" s="38"/>
      <c r="J416" s="38"/>
      <c r="K416" s="38"/>
      <c r="L416" s="38"/>
      <c r="W416" s="7" t="str">
        <f t="shared" si="8"/>
        <v/>
      </c>
    </row>
    <row r="417" spans="2:23" ht="15.6" x14ac:dyDescent="0.3">
      <c r="B417" s="127"/>
      <c r="C417" s="70"/>
      <c r="D417" s="10"/>
      <c r="E417" s="10"/>
      <c r="F417" s="38"/>
      <c r="G417" s="38"/>
      <c r="H417" s="38"/>
      <c r="I417" s="38"/>
      <c r="J417" s="38"/>
      <c r="K417" s="38"/>
      <c r="L417" s="38"/>
      <c r="W417" s="7" t="str">
        <f t="shared" si="8"/>
        <v/>
      </c>
    </row>
    <row r="418" spans="2:23" ht="15.6" x14ac:dyDescent="0.3">
      <c r="B418" s="127"/>
      <c r="C418" s="70"/>
      <c r="D418" s="10"/>
      <c r="E418" s="10"/>
      <c r="F418" s="38"/>
      <c r="G418" s="38"/>
      <c r="H418" s="38"/>
      <c r="I418" s="38"/>
      <c r="J418" s="38"/>
      <c r="K418" s="38"/>
      <c r="L418" s="38"/>
      <c r="W418" s="7" t="str">
        <f t="shared" si="8"/>
        <v/>
      </c>
    </row>
    <row r="419" spans="2:23" ht="15.6" x14ac:dyDescent="0.3">
      <c r="B419" s="127"/>
      <c r="C419" s="70"/>
      <c r="D419" s="10"/>
      <c r="E419" s="10"/>
      <c r="F419" s="38"/>
      <c r="G419" s="38"/>
      <c r="H419" s="38"/>
      <c r="I419" s="38"/>
      <c r="J419" s="38"/>
      <c r="K419" s="38"/>
      <c r="L419" s="38"/>
      <c r="W419" s="7" t="str">
        <f t="shared" si="8"/>
        <v/>
      </c>
    </row>
    <row r="420" spans="2:23" ht="15.6" x14ac:dyDescent="0.3">
      <c r="B420" s="127"/>
      <c r="C420" s="70"/>
      <c r="D420" s="10"/>
      <c r="E420" s="10"/>
      <c r="F420" s="38"/>
      <c r="G420" s="38"/>
      <c r="H420" s="38"/>
      <c r="I420" s="38"/>
      <c r="J420" s="38"/>
      <c r="K420" s="38"/>
      <c r="L420" s="38"/>
      <c r="W420" s="7" t="str">
        <f t="shared" si="8"/>
        <v/>
      </c>
    </row>
    <row r="421" spans="2:23" ht="15.6" x14ac:dyDescent="0.3">
      <c r="B421" s="127"/>
      <c r="C421" s="70"/>
      <c r="D421" s="10"/>
      <c r="E421" s="10"/>
      <c r="F421" s="38"/>
      <c r="G421" s="38"/>
      <c r="H421" s="38"/>
      <c r="I421" s="38"/>
      <c r="J421" s="38"/>
      <c r="K421" s="38"/>
      <c r="L421" s="38"/>
      <c r="W421" s="7" t="str">
        <f t="shared" si="8"/>
        <v/>
      </c>
    </row>
    <row r="422" spans="2:23" ht="15.6" x14ac:dyDescent="0.3">
      <c r="B422" s="127"/>
      <c r="C422" s="70"/>
      <c r="D422" s="10"/>
      <c r="E422" s="10"/>
      <c r="F422" s="38"/>
      <c r="G422" s="38"/>
      <c r="H422" s="38"/>
      <c r="I422" s="38"/>
      <c r="J422" s="38"/>
      <c r="K422" s="38"/>
      <c r="L422" s="38"/>
      <c r="W422" s="7" t="str">
        <f t="shared" si="8"/>
        <v/>
      </c>
    </row>
    <row r="423" spans="2:23" ht="15.6" x14ac:dyDescent="0.3">
      <c r="B423" s="127"/>
      <c r="C423" s="70"/>
      <c r="D423" s="10"/>
      <c r="E423" s="10"/>
      <c r="F423" s="38"/>
      <c r="G423" s="38"/>
      <c r="H423" s="38"/>
      <c r="I423" s="38"/>
      <c r="J423" s="38"/>
      <c r="K423" s="38"/>
      <c r="L423" s="38"/>
      <c r="W423" s="7" t="str">
        <f t="shared" si="8"/>
        <v/>
      </c>
    </row>
    <row r="424" spans="2:23" ht="15.6" x14ac:dyDescent="0.3">
      <c r="B424" s="127"/>
      <c r="C424" s="70"/>
      <c r="D424" s="10"/>
      <c r="E424" s="10"/>
      <c r="F424" s="38"/>
      <c r="G424" s="38"/>
      <c r="H424" s="38"/>
      <c r="I424" s="38"/>
      <c r="J424" s="38"/>
      <c r="K424" s="38"/>
      <c r="L424" s="38"/>
      <c r="W424" s="7" t="str">
        <f t="shared" si="8"/>
        <v/>
      </c>
    </row>
    <row r="425" spans="2:23" ht="15.6" x14ac:dyDescent="0.3">
      <c r="B425" s="127"/>
      <c r="C425" s="70"/>
      <c r="D425" s="10"/>
      <c r="E425" s="10"/>
      <c r="F425" s="38"/>
      <c r="G425" s="38"/>
      <c r="H425" s="38"/>
      <c r="I425" s="38"/>
      <c r="J425" s="38"/>
      <c r="K425" s="38"/>
      <c r="L425" s="38"/>
      <c r="W425" s="7" t="str">
        <f t="shared" si="8"/>
        <v/>
      </c>
    </row>
    <row r="426" spans="2:23" ht="15.6" x14ac:dyDescent="0.3">
      <c r="B426" s="127"/>
      <c r="C426" s="70"/>
      <c r="D426" s="10"/>
      <c r="E426" s="10"/>
      <c r="F426" s="38"/>
      <c r="G426" s="38"/>
      <c r="H426" s="38"/>
      <c r="I426" s="38"/>
      <c r="J426" s="38"/>
      <c r="K426" s="38"/>
      <c r="L426" s="38"/>
      <c r="W426" s="7" t="str">
        <f t="shared" si="8"/>
        <v/>
      </c>
    </row>
    <row r="427" spans="2:23" ht="15.6" x14ac:dyDescent="0.3">
      <c r="B427" s="127"/>
      <c r="C427" s="70"/>
      <c r="D427" s="10"/>
      <c r="E427" s="10"/>
      <c r="F427" s="38"/>
      <c r="G427" s="38"/>
      <c r="H427" s="38"/>
      <c r="I427" s="38"/>
      <c r="J427" s="38"/>
      <c r="K427" s="38"/>
      <c r="L427" s="38"/>
      <c r="W427" s="7" t="str">
        <f t="shared" si="8"/>
        <v/>
      </c>
    </row>
    <row r="428" spans="2:23" ht="15.6" x14ac:dyDescent="0.3">
      <c r="B428" s="127"/>
      <c r="C428" s="70"/>
      <c r="D428" s="10"/>
      <c r="E428" s="10"/>
      <c r="F428" s="38"/>
      <c r="G428" s="38"/>
      <c r="H428" s="38"/>
      <c r="I428" s="38"/>
      <c r="J428" s="38"/>
      <c r="K428" s="38"/>
      <c r="L428" s="38"/>
      <c r="W428" s="7" t="str">
        <f t="shared" si="8"/>
        <v/>
      </c>
    </row>
    <row r="429" spans="2:23" ht="15.6" x14ac:dyDescent="0.3">
      <c r="B429" s="127"/>
      <c r="C429" s="70"/>
      <c r="D429" s="10"/>
      <c r="E429" s="10"/>
      <c r="F429" s="38"/>
      <c r="G429" s="38"/>
      <c r="H429" s="38"/>
      <c r="I429" s="38"/>
      <c r="J429" s="38"/>
      <c r="K429" s="38"/>
      <c r="L429" s="38"/>
      <c r="W429" s="7" t="str">
        <f t="shared" si="8"/>
        <v/>
      </c>
    </row>
    <row r="430" spans="2:23" ht="15.6" x14ac:dyDescent="0.3">
      <c r="B430" s="127"/>
      <c r="C430" s="70"/>
      <c r="D430" s="10"/>
      <c r="E430" s="10"/>
      <c r="F430" s="38"/>
      <c r="G430" s="38"/>
      <c r="H430" s="38"/>
      <c r="I430" s="38"/>
      <c r="J430" s="38"/>
      <c r="K430" s="38"/>
      <c r="L430" s="38"/>
      <c r="W430" s="7" t="str">
        <f t="shared" si="8"/>
        <v/>
      </c>
    </row>
    <row r="431" spans="2:23" ht="15.6" x14ac:dyDescent="0.3">
      <c r="B431" s="127"/>
      <c r="C431" s="70"/>
      <c r="D431" s="10"/>
      <c r="E431" s="10"/>
      <c r="F431" s="38"/>
      <c r="G431" s="38"/>
      <c r="H431" s="38"/>
      <c r="I431" s="38"/>
      <c r="J431" s="38"/>
      <c r="K431" s="38"/>
      <c r="L431" s="38"/>
      <c r="W431" s="7" t="str">
        <f t="shared" si="8"/>
        <v/>
      </c>
    </row>
    <row r="432" spans="2:23" ht="15.6" x14ac:dyDescent="0.3">
      <c r="B432" s="127"/>
      <c r="C432" s="70"/>
      <c r="D432" s="10"/>
      <c r="E432" s="10"/>
      <c r="F432" s="38"/>
      <c r="G432" s="38"/>
      <c r="H432" s="38"/>
      <c r="I432" s="38"/>
      <c r="J432" s="38"/>
      <c r="K432" s="38"/>
      <c r="L432" s="38"/>
      <c r="W432" s="7" t="str">
        <f t="shared" si="8"/>
        <v/>
      </c>
    </row>
    <row r="433" spans="2:23" ht="15.6" x14ac:dyDescent="0.3">
      <c r="B433" s="127"/>
      <c r="C433" s="70"/>
      <c r="D433" s="10"/>
      <c r="E433" s="10"/>
      <c r="F433" s="38"/>
      <c r="G433" s="38"/>
      <c r="H433" s="38"/>
      <c r="I433" s="38"/>
      <c r="J433" s="38"/>
      <c r="K433" s="38"/>
      <c r="L433" s="38"/>
      <c r="W433" s="7" t="str">
        <f t="shared" si="8"/>
        <v/>
      </c>
    </row>
    <row r="434" spans="2:23" ht="15.6" x14ac:dyDescent="0.3">
      <c r="B434" s="127"/>
      <c r="C434" s="70"/>
      <c r="D434" s="10"/>
      <c r="E434" s="10"/>
      <c r="F434" s="38"/>
      <c r="G434" s="38"/>
      <c r="H434" s="38"/>
      <c r="I434" s="38"/>
      <c r="J434" s="38"/>
      <c r="K434" s="38"/>
      <c r="L434" s="38"/>
      <c r="W434" s="7" t="str">
        <f t="shared" si="8"/>
        <v/>
      </c>
    </row>
    <row r="435" spans="2:23" ht="15.6" x14ac:dyDescent="0.3">
      <c r="B435" s="127"/>
      <c r="C435" s="70"/>
      <c r="D435" s="10"/>
      <c r="E435" s="10"/>
      <c r="F435" s="38"/>
      <c r="G435" s="38"/>
      <c r="H435" s="38"/>
      <c r="I435" s="38"/>
      <c r="J435" s="38"/>
      <c r="K435" s="38"/>
      <c r="L435" s="38"/>
      <c r="W435" s="7" t="str">
        <f t="shared" si="8"/>
        <v/>
      </c>
    </row>
    <row r="436" spans="2:23" ht="15.6" x14ac:dyDescent="0.3">
      <c r="B436" s="127"/>
      <c r="C436" s="70"/>
      <c r="D436" s="10"/>
      <c r="E436" s="10"/>
      <c r="F436" s="38"/>
      <c r="G436" s="38"/>
      <c r="H436" s="38"/>
      <c r="I436" s="38"/>
      <c r="J436" s="38"/>
      <c r="K436" s="38"/>
      <c r="L436" s="38"/>
      <c r="W436" s="7" t="str">
        <f t="shared" si="8"/>
        <v/>
      </c>
    </row>
    <row r="437" spans="2:23" ht="15.6" x14ac:dyDescent="0.3">
      <c r="B437" s="127"/>
      <c r="C437" s="70"/>
      <c r="D437" s="10"/>
      <c r="E437" s="10"/>
      <c r="F437" s="38"/>
      <c r="G437" s="38"/>
      <c r="H437" s="38"/>
      <c r="I437" s="38"/>
      <c r="J437" s="38"/>
      <c r="K437" s="38"/>
      <c r="L437" s="38"/>
      <c r="W437" s="7" t="str">
        <f t="shared" si="8"/>
        <v/>
      </c>
    </row>
    <row r="438" spans="2:23" ht="15.6" x14ac:dyDescent="0.3">
      <c r="B438" s="127"/>
      <c r="C438" s="70"/>
      <c r="D438" s="10"/>
      <c r="E438" s="10"/>
      <c r="F438" s="38"/>
      <c r="G438" s="38"/>
      <c r="H438" s="38"/>
      <c r="I438" s="38"/>
      <c r="J438" s="38"/>
      <c r="K438" s="38"/>
      <c r="L438" s="38"/>
      <c r="W438" s="7" t="str">
        <f t="shared" si="8"/>
        <v/>
      </c>
    </row>
    <row r="439" spans="2:23" ht="15.6" x14ac:dyDescent="0.3">
      <c r="B439" s="127"/>
      <c r="C439" s="70"/>
      <c r="D439" s="10"/>
      <c r="E439" s="10"/>
      <c r="F439" s="38"/>
      <c r="G439" s="38"/>
      <c r="H439" s="38"/>
      <c r="I439" s="38"/>
      <c r="J439" s="38"/>
      <c r="K439" s="38"/>
      <c r="L439" s="38"/>
      <c r="W439" s="7" t="str">
        <f t="shared" si="8"/>
        <v/>
      </c>
    </row>
    <row r="440" spans="2:23" ht="15.6" x14ac:dyDescent="0.3">
      <c r="B440" s="127"/>
      <c r="C440" s="70"/>
      <c r="D440" s="10"/>
      <c r="E440" s="10"/>
      <c r="F440" s="38"/>
      <c r="G440" s="38"/>
      <c r="H440" s="38"/>
      <c r="I440" s="38"/>
      <c r="J440" s="38"/>
      <c r="K440" s="38"/>
      <c r="L440" s="38"/>
      <c r="W440" s="7" t="str">
        <f t="shared" si="8"/>
        <v/>
      </c>
    </row>
    <row r="441" spans="2:23" ht="15.6" x14ac:dyDescent="0.3">
      <c r="B441" s="127"/>
      <c r="C441" s="70"/>
      <c r="D441" s="10"/>
      <c r="E441" s="10"/>
      <c r="F441" s="38"/>
      <c r="G441" s="38"/>
      <c r="H441" s="38"/>
      <c r="I441" s="38"/>
      <c r="J441" s="38"/>
      <c r="K441" s="38"/>
      <c r="L441" s="38"/>
      <c r="W441" s="7" t="str">
        <f t="shared" si="8"/>
        <v/>
      </c>
    </row>
    <row r="442" spans="2:23" ht="15.6" x14ac:dyDescent="0.3">
      <c r="B442" s="127"/>
      <c r="C442" s="70"/>
      <c r="D442" s="10"/>
      <c r="E442" s="10"/>
      <c r="F442" s="38"/>
      <c r="G442" s="38"/>
      <c r="H442" s="38"/>
      <c r="I442" s="38"/>
      <c r="J442" s="38"/>
      <c r="K442" s="38"/>
      <c r="L442" s="38"/>
      <c r="W442" s="7" t="str">
        <f t="shared" si="8"/>
        <v/>
      </c>
    </row>
    <row r="443" spans="2:23" ht="15.6" x14ac:dyDescent="0.3">
      <c r="B443" s="127"/>
      <c r="C443" s="70"/>
      <c r="D443" s="10"/>
      <c r="E443" s="10"/>
      <c r="F443" s="38"/>
      <c r="G443" s="38"/>
      <c r="H443" s="38"/>
      <c r="I443" s="38"/>
      <c r="J443" s="38"/>
      <c r="K443" s="38"/>
      <c r="L443" s="38"/>
      <c r="W443" s="7" t="str">
        <f t="shared" si="8"/>
        <v/>
      </c>
    </row>
    <row r="444" spans="2:23" ht="15.6" x14ac:dyDescent="0.3">
      <c r="B444" s="127"/>
      <c r="C444" s="70"/>
      <c r="D444" s="10"/>
      <c r="E444" s="10"/>
      <c r="F444" s="38"/>
      <c r="G444" s="38"/>
      <c r="H444" s="38"/>
      <c r="I444" s="38"/>
      <c r="J444" s="38"/>
      <c r="K444" s="38"/>
      <c r="L444" s="38"/>
      <c r="W444" s="7" t="str">
        <f t="shared" si="8"/>
        <v/>
      </c>
    </row>
    <row r="445" spans="2:23" ht="15.6" x14ac:dyDescent="0.3">
      <c r="B445" s="127"/>
      <c r="C445" s="70"/>
      <c r="D445" s="10"/>
      <c r="E445" s="10"/>
      <c r="F445" s="38"/>
      <c r="G445" s="38"/>
      <c r="H445" s="38"/>
      <c r="I445" s="38"/>
      <c r="J445" s="38"/>
      <c r="K445" s="38"/>
      <c r="L445" s="38"/>
      <c r="W445" s="7" t="str">
        <f t="shared" si="8"/>
        <v/>
      </c>
    </row>
    <row r="446" spans="2:23" ht="15.6" x14ac:dyDescent="0.3">
      <c r="B446" s="127"/>
      <c r="C446" s="70"/>
      <c r="D446" s="10"/>
      <c r="E446" s="10"/>
      <c r="F446" s="38"/>
      <c r="G446" s="38"/>
      <c r="H446" s="38"/>
      <c r="I446" s="38"/>
      <c r="J446" s="38"/>
      <c r="K446" s="38"/>
      <c r="L446" s="38"/>
      <c r="W446" s="7" t="str">
        <f t="shared" si="8"/>
        <v/>
      </c>
    </row>
    <row r="447" spans="2:23" ht="15.6" x14ac:dyDescent="0.3">
      <c r="B447" s="127"/>
      <c r="C447" s="70"/>
      <c r="D447" s="10"/>
      <c r="E447" s="10"/>
      <c r="F447" s="38"/>
      <c r="G447" s="38"/>
      <c r="H447" s="38"/>
      <c r="I447" s="38"/>
      <c r="J447" s="38"/>
      <c r="K447" s="38"/>
      <c r="L447" s="38"/>
      <c r="W447" s="7" t="str">
        <f t="shared" si="8"/>
        <v/>
      </c>
    </row>
    <row r="448" spans="2:23" ht="15.6" x14ac:dyDescent="0.3">
      <c r="B448" s="127"/>
      <c r="C448" s="70"/>
      <c r="D448" s="10"/>
      <c r="E448" s="10"/>
      <c r="F448" s="38"/>
      <c r="G448" s="38"/>
      <c r="H448" s="38"/>
      <c r="I448" s="38"/>
      <c r="J448" s="38"/>
      <c r="K448" s="38"/>
      <c r="L448" s="38"/>
      <c r="W448" s="7" t="str">
        <f t="shared" si="8"/>
        <v/>
      </c>
    </row>
    <row r="449" spans="2:23" ht="15.6" x14ac:dyDescent="0.3">
      <c r="B449" s="127"/>
      <c r="C449" s="70"/>
      <c r="D449" s="10"/>
      <c r="E449" s="10"/>
      <c r="F449" s="38"/>
      <c r="G449" s="38"/>
      <c r="H449" s="38"/>
      <c r="I449" s="38"/>
      <c r="J449" s="38"/>
      <c r="K449" s="38"/>
      <c r="L449" s="38"/>
      <c r="W449" s="7" t="str">
        <f t="shared" si="8"/>
        <v/>
      </c>
    </row>
    <row r="450" spans="2:23" ht="15.6" x14ac:dyDescent="0.3">
      <c r="B450" s="127"/>
      <c r="C450" s="70"/>
      <c r="D450" s="10"/>
      <c r="E450" s="10"/>
      <c r="F450" s="38"/>
      <c r="G450" s="38"/>
      <c r="H450" s="38"/>
      <c r="I450" s="38"/>
      <c r="J450" s="38"/>
      <c r="K450" s="38"/>
      <c r="L450" s="38"/>
      <c r="W450" s="7" t="str">
        <f t="shared" si="8"/>
        <v/>
      </c>
    </row>
    <row r="451" spans="2:23" ht="15.6" x14ac:dyDescent="0.3">
      <c r="B451" s="127"/>
      <c r="C451" s="70"/>
      <c r="D451" s="10"/>
      <c r="E451" s="10"/>
      <c r="F451" s="38"/>
      <c r="G451" s="38"/>
      <c r="H451" s="38"/>
      <c r="I451" s="38"/>
      <c r="J451" s="38"/>
      <c r="K451" s="38"/>
      <c r="L451" s="38"/>
      <c r="W451" s="7" t="str">
        <f t="shared" ref="W451:W514" si="9">IF(B451="","",TEXT(B451,"mmm"))</f>
        <v/>
      </c>
    </row>
    <row r="452" spans="2:23" ht="15.6" x14ac:dyDescent="0.3">
      <c r="B452" s="127"/>
      <c r="C452" s="70"/>
      <c r="D452" s="10"/>
      <c r="E452" s="10"/>
      <c r="F452" s="38"/>
      <c r="G452" s="38"/>
      <c r="H452" s="38"/>
      <c r="I452" s="38"/>
      <c r="J452" s="38"/>
      <c r="K452" s="38"/>
      <c r="L452" s="38"/>
      <c r="W452" s="7" t="str">
        <f t="shared" si="9"/>
        <v/>
      </c>
    </row>
    <row r="453" spans="2:23" ht="15.6" x14ac:dyDescent="0.3">
      <c r="B453" s="127"/>
      <c r="C453" s="70"/>
      <c r="D453" s="10"/>
      <c r="E453" s="10"/>
      <c r="F453" s="38"/>
      <c r="G453" s="38"/>
      <c r="H453" s="38"/>
      <c r="I453" s="38"/>
      <c r="J453" s="38"/>
      <c r="K453" s="38"/>
      <c r="L453" s="38"/>
      <c r="W453" s="7" t="str">
        <f t="shared" si="9"/>
        <v/>
      </c>
    </row>
    <row r="454" spans="2:23" ht="15.6" x14ac:dyDescent="0.3">
      <c r="B454" s="127"/>
      <c r="C454" s="70"/>
      <c r="D454" s="10"/>
      <c r="E454" s="10"/>
      <c r="F454" s="38"/>
      <c r="G454" s="38"/>
      <c r="H454" s="38"/>
      <c r="I454" s="38"/>
      <c r="J454" s="38"/>
      <c r="K454" s="38"/>
      <c r="L454" s="38"/>
      <c r="W454" s="7" t="str">
        <f t="shared" si="9"/>
        <v/>
      </c>
    </row>
    <row r="455" spans="2:23" ht="15.6" x14ac:dyDescent="0.3">
      <c r="B455" s="127"/>
      <c r="C455" s="70"/>
      <c r="D455" s="10"/>
      <c r="E455" s="10"/>
      <c r="F455" s="38"/>
      <c r="G455" s="38"/>
      <c r="H455" s="38"/>
      <c r="I455" s="38"/>
      <c r="J455" s="38"/>
      <c r="K455" s="38"/>
      <c r="L455" s="38"/>
      <c r="W455" s="7" t="str">
        <f t="shared" si="9"/>
        <v/>
      </c>
    </row>
    <row r="456" spans="2:23" ht="15.6" x14ac:dyDescent="0.3">
      <c r="B456" s="127"/>
      <c r="C456" s="70"/>
      <c r="D456" s="10"/>
      <c r="E456" s="10"/>
      <c r="F456" s="38"/>
      <c r="G456" s="38"/>
      <c r="H456" s="38"/>
      <c r="I456" s="38"/>
      <c r="J456" s="38"/>
      <c r="K456" s="38"/>
      <c r="L456" s="38"/>
      <c r="W456" s="7" t="str">
        <f t="shared" si="9"/>
        <v/>
      </c>
    </row>
    <row r="457" spans="2:23" ht="15.6" x14ac:dyDescent="0.3">
      <c r="B457" s="127"/>
      <c r="C457" s="70"/>
      <c r="D457" s="10"/>
      <c r="E457" s="10"/>
      <c r="F457" s="38"/>
      <c r="G457" s="38"/>
      <c r="H457" s="38"/>
      <c r="I457" s="38"/>
      <c r="J457" s="38"/>
      <c r="K457" s="38"/>
      <c r="L457" s="38"/>
      <c r="W457" s="7" t="str">
        <f t="shared" si="9"/>
        <v/>
      </c>
    </row>
    <row r="458" spans="2:23" ht="15.6" x14ac:dyDescent="0.3">
      <c r="B458" s="127"/>
      <c r="C458" s="70"/>
      <c r="D458" s="10"/>
      <c r="E458" s="10"/>
      <c r="F458" s="38"/>
      <c r="G458" s="38"/>
      <c r="H458" s="38"/>
      <c r="I458" s="38"/>
      <c r="J458" s="38"/>
      <c r="K458" s="38"/>
      <c r="L458" s="38"/>
      <c r="W458" s="7" t="str">
        <f t="shared" si="9"/>
        <v/>
      </c>
    </row>
    <row r="459" spans="2:23" ht="15.6" x14ac:dyDescent="0.3">
      <c r="B459" s="127"/>
      <c r="C459" s="70"/>
      <c r="D459" s="10"/>
      <c r="E459" s="10"/>
      <c r="F459" s="38"/>
      <c r="G459" s="38"/>
      <c r="H459" s="38"/>
      <c r="I459" s="38"/>
      <c r="J459" s="38"/>
      <c r="K459" s="38"/>
      <c r="L459" s="38"/>
      <c r="W459" s="7" t="str">
        <f t="shared" si="9"/>
        <v/>
      </c>
    </row>
    <row r="460" spans="2:23" ht="15.6" x14ac:dyDescent="0.3">
      <c r="B460" s="127"/>
      <c r="C460" s="70"/>
      <c r="D460" s="10"/>
      <c r="E460" s="10"/>
      <c r="F460" s="38"/>
      <c r="G460" s="38"/>
      <c r="H460" s="38"/>
      <c r="I460" s="38"/>
      <c r="J460" s="38"/>
      <c r="K460" s="38"/>
      <c r="L460" s="38"/>
      <c r="W460" s="7" t="str">
        <f t="shared" si="9"/>
        <v/>
      </c>
    </row>
    <row r="461" spans="2:23" ht="15.6" x14ac:dyDescent="0.3">
      <c r="B461" s="127"/>
      <c r="C461" s="70"/>
      <c r="D461" s="10"/>
      <c r="E461" s="10"/>
      <c r="F461" s="38"/>
      <c r="G461" s="38"/>
      <c r="H461" s="38"/>
      <c r="I461" s="38"/>
      <c r="J461" s="38"/>
      <c r="K461" s="38"/>
      <c r="L461" s="38"/>
      <c r="W461" s="7" t="str">
        <f t="shared" si="9"/>
        <v/>
      </c>
    </row>
    <row r="462" spans="2:23" ht="15.6" x14ac:dyDescent="0.3">
      <c r="B462" s="127"/>
      <c r="C462" s="70"/>
      <c r="D462" s="10"/>
      <c r="E462" s="10"/>
      <c r="F462" s="38"/>
      <c r="G462" s="38"/>
      <c r="H462" s="38"/>
      <c r="I462" s="38"/>
      <c r="J462" s="38"/>
      <c r="K462" s="38"/>
      <c r="L462" s="38"/>
      <c r="W462" s="7" t="str">
        <f t="shared" si="9"/>
        <v/>
      </c>
    </row>
    <row r="463" spans="2:23" ht="15.6" x14ac:dyDescent="0.3">
      <c r="B463" s="127"/>
      <c r="C463" s="70"/>
      <c r="D463" s="10"/>
      <c r="E463" s="10"/>
      <c r="F463" s="38"/>
      <c r="G463" s="38"/>
      <c r="H463" s="38"/>
      <c r="I463" s="38"/>
      <c r="J463" s="38"/>
      <c r="K463" s="38"/>
      <c r="L463" s="38"/>
      <c r="W463" s="7" t="str">
        <f t="shared" si="9"/>
        <v/>
      </c>
    </row>
    <row r="464" spans="2:23" ht="15.6" x14ac:dyDescent="0.3">
      <c r="B464" s="127"/>
      <c r="C464" s="70"/>
      <c r="D464" s="10"/>
      <c r="E464" s="10"/>
      <c r="F464" s="38"/>
      <c r="G464" s="38"/>
      <c r="H464" s="38"/>
      <c r="I464" s="38"/>
      <c r="J464" s="38"/>
      <c r="K464" s="38"/>
      <c r="L464" s="38"/>
      <c r="W464" s="7" t="str">
        <f t="shared" si="9"/>
        <v/>
      </c>
    </row>
    <row r="465" spans="2:23" ht="15.6" x14ac:dyDescent="0.3">
      <c r="B465" s="127"/>
      <c r="C465" s="70"/>
      <c r="D465" s="10"/>
      <c r="E465" s="10"/>
      <c r="F465" s="38"/>
      <c r="G465" s="38"/>
      <c r="H465" s="38"/>
      <c r="I465" s="38"/>
      <c r="J465" s="38"/>
      <c r="K465" s="38"/>
      <c r="L465" s="38"/>
      <c r="W465" s="7" t="str">
        <f t="shared" si="9"/>
        <v/>
      </c>
    </row>
    <row r="466" spans="2:23" ht="15.6" x14ac:dyDescent="0.3">
      <c r="B466" s="127"/>
      <c r="C466" s="70"/>
      <c r="D466" s="10"/>
      <c r="E466" s="10"/>
      <c r="F466" s="38"/>
      <c r="G466" s="38"/>
      <c r="H466" s="38"/>
      <c r="I466" s="38"/>
      <c r="J466" s="38"/>
      <c r="K466" s="38"/>
      <c r="L466" s="38"/>
      <c r="W466" s="7" t="str">
        <f t="shared" si="9"/>
        <v/>
      </c>
    </row>
    <row r="467" spans="2:23" ht="15.6" x14ac:dyDescent="0.3">
      <c r="B467" s="127"/>
      <c r="C467" s="70"/>
      <c r="D467" s="10"/>
      <c r="E467" s="10"/>
      <c r="F467" s="38"/>
      <c r="G467" s="38"/>
      <c r="H467" s="38"/>
      <c r="I467" s="38"/>
      <c r="J467" s="38"/>
      <c r="K467" s="38"/>
      <c r="L467" s="38"/>
      <c r="W467" s="7" t="str">
        <f t="shared" si="9"/>
        <v/>
      </c>
    </row>
    <row r="468" spans="2:23" ht="15.6" x14ac:dyDescent="0.3">
      <c r="B468" s="127"/>
      <c r="C468" s="70"/>
      <c r="D468" s="10"/>
      <c r="E468" s="10"/>
      <c r="F468" s="38"/>
      <c r="G468" s="38"/>
      <c r="H468" s="38"/>
      <c r="I468" s="38"/>
      <c r="J468" s="38"/>
      <c r="K468" s="38"/>
      <c r="L468" s="38"/>
      <c r="W468" s="7" t="str">
        <f t="shared" si="9"/>
        <v/>
      </c>
    </row>
    <row r="469" spans="2:23" ht="15.6" x14ac:dyDescent="0.3">
      <c r="B469" s="127"/>
      <c r="C469" s="70"/>
      <c r="D469" s="10"/>
      <c r="E469" s="10"/>
      <c r="F469" s="38"/>
      <c r="G469" s="38"/>
      <c r="H469" s="38"/>
      <c r="I469" s="38"/>
      <c r="J469" s="38"/>
      <c r="K469" s="38"/>
      <c r="L469" s="38"/>
      <c r="W469" s="7" t="str">
        <f t="shared" si="9"/>
        <v/>
      </c>
    </row>
    <row r="470" spans="2:23" ht="15.6" x14ac:dyDescent="0.3">
      <c r="B470" s="127"/>
      <c r="C470" s="70"/>
      <c r="D470" s="10"/>
      <c r="E470" s="10"/>
      <c r="F470" s="38"/>
      <c r="G470" s="38"/>
      <c r="H470" s="38"/>
      <c r="I470" s="38"/>
      <c r="J470" s="38"/>
      <c r="K470" s="38"/>
      <c r="L470" s="38"/>
      <c r="W470" s="7" t="str">
        <f t="shared" si="9"/>
        <v/>
      </c>
    </row>
    <row r="471" spans="2:23" ht="15.6" x14ac:dyDescent="0.3">
      <c r="B471" s="127"/>
      <c r="C471" s="70"/>
      <c r="D471" s="10"/>
      <c r="E471" s="10"/>
      <c r="F471" s="38"/>
      <c r="G471" s="38"/>
      <c r="H471" s="38"/>
      <c r="I471" s="38"/>
      <c r="J471" s="38"/>
      <c r="K471" s="38"/>
      <c r="L471" s="38"/>
      <c r="W471" s="7" t="str">
        <f t="shared" si="9"/>
        <v/>
      </c>
    </row>
    <row r="472" spans="2:23" ht="15.6" x14ac:dyDescent="0.3">
      <c r="B472" s="127"/>
      <c r="C472" s="70"/>
      <c r="D472" s="10"/>
      <c r="E472" s="10"/>
      <c r="F472" s="38"/>
      <c r="G472" s="38"/>
      <c r="H472" s="38"/>
      <c r="I472" s="38"/>
      <c r="J472" s="38"/>
      <c r="K472" s="38"/>
      <c r="L472" s="38"/>
      <c r="W472" s="7" t="str">
        <f t="shared" si="9"/>
        <v/>
      </c>
    </row>
    <row r="473" spans="2:23" ht="15.6" x14ac:dyDescent="0.3">
      <c r="B473" s="127"/>
      <c r="C473" s="70"/>
      <c r="D473" s="10"/>
      <c r="E473" s="10"/>
      <c r="F473" s="38"/>
      <c r="G473" s="38"/>
      <c r="H473" s="38"/>
      <c r="I473" s="38"/>
      <c r="J473" s="38"/>
      <c r="K473" s="38"/>
      <c r="L473" s="38"/>
      <c r="W473" s="7" t="str">
        <f t="shared" si="9"/>
        <v/>
      </c>
    </row>
    <row r="474" spans="2:23" ht="15.6" x14ac:dyDescent="0.3">
      <c r="B474" s="127"/>
      <c r="C474" s="70"/>
      <c r="D474" s="10"/>
      <c r="E474" s="10"/>
      <c r="F474" s="38"/>
      <c r="G474" s="38"/>
      <c r="H474" s="38"/>
      <c r="I474" s="38"/>
      <c r="J474" s="38"/>
      <c r="K474" s="38"/>
      <c r="L474" s="38"/>
      <c r="W474" s="7" t="str">
        <f t="shared" si="9"/>
        <v/>
      </c>
    </row>
    <row r="475" spans="2:23" ht="15.6" x14ac:dyDescent="0.3">
      <c r="B475" s="127"/>
      <c r="C475" s="70"/>
      <c r="D475" s="10"/>
      <c r="E475" s="10"/>
      <c r="F475" s="38"/>
      <c r="G475" s="38"/>
      <c r="H475" s="38"/>
      <c r="I475" s="38"/>
      <c r="J475" s="38"/>
      <c r="K475" s="38"/>
      <c r="L475" s="38"/>
      <c r="W475" s="7" t="str">
        <f t="shared" si="9"/>
        <v/>
      </c>
    </row>
    <row r="476" spans="2:23" ht="15.6" x14ac:dyDescent="0.3">
      <c r="B476" s="127"/>
      <c r="C476" s="70"/>
      <c r="D476" s="10"/>
      <c r="E476" s="10"/>
      <c r="F476" s="38"/>
      <c r="G476" s="38"/>
      <c r="H476" s="38"/>
      <c r="I476" s="38"/>
      <c r="J476" s="38"/>
      <c r="K476" s="38"/>
      <c r="L476" s="38"/>
      <c r="W476" s="7" t="str">
        <f t="shared" si="9"/>
        <v/>
      </c>
    </row>
    <row r="477" spans="2:23" ht="15.6" x14ac:dyDescent="0.3">
      <c r="B477" s="127"/>
      <c r="C477" s="70"/>
      <c r="D477" s="10"/>
      <c r="E477" s="10"/>
      <c r="F477" s="38"/>
      <c r="G477" s="38"/>
      <c r="H477" s="38"/>
      <c r="I477" s="38"/>
      <c r="J477" s="38"/>
      <c r="K477" s="38"/>
      <c r="L477" s="38"/>
      <c r="W477" s="7" t="str">
        <f t="shared" si="9"/>
        <v/>
      </c>
    </row>
    <row r="478" spans="2:23" ht="15.6" x14ac:dyDescent="0.3">
      <c r="B478" s="127"/>
      <c r="C478" s="70"/>
      <c r="D478" s="10"/>
      <c r="E478" s="10"/>
      <c r="F478" s="38"/>
      <c r="G478" s="38"/>
      <c r="H478" s="38"/>
      <c r="I478" s="38"/>
      <c r="J478" s="38"/>
      <c r="K478" s="38"/>
      <c r="L478" s="38"/>
      <c r="W478" s="7" t="str">
        <f t="shared" si="9"/>
        <v/>
      </c>
    </row>
    <row r="479" spans="2:23" ht="15.6" x14ac:dyDescent="0.3">
      <c r="B479" s="127"/>
      <c r="C479" s="70"/>
      <c r="D479" s="10"/>
      <c r="E479" s="10"/>
      <c r="F479" s="38"/>
      <c r="G479" s="38"/>
      <c r="H479" s="38"/>
      <c r="I479" s="38"/>
      <c r="J479" s="38"/>
      <c r="K479" s="38"/>
      <c r="L479" s="38"/>
      <c r="W479" s="7" t="str">
        <f t="shared" si="9"/>
        <v/>
      </c>
    </row>
    <row r="480" spans="2:23" ht="15.6" x14ac:dyDescent="0.3">
      <c r="B480" s="127"/>
      <c r="C480" s="70"/>
      <c r="D480" s="10"/>
      <c r="E480" s="10"/>
      <c r="F480" s="38"/>
      <c r="G480" s="38"/>
      <c r="H480" s="38"/>
      <c r="I480" s="38"/>
      <c r="J480" s="38"/>
      <c r="K480" s="38"/>
      <c r="L480" s="38"/>
      <c r="W480" s="7" t="str">
        <f t="shared" si="9"/>
        <v/>
      </c>
    </row>
    <row r="481" spans="2:23" ht="15.6" x14ac:dyDescent="0.3">
      <c r="B481" s="127"/>
      <c r="C481" s="70"/>
      <c r="D481" s="10"/>
      <c r="E481" s="10"/>
      <c r="F481" s="38"/>
      <c r="G481" s="38"/>
      <c r="H481" s="38"/>
      <c r="I481" s="38"/>
      <c r="J481" s="38"/>
      <c r="K481" s="38"/>
      <c r="L481" s="38"/>
      <c r="W481" s="7" t="str">
        <f t="shared" si="9"/>
        <v/>
      </c>
    </row>
    <row r="482" spans="2:23" ht="15.6" x14ac:dyDescent="0.3">
      <c r="B482" s="127"/>
      <c r="C482" s="70"/>
      <c r="D482" s="10"/>
      <c r="E482" s="10"/>
      <c r="F482" s="38"/>
      <c r="G482" s="38"/>
      <c r="H482" s="38"/>
      <c r="I482" s="38"/>
      <c r="J482" s="38"/>
      <c r="K482" s="38"/>
      <c r="L482" s="38"/>
      <c r="W482" s="7" t="str">
        <f t="shared" si="9"/>
        <v/>
      </c>
    </row>
    <row r="483" spans="2:23" ht="15.6" x14ac:dyDescent="0.3">
      <c r="B483" s="127"/>
      <c r="C483" s="70"/>
      <c r="D483" s="10"/>
      <c r="E483" s="10"/>
      <c r="F483" s="38"/>
      <c r="G483" s="38"/>
      <c r="H483" s="38"/>
      <c r="I483" s="38"/>
      <c r="J483" s="38"/>
      <c r="K483" s="38"/>
      <c r="L483" s="38"/>
      <c r="W483" s="7" t="str">
        <f t="shared" si="9"/>
        <v/>
      </c>
    </row>
    <row r="484" spans="2:23" ht="15.6" x14ac:dyDescent="0.3">
      <c r="B484" s="127"/>
      <c r="C484" s="70"/>
      <c r="D484" s="10"/>
      <c r="E484" s="10"/>
      <c r="F484" s="38"/>
      <c r="G484" s="38"/>
      <c r="H484" s="38"/>
      <c r="I484" s="38"/>
      <c r="J484" s="38"/>
      <c r="K484" s="38"/>
      <c r="L484" s="38"/>
      <c r="W484" s="7" t="str">
        <f t="shared" si="9"/>
        <v/>
      </c>
    </row>
    <row r="485" spans="2:23" ht="15.6" x14ac:dyDescent="0.3">
      <c r="B485" s="127"/>
      <c r="C485" s="70"/>
      <c r="D485" s="10"/>
      <c r="E485" s="10"/>
      <c r="F485" s="38"/>
      <c r="G485" s="38"/>
      <c r="H485" s="38"/>
      <c r="I485" s="38"/>
      <c r="J485" s="38"/>
      <c r="K485" s="38"/>
      <c r="L485" s="38"/>
      <c r="W485" s="7" t="str">
        <f t="shared" si="9"/>
        <v/>
      </c>
    </row>
    <row r="486" spans="2:23" ht="15.6" x14ac:dyDescent="0.3">
      <c r="B486" s="127"/>
      <c r="C486" s="70"/>
      <c r="D486" s="10"/>
      <c r="E486" s="10"/>
      <c r="F486" s="38"/>
      <c r="G486" s="38"/>
      <c r="H486" s="38"/>
      <c r="I486" s="38"/>
      <c r="J486" s="38"/>
      <c r="K486" s="38"/>
      <c r="L486" s="38"/>
      <c r="W486" s="7" t="str">
        <f t="shared" si="9"/>
        <v/>
      </c>
    </row>
    <row r="487" spans="2:23" ht="15.6" x14ac:dyDescent="0.3">
      <c r="B487" s="127"/>
      <c r="C487" s="70"/>
      <c r="D487" s="10"/>
      <c r="E487" s="10"/>
      <c r="F487" s="38"/>
      <c r="G487" s="38"/>
      <c r="H487" s="38"/>
      <c r="I487" s="38"/>
      <c r="J487" s="38"/>
      <c r="K487" s="38"/>
      <c r="L487" s="38"/>
      <c r="W487" s="7" t="str">
        <f t="shared" si="9"/>
        <v/>
      </c>
    </row>
    <row r="488" spans="2:23" ht="15.6" x14ac:dyDescent="0.3">
      <c r="B488" s="127"/>
      <c r="C488" s="70"/>
      <c r="D488" s="10"/>
      <c r="E488" s="10"/>
      <c r="F488" s="38"/>
      <c r="G488" s="38"/>
      <c r="H488" s="38"/>
      <c r="I488" s="38"/>
      <c r="J488" s="38"/>
      <c r="K488" s="38"/>
      <c r="L488" s="38"/>
      <c r="W488" s="7" t="str">
        <f t="shared" si="9"/>
        <v/>
      </c>
    </row>
    <row r="489" spans="2:23" ht="15.6" x14ac:dyDescent="0.3">
      <c r="B489" s="127"/>
      <c r="C489" s="70"/>
      <c r="D489" s="10"/>
      <c r="E489" s="10"/>
      <c r="F489" s="38"/>
      <c r="G489" s="38"/>
      <c r="H489" s="38"/>
      <c r="I489" s="38"/>
      <c r="J489" s="38"/>
      <c r="K489" s="38"/>
      <c r="L489" s="38"/>
      <c r="W489" s="7" t="str">
        <f t="shared" si="9"/>
        <v/>
      </c>
    </row>
    <row r="490" spans="2:23" ht="15.6" x14ac:dyDescent="0.3">
      <c r="B490" s="127"/>
      <c r="C490" s="70"/>
      <c r="D490" s="10"/>
      <c r="E490" s="10"/>
      <c r="F490" s="38"/>
      <c r="G490" s="38"/>
      <c r="H490" s="38"/>
      <c r="I490" s="38"/>
      <c r="J490" s="38"/>
      <c r="K490" s="38"/>
      <c r="L490" s="38"/>
      <c r="W490" s="7" t="str">
        <f t="shared" si="9"/>
        <v/>
      </c>
    </row>
    <row r="491" spans="2:23" ht="15.6" x14ac:dyDescent="0.3">
      <c r="B491" s="127"/>
      <c r="C491" s="70"/>
      <c r="D491" s="10"/>
      <c r="E491" s="10"/>
      <c r="F491" s="38"/>
      <c r="G491" s="38"/>
      <c r="H491" s="38"/>
      <c r="I491" s="38"/>
      <c r="J491" s="38"/>
      <c r="K491" s="38"/>
      <c r="L491" s="38"/>
      <c r="W491" s="7" t="str">
        <f t="shared" si="9"/>
        <v/>
      </c>
    </row>
    <row r="492" spans="2:23" ht="15.6" x14ac:dyDescent="0.3">
      <c r="B492" s="127"/>
      <c r="C492" s="70"/>
      <c r="D492" s="10"/>
      <c r="E492" s="10"/>
      <c r="F492" s="38"/>
      <c r="G492" s="38"/>
      <c r="H492" s="38"/>
      <c r="I492" s="38"/>
      <c r="J492" s="38"/>
      <c r="K492" s="38"/>
      <c r="L492" s="38"/>
      <c r="W492" s="7" t="str">
        <f t="shared" si="9"/>
        <v/>
      </c>
    </row>
    <row r="493" spans="2:23" ht="15.6" x14ac:dyDescent="0.3">
      <c r="B493" s="127"/>
      <c r="C493" s="70"/>
      <c r="D493" s="10"/>
      <c r="E493" s="10"/>
      <c r="F493" s="38"/>
      <c r="G493" s="38"/>
      <c r="H493" s="38"/>
      <c r="I493" s="38"/>
      <c r="J493" s="38"/>
      <c r="K493" s="38"/>
      <c r="L493" s="38"/>
      <c r="W493" s="7" t="str">
        <f t="shared" si="9"/>
        <v/>
      </c>
    </row>
    <row r="494" spans="2:23" ht="15.6" x14ac:dyDescent="0.3">
      <c r="B494" s="127"/>
      <c r="C494" s="70"/>
      <c r="D494" s="10"/>
      <c r="E494" s="10"/>
      <c r="F494" s="38"/>
      <c r="G494" s="38"/>
      <c r="H494" s="38"/>
      <c r="I494" s="38"/>
      <c r="J494" s="38"/>
      <c r="K494" s="38"/>
      <c r="L494" s="38"/>
      <c r="W494" s="7" t="str">
        <f t="shared" si="9"/>
        <v/>
      </c>
    </row>
    <row r="495" spans="2:23" ht="15.6" x14ac:dyDescent="0.3">
      <c r="B495" s="127"/>
      <c r="C495" s="70"/>
      <c r="D495" s="10"/>
      <c r="E495" s="10"/>
      <c r="F495" s="38"/>
      <c r="G495" s="38"/>
      <c r="H495" s="38"/>
      <c r="I495" s="38"/>
      <c r="J495" s="38"/>
      <c r="K495" s="38"/>
      <c r="L495" s="38"/>
      <c r="W495" s="7" t="str">
        <f t="shared" si="9"/>
        <v/>
      </c>
    </row>
    <row r="496" spans="2:23" ht="15.6" x14ac:dyDescent="0.3">
      <c r="B496" s="127"/>
      <c r="C496" s="70"/>
      <c r="D496" s="10"/>
      <c r="E496" s="10"/>
      <c r="F496" s="38"/>
      <c r="G496" s="38"/>
      <c r="H496" s="38"/>
      <c r="I496" s="38"/>
      <c r="J496" s="38"/>
      <c r="K496" s="38"/>
      <c r="L496" s="38"/>
      <c r="W496" s="7" t="str">
        <f t="shared" si="9"/>
        <v/>
      </c>
    </row>
    <row r="497" spans="2:23" ht="15.6" x14ac:dyDescent="0.3">
      <c r="B497" s="127"/>
      <c r="C497" s="70"/>
      <c r="D497" s="10"/>
      <c r="E497" s="10"/>
      <c r="F497" s="38"/>
      <c r="G497" s="38"/>
      <c r="H497" s="38"/>
      <c r="I497" s="38"/>
      <c r="J497" s="38"/>
      <c r="K497" s="38"/>
      <c r="L497" s="38"/>
      <c r="W497" s="7" t="str">
        <f t="shared" si="9"/>
        <v/>
      </c>
    </row>
    <row r="498" spans="2:23" ht="15.6" x14ac:dyDescent="0.3">
      <c r="B498" s="127"/>
      <c r="C498" s="70"/>
      <c r="D498" s="10"/>
      <c r="E498" s="10"/>
      <c r="F498" s="38"/>
      <c r="G498" s="38"/>
      <c r="H498" s="38"/>
      <c r="I498" s="38"/>
      <c r="J498" s="38"/>
      <c r="K498" s="38"/>
      <c r="L498" s="38"/>
      <c r="W498" s="7" t="str">
        <f t="shared" si="9"/>
        <v/>
      </c>
    </row>
    <row r="499" spans="2:23" ht="15.6" x14ac:dyDescent="0.3">
      <c r="B499" s="127"/>
      <c r="C499" s="70"/>
      <c r="D499" s="10"/>
      <c r="E499" s="10"/>
      <c r="F499" s="38"/>
      <c r="G499" s="38"/>
      <c r="H499" s="38"/>
      <c r="I499" s="38"/>
      <c r="J499" s="38"/>
      <c r="K499" s="38"/>
      <c r="L499" s="38"/>
      <c r="W499" s="7" t="str">
        <f t="shared" si="9"/>
        <v/>
      </c>
    </row>
    <row r="500" spans="2:23" ht="15.6" x14ac:dyDescent="0.3">
      <c r="B500" s="127"/>
      <c r="C500" s="70"/>
      <c r="D500" s="10"/>
      <c r="E500" s="10"/>
      <c r="F500" s="38"/>
      <c r="G500" s="38"/>
      <c r="H500" s="38"/>
      <c r="I500" s="38"/>
      <c r="J500" s="38"/>
      <c r="K500" s="38"/>
      <c r="L500" s="38"/>
      <c r="W500" s="7" t="str">
        <f t="shared" si="9"/>
        <v/>
      </c>
    </row>
    <row r="501" spans="2:23" ht="15.6" x14ac:dyDescent="0.3">
      <c r="B501" s="127"/>
      <c r="C501" s="70"/>
      <c r="D501" s="10"/>
      <c r="E501" s="10"/>
      <c r="F501" s="38"/>
      <c r="G501" s="38"/>
      <c r="H501" s="38"/>
      <c r="I501" s="38"/>
      <c r="J501" s="38"/>
      <c r="K501" s="38"/>
      <c r="L501" s="38"/>
      <c r="W501" s="7" t="str">
        <f t="shared" si="9"/>
        <v/>
      </c>
    </row>
    <row r="502" spans="2:23" ht="15.6" x14ac:dyDescent="0.3">
      <c r="B502" s="127"/>
      <c r="C502" s="70"/>
      <c r="D502" s="10"/>
      <c r="E502" s="10"/>
      <c r="F502" s="38"/>
      <c r="G502" s="38"/>
      <c r="H502" s="38"/>
      <c r="I502" s="38"/>
      <c r="J502" s="38"/>
      <c r="K502" s="38"/>
      <c r="L502" s="38"/>
      <c r="W502" s="7" t="str">
        <f t="shared" si="9"/>
        <v/>
      </c>
    </row>
    <row r="503" spans="2:23" ht="15.6" x14ac:dyDescent="0.3">
      <c r="B503" s="127"/>
      <c r="C503" s="70"/>
      <c r="D503" s="10"/>
      <c r="E503" s="10"/>
      <c r="F503" s="38"/>
      <c r="G503" s="38"/>
      <c r="H503" s="38"/>
      <c r="I503" s="38"/>
      <c r="J503" s="38"/>
      <c r="K503" s="38"/>
      <c r="L503" s="38"/>
      <c r="W503" s="7" t="str">
        <f t="shared" si="9"/>
        <v/>
      </c>
    </row>
    <row r="504" spans="2:23" ht="15.6" x14ac:dyDescent="0.3">
      <c r="B504" s="127"/>
      <c r="C504" s="70"/>
      <c r="D504" s="10"/>
      <c r="E504" s="10"/>
      <c r="F504" s="38"/>
      <c r="G504" s="38"/>
      <c r="H504" s="38"/>
      <c r="I504" s="38"/>
      <c r="J504" s="38"/>
      <c r="K504" s="38"/>
      <c r="L504" s="38"/>
      <c r="W504" s="7" t="str">
        <f t="shared" si="9"/>
        <v/>
      </c>
    </row>
    <row r="505" spans="2:23" ht="15.6" x14ac:dyDescent="0.3">
      <c r="B505" s="127"/>
      <c r="C505" s="70"/>
      <c r="D505" s="10"/>
      <c r="E505" s="10"/>
      <c r="F505" s="38"/>
      <c r="G505" s="38"/>
      <c r="H505" s="38"/>
      <c r="I505" s="38"/>
      <c r="J505" s="38"/>
      <c r="K505" s="38"/>
      <c r="L505" s="38"/>
      <c r="W505" s="7" t="str">
        <f t="shared" si="9"/>
        <v/>
      </c>
    </row>
    <row r="506" spans="2:23" ht="15.6" x14ac:dyDescent="0.3">
      <c r="B506" s="127"/>
      <c r="C506" s="70"/>
      <c r="D506" s="10"/>
      <c r="E506" s="10"/>
      <c r="F506" s="38"/>
      <c r="G506" s="38"/>
      <c r="H506" s="38"/>
      <c r="I506" s="38"/>
      <c r="J506" s="38"/>
      <c r="K506" s="38"/>
      <c r="L506" s="38"/>
      <c r="W506" s="7" t="str">
        <f t="shared" si="9"/>
        <v/>
      </c>
    </row>
    <row r="507" spans="2:23" ht="15.6" x14ac:dyDescent="0.3">
      <c r="B507" s="127"/>
      <c r="C507" s="70"/>
      <c r="D507" s="10"/>
      <c r="E507" s="10"/>
      <c r="F507" s="38"/>
      <c r="G507" s="38"/>
      <c r="H507" s="38"/>
      <c r="I507" s="38"/>
      <c r="J507" s="38"/>
      <c r="K507" s="38"/>
      <c r="L507" s="38"/>
      <c r="W507" s="7" t="str">
        <f t="shared" si="9"/>
        <v/>
      </c>
    </row>
    <row r="508" spans="2:23" ht="15.6" x14ac:dyDescent="0.3">
      <c r="B508" s="127"/>
      <c r="C508" s="70"/>
      <c r="D508" s="10"/>
      <c r="E508" s="10"/>
      <c r="F508" s="38"/>
      <c r="G508" s="38"/>
      <c r="H508" s="38"/>
      <c r="I508" s="38"/>
      <c r="J508" s="38"/>
      <c r="K508" s="38"/>
      <c r="L508" s="38"/>
      <c r="W508" s="7" t="str">
        <f t="shared" si="9"/>
        <v/>
      </c>
    </row>
    <row r="509" spans="2:23" ht="15.6" x14ac:dyDescent="0.3">
      <c r="B509" s="127"/>
      <c r="C509" s="70"/>
      <c r="D509" s="10"/>
      <c r="E509" s="10"/>
      <c r="F509" s="38"/>
      <c r="G509" s="38"/>
      <c r="H509" s="38"/>
      <c r="I509" s="38"/>
      <c r="J509" s="38"/>
      <c r="K509" s="38"/>
      <c r="L509" s="38"/>
      <c r="W509" s="7" t="str">
        <f t="shared" si="9"/>
        <v/>
      </c>
    </row>
    <row r="510" spans="2:23" ht="15.6" x14ac:dyDescent="0.3">
      <c r="B510" s="127"/>
      <c r="C510" s="70"/>
      <c r="D510" s="10"/>
      <c r="E510" s="10"/>
      <c r="F510" s="38"/>
      <c r="G510" s="38"/>
      <c r="H510" s="38"/>
      <c r="I510" s="38"/>
      <c r="J510" s="38"/>
      <c r="K510" s="38"/>
      <c r="L510" s="38"/>
      <c r="W510" s="7" t="str">
        <f t="shared" si="9"/>
        <v/>
      </c>
    </row>
    <row r="511" spans="2:23" ht="15.6" x14ac:dyDescent="0.3">
      <c r="B511" s="127"/>
      <c r="C511" s="70"/>
      <c r="D511" s="10"/>
      <c r="E511" s="10"/>
      <c r="F511" s="38"/>
      <c r="G511" s="38"/>
      <c r="H511" s="38"/>
      <c r="I511" s="38"/>
      <c r="J511" s="38"/>
      <c r="K511" s="38"/>
      <c r="L511" s="38"/>
      <c r="W511" s="7" t="str">
        <f t="shared" si="9"/>
        <v/>
      </c>
    </row>
    <row r="512" spans="2:23" ht="15.6" x14ac:dyDescent="0.3">
      <c r="B512" s="127"/>
      <c r="C512" s="70"/>
      <c r="D512" s="10"/>
      <c r="E512" s="10"/>
      <c r="F512" s="38"/>
      <c r="G512" s="38"/>
      <c r="H512" s="38"/>
      <c r="I512" s="38"/>
      <c r="J512" s="38"/>
      <c r="K512" s="38"/>
      <c r="L512" s="38"/>
      <c r="W512" s="7" t="str">
        <f t="shared" si="9"/>
        <v/>
      </c>
    </row>
    <row r="513" spans="2:23" ht="15.6" x14ac:dyDescent="0.3">
      <c r="B513" s="127"/>
      <c r="C513" s="70"/>
      <c r="D513" s="10"/>
      <c r="E513" s="10"/>
      <c r="F513" s="38"/>
      <c r="G513" s="38"/>
      <c r="H513" s="38"/>
      <c r="I513" s="38"/>
      <c r="J513" s="38"/>
      <c r="K513" s="38"/>
      <c r="L513" s="38"/>
      <c r="W513" s="7" t="str">
        <f t="shared" si="9"/>
        <v/>
      </c>
    </row>
    <row r="514" spans="2:23" ht="15.6" x14ac:dyDescent="0.3">
      <c r="B514" s="127"/>
      <c r="C514" s="70"/>
      <c r="D514" s="10"/>
      <c r="E514" s="10"/>
      <c r="F514" s="38"/>
      <c r="G514" s="38"/>
      <c r="H514" s="38"/>
      <c r="I514" s="38"/>
      <c r="J514" s="38"/>
      <c r="K514" s="38"/>
      <c r="L514" s="38"/>
      <c r="W514" s="7" t="str">
        <f t="shared" si="9"/>
        <v/>
      </c>
    </row>
    <row r="515" spans="2:23" ht="15.6" x14ac:dyDescent="0.3">
      <c r="B515" s="127"/>
      <c r="C515" s="70"/>
      <c r="D515" s="10"/>
      <c r="E515" s="10"/>
      <c r="F515" s="38"/>
      <c r="G515" s="38"/>
      <c r="H515" s="38"/>
      <c r="I515" s="38"/>
      <c r="J515" s="38"/>
      <c r="K515" s="38"/>
      <c r="L515" s="38"/>
      <c r="W515" s="7" t="str">
        <f t="shared" ref="W515:W578" si="10">IF(B515="","",TEXT(B515,"mmm"))</f>
        <v/>
      </c>
    </row>
    <row r="516" spans="2:23" ht="15.6" x14ac:dyDescent="0.3">
      <c r="B516" s="127"/>
      <c r="C516" s="70"/>
      <c r="D516" s="10"/>
      <c r="E516" s="10"/>
      <c r="F516" s="38"/>
      <c r="G516" s="38"/>
      <c r="H516" s="38"/>
      <c r="I516" s="38"/>
      <c r="J516" s="38"/>
      <c r="K516" s="38"/>
      <c r="L516" s="38"/>
      <c r="W516" s="7" t="str">
        <f t="shared" si="10"/>
        <v/>
      </c>
    </row>
    <row r="517" spans="2:23" ht="15.6" x14ac:dyDescent="0.3">
      <c r="B517" s="127"/>
      <c r="C517" s="70"/>
      <c r="D517" s="10"/>
      <c r="E517" s="10"/>
      <c r="F517" s="38"/>
      <c r="G517" s="38"/>
      <c r="H517" s="38"/>
      <c r="I517" s="38"/>
      <c r="J517" s="38"/>
      <c r="K517" s="38"/>
      <c r="L517" s="38"/>
      <c r="W517" s="7" t="str">
        <f t="shared" si="10"/>
        <v/>
      </c>
    </row>
    <row r="518" spans="2:23" ht="15.6" x14ac:dyDescent="0.3">
      <c r="B518" s="127"/>
      <c r="C518" s="70"/>
      <c r="D518" s="10"/>
      <c r="E518" s="10"/>
      <c r="F518" s="38"/>
      <c r="G518" s="38"/>
      <c r="H518" s="38"/>
      <c r="I518" s="38"/>
      <c r="J518" s="38"/>
      <c r="K518" s="38"/>
      <c r="L518" s="38"/>
      <c r="W518" s="7" t="str">
        <f t="shared" si="10"/>
        <v/>
      </c>
    </row>
    <row r="519" spans="2:23" ht="15.6" x14ac:dyDescent="0.3">
      <c r="B519" s="127"/>
      <c r="C519" s="70"/>
      <c r="D519" s="10"/>
      <c r="E519" s="10"/>
      <c r="F519" s="38"/>
      <c r="G519" s="38"/>
      <c r="H519" s="38"/>
      <c r="I519" s="38"/>
      <c r="J519" s="38"/>
      <c r="K519" s="38"/>
      <c r="L519" s="38"/>
      <c r="W519" s="7" t="str">
        <f t="shared" si="10"/>
        <v/>
      </c>
    </row>
    <row r="520" spans="2:23" ht="15.6" x14ac:dyDescent="0.3">
      <c r="B520" s="127"/>
      <c r="C520" s="70"/>
      <c r="D520" s="10"/>
      <c r="E520" s="10"/>
      <c r="F520" s="38"/>
      <c r="G520" s="38"/>
      <c r="H520" s="38"/>
      <c r="I520" s="38"/>
      <c r="J520" s="38"/>
      <c r="K520" s="38"/>
      <c r="L520" s="38"/>
      <c r="W520" s="7" t="str">
        <f t="shared" si="10"/>
        <v/>
      </c>
    </row>
    <row r="521" spans="2:23" ht="15.6" x14ac:dyDescent="0.3">
      <c r="B521" s="127"/>
      <c r="C521" s="70"/>
      <c r="D521" s="10"/>
      <c r="E521" s="10"/>
      <c r="F521" s="38"/>
      <c r="G521" s="38"/>
      <c r="H521" s="38"/>
      <c r="I521" s="38"/>
      <c r="J521" s="38"/>
      <c r="K521" s="38"/>
      <c r="L521" s="38"/>
      <c r="W521" s="7" t="str">
        <f t="shared" si="10"/>
        <v/>
      </c>
    </row>
    <row r="522" spans="2:23" ht="15.6" x14ac:dyDescent="0.3">
      <c r="B522" s="127"/>
      <c r="C522" s="70"/>
      <c r="D522" s="10"/>
      <c r="E522" s="10"/>
      <c r="F522" s="38"/>
      <c r="G522" s="38"/>
      <c r="H522" s="38"/>
      <c r="I522" s="38"/>
      <c r="J522" s="38"/>
      <c r="K522" s="38"/>
      <c r="L522" s="38"/>
      <c r="W522" s="7" t="str">
        <f t="shared" si="10"/>
        <v/>
      </c>
    </row>
    <row r="523" spans="2:23" ht="15.6" x14ac:dyDescent="0.3">
      <c r="B523" s="127"/>
      <c r="C523" s="70"/>
      <c r="D523" s="10"/>
      <c r="E523" s="10"/>
      <c r="F523" s="38"/>
      <c r="G523" s="38"/>
      <c r="H523" s="38"/>
      <c r="I523" s="38"/>
      <c r="J523" s="38"/>
      <c r="K523" s="38"/>
      <c r="L523" s="38"/>
      <c r="W523" s="7" t="str">
        <f t="shared" si="10"/>
        <v/>
      </c>
    </row>
    <row r="524" spans="2:23" ht="15.6" x14ac:dyDescent="0.3">
      <c r="B524" s="127"/>
      <c r="C524" s="70"/>
      <c r="D524" s="10"/>
      <c r="E524" s="10"/>
      <c r="F524" s="38"/>
      <c r="G524" s="38"/>
      <c r="H524" s="38"/>
      <c r="I524" s="38"/>
      <c r="J524" s="38"/>
      <c r="K524" s="38"/>
      <c r="L524" s="38"/>
      <c r="W524" s="7" t="str">
        <f t="shared" si="10"/>
        <v/>
      </c>
    </row>
    <row r="525" spans="2:23" ht="15.6" x14ac:dyDescent="0.3">
      <c r="B525" s="127"/>
      <c r="C525" s="70"/>
      <c r="D525" s="10"/>
      <c r="E525" s="10"/>
      <c r="F525" s="38"/>
      <c r="G525" s="38"/>
      <c r="H525" s="38"/>
      <c r="I525" s="38"/>
      <c r="J525" s="38"/>
      <c r="K525" s="38"/>
      <c r="L525" s="38"/>
      <c r="W525" s="7" t="str">
        <f t="shared" si="10"/>
        <v/>
      </c>
    </row>
    <row r="526" spans="2:23" ht="15.6" x14ac:dyDescent="0.3">
      <c r="B526" s="127"/>
      <c r="C526" s="70"/>
      <c r="D526" s="10"/>
      <c r="E526" s="10"/>
      <c r="F526" s="38"/>
      <c r="G526" s="38"/>
      <c r="H526" s="38"/>
      <c r="I526" s="38"/>
      <c r="J526" s="38"/>
      <c r="K526" s="38"/>
      <c r="L526" s="38"/>
      <c r="W526" s="7" t="str">
        <f t="shared" si="10"/>
        <v/>
      </c>
    </row>
    <row r="527" spans="2:23" ht="15.6" x14ac:dyDescent="0.3">
      <c r="B527" s="127"/>
      <c r="C527" s="70"/>
      <c r="D527" s="10"/>
      <c r="E527" s="10"/>
      <c r="F527" s="38"/>
      <c r="G527" s="38"/>
      <c r="H527" s="38"/>
      <c r="I527" s="38"/>
      <c r="J527" s="38"/>
      <c r="K527" s="38"/>
      <c r="L527" s="38"/>
      <c r="W527" s="7" t="str">
        <f t="shared" si="10"/>
        <v/>
      </c>
    </row>
    <row r="528" spans="2:23" ht="15.6" x14ac:dyDescent="0.3">
      <c r="B528" s="127"/>
      <c r="C528" s="70"/>
      <c r="D528" s="10"/>
      <c r="E528" s="10"/>
      <c r="F528" s="38"/>
      <c r="G528" s="38"/>
      <c r="H528" s="38"/>
      <c r="I528" s="38"/>
      <c r="J528" s="38"/>
      <c r="K528" s="38"/>
      <c r="L528" s="38"/>
      <c r="W528" s="7" t="str">
        <f t="shared" si="10"/>
        <v/>
      </c>
    </row>
    <row r="529" spans="2:23" ht="15.6" x14ac:dyDescent="0.3">
      <c r="B529" s="127"/>
      <c r="C529" s="70"/>
      <c r="D529" s="10"/>
      <c r="E529" s="10"/>
      <c r="F529" s="38"/>
      <c r="G529" s="38"/>
      <c r="H529" s="38"/>
      <c r="I529" s="38"/>
      <c r="J529" s="38"/>
      <c r="K529" s="38"/>
      <c r="L529" s="38"/>
      <c r="W529" s="7" t="str">
        <f t="shared" si="10"/>
        <v/>
      </c>
    </row>
    <row r="530" spans="2:23" ht="15.6" x14ac:dyDescent="0.3">
      <c r="B530" s="127"/>
      <c r="C530" s="70"/>
      <c r="D530" s="10"/>
      <c r="E530" s="10"/>
      <c r="F530" s="38"/>
      <c r="G530" s="38"/>
      <c r="H530" s="38"/>
      <c r="I530" s="38"/>
      <c r="J530" s="38"/>
      <c r="K530" s="38"/>
      <c r="L530" s="38"/>
      <c r="W530" s="7" t="str">
        <f t="shared" si="10"/>
        <v/>
      </c>
    </row>
    <row r="531" spans="2:23" ht="15.6" x14ac:dyDescent="0.3">
      <c r="B531" s="127"/>
      <c r="C531" s="70"/>
      <c r="D531" s="10"/>
      <c r="E531" s="10"/>
      <c r="F531" s="38"/>
      <c r="G531" s="38"/>
      <c r="H531" s="38"/>
      <c r="I531" s="38"/>
      <c r="J531" s="38"/>
      <c r="K531" s="38"/>
      <c r="L531" s="38"/>
      <c r="W531" s="7" t="str">
        <f t="shared" si="10"/>
        <v/>
      </c>
    </row>
    <row r="532" spans="2:23" ht="15.6" x14ac:dyDescent="0.3">
      <c r="B532" s="127"/>
      <c r="C532" s="70"/>
      <c r="D532" s="10"/>
      <c r="E532" s="10"/>
      <c r="F532" s="38"/>
      <c r="G532" s="38"/>
      <c r="H532" s="38"/>
      <c r="I532" s="38"/>
      <c r="J532" s="38"/>
      <c r="K532" s="38"/>
      <c r="L532" s="38"/>
      <c r="W532" s="7" t="str">
        <f t="shared" si="10"/>
        <v/>
      </c>
    </row>
    <row r="533" spans="2:23" ht="15.6" x14ac:dyDescent="0.3">
      <c r="B533" s="127"/>
      <c r="C533" s="70"/>
      <c r="D533" s="10"/>
      <c r="E533" s="10"/>
      <c r="F533" s="38"/>
      <c r="G533" s="38"/>
      <c r="H533" s="38"/>
      <c r="I533" s="38"/>
      <c r="J533" s="38"/>
      <c r="K533" s="38"/>
      <c r="L533" s="38"/>
      <c r="W533" s="7" t="str">
        <f t="shared" si="10"/>
        <v/>
      </c>
    </row>
    <row r="534" spans="2:23" ht="15.6" x14ac:dyDescent="0.3">
      <c r="B534" s="127"/>
      <c r="C534" s="70"/>
      <c r="D534" s="10"/>
      <c r="E534" s="10"/>
      <c r="F534" s="38"/>
      <c r="G534" s="38"/>
      <c r="H534" s="38"/>
      <c r="I534" s="38"/>
      <c r="J534" s="38"/>
      <c r="K534" s="38"/>
      <c r="L534" s="38"/>
      <c r="W534" s="7" t="str">
        <f t="shared" si="10"/>
        <v/>
      </c>
    </row>
    <row r="535" spans="2:23" ht="15.6" x14ac:dyDescent="0.3">
      <c r="B535" s="127"/>
      <c r="C535" s="70"/>
      <c r="D535" s="10"/>
      <c r="E535" s="10"/>
      <c r="F535" s="38"/>
      <c r="G535" s="38"/>
      <c r="H535" s="38"/>
      <c r="I535" s="38"/>
      <c r="J535" s="38"/>
      <c r="K535" s="38"/>
      <c r="L535" s="38"/>
      <c r="W535" s="7" t="str">
        <f t="shared" si="10"/>
        <v/>
      </c>
    </row>
    <row r="536" spans="2:23" ht="15.6" x14ac:dyDescent="0.3">
      <c r="B536" s="127"/>
      <c r="C536" s="70"/>
      <c r="D536" s="10"/>
      <c r="E536" s="10"/>
      <c r="F536" s="38"/>
      <c r="G536" s="38"/>
      <c r="H536" s="38"/>
      <c r="I536" s="38"/>
      <c r="J536" s="38"/>
      <c r="K536" s="38"/>
      <c r="L536" s="38"/>
      <c r="W536" s="7" t="str">
        <f t="shared" si="10"/>
        <v/>
      </c>
    </row>
    <row r="537" spans="2:23" ht="15.6" x14ac:dyDescent="0.3">
      <c r="B537" s="127"/>
      <c r="C537" s="70"/>
      <c r="D537" s="10"/>
      <c r="E537" s="10"/>
      <c r="F537" s="38"/>
      <c r="G537" s="38"/>
      <c r="H537" s="38"/>
      <c r="I537" s="38"/>
      <c r="J537" s="38"/>
      <c r="K537" s="38"/>
      <c r="L537" s="38"/>
      <c r="W537" s="7" t="str">
        <f t="shared" si="10"/>
        <v/>
      </c>
    </row>
    <row r="538" spans="2:23" ht="15.6" x14ac:dyDescent="0.3">
      <c r="B538" s="127"/>
      <c r="C538" s="70"/>
      <c r="D538" s="10"/>
      <c r="E538" s="10"/>
      <c r="F538" s="38"/>
      <c r="G538" s="38"/>
      <c r="H538" s="38"/>
      <c r="I538" s="38"/>
      <c r="J538" s="38"/>
      <c r="K538" s="38"/>
      <c r="L538" s="38"/>
      <c r="W538" s="7" t="str">
        <f t="shared" si="10"/>
        <v/>
      </c>
    </row>
    <row r="539" spans="2:23" ht="15.6" x14ac:dyDescent="0.3">
      <c r="B539" s="127"/>
      <c r="C539" s="70"/>
      <c r="D539" s="10"/>
      <c r="E539" s="10"/>
      <c r="F539" s="38"/>
      <c r="G539" s="38"/>
      <c r="H539" s="38"/>
      <c r="I539" s="38"/>
      <c r="J539" s="38"/>
      <c r="K539" s="38"/>
      <c r="L539" s="38"/>
      <c r="W539" s="7" t="str">
        <f t="shared" si="10"/>
        <v/>
      </c>
    </row>
    <row r="540" spans="2:23" ht="15.6" x14ac:dyDescent="0.3">
      <c r="B540" s="127"/>
      <c r="C540" s="70"/>
      <c r="D540" s="10"/>
      <c r="E540" s="10"/>
      <c r="F540" s="38"/>
      <c r="G540" s="38"/>
      <c r="H540" s="38"/>
      <c r="I540" s="38"/>
      <c r="J540" s="38"/>
      <c r="K540" s="38"/>
      <c r="L540" s="38"/>
      <c r="W540" s="7" t="str">
        <f t="shared" si="10"/>
        <v/>
      </c>
    </row>
    <row r="541" spans="2:23" ht="15.6" x14ac:dyDescent="0.3">
      <c r="B541" s="127"/>
      <c r="C541" s="70"/>
      <c r="D541" s="10"/>
      <c r="E541" s="10"/>
      <c r="F541" s="38"/>
      <c r="G541" s="38"/>
      <c r="H541" s="38"/>
      <c r="I541" s="38"/>
      <c r="J541" s="38"/>
      <c r="K541" s="38"/>
      <c r="L541" s="38"/>
      <c r="W541" s="7" t="str">
        <f t="shared" si="10"/>
        <v/>
      </c>
    </row>
    <row r="542" spans="2:23" ht="15.6" x14ac:dyDescent="0.3">
      <c r="B542" s="127"/>
      <c r="C542" s="70"/>
      <c r="D542" s="10"/>
      <c r="E542" s="10"/>
      <c r="F542" s="38"/>
      <c r="G542" s="38"/>
      <c r="H542" s="38"/>
      <c r="I542" s="38"/>
      <c r="J542" s="38"/>
      <c r="K542" s="38"/>
      <c r="L542" s="38"/>
      <c r="W542" s="7" t="str">
        <f t="shared" si="10"/>
        <v/>
      </c>
    </row>
    <row r="543" spans="2:23" ht="15.6" x14ac:dyDescent="0.3">
      <c r="B543" s="127"/>
      <c r="C543" s="70"/>
      <c r="D543" s="10"/>
      <c r="E543" s="10"/>
      <c r="F543" s="38"/>
      <c r="G543" s="38"/>
      <c r="H543" s="38"/>
      <c r="I543" s="38"/>
      <c r="J543" s="38"/>
      <c r="K543" s="38"/>
      <c r="L543" s="38"/>
      <c r="W543" s="7" t="str">
        <f t="shared" si="10"/>
        <v/>
      </c>
    </row>
    <row r="544" spans="2:23" ht="15.6" x14ac:dyDescent="0.3">
      <c r="B544" s="127"/>
      <c r="C544" s="70"/>
      <c r="D544" s="10"/>
      <c r="E544" s="10"/>
      <c r="F544" s="38"/>
      <c r="G544" s="38"/>
      <c r="H544" s="38"/>
      <c r="I544" s="38"/>
      <c r="J544" s="38"/>
      <c r="K544" s="38"/>
      <c r="L544" s="38"/>
      <c r="W544" s="7" t="str">
        <f t="shared" si="10"/>
        <v/>
      </c>
    </row>
    <row r="545" spans="2:23" ht="15.6" x14ac:dyDescent="0.3">
      <c r="B545" s="127"/>
      <c r="C545" s="70"/>
      <c r="D545" s="10"/>
      <c r="E545" s="10"/>
      <c r="F545" s="38"/>
      <c r="G545" s="38"/>
      <c r="H545" s="38"/>
      <c r="I545" s="38"/>
      <c r="J545" s="38"/>
      <c r="K545" s="38"/>
      <c r="L545" s="38"/>
      <c r="W545" s="7" t="str">
        <f t="shared" si="10"/>
        <v/>
      </c>
    </row>
    <row r="546" spans="2:23" ht="15.6" x14ac:dyDescent="0.3">
      <c r="B546" s="127"/>
      <c r="C546" s="70"/>
      <c r="D546" s="10"/>
      <c r="E546" s="10"/>
      <c r="F546" s="38"/>
      <c r="G546" s="38"/>
      <c r="H546" s="38"/>
      <c r="I546" s="38"/>
      <c r="J546" s="38"/>
      <c r="K546" s="38"/>
      <c r="L546" s="38"/>
      <c r="W546" s="7" t="str">
        <f t="shared" si="10"/>
        <v/>
      </c>
    </row>
    <row r="547" spans="2:23" ht="15.6" x14ac:dyDescent="0.3">
      <c r="B547" s="127"/>
      <c r="C547" s="70"/>
      <c r="D547" s="10"/>
      <c r="E547" s="10"/>
      <c r="F547" s="38"/>
      <c r="G547" s="38"/>
      <c r="H547" s="38"/>
      <c r="I547" s="38"/>
      <c r="J547" s="38"/>
      <c r="K547" s="38"/>
      <c r="L547" s="38"/>
      <c r="W547" s="7" t="str">
        <f t="shared" si="10"/>
        <v/>
      </c>
    </row>
    <row r="548" spans="2:23" ht="15.6" x14ac:dyDescent="0.3">
      <c r="B548" s="127"/>
      <c r="C548" s="70"/>
      <c r="D548" s="10"/>
      <c r="E548" s="10"/>
      <c r="F548" s="38"/>
      <c r="G548" s="38"/>
      <c r="H548" s="38"/>
      <c r="I548" s="38"/>
      <c r="J548" s="38"/>
      <c r="K548" s="38"/>
      <c r="L548" s="38"/>
      <c r="W548" s="7" t="str">
        <f t="shared" si="10"/>
        <v/>
      </c>
    </row>
    <row r="549" spans="2:23" ht="15.6" x14ac:dyDescent="0.3">
      <c r="B549" s="127"/>
      <c r="C549" s="70"/>
      <c r="D549" s="10"/>
      <c r="E549" s="10"/>
      <c r="F549" s="38"/>
      <c r="G549" s="38"/>
      <c r="H549" s="38"/>
      <c r="I549" s="38"/>
      <c r="J549" s="38"/>
      <c r="K549" s="38"/>
      <c r="L549" s="38"/>
      <c r="W549" s="7" t="str">
        <f t="shared" si="10"/>
        <v/>
      </c>
    </row>
    <row r="550" spans="2:23" ht="15.6" x14ac:dyDescent="0.3">
      <c r="B550" s="127"/>
      <c r="C550" s="70"/>
      <c r="D550" s="10"/>
      <c r="E550" s="10"/>
      <c r="F550" s="38"/>
      <c r="G550" s="38"/>
      <c r="H550" s="38"/>
      <c r="I550" s="38"/>
      <c r="J550" s="38"/>
      <c r="K550" s="38"/>
      <c r="L550" s="38"/>
      <c r="W550" s="7" t="str">
        <f t="shared" si="10"/>
        <v/>
      </c>
    </row>
    <row r="551" spans="2:23" ht="15.6" x14ac:dyDescent="0.3">
      <c r="B551" s="127"/>
      <c r="C551" s="70"/>
      <c r="D551" s="10"/>
      <c r="E551" s="10"/>
      <c r="F551" s="38"/>
      <c r="G551" s="38"/>
      <c r="H551" s="38"/>
      <c r="I551" s="38"/>
      <c r="J551" s="38"/>
      <c r="K551" s="38"/>
      <c r="L551" s="38"/>
      <c r="W551" s="7" t="str">
        <f t="shared" si="10"/>
        <v/>
      </c>
    </row>
    <row r="552" spans="2:23" ht="15.6" x14ac:dyDescent="0.3">
      <c r="B552" s="127"/>
      <c r="C552" s="70"/>
      <c r="D552" s="10"/>
      <c r="E552" s="10"/>
      <c r="F552" s="38"/>
      <c r="G552" s="38"/>
      <c r="H552" s="38"/>
      <c r="I552" s="38"/>
      <c r="J552" s="38"/>
      <c r="K552" s="38"/>
      <c r="L552" s="38"/>
      <c r="W552" s="7" t="str">
        <f t="shared" si="10"/>
        <v/>
      </c>
    </row>
    <row r="553" spans="2:23" ht="15.6" x14ac:dyDescent="0.3">
      <c r="B553" s="127"/>
      <c r="C553" s="70"/>
      <c r="D553" s="10"/>
      <c r="E553" s="10"/>
      <c r="F553" s="38"/>
      <c r="G553" s="38"/>
      <c r="H553" s="38"/>
      <c r="I553" s="38"/>
      <c r="J553" s="38"/>
      <c r="K553" s="38"/>
      <c r="L553" s="38"/>
      <c r="W553" s="7" t="str">
        <f t="shared" si="10"/>
        <v/>
      </c>
    </row>
    <row r="554" spans="2:23" ht="15.6" x14ac:dyDescent="0.3">
      <c r="B554" s="127"/>
      <c r="C554" s="70"/>
      <c r="D554" s="10"/>
      <c r="E554" s="10"/>
      <c r="F554" s="38"/>
      <c r="G554" s="38"/>
      <c r="H554" s="38"/>
      <c r="I554" s="38"/>
      <c r="J554" s="38"/>
      <c r="K554" s="38"/>
      <c r="L554" s="38"/>
      <c r="W554" s="7" t="str">
        <f t="shared" si="10"/>
        <v/>
      </c>
    </row>
    <row r="555" spans="2:23" ht="15.6" x14ac:dyDescent="0.3">
      <c r="B555" s="127"/>
      <c r="C555" s="70"/>
      <c r="D555" s="10"/>
      <c r="E555" s="10"/>
      <c r="F555" s="38"/>
      <c r="G555" s="38"/>
      <c r="H555" s="38"/>
      <c r="I555" s="38"/>
      <c r="J555" s="38"/>
      <c r="K555" s="38"/>
      <c r="L555" s="38"/>
      <c r="W555" s="7" t="str">
        <f t="shared" si="10"/>
        <v/>
      </c>
    </row>
    <row r="556" spans="2:23" ht="15.6" x14ac:dyDescent="0.3">
      <c r="B556" s="127"/>
      <c r="C556" s="70"/>
      <c r="D556" s="10"/>
      <c r="E556" s="10"/>
      <c r="F556" s="38"/>
      <c r="G556" s="38"/>
      <c r="H556" s="38"/>
      <c r="I556" s="38"/>
      <c r="J556" s="38"/>
      <c r="K556" s="38"/>
      <c r="L556" s="38"/>
      <c r="W556" s="7" t="str">
        <f t="shared" si="10"/>
        <v/>
      </c>
    </row>
    <row r="557" spans="2:23" ht="15.6" x14ac:dyDescent="0.3">
      <c r="B557" s="127"/>
      <c r="C557" s="70"/>
      <c r="D557" s="10"/>
      <c r="E557" s="10"/>
      <c r="F557" s="38"/>
      <c r="G557" s="38"/>
      <c r="H557" s="38"/>
      <c r="I557" s="38"/>
      <c r="J557" s="38"/>
      <c r="K557" s="38"/>
      <c r="L557" s="38"/>
      <c r="W557" s="7" t="str">
        <f t="shared" si="10"/>
        <v/>
      </c>
    </row>
    <row r="558" spans="2:23" ht="15.6" x14ac:dyDescent="0.3">
      <c r="B558" s="127"/>
      <c r="C558" s="70"/>
      <c r="D558" s="10"/>
      <c r="E558" s="10"/>
      <c r="F558" s="38"/>
      <c r="G558" s="38"/>
      <c r="H558" s="38"/>
      <c r="I558" s="38"/>
      <c r="J558" s="38"/>
      <c r="K558" s="38"/>
      <c r="L558" s="38"/>
      <c r="W558" s="7" t="str">
        <f t="shared" si="10"/>
        <v/>
      </c>
    </row>
    <row r="559" spans="2:23" ht="15.6" x14ac:dyDescent="0.3">
      <c r="B559" s="127"/>
      <c r="C559" s="70"/>
      <c r="D559" s="10"/>
      <c r="E559" s="10"/>
      <c r="F559" s="38"/>
      <c r="G559" s="38"/>
      <c r="H559" s="38"/>
      <c r="I559" s="38"/>
      <c r="J559" s="38"/>
      <c r="K559" s="38"/>
      <c r="L559" s="38"/>
      <c r="W559" s="7" t="str">
        <f t="shared" si="10"/>
        <v/>
      </c>
    </row>
    <row r="560" spans="2:23" ht="15.6" x14ac:dyDescent="0.3">
      <c r="B560" s="127"/>
      <c r="C560" s="70"/>
      <c r="D560" s="10"/>
      <c r="E560" s="10"/>
      <c r="F560" s="38"/>
      <c r="G560" s="38"/>
      <c r="H560" s="38"/>
      <c r="I560" s="38"/>
      <c r="J560" s="38"/>
      <c r="K560" s="38"/>
      <c r="L560" s="38"/>
      <c r="W560" s="7" t="str">
        <f t="shared" si="10"/>
        <v/>
      </c>
    </row>
    <row r="561" spans="2:23" ht="15.6" x14ac:dyDescent="0.3">
      <c r="B561" s="127"/>
      <c r="C561" s="70"/>
      <c r="D561" s="10"/>
      <c r="E561" s="10"/>
      <c r="F561" s="38"/>
      <c r="G561" s="38"/>
      <c r="H561" s="38"/>
      <c r="I561" s="38"/>
      <c r="J561" s="38"/>
      <c r="K561" s="38"/>
      <c r="L561" s="38"/>
      <c r="W561" s="7" t="str">
        <f t="shared" si="10"/>
        <v/>
      </c>
    </row>
    <row r="562" spans="2:23" ht="15.6" x14ac:dyDescent="0.3">
      <c r="B562" s="127"/>
      <c r="C562" s="70"/>
      <c r="D562" s="10"/>
      <c r="E562" s="10"/>
      <c r="F562" s="38"/>
      <c r="G562" s="38"/>
      <c r="H562" s="38"/>
      <c r="I562" s="38"/>
      <c r="J562" s="38"/>
      <c r="K562" s="38"/>
      <c r="L562" s="38"/>
      <c r="W562" s="7" t="str">
        <f t="shared" si="10"/>
        <v/>
      </c>
    </row>
    <row r="563" spans="2:23" ht="15.6" x14ac:dyDescent="0.3">
      <c r="B563" s="127"/>
      <c r="C563" s="70"/>
      <c r="D563" s="10"/>
      <c r="E563" s="10"/>
      <c r="F563" s="38"/>
      <c r="G563" s="38"/>
      <c r="H563" s="38"/>
      <c r="I563" s="38"/>
      <c r="J563" s="38"/>
      <c r="K563" s="38"/>
      <c r="L563" s="38"/>
      <c r="W563" s="7" t="str">
        <f t="shared" si="10"/>
        <v/>
      </c>
    </row>
    <row r="564" spans="2:23" ht="15.6" x14ac:dyDescent="0.3">
      <c r="B564" s="127"/>
      <c r="C564" s="70"/>
      <c r="D564" s="10"/>
      <c r="E564" s="10"/>
      <c r="F564" s="38"/>
      <c r="G564" s="38"/>
      <c r="H564" s="38"/>
      <c r="I564" s="38"/>
      <c r="J564" s="38"/>
      <c r="K564" s="38"/>
      <c r="L564" s="38"/>
      <c r="W564" s="7" t="str">
        <f t="shared" si="10"/>
        <v/>
      </c>
    </row>
    <row r="565" spans="2:23" ht="15.6" x14ac:dyDescent="0.3">
      <c r="B565" s="127"/>
      <c r="C565" s="70"/>
      <c r="D565" s="10"/>
      <c r="E565" s="10"/>
      <c r="F565" s="38"/>
      <c r="G565" s="38"/>
      <c r="H565" s="38"/>
      <c r="I565" s="38"/>
      <c r="J565" s="38"/>
      <c r="K565" s="38"/>
      <c r="L565" s="38"/>
      <c r="W565" s="7" t="str">
        <f t="shared" si="10"/>
        <v/>
      </c>
    </row>
    <row r="566" spans="2:23" ht="15.6" x14ac:dyDescent="0.3">
      <c r="B566" s="127"/>
      <c r="C566" s="70"/>
      <c r="D566" s="10"/>
      <c r="E566" s="10"/>
      <c r="F566" s="38"/>
      <c r="G566" s="38"/>
      <c r="H566" s="38"/>
      <c r="I566" s="38"/>
      <c r="J566" s="38"/>
      <c r="K566" s="38"/>
      <c r="L566" s="38"/>
      <c r="W566" s="7" t="str">
        <f t="shared" si="10"/>
        <v/>
      </c>
    </row>
    <row r="567" spans="2:23" ht="15.6" x14ac:dyDescent="0.3">
      <c r="B567" s="127"/>
      <c r="C567" s="70"/>
      <c r="D567" s="10"/>
      <c r="E567" s="10"/>
      <c r="F567" s="38"/>
      <c r="G567" s="38"/>
      <c r="H567" s="38"/>
      <c r="I567" s="38"/>
      <c r="J567" s="38"/>
      <c r="K567" s="38"/>
      <c r="L567" s="38"/>
      <c r="W567" s="7" t="str">
        <f t="shared" si="10"/>
        <v/>
      </c>
    </row>
    <row r="568" spans="2:23" ht="15.6" x14ac:dyDescent="0.3">
      <c r="B568" s="127"/>
      <c r="C568" s="70"/>
      <c r="D568" s="10"/>
      <c r="E568" s="10"/>
      <c r="F568" s="38"/>
      <c r="G568" s="38"/>
      <c r="H568" s="38"/>
      <c r="I568" s="38"/>
      <c r="J568" s="38"/>
      <c r="K568" s="38"/>
      <c r="L568" s="38"/>
      <c r="W568" s="7" t="str">
        <f t="shared" si="10"/>
        <v/>
      </c>
    </row>
    <row r="569" spans="2:23" ht="15.6" x14ac:dyDescent="0.3">
      <c r="B569" s="127"/>
      <c r="C569" s="70"/>
      <c r="D569" s="10"/>
      <c r="E569" s="10"/>
      <c r="F569" s="38"/>
      <c r="G569" s="38"/>
      <c r="H569" s="38"/>
      <c r="I569" s="38"/>
      <c r="J569" s="38"/>
      <c r="K569" s="38"/>
      <c r="L569" s="38"/>
      <c r="W569" s="7" t="str">
        <f t="shared" si="10"/>
        <v/>
      </c>
    </row>
    <row r="570" spans="2:23" ht="15.6" x14ac:dyDescent="0.3">
      <c r="B570" s="127"/>
      <c r="C570" s="70"/>
      <c r="D570" s="10"/>
      <c r="E570" s="10"/>
      <c r="F570" s="38"/>
      <c r="G570" s="38"/>
      <c r="H570" s="38"/>
      <c r="I570" s="38"/>
      <c r="J570" s="38"/>
      <c r="K570" s="38"/>
      <c r="L570" s="38"/>
      <c r="W570" s="7" t="str">
        <f t="shared" si="10"/>
        <v/>
      </c>
    </row>
    <row r="571" spans="2:23" ht="15.6" x14ac:dyDescent="0.3">
      <c r="B571" s="127"/>
      <c r="C571" s="70"/>
      <c r="D571" s="10"/>
      <c r="E571" s="10"/>
      <c r="F571" s="38"/>
      <c r="G571" s="38"/>
      <c r="H571" s="38"/>
      <c r="I571" s="38"/>
      <c r="J571" s="38"/>
      <c r="K571" s="38"/>
      <c r="L571" s="38"/>
      <c r="W571" s="7" t="str">
        <f t="shared" si="10"/>
        <v/>
      </c>
    </row>
    <row r="572" spans="2:23" ht="15.6" x14ac:dyDescent="0.3">
      <c r="B572" s="127"/>
      <c r="C572" s="70"/>
      <c r="D572" s="10"/>
      <c r="E572" s="10"/>
      <c r="F572" s="38"/>
      <c r="G572" s="38"/>
      <c r="H572" s="38"/>
      <c r="I572" s="38"/>
      <c r="J572" s="38"/>
      <c r="K572" s="38"/>
      <c r="L572" s="38"/>
      <c r="W572" s="7" t="str">
        <f t="shared" si="10"/>
        <v/>
      </c>
    </row>
    <row r="573" spans="2:23" ht="15.6" x14ac:dyDescent="0.3">
      <c r="B573" s="127"/>
      <c r="C573" s="70"/>
      <c r="D573" s="10"/>
      <c r="E573" s="10"/>
      <c r="F573" s="38"/>
      <c r="G573" s="38"/>
      <c r="H573" s="38"/>
      <c r="I573" s="38"/>
      <c r="J573" s="38"/>
      <c r="K573" s="38"/>
      <c r="L573" s="38"/>
      <c r="W573" s="7" t="str">
        <f t="shared" si="10"/>
        <v/>
      </c>
    </row>
    <row r="574" spans="2:23" ht="15.6" x14ac:dyDescent="0.3">
      <c r="B574" s="127"/>
      <c r="C574" s="70"/>
      <c r="D574" s="10"/>
      <c r="E574" s="10"/>
      <c r="F574" s="38"/>
      <c r="G574" s="38"/>
      <c r="H574" s="38"/>
      <c r="I574" s="38"/>
      <c r="J574" s="38"/>
      <c r="K574" s="38"/>
      <c r="L574" s="38"/>
      <c r="W574" s="7" t="str">
        <f t="shared" si="10"/>
        <v/>
      </c>
    </row>
    <row r="575" spans="2:23" ht="15.6" x14ac:dyDescent="0.3">
      <c r="B575" s="127"/>
      <c r="C575" s="70"/>
      <c r="D575" s="10"/>
      <c r="E575" s="10"/>
      <c r="F575" s="38"/>
      <c r="G575" s="38"/>
      <c r="H575" s="38"/>
      <c r="I575" s="38"/>
      <c r="J575" s="38"/>
      <c r="K575" s="38"/>
      <c r="L575" s="38"/>
      <c r="W575" s="7" t="str">
        <f t="shared" si="10"/>
        <v/>
      </c>
    </row>
    <row r="576" spans="2:23" ht="15.6" x14ac:dyDescent="0.3">
      <c r="B576" s="127"/>
      <c r="C576" s="70"/>
      <c r="D576" s="10"/>
      <c r="E576" s="10"/>
      <c r="F576" s="38"/>
      <c r="G576" s="38"/>
      <c r="H576" s="38"/>
      <c r="I576" s="38"/>
      <c r="J576" s="38"/>
      <c r="K576" s="38"/>
      <c r="L576" s="38"/>
      <c r="W576" s="7" t="str">
        <f t="shared" si="10"/>
        <v/>
      </c>
    </row>
    <row r="577" spans="2:23" ht="15.6" x14ac:dyDescent="0.3">
      <c r="B577" s="127"/>
      <c r="C577" s="70"/>
      <c r="D577" s="10"/>
      <c r="E577" s="10"/>
      <c r="F577" s="38"/>
      <c r="G577" s="38"/>
      <c r="H577" s="38"/>
      <c r="I577" s="38"/>
      <c r="J577" s="38"/>
      <c r="K577" s="38"/>
      <c r="L577" s="38"/>
      <c r="W577" s="7" t="str">
        <f t="shared" si="10"/>
        <v/>
      </c>
    </row>
    <row r="578" spans="2:23" ht="15.6" x14ac:dyDescent="0.3">
      <c r="B578" s="127"/>
      <c r="C578" s="70"/>
      <c r="D578" s="10"/>
      <c r="E578" s="10"/>
      <c r="F578" s="38"/>
      <c r="G578" s="38"/>
      <c r="H578" s="38"/>
      <c r="I578" s="38"/>
      <c r="J578" s="38"/>
      <c r="K578" s="38"/>
      <c r="L578" s="38"/>
      <c r="W578" s="7" t="str">
        <f t="shared" si="10"/>
        <v/>
      </c>
    </row>
    <row r="579" spans="2:23" ht="15.6" x14ac:dyDescent="0.3">
      <c r="B579" s="127"/>
      <c r="C579" s="70"/>
      <c r="D579" s="10"/>
      <c r="E579" s="10"/>
      <c r="F579" s="38"/>
      <c r="G579" s="38"/>
      <c r="H579" s="38"/>
      <c r="I579" s="38"/>
      <c r="J579" s="38"/>
      <c r="K579" s="38"/>
      <c r="L579" s="38"/>
      <c r="W579" s="7" t="str">
        <f t="shared" ref="W579:W642" si="11">IF(B579="","",TEXT(B579,"mmm"))</f>
        <v/>
      </c>
    </row>
    <row r="580" spans="2:23" ht="15.6" x14ac:dyDescent="0.3">
      <c r="B580" s="127"/>
      <c r="C580" s="70"/>
      <c r="D580" s="10"/>
      <c r="E580" s="10"/>
      <c r="F580" s="38"/>
      <c r="G580" s="38"/>
      <c r="H580" s="38"/>
      <c r="I580" s="38"/>
      <c r="J580" s="38"/>
      <c r="K580" s="38"/>
      <c r="L580" s="38"/>
      <c r="W580" s="7" t="str">
        <f t="shared" si="11"/>
        <v/>
      </c>
    </row>
    <row r="581" spans="2:23" ht="15.6" x14ac:dyDescent="0.3">
      <c r="B581" s="127"/>
      <c r="C581" s="70"/>
      <c r="D581" s="10"/>
      <c r="E581" s="10"/>
      <c r="F581" s="38"/>
      <c r="G581" s="38"/>
      <c r="H581" s="38"/>
      <c r="I581" s="38"/>
      <c r="J581" s="38"/>
      <c r="K581" s="38"/>
      <c r="L581" s="38"/>
      <c r="W581" s="7" t="str">
        <f t="shared" si="11"/>
        <v/>
      </c>
    </row>
    <row r="582" spans="2:23" ht="15.6" x14ac:dyDescent="0.3">
      <c r="B582" s="127"/>
      <c r="C582" s="70"/>
      <c r="D582" s="10"/>
      <c r="E582" s="10"/>
      <c r="F582" s="38"/>
      <c r="G582" s="38"/>
      <c r="H582" s="38"/>
      <c r="I582" s="38"/>
      <c r="J582" s="38"/>
      <c r="K582" s="38"/>
      <c r="L582" s="38"/>
      <c r="W582" s="7" t="str">
        <f t="shared" si="11"/>
        <v/>
      </c>
    </row>
    <row r="583" spans="2:23" ht="15.6" x14ac:dyDescent="0.3">
      <c r="B583" s="127"/>
      <c r="C583" s="70"/>
      <c r="D583" s="10"/>
      <c r="E583" s="10"/>
      <c r="F583" s="38"/>
      <c r="G583" s="38"/>
      <c r="H583" s="38"/>
      <c r="I583" s="38"/>
      <c r="J583" s="38"/>
      <c r="K583" s="38"/>
      <c r="L583" s="38"/>
      <c r="W583" s="7" t="str">
        <f t="shared" si="11"/>
        <v/>
      </c>
    </row>
    <row r="584" spans="2:23" ht="15.6" x14ac:dyDescent="0.3">
      <c r="B584" s="127"/>
      <c r="C584" s="70"/>
      <c r="D584" s="10"/>
      <c r="E584" s="10"/>
      <c r="F584" s="38"/>
      <c r="G584" s="38"/>
      <c r="H584" s="38"/>
      <c r="I584" s="38"/>
      <c r="J584" s="38"/>
      <c r="K584" s="38"/>
      <c r="L584" s="38"/>
      <c r="W584" s="7" t="str">
        <f t="shared" si="11"/>
        <v/>
      </c>
    </row>
    <row r="585" spans="2:23" ht="15.6" x14ac:dyDescent="0.3">
      <c r="B585" s="127"/>
      <c r="C585" s="70"/>
      <c r="D585" s="10"/>
      <c r="E585" s="10"/>
      <c r="F585" s="38"/>
      <c r="G585" s="38"/>
      <c r="H585" s="38"/>
      <c r="I585" s="38"/>
      <c r="J585" s="38"/>
      <c r="K585" s="38"/>
      <c r="L585" s="38"/>
      <c r="W585" s="7" t="str">
        <f t="shared" si="11"/>
        <v/>
      </c>
    </row>
    <row r="586" spans="2:23" ht="15.6" x14ac:dyDescent="0.3">
      <c r="B586" s="127"/>
      <c r="C586" s="70"/>
      <c r="D586" s="10"/>
      <c r="E586" s="10"/>
      <c r="F586" s="38"/>
      <c r="G586" s="38"/>
      <c r="H586" s="38"/>
      <c r="I586" s="38"/>
      <c r="J586" s="38"/>
      <c r="K586" s="38"/>
      <c r="L586" s="38"/>
      <c r="W586" s="7" t="str">
        <f t="shared" si="11"/>
        <v/>
      </c>
    </row>
    <row r="587" spans="2:23" ht="15.6" x14ac:dyDescent="0.3">
      <c r="B587" s="127"/>
      <c r="C587" s="70"/>
      <c r="D587" s="10"/>
      <c r="E587" s="10"/>
      <c r="F587" s="38"/>
      <c r="G587" s="38"/>
      <c r="H587" s="38"/>
      <c r="I587" s="38"/>
      <c r="J587" s="38"/>
      <c r="K587" s="38"/>
      <c r="L587" s="38"/>
      <c r="W587" s="7" t="str">
        <f t="shared" si="11"/>
        <v/>
      </c>
    </row>
    <row r="588" spans="2:23" ht="15.6" x14ac:dyDescent="0.3">
      <c r="B588" s="127"/>
      <c r="C588" s="70"/>
      <c r="D588" s="10"/>
      <c r="E588" s="10"/>
      <c r="F588" s="38"/>
      <c r="G588" s="38"/>
      <c r="H588" s="38"/>
      <c r="I588" s="38"/>
      <c r="J588" s="38"/>
      <c r="K588" s="38"/>
      <c r="L588" s="38"/>
      <c r="W588" s="7" t="str">
        <f t="shared" si="11"/>
        <v/>
      </c>
    </row>
    <row r="589" spans="2:23" ht="15.6" x14ac:dyDescent="0.3">
      <c r="B589" s="127"/>
      <c r="C589" s="70"/>
      <c r="D589" s="10"/>
      <c r="E589" s="10"/>
      <c r="F589" s="38"/>
      <c r="G589" s="38"/>
      <c r="H589" s="38"/>
      <c r="I589" s="38"/>
      <c r="J589" s="38"/>
      <c r="K589" s="38"/>
      <c r="L589" s="38"/>
      <c r="W589" s="7" t="str">
        <f t="shared" si="11"/>
        <v/>
      </c>
    </row>
    <row r="590" spans="2:23" ht="15.6" x14ac:dyDescent="0.3">
      <c r="B590" s="127"/>
      <c r="C590" s="70"/>
      <c r="D590" s="10"/>
      <c r="E590" s="10"/>
      <c r="F590" s="38"/>
      <c r="G590" s="38"/>
      <c r="H590" s="38"/>
      <c r="I590" s="38"/>
      <c r="J590" s="38"/>
      <c r="K590" s="38"/>
      <c r="L590" s="38"/>
      <c r="W590" s="7" t="str">
        <f t="shared" si="11"/>
        <v/>
      </c>
    </row>
    <row r="591" spans="2:23" ht="15.6" x14ac:dyDescent="0.3">
      <c r="B591" s="127"/>
      <c r="C591" s="70"/>
      <c r="D591" s="10"/>
      <c r="E591" s="10"/>
      <c r="F591" s="38"/>
      <c r="G591" s="38"/>
      <c r="H591" s="38"/>
      <c r="I591" s="38"/>
      <c r="J591" s="38"/>
      <c r="K591" s="38"/>
      <c r="L591" s="38"/>
      <c r="W591" s="7" t="str">
        <f t="shared" si="11"/>
        <v/>
      </c>
    </row>
    <row r="592" spans="2:23" ht="15.6" x14ac:dyDescent="0.3">
      <c r="B592" s="127"/>
      <c r="C592" s="70"/>
      <c r="D592" s="10"/>
      <c r="E592" s="10"/>
      <c r="F592" s="38"/>
      <c r="G592" s="38"/>
      <c r="H592" s="38"/>
      <c r="I592" s="38"/>
      <c r="J592" s="38"/>
      <c r="K592" s="38"/>
      <c r="L592" s="38"/>
      <c r="W592" s="7" t="str">
        <f t="shared" si="11"/>
        <v/>
      </c>
    </row>
    <row r="593" spans="2:23" ht="15.6" x14ac:dyDescent="0.3">
      <c r="B593" s="127"/>
      <c r="C593" s="70"/>
      <c r="D593" s="10"/>
      <c r="E593" s="10"/>
      <c r="F593" s="38"/>
      <c r="G593" s="38"/>
      <c r="H593" s="38"/>
      <c r="I593" s="38"/>
      <c r="J593" s="38"/>
      <c r="K593" s="38"/>
      <c r="L593" s="38"/>
      <c r="W593" s="7" t="str">
        <f t="shared" si="11"/>
        <v/>
      </c>
    </row>
    <row r="594" spans="2:23" ht="15.6" x14ac:dyDescent="0.3">
      <c r="B594" s="127"/>
      <c r="C594" s="70"/>
      <c r="D594" s="10"/>
      <c r="E594" s="10"/>
      <c r="F594" s="38"/>
      <c r="G594" s="38"/>
      <c r="H594" s="38"/>
      <c r="I594" s="38"/>
      <c r="J594" s="38"/>
      <c r="K594" s="38"/>
      <c r="L594" s="38"/>
      <c r="W594" s="7" t="str">
        <f t="shared" si="11"/>
        <v/>
      </c>
    </row>
    <row r="595" spans="2:23" ht="15.6" x14ac:dyDescent="0.3">
      <c r="B595" s="127"/>
      <c r="C595" s="70"/>
      <c r="D595" s="10"/>
      <c r="E595" s="10"/>
      <c r="F595" s="38"/>
      <c r="G595" s="38"/>
      <c r="H595" s="38"/>
      <c r="I595" s="38"/>
      <c r="J595" s="38"/>
      <c r="K595" s="38"/>
      <c r="L595" s="38"/>
      <c r="W595" s="7" t="str">
        <f t="shared" si="11"/>
        <v/>
      </c>
    </row>
    <row r="596" spans="2:23" ht="15.6" x14ac:dyDescent="0.3">
      <c r="B596" s="127"/>
      <c r="C596" s="70"/>
      <c r="D596" s="10"/>
      <c r="E596" s="10"/>
      <c r="F596" s="38"/>
      <c r="G596" s="38"/>
      <c r="H596" s="38"/>
      <c r="I596" s="38"/>
      <c r="J596" s="38"/>
      <c r="K596" s="38"/>
      <c r="L596" s="38"/>
      <c r="W596" s="7" t="str">
        <f t="shared" si="11"/>
        <v/>
      </c>
    </row>
    <row r="597" spans="2:23" ht="15.6" x14ac:dyDescent="0.3">
      <c r="B597" s="127"/>
      <c r="C597" s="70"/>
      <c r="D597" s="10"/>
      <c r="E597" s="10"/>
      <c r="F597" s="38"/>
      <c r="G597" s="38"/>
      <c r="H597" s="38"/>
      <c r="I597" s="38"/>
      <c r="J597" s="38"/>
      <c r="K597" s="38"/>
      <c r="L597" s="38"/>
      <c r="W597" s="7" t="str">
        <f t="shared" si="11"/>
        <v/>
      </c>
    </row>
    <row r="598" spans="2:23" ht="15.6" x14ac:dyDescent="0.3">
      <c r="B598" s="127"/>
      <c r="C598" s="70"/>
      <c r="D598" s="10"/>
      <c r="E598" s="10"/>
      <c r="F598" s="38"/>
      <c r="G598" s="38"/>
      <c r="H598" s="38"/>
      <c r="I598" s="38"/>
      <c r="J598" s="38"/>
      <c r="K598" s="38"/>
      <c r="L598" s="38"/>
      <c r="W598" s="7" t="str">
        <f t="shared" si="11"/>
        <v/>
      </c>
    </row>
    <row r="599" spans="2:23" ht="15.6" x14ac:dyDescent="0.3">
      <c r="B599" s="127"/>
      <c r="C599" s="70"/>
      <c r="D599" s="10"/>
      <c r="E599" s="10"/>
      <c r="F599" s="38"/>
      <c r="G599" s="38"/>
      <c r="H599" s="38"/>
      <c r="I599" s="38"/>
      <c r="J599" s="38"/>
      <c r="K599" s="38"/>
      <c r="L599" s="38"/>
      <c r="W599" s="7" t="str">
        <f t="shared" si="11"/>
        <v/>
      </c>
    </row>
    <row r="600" spans="2:23" ht="15.6" x14ac:dyDescent="0.3">
      <c r="B600" s="127"/>
      <c r="C600" s="70"/>
      <c r="D600" s="10"/>
      <c r="E600" s="10"/>
      <c r="F600" s="38"/>
      <c r="G600" s="38"/>
      <c r="H600" s="38"/>
      <c r="I600" s="38"/>
      <c r="J600" s="38"/>
      <c r="K600" s="38"/>
      <c r="L600" s="38"/>
      <c r="W600" s="7" t="str">
        <f t="shared" si="11"/>
        <v/>
      </c>
    </row>
    <row r="601" spans="2:23" ht="15.6" x14ac:dyDescent="0.3">
      <c r="B601" s="127"/>
      <c r="C601" s="70"/>
      <c r="D601" s="10"/>
      <c r="E601" s="10"/>
      <c r="F601" s="38"/>
      <c r="G601" s="38"/>
      <c r="H601" s="38"/>
      <c r="I601" s="38"/>
      <c r="J601" s="38"/>
      <c r="K601" s="38"/>
      <c r="L601" s="38"/>
      <c r="W601" s="7" t="str">
        <f t="shared" si="11"/>
        <v/>
      </c>
    </row>
    <row r="602" spans="2:23" ht="15.6" x14ac:dyDescent="0.3">
      <c r="B602" s="127"/>
      <c r="C602" s="70"/>
      <c r="D602" s="10"/>
      <c r="E602" s="10"/>
      <c r="F602" s="38"/>
      <c r="G602" s="38"/>
      <c r="H602" s="38"/>
      <c r="I602" s="38"/>
      <c r="J602" s="38"/>
      <c r="K602" s="38"/>
      <c r="L602" s="38"/>
      <c r="W602" s="7" t="str">
        <f t="shared" si="11"/>
        <v/>
      </c>
    </row>
    <row r="603" spans="2:23" ht="15.6" x14ac:dyDescent="0.3">
      <c r="B603" s="127"/>
      <c r="C603" s="70"/>
      <c r="D603" s="10"/>
      <c r="E603" s="10"/>
      <c r="F603" s="38"/>
      <c r="G603" s="38"/>
      <c r="H603" s="38"/>
      <c r="I603" s="38"/>
      <c r="J603" s="38"/>
      <c r="K603" s="38"/>
      <c r="L603" s="38"/>
      <c r="W603" s="7" t="str">
        <f t="shared" si="11"/>
        <v/>
      </c>
    </row>
    <row r="604" spans="2:23" ht="15.6" x14ac:dyDescent="0.3">
      <c r="B604" s="127"/>
      <c r="C604" s="70"/>
      <c r="D604" s="10"/>
      <c r="E604" s="10"/>
      <c r="F604" s="38"/>
      <c r="G604" s="38"/>
      <c r="H604" s="38"/>
      <c r="I604" s="38"/>
      <c r="J604" s="38"/>
      <c r="K604" s="38"/>
      <c r="L604" s="38"/>
      <c r="W604" s="7" t="str">
        <f t="shared" si="11"/>
        <v/>
      </c>
    </row>
    <row r="605" spans="2:23" ht="15.6" x14ac:dyDescent="0.3">
      <c r="B605" s="127"/>
      <c r="C605" s="70"/>
      <c r="D605" s="10"/>
      <c r="E605" s="10"/>
      <c r="F605" s="38"/>
      <c r="G605" s="38"/>
      <c r="H605" s="38"/>
      <c r="I605" s="38"/>
      <c r="J605" s="38"/>
      <c r="K605" s="38"/>
      <c r="L605" s="38"/>
      <c r="W605" s="7" t="str">
        <f t="shared" si="11"/>
        <v/>
      </c>
    </row>
    <row r="606" spans="2:23" ht="15.6" x14ac:dyDescent="0.3">
      <c r="B606" s="127"/>
      <c r="C606" s="70"/>
      <c r="D606" s="10"/>
      <c r="E606" s="10"/>
      <c r="F606" s="38"/>
      <c r="G606" s="38"/>
      <c r="H606" s="38"/>
      <c r="I606" s="38"/>
      <c r="J606" s="38"/>
      <c r="K606" s="38"/>
      <c r="L606" s="38"/>
      <c r="W606" s="7" t="str">
        <f t="shared" si="11"/>
        <v/>
      </c>
    </row>
    <row r="607" spans="2:23" ht="15.6" x14ac:dyDescent="0.3">
      <c r="B607" s="127"/>
      <c r="C607" s="70"/>
      <c r="D607" s="10"/>
      <c r="E607" s="10"/>
      <c r="F607" s="38"/>
      <c r="G607" s="38"/>
      <c r="H607" s="38"/>
      <c r="I607" s="38"/>
      <c r="J607" s="38"/>
      <c r="K607" s="38"/>
      <c r="L607" s="38"/>
      <c r="W607" s="7" t="str">
        <f t="shared" si="11"/>
        <v/>
      </c>
    </row>
    <row r="608" spans="2:23" ht="15.6" x14ac:dyDescent="0.3">
      <c r="B608" s="127"/>
      <c r="C608" s="70"/>
      <c r="D608" s="10"/>
      <c r="E608" s="10"/>
      <c r="F608" s="38"/>
      <c r="G608" s="38"/>
      <c r="H608" s="38"/>
      <c r="I608" s="38"/>
      <c r="J608" s="38"/>
      <c r="K608" s="38"/>
      <c r="L608" s="38"/>
      <c r="W608" s="7" t="str">
        <f t="shared" si="11"/>
        <v/>
      </c>
    </row>
    <row r="609" spans="2:23" ht="15.6" x14ac:dyDescent="0.3">
      <c r="B609" s="127"/>
      <c r="C609" s="70"/>
      <c r="D609" s="10"/>
      <c r="E609" s="10"/>
      <c r="F609" s="38"/>
      <c r="G609" s="38"/>
      <c r="H609" s="38"/>
      <c r="I609" s="38"/>
      <c r="J609" s="38"/>
      <c r="K609" s="38"/>
      <c r="L609" s="38"/>
      <c r="W609" s="7" t="str">
        <f t="shared" si="11"/>
        <v/>
      </c>
    </row>
    <row r="610" spans="2:23" ht="15.6" x14ac:dyDescent="0.3">
      <c r="B610" s="127"/>
      <c r="C610" s="70"/>
      <c r="D610" s="10"/>
      <c r="E610" s="10"/>
      <c r="F610" s="38"/>
      <c r="G610" s="38"/>
      <c r="H610" s="38"/>
      <c r="I610" s="38"/>
      <c r="J610" s="38"/>
      <c r="K610" s="38"/>
      <c r="L610" s="38"/>
      <c r="W610" s="7" t="str">
        <f t="shared" si="11"/>
        <v/>
      </c>
    </row>
    <row r="611" spans="2:23" ht="15.6" x14ac:dyDescent="0.3">
      <c r="B611" s="127"/>
      <c r="C611" s="70"/>
      <c r="D611" s="10"/>
      <c r="E611" s="10"/>
      <c r="F611" s="38"/>
      <c r="G611" s="38"/>
      <c r="H611" s="38"/>
      <c r="I611" s="38"/>
      <c r="J611" s="38"/>
      <c r="K611" s="38"/>
      <c r="L611" s="38"/>
      <c r="W611" s="7" t="str">
        <f t="shared" si="11"/>
        <v/>
      </c>
    </row>
    <row r="612" spans="2:23" ht="15.6" x14ac:dyDescent="0.3">
      <c r="B612" s="127"/>
      <c r="C612" s="70"/>
      <c r="D612" s="10"/>
      <c r="E612" s="10"/>
      <c r="F612" s="38"/>
      <c r="G612" s="38"/>
      <c r="H612" s="38"/>
      <c r="I612" s="38"/>
      <c r="J612" s="38"/>
      <c r="K612" s="38"/>
      <c r="L612" s="38"/>
      <c r="W612" s="7" t="str">
        <f t="shared" si="11"/>
        <v/>
      </c>
    </row>
    <row r="613" spans="2:23" ht="15.6" x14ac:dyDescent="0.3">
      <c r="B613" s="127"/>
      <c r="C613" s="70"/>
      <c r="D613" s="10"/>
      <c r="E613" s="10"/>
      <c r="F613" s="38"/>
      <c r="G613" s="38"/>
      <c r="H613" s="38"/>
      <c r="I613" s="38"/>
      <c r="J613" s="38"/>
      <c r="K613" s="38"/>
      <c r="L613" s="38"/>
      <c r="W613" s="7" t="str">
        <f t="shared" si="11"/>
        <v/>
      </c>
    </row>
    <row r="614" spans="2:23" ht="15.6" x14ac:dyDescent="0.3">
      <c r="B614" s="127"/>
      <c r="C614" s="70"/>
      <c r="D614" s="10"/>
      <c r="E614" s="10"/>
      <c r="F614" s="38"/>
      <c r="G614" s="38"/>
      <c r="H614" s="38"/>
      <c r="I614" s="38"/>
      <c r="J614" s="38"/>
      <c r="K614" s="38"/>
      <c r="L614" s="38"/>
      <c r="W614" s="7" t="str">
        <f t="shared" si="11"/>
        <v/>
      </c>
    </row>
    <row r="615" spans="2:23" ht="15.6" x14ac:dyDescent="0.3">
      <c r="B615" s="127"/>
      <c r="C615" s="70"/>
      <c r="D615" s="10"/>
      <c r="E615" s="10"/>
      <c r="F615" s="38"/>
      <c r="G615" s="38"/>
      <c r="H615" s="38"/>
      <c r="I615" s="38"/>
      <c r="J615" s="38"/>
      <c r="K615" s="38"/>
      <c r="L615" s="38"/>
      <c r="W615" s="7" t="str">
        <f t="shared" si="11"/>
        <v/>
      </c>
    </row>
    <row r="616" spans="2:23" ht="15.6" x14ac:dyDescent="0.3">
      <c r="B616" s="127"/>
      <c r="C616" s="70"/>
      <c r="D616" s="10"/>
      <c r="E616" s="10"/>
      <c r="F616" s="38"/>
      <c r="G616" s="38"/>
      <c r="H616" s="38"/>
      <c r="I616" s="38"/>
      <c r="J616" s="38"/>
      <c r="K616" s="38"/>
      <c r="L616" s="38"/>
      <c r="W616" s="7" t="str">
        <f t="shared" si="11"/>
        <v/>
      </c>
    </row>
    <row r="617" spans="2:23" ht="15.6" x14ac:dyDescent="0.3">
      <c r="B617" s="127"/>
      <c r="C617" s="70"/>
      <c r="D617" s="10"/>
      <c r="E617" s="10"/>
      <c r="F617" s="38"/>
      <c r="G617" s="38"/>
      <c r="H617" s="38"/>
      <c r="I617" s="38"/>
      <c r="J617" s="38"/>
      <c r="K617" s="38"/>
      <c r="L617" s="38"/>
      <c r="W617" s="7" t="str">
        <f t="shared" si="11"/>
        <v/>
      </c>
    </row>
    <row r="618" spans="2:23" ht="15.6" x14ac:dyDescent="0.3">
      <c r="B618" s="127"/>
      <c r="C618" s="70"/>
      <c r="D618" s="10"/>
      <c r="E618" s="10"/>
      <c r="F618" s="38"/>
      <c r="G618" s="38"/>
      <c r="H618" s="38"/>
      <c r="I618" s="38"/>
      <c r="J618" s="38"/>
      <c r="K618" s="38"/>
      <c r="L618" s="38"/>
      <c r="W618" s="7" t="str">
        <f t="shared" si="11"/>
        <v/>
      </c>
    </row>
    <row r="619" spans="2:23" ht="15.6" x14ac:dyDescent="0.3">
      <c r="B619" s="127"/>
      <c r="C619" s="70"/>
      <c r="D619" s="10"/>
      <c r="E619" s="10"/>
      <c r="F619" s="38"/>
      <c r="G619" s="38"/>
      <c r="H619" s="38"/>
      <c r="I619" s="38"/>
      <c r="J619" s="38"/>
      <c r="K619" s="38"/>
      <c r="L619" s="38"/>
      <c r="W619" s="7" t="str">
        <f t="shared" si="11"/>
        <v/>
      </c>
    </row>
    <row r="620" spans="2:23" ht="15.6" x14ac:dyDescent="0.3">
      <c r="B620" s="127"/>
      <c r="C620" s="70"/>
      <c r="D620" s="10"/>
      <c r="E620" s="10"/>
      <c r="F620" s="38"/>
      <c r="G620" s="38"/>
      <c r="H620" s="38"/>
      <c r="I620" s="38"/>
      <c r="J620" s="38"/>
      <c r="K620" s="38"/>
      <c r="L620" s="38"/>
      <c r="W620" s="7" t="str">
        <f t="shared" si="11"/>
        <v/>
      </c>
    </row>
    <row r="621" spans="2:23" ht="15.6" x14ac:dyDescent="0.3">
      <c r="B621" s="127"/>
      <c r="C621" s="70"/>
      <c r="D621" s="10"/>
      <c r="E621" s="10"/>
      <c r="F621" s="38"/>
      <c r="G621" s="38"/>
      <c r="H621" s="38"/>
      <c r="I621" s="38"/>
      <c r="J621" s="38"/>
      <c r="K621" s="38"/>
      <c r="L621" s="38"/>
      <c r="W621" s="7" t="str">
        <f t="shared" si="11"/>
        <v/>
      </c>
    </row>
    <row r="622" spans="2:23" ht="15.6" x14ac:dyDescent="0.3">
      <c r="B622" s="127"/>
      <c r="C622" s="70"/>
      <c r="D622" s="10"/>
      <c r="E622" s="10"/>
      <c r="F622" s="38"/>
      <c r="G622" s="38"/>
      <c r="H622" s="38"/>
      <c r="I622" s="38"/>
      <c r="J622" s="38"/>
      <c r="K622" s="38"/>
      <c r="L622" s="38"/>
      <c r="W622" s="7" t="str">
        <f t="shared" si="11"/>
        <v/>
      </c>
    </row>
    <row r="623" spans="2:23" ht="15.6" x14ac:dyDescent="0.3">
      <c r="B623" s="127"/>
      <c r="C623" s="70"/>
      <c r="D623" s="10"/>
      <c r="E623" s="10"/>
      <c r="F623" s="38"/>
      <c r="G623" s="38"/>
      <c r="H623" s="38"/>
      <c r="I623" s="38"/>
      <c r="J623" s="38"/>
      <c r="K623" s="38"/>
      <c r="L623" s="38"/>
      <c r="W623" s="7" t="str">
        <f t="shared" si="11"/>
        <v/>
      </c>
    </row>
    <row r="624" spans="2:23" ht="15.6" x14ac:dyDescent="0.3">
      <c r="B624" s="127"/>
      <c r="C624" s="70"/>
      <c r="D624" s="10"/>
      <c r="E624" s="10"/>
      <c r="F624" s="38"/>
      <c r="G624" s="38"/>
      <c r="H624" s="38"/>
      <c r="I624" s="38"/>
      <c r="J624" s="38"/>
      <c r="K624" s="38"/>
      <c r="L624" s="38"/>
      <c r="W624" s="7" t="str">
        <f t="shared" si="11"/>
        <v/>
      </c>
    </row>
    <row r="625" spans="2:23" ht="15.6" x14ac:dyDescent="0.3">
      <c r="B625" s="127"/>
      <c r="C625" s="70"/>
      <c r="D625" s="10"/>
      <c r="E625" s="10"/>
      <c r="F625" s="38"/>
      <c r="G625" s="38"/>
      <c r="H625" s="38"/>
      <c r="I625" s="38"/>
      <c r="J625" s="38"/>
      <c r="K625" s="38"/>
      <c r="L625" s="38"/>
      <c r="W625" s="7" t="str">
        <f t="shared" si="11"/>
        <v/>
      </c>
    </row>
    <row r="626" spans="2:23" ht="15.6" x14ac:dyDescent="0.3">
      <c r="B626" s="127"/>
      <c r="C626" s="70"/>
      <c r="D626" s="10"/>
      <c r="E626" s="10"/>
      <c r="F626" s="38"/>
      <c r="G626" s="38"/>
      <c r="H626" s="38"/>
      <c r="I626" s="38"/>
      <c r="J626" s="38"/>
      <c r="K626" s="38"/>
      <c r="L626" s="38"/>
      <c r="W626" s="7" t="str">
        <f t="shared" si="11"/>
        <v/>
      </c>
    </row>
    <row r="627" spans="2:23" ht="15.6" x14ac:dyDescent="0.3">
      <c r="B627" s="127"/>
      <c r="C627" s="70"/>
      <c r="D627" s="10"/>
      <c r="E627" s="10"/>
      <c r="F627" s="38"/>
      <c r="G627" s="38"/>
      <c r="H627" s="38"/>
      <c r="I627" s="38"/>
      <c r="J627" s="38"/>
      <c r="K627" s="38"/>
      <c r="L627" s="38"/>
      <c r="W627" s="7" t="str">
        <f t="shared" si="11"/>
        <v/>
      </c>
    </row>
    <row r="628" spans="2:23" ht="15.6" x14ac:dyDescent="0.3">
      <c r="B628" s="127"/>
      <c r="C628" s="70"/>
      <c r="D628" s="10"/>
      <c r="E628" s="10"/>
      <c r="F628" s="38"/>
      <c r="G628" s="38"/>
      <c r="H628" s="38"/>
      <c r="I628" s="38"/>
      <c r="J628" s="38"/>
      <c r="K628" s="38"/>
      <c r="L628" s="38"/>
      <c r="W628" s="7" t="str">
        <f t="shared" si="11"/>
        <v/>
      </c>
    </row>
    <row r="629" spans="2:23" ht="15.6" x14ac:dyDescent="0.3">
      <c r="B629" s="127"/>
      <c r="C629" s="70"/>
      <c r="D629" s="10"/>
      <c r="E629" s="10"/>
      <c r="F629" s="38"/>
      <c r="G629" s="38"/>
      <c r="H629" s="38"/>
      <c r="I629" s="38"/>
      <c r="J629" s="38"/>
      <c r="K629" s="38"/>
      <c r="L629" s="38"/>
      <c r="W629" s="7" t="str">
        <f t="shared" si="11"/>
        <v/>
      </c>
    </row>
    <row r="630" spans="2:23" ht="15.6" x14ac:dyDescent="0.3">
      <c r="B630" s="127"/>
      <c r="C630" s="70"/>
      <c r="D630" s="10"/>
      <c r="E630" s="10"/>
      <c r="F630" s="38"/>
      <c r="G630" s="38"/>
      <c r="H630" s="38"/>
      <c r="I630" s="38"/>
      <c r="J630" s="38"/>
      <c r="K630" s="38"/>
      <c r="L630" s="38"/>
      <c r="W630" s="7" t="str">
        <f t="shared" si="11"/>
        <v/>
      </c>
    </row>
    <row r="631" spans="2:23" ht="15.6" x14ac:dyDescent="0.3">
      <c r="B631" s="127"/>
      <c r="C631" s="70"/>
      <c r="D631" s="10"/>
      <c r="E631" s="10"/>
      <c r="F631" s="38"/>
      <c r="G631" s="38"/>
      <c r="H631" s="38"/>
      <c r="I631" s="38"/>
      <c r="J631" s="38"/>
      <c r="K631" s="38"/>
      <c r="L631" s="38"/>
      <c r="W631" s="7" t="str">
        <f t="shared" si="11"/>
        <v/>
      </c>
    </row>
    <row r="632" spans="2:23" ht="15.6" x14ac:dyDescent="0.3">
      <c r="B632" s="127"/>
      <c r="C632" s="70"/>
      <c r="D632" s="10"/>
      <c r="E632" s="10"/>
      <c r="F632" s="38"/>
      <c r="G632" s="38"/>
      <c r="H632" s="38"/>
      <c r="I632" s="38"/>
      <c r="J632" s="38"/>
      <c r="K632" s="38"/>
      <c r="L632" s="38"/>
      <c r="W632" s="7" t="str">
        <f t="shared" si="11"/>
        <v/>
      </c>
    </row>
    <row r="633" spans="2:23" ht="15.6" x14ac:dyDescent="0.3">
      <c r="B633" s="127"/>
      <c r="C633" s="70"/>
      <c r="D633" s="10"/>
      <c r="E633" s="10"/>
      <c r="F633" s="38"/>
      <c r="G633" s="38"/>
      <c r="H633" s="38"/>
      <c r="I633" s="38"/>
      <c r="J633" s="38"/>
      <c r="K633" s="38"/>
      <c r="L633" s="38"/>
      <c r="W633" s="7" t="str">
        <f t="shared" si="11"/>
        <v/>
      </c>
    </row>
    <row r="634" spans="2:23" ht="15.6" x14ac:dyDescent="0.3">
      <c r="B634" s="127"/>
      <c r="C634" s="70"/>
      <c r="D634" s="10"/>
      <c r="E634" s="10"/>
      <c r="F634" s="38"/>
      <c r="G634" s="38"/>
      <c r="H634" s="38"/>
      <c r="I634" s="38"/>
      <c r="J634" s="38"/>
      <c r="K634" s="38"/>
      <c r="L634" s="38"/>
      <c r="W634" s="7" t="str">
        <f t="shared" si="11"/>
        <v/>
      </c>
    </row>
    <row r="635" spans="2:23" ht="15.6" x14ac:dyDescent="0.3">
      <c r="B635" s="127"/>
      <c r="C635" s="70"/>
      <c r="D635" s="10"/>
      <c r="E635" s="10"/>
      <c r="F635" s="38"/>
      <c r="G635" s="38"/>
      <c r="H635" s="38"/>
      <c r="I635" s="38"/>
      <c r="J635" s="38"/>
      <c r="K635" s="38"/>
      <c r="L635" s="38"/>
      <c r="W635" s="7" t="str">
        <f t="shared" si="11"/>
        <v/>
      </c>
    </row>
    <row r="636" spans="2:23" ht="15.6" x14ac:dyDescent="0.3">
      <c r="B636" s="127"/>
      <c r="C636" s="70"/>
      <c r="D636" s="10"/>
      <c r="E636" s="10"/>
      <c r="F636" s="38"/>
      <c r="G636" s="38"/>
      <c r="H636" s="38"/>
      <c r="I636" s="38"/>
      <c r="J636" s="38"/>
      <c r="K636" s="38"/>
      <c r="L636" s="38"/>
      <c r="W636" s="7" t="str">
        <f t="shared" si="11"/>
        <v/>
      </c>
    </row>
    <row r="637" spans="2:23" ht="15.6" x14ac:dyDescent="0.3">
      <c r="B637" s="127"/>
      <c r="C637" s="70"/>
      <c r="D637" s="10"/>
      <c r="E637" s="10"/>
      <c r="F637" s="38"/>
      <c r="G637" s="38"/>
      <c r="H637" s="38"/>
      <c r="I637" s="38"/>
      <c r="J637" s="38"/>
      <c r="K637" s="38"/>
      <c r="L637" s="38"/>
      <c r="W637" s="7" t="str">
        <f t="shared" si="11"/>
        <v/>
      </c>
    </row>
    <row r="638" spans="2:23" ht="15.6" x14ac:dyDescent="0.3">
      <c r="B638" s="127"/>
      <c r="C638" s="70"/>
      <c r="D638" s="10"/>
      <c r="E638" s="10"/>
      <c r="F638" s="38"/>
      <c r="G638" s="38"/>
      <c r="H638" s="38"/>
      <c r="I638" s="38"/>
      <c r="J638" s="38"/>
      <c r="K638" s="38"/>
      <c r="L638" s="38"/>
      <c r="W638" s="7" t="str">
        <f t="shared" si="11"/>
        <v/>
      </c>
    </row>
    <row r="639" spans="2:23" ht="15.6" x14ac:dyDescent="0.3">
      <c r="B639" s="127"/>
      <c r="C639" s="70"/>
      <c r="D639" s="10"/>
      <c r="E639" s="10"/>
      <c r="F639" s="38"/>
      <c r="G639" s="38"/>
      <c r="H639" s="38"/>
      <c r="I639" s="38"/>
      <c r="J639" s="38"/>
      <c r="K639" s="38"/>
      <c r="L639" s="38"/>
      <c r="W639" s="7" t="str">
        <f t="shared" si="11"/>
        <v/>
      </c>
    </row>
    <row r="640" spans="2:23" ht="15.6" x14ac:dyDescent="0.3">
      <c r="B640" s="127"/>
      <c r="C640" s="70"/>
      <c r="D640" s="10"/>
      <c r="E640" s="10"/>
      <c r="F640" s="38"/>
      <c r="G640" s="38"/>
      <c r="H640" s="38"/>
      <c r="I640" s="38"/>
      <c r="J640" s="38"/>
      <c r="K640" s="38"/>
      <c r="L640" s="38"/>
      <c r="W640" s="7" t="str">
        <f t="shared" si="11"/>
        <v/>
      </c>
    </row>
    <row r="641" spans="2:23" ht="15.6" x14ac:dyDescent="0.3">
      <c r="B641" s="127"/>
      <c r="C641" s="70"/>
      <c r="D641" s="10"/>
      <c r="E641" s="10"/>
      <c r="F641" s="38"/>
      <c r="G641" s="38"/>
      <c r="H641" s="38"/>
      <c r="I641" s="38"/>
      <c r="J641" s="38"/>
      <c r="K641" s="38"/>
      <c r="L641" s="38"/>
      <c r="W641" s="7" t="str">
        <f t="shared" si="11"/>
        <v/>
      </c>
    </row>
    <row r="642" spans="2:23" ht="15.6" x14ac:dyDescent="0.3">
      <c r="B642" s="127"/>
      <c r="C642" s="70"/>
      <c r="D642" s="10"/>
      <c r="E642" s="10"/>
      <c r="F642" s="38"/>
      <c r="G642" s="38"/>
      <c r="H642" s="38"/>
      <c r="I642" s="38"/>
      <c r="J642" s="38"/>
      <c r="K642" s="38"/>
      <c r="L642" s="38"/>
      <c r="W642" s="7" t="str">
        <f t="shared" si="11"/>
        <v/>
      </c>
    </row>
    <row r="643" spans="2:23" ht="15.6" x14ac:dyDescent="0.3">
      <c r="B643" s="127"/>
      <c r="C643" s="70"/>
      <c r="D643" s="10"/>
      <c r="E643" s="10"/>
      <c r="F643" s="38"/>
      <c r="G643" s="38"/>
      <c r="H643" s="38"/>
      <c r="I643" s="38"/>
      <c r="J643" s="38"/>
      <c r="K643" s="38"/>
      <c r="L643" s="38"/>
      <c r="W643" s="7" t="str">
        <f t="shared" ref="W643:W706" si="12">IF(B643="","",TEXT(B643,"mmm"))</f>
        <v/>
      </c>
    </row>
    <row r="644" spans="2:23" ht="15.6" x14ac:dyDescent="0.3">
      <c r="B644" s="127"/>
      <c r="C644" s="70"/>
      <c r="D644" s="10"/>
      <c r="E644" s="10"/>
      <c r="F644" s="38"/>
      <c r="G644" s="38"/>
      <c r="H644" s="38"/>
      <c r="I644" s="38"/>
      <c r="J644" s="38"/>
      <c r="K644" s="38"/>
      <c r="L644" s="38"/>
      <c r="W644" s="7" t="str">
        <f t="shared" si="12"/>
        <v/>
      </c>
    </row>
    <row r="645" spans="2:23" ht="15.6" x14ac:dyDescent="0.3">
      <c r="B645" s="127"/>
      <c r="C645" s="70"/>
      <c r="D645" s="10"/>
      <c r="E645" s="10"/>
      <c r="F645" s="38"/>
      <c r="G645" s="38"/>
      <c r="H645" s="38"/>
      <c r="I645" s="38"/>
      <c r="J645" s="38"/>
      <c r="K645" s="38"/>
      <c r="L645" s="38"/>
      <c r="W645" s="7" t="str">
        <f t="shared" si="12"/>
        <v/>
      </c>
    </row>
    <row r="646" spans="2:23" ht="15.6" x14ac:dyDescent="0.3">
      <c r="B646" s="127"/>
      <c r="C646" s="70"/>
      <c r="D646" s="10"/>
      <c r="E646" s="10"/>
      <c r="F646" s="38"/>
      <c r="G646" s="38"/>
      <c r="H646" s="38"/>
      <c r="I646" s="38"/>
      <c r="J646" s="38"/>
      <c r="K646" s="38"/>
      <c r="L646" s="38"/>
      <c r="W646" s="7" t="str">
        <f t="shared" si="12"/>
        <v/>
      </c>
    </row>
    <row r="647" spans="2:23" ht="15.6" x14ac:dyDescent="0.3">
      <c r="B647" s="127"/>
      <c r="C647" s="70"/>
      <c r="D647" s="10"/>
      <c r="E647" s="10"/>
      <c r="F647" s="38"/>
      <c r="G647" s="38"/>
      <c r="H647" s="38"/>
      <c r="I647" s="38"/>
      <c r="J647" s="38"/>
      <c r="K647" s="38"/>
      <c r="L647" s="38"/>
      <c r="W647" s="7" t="str">
        <f t="shared" si="12"/>
        <v/>
      </c>
    </row>
    <row r="648" spans="2:23" ht="15.6" x14ac:dyDescent="0.3">
      <c r="B648" s="127"/>
      <c r="C648" s="70"/>
      <c r="D648" s="10"/>
      <c r="E648" s="10"/>
      <c r="F648" s="38"/>
      <c r="G648" s="38"/>
      <c r="H648" s="38"/>
      <c r="I648" s="38"/>
      <c r="J648" s="38"/>
      <c r="K648" s="38"/>
      <c r="L648" s="38"/>
      <c r="W648" s="7" t="str">
        <f t="shared" si="12"/>
        <v/>
      </c>
    </row>
    <row r="649" spans="2:23" ht="15.6" x14ac:dyDescent="0.3">
      <c r="B649" s="127"/>
      <c r="C649" s="70"/>
      <c r="D649" s="10"/>
      <c r="E649" s="10"/>
      <c r="F649" s="38"/>
      <c r="G649" s="38"/>
      <c r="H649" s="38"/>
      <c r="I649" s="38"/>
      <c r="J649" s="38"/>
      <c r="K649" s="38"/>
      <c r="L649" s="38"/>
      <c r="W649" s="7" t="str">
        <f t="shared" si="12"/>
        <v/>
      </c>
    </row>
    <row r="650" spans="2:23" ht="15.6" x14ac:dyDescent="0.3">
      <c r="B650" s="127"/>
      <c r="C650" s="70"/>
      <c r="D650" s="10"/>
      <c r="E650" s="10"/>
      <c r="F650" s="38"/>
      <c r="G650" s="38"/>
      <c r="H650" s="38"/>
      <c r="I650" s="38"/>
      <c r="J650" s="38"/>
      <c r="K650" s="38"/>
      <c r="L650" s="38"/>
      <c r="W650" s="7" t="str">
        <f t="shared" si="12"/>
        <v/>
      </c>
    </row>
    <row r="651" spans="2:23" ht="15.6" x14ac:dyDescent="0.3">
      <c r="B651" s="127"/>
      <c r="C651" s="70"/>
      <c r="D651" s="10"/>
      <c r="E651" s="10"/>
      <c r="F651" s="38"/>
      <c r="G651" s="38"/>
      <c r="H651" s="38"/>
      <c r="I651" s="38"/>
      <c r="J651" s="38"/>
      <c r="K651" s="38"/>
      <c r="L651" s="38"/>
      <c r="W651" s="7" t="str">
        <f t="shared" si="12"/>
        <v/>
      </c>
    </row>
    <row r="652" spans="2:23" ht="15.6" x14ac:dyDescent="0.3">
      <c r="B652" s="127"/>
      <c r="C652" s="70"/>
      <c r="D652" s="10"/>
      <c r="E652" s="10"/>
      <c r="F652" s="38"/>
      <c r="G652" s="38"/>
      <c r="H652" s="38"/>
      <c r="I652" s="38"/>
      <c r="J652" s="38"/>
      <c r="K652" s="38"/>
      <c r="L652" s="38"/>
      <c r="W652" s="7" t="str">
        <f t="shared" si="12"/>
        <v/>
      </c>
    </row>
    <row r="653" spans="2:23" ht="15.6" x14ac:dyDescent="0.3">
      <c r="B653" s="127"/>
      <c r="C653" s="70"/>
      <c r="D653" s="10"/>
      <c r="E653" s="10"/>
      <c r="F653" s="38"/>
      <c r="G653" s="38"/>
      <c r="H653" s="38"/>
      <c r="I653" s="38"/>
      <c r="J653" s="38"/>
      <c r="K653" s="38"/>
      <c r="L653" s="38"/>
      <c r="W653" s="7" t="str">
        <f t="shared" si="12"/>
        <v/>
      </c>
    </row>
    <row r="654" spans="2:23" ht="15.6" x14ac:dyDescent="0.3">
      <c r="B654" s="127"/>
      <c r="C654" s="70"/>
      <c r="D654" s="10"/>
      <c r="E654" s="10"/>
      <c r="F654" s="38"/>
      <c r="G654" s="38"/>
      <c r="H654" s="38"/>
      <c r="I654" s="38"/>
      <c r="J654" s="38"/>
      <c r="K654" s="38"/>
      <c r="L654" s="38"/>
      <c r="W654" s="7" t="str">
        <f t="shared" si="12"/>
        <v/>
      </c>
    </row>
    <row r="655" spans="2:23" ht="15.6" x14ac:dyDescent="0.3">
      <c r="B655" s="127"/>
      <c r="C655" s="70"/>
      <c r="D655" s="10"/>
      <c r="E655" s="10"/>
      <c r="F655" s="38"/>
      <c r="G655" s="38"/>
      <c r="H655" s="38"/>
      <c r="I655" s="38"/>
      <c r="J655" s="38"/>
      <c r="K655" s="38"/>
      <c r="L655" s="38"/>
      <c r="W655" s="7" t="str">
        <f t="shared" si="12"/>
        <v/>
      </c>
    </row>
    <row r="656" spans="2:23" ht="15.6" x14ac:dyDescent="0.3">
      <c r="B656" s="127"/>
      <c r="C656" s="70"/>
      <c r="D656" s="10"/>
      <c r="E656" s="10"/>
      <c r="F656" s="38"/>
      <c r="G656" s="38"/>
      <c r="H656" s="38"/>
      <c r="I656" s="38"/>
      <c r="J656" s="38"/>
      <c r="K656" s="38"/>
      <c r="L656" s="38"/>
      <c r="W656" s="7" t="str">
        <f t="shared" si="12"/>
        <v/>
      </c>
    </row>
    <row r="657" spans="2:23" ht="15.6" x14ac:dyDescent="0.3">
      <c r="B657" s="127"/>
      <c r="C657" s="70"/>
      <c r="D657" s="10"/>
      <c r="E657" s="10"/>
      <c r="F657" s="38"/>
      <c r="G657" s="38"/>
      <c r="H657" s="38"/>
      <c r="I657" s="38"/>
      <c r="J657" s="38"/>
      <c r="K657" s="38"/>
      <c r="L657" s="38"/>
      <c r="W657" s="7" t="str">
        <f t="shared" si="12"/>
        <v/>
      </c>
    </row>
    <row r="658" spans="2:23" ht="15.6" x14ac:dyDescent="0.3">
      <c r="B658" s="127"/>
      <c r="C658" s="70"/>
      <c r="D658" s="10"/>
      <c r="E658" s="10"/>
      <c r="F658" s="38"/>
      <c r="G658" s="38"/>
      <c r="H658" s="38"/>
      <c r="I658" s="38"/>
      <c r="J658" s="38"/>
      <c r="K658" s="38"/>
      <c r="L658" s="38"/>
      <c r="W658" s="7" t="str">
        <f t="shared" si="12"/>
        <v/>
      </c>
    </row>
    <row r="659" spans="2:23" ht="15.6" x14ac:dyDescent="0.3">
      <c r="B659" s="127"/>
      <c r="C659" s="70"/>
      <c r="D659" s="10"/>
      <c r="E659" s="10"/>
      <c r="F659" s="38"/>
      <c r="G659" s="38"/>
      <c r="H659" s="38"/>
      <c r="I659" s="38"/>
      <c r="J659" s="38"/>
      <c r="K659" s="38"/>
      <c r="L659" s="38"/>
      <c r="W659" s="7" t="str">
        <f t="shared" si="12"/>
        <v/>
      </c>
    </row>
    <row r="660" spans="2:23" ht="15.6" x14ac:dyDescent="0.3">
      <c r="B660" s="127"/>
      <c r="C660" s="70"/>
      <c r="D660" s="10"/>
      <c r="E660" s="10"/>
      <c r="F660" s="38"/>
      <c r="G660" s="38"/>
      <c r="H660" s="38"/>
      <c r="I660" s="38"/>
      <c r="J660" s="38"/>
      <c r="K660" s="38"/>
      <c r="L660" s="38"/>
      <c r="W660" s="7" t="str">
        <f t="shared" si="12"/>
        <v/>
      </c>
    </row>
    <row r="661" spans="2:23" ht="15.6" x14ac:dyDescent="0.3">
      <c r="B661" s="127"/>
      <c r="C661" s="70"/>
      <c r="D661" s="10"/>
      <c r="E661" s="10"/>
      <c r="F661" s="38"/>
      <c r="G661" s="38"/>
      <c r="H661" s="38"/>
      <c r="I661" s="38"/>
      <c r="J661" s="38"/>
      <c r="K661" s="38"/>
      <c r="L661" s="38"/>
      <c r="W661" s="7" t="str">
        <f t="shared" si="12"/>
        <v/>
      </c>
    </row>
    <row r="662" spans="2:23" ht="15.6" x14ac:dyDescent="0.3">
      <c r="B662" s="127"/>
      <c r="C662" s="70"/>
      <c r="D662" s="10"/>
      <c r="E662" s="10"/>
      <c r="F662" s="38"/>
      <c r="G662" s="38"/>
      <c r="H662" s="38"/>
      <c r="I662" s="38"/>
      <c r="J662" s="38"/>
      <c r="K662" s="38"/>
      <c r="L662" s="38"/>
      <c r="W662" s="7" t="str">
        <f t="shared" si="12"/>
        <v/>
      </c>
    </row>
    <row r="663" spans="2:23" ht="15.6" x14ac:dyDescent="0.3">
      <c r="B663" s="127"/>
      <c r="C663" s="70"/>
      <c r="D663" s="10"/>
      <c r="E663" s="10"/>
      <c r="F663" s="38"/>
      <c r="G663" s="38"/>
      <c r="H663" s="38"/>
      <c r="I663" s="38"/>
      <c r="J663" s="38"/>
      <c r="K663" s="38"/>
      <c r="L663" s="38"/>
      <c r="W663" s="7" t="str">
        <f t="shared" si="12"/>
        <v/>
      </c>
    </row>
    <row r="664" spans="2:23" ht="15.6" x14ac:dyDescent="0.3">
      <c r="B664" s="127"/>
      <c r="C664" s="70"/>
      <c r="D664" s="10"/>
      <c r="E664" s="10"/>
      <c r="F664" s="38"/>
      <c r="G664" s="38"/>
      <c r="H664" s="38"/>
      <c r="I664" s="38"/>
      <c r="J664" s="38"/>
      <c r="K664" s="38"/>
      <c r="L664" s="38"/>
      <c r="W664" s="7" t="str">
        <f t="shared" si="12"/>
        <v/>
      </c>
    </row>
    <row r="665" spans="2:23" ht="15.6" x14ac:dyDescent="0.3">
      <c r="B665" s="127"/>
      <c r="C665" s="70"/>
      <c r="D665" s="10"/>
      <c r="E665" s="10"/>
      <c r="F665" s="38"/>
      <c r="G665" s="38"/>
      <c r="H665" s="38"/>
      <c r="I665" s="38"/>
      <c r="J665" s="38"/>
      <c r="K665" s="38"/>
      <c r="L665" s="38"/>
      <c r="W665" s="7" t="str">
        <f t="shared" si="12"/>
        <v/>
      </c>
    </row>
    <row r="666" spans="2:23" ht="15.6" x14ac:dyDescent="0.3">
      <c r="B666" s="127"/>
      <c r="C666" s="70"/>
      <c r="D666" s="10"/>
      <c r="E666" s="10"/>
      <c r="F666" s="38"/>
      <c r="G666" s="38"/>
      <c r="H666" s="38"/>
      <c r="I666" s="38"/>
      <c r="J666" s="38"/>
      <c r="K666" s="38"/>
      <c r="L666" s="38"/>
      <c r="W666" s="7" t="str">
        <f t="shared" si="12"/>
        <v/>
      </c>
    </row>
    <row r="667" spans="2:23" ht="15.6" x14ac:dyDescent="0.3">
      <c r="B667" s="127"/>
      <c r="C667" s="70"/>
      <c r="D667" s="10"/>
      <c r="E667" s="10"/>
      <c r="F667" s="38"/>
      <c r="G667" s="38"/>
      <c r="H667" s="38"/>
      <c r="I667" s="38"/>
      <c r="J667" s="38"/>
      <c r="K667" s="38"/>
      <c r="L667" s="38"/>
      <c r="W667" s="7" t="str">
        <f t="shared" si="12"/>
        <v/>
      </c>
    </row>
    <row r="668" spans="2:23" ht="15.6" x14ac:dyDescent="0.3">
      <c r="B668" s="127"/>
      <c r="C668" s="70"/>
      <c r="D668" s="10"/>
      <c r="E668" s="10"/>
      <c r="F668" s="38"/>
      <c r="G668" s="38"/>
      <c r="H668" s="38"/>
      <c r="I668" s="38"/>
      <c r="J668" s="38"/>
      <c r="K668" s="38"/>
      <c r="L668" s="38"/>
      <c r="W668" s="7" t="str">
        <f t="shared" si="12"/>
        <v/>
      </c>
    </row>
    <row r="669" spans="2:23" ht="15.6" x14ac:dyDescent="0.3">
      <c r="B669" s="127"/>
      <c r="C669" s="70"/>
      <c r="D669" s="10"/>
      <c r="E669" s="10"/>
      <c r="F669" s="38"/>
      <c r="G669" s="38"/>
      <c r="H669" s="38"/>
      <c r="I669" s="38"/>
      <c r="J669" s="38"/>
      <c r="K669" s="38"/>
      <c r="L669" s="38"/>
      <c r="W669" s="7" t="str">
        <f t="shared" si="12"/>
        <v/>
      </c>
    </row>
    <row r="670" spans="2:23" ht="15.6" x14ac:dyDescent="0.3">
      <c r="B670" s="127"/>
      <c r="C670" s="70"/>
      <c r="D670" s="10"/>
      <c r="E670" s="10"/>
      <c r="F670" s="38"/>
      <c r="G670" s="38"/>
      <c r="H670" s="38"/>
      <c r="I670" s="38"/>
      <c r="J670" s="38"/>
      <c r="K670" s="38"/>
      <c r="L670" s="38"/>
      <c r="W670" s="7" t="str">
        <f t="shared" si="12"/>
        <v/>
      </c>
    </row>
    <row r="671" spans="2:23" ht="15.6" x14ac:dyDescent="0.3">
      <c r="B671" s="127"/>
      <c r="C671" s="70"/>
      <c r="D671" s="10"/>
      <c r="E671" s="10"/>
      <c r="F671" s="38"/>
      <c r="G671" s="38"/>
      <c r="H671" s="38"/>
      <c r="I671" s="38"/>
      <c r="J671" s="38"/>
      <c r="K671" s="38"/>
      <c r="L671" s="38"/>
      <c r="W671" s="7" t="str">
        <f t="shared" si="12"/>
        <v/>
      </c>
    </row>
    <row r="672" spans="2:23" ht="15.6" x14ac:dyDescent="0.3">
      <c r="B672" s="127"/>
      <c r="C672" s="70"/>
      <c r="D672" s="10"/>
      <c r="E672" s="10"/>
      <c r="F672" s="38"/>
      <c r="G672" s="38"/>
      <c r="H672" s="38"/>
      <c r="I672" s="38"/>
      <c r="J672" s="38"/>
      <c r="K672" s="38"/>
      <c r="L672" s="38"/>
      <c r="W672" s="7" t="str">
        <f t="shared" si="12"/>
        <v/>
      </c>
    </row>
    <row r="673" spans="2:23" ht="15.6" x14ac:dyDescent="0.3">
      <c r="B673" s="127"/>
      <c r="C673" s="70"/>
      <c r="D673" s="10"/>
      <c r="E673" s="10"/>
      <c r="F673" s="38"/>
      <c r="G673" s="38"/>
      <c r="H673" s="38"/>
      <c r="I673" s="38"/>
      <c r="J673" s="38"/>
      <c r="K673" s="38"/>
      <c r="L673" s="38"/>
      <c r="W673" s="7" t="str">
        <f t="shared" si="12"/>
        <v/>
      </c>
    </row>
    <row r="674" spans="2:23" ht="15.6" x14ac:dyDescent="0.3">
      <c r="B674" s="127"/>
      <c r="C674" s="70"/>
      <c r="D674" s="10"/>
      <c r="E674" s="10"/>
      <c r="F674" s="38"/>
      <c r="G674" s="38"/>
      <c r="H674" s="38"/>
      <c r="I674" s="38"/>
      <c r="J674" s="38"/>
      <c r="K674" s="38"/>
      <c r="L674" s="38"/>
      <c r="W674" s="7" t="str">
        <f t="shared" si="12"/>
        <v/>
      </c>
    </row>
    <row r="675" spans="2:23" ht="15.6" x14ac:dyDescent="0.3">
      <c r="B675" s="127"/>
      <c r="C675" s="70"/>
      <c r="D675" s="10"/>
      <c r="E675" s="10"/>
      <c r="F675" s="38"/>
      <c r="G675" s="38"/>
      <c r="H675" s="38"/>
      <c r="I675" s="38"/>
      <c r="J675" s="38"/>
      <c r="K675" s="38"/>
      <c r="L675" s="38"/>
      <c r="W675" s="7" t="str">
        <f t="shared" si="12"/>
        <v/>
      </c>
    </row>
    <row r="676" spans="2:23" ht="15.6" x14ac:dyDescent="0.3">
      <c r="B676" s="127"/>
      <c r="C676" s="70"/>
      <c r="D676" s="10"/>
      <c r="E676" s="10"/>
      <c r="F676" s="38"/>
      <c r="G676" s="38"/>
      <c r="H676" s="38"/>
      <c r="I676" s="38"/>
      <c r="J676" s="38"/>
      <c r="K676" s="38"/>
      <c r="L676" s="38"/>
      <c r="W676" s="7" t="str">
        <f t="shared" si="12"/>
        <v/>
      </c>
    </row>
    <row r="677" spans="2:23" ht="15.6" x14ac:dyDescent="0.3">
      <c r="B677" s="127"/>
      <c r="C677" s="70"/>
      <c r="D677" s="10"/>
      <c r="E677" s="10"/>
      <c r="F677" s="38"/>
      <c r="G677" s="38"/>
      <c r="H677" s="38"/>
      <c r="I677" s="38"/>
      <c r="J677" s="38"/>
      <c r="K677" s="38"/>
      <c r="L677" s="38"/>
      <c r="W677" s="7" t="str">
        <f t="shared" si="12"/>
        <v/>
      </c>
    </row>
    <row r="678" spans="2:23" ht="15.6" x14ac:dyDescent="0.3">
      <c r="B678" s="127"/>
      <c r="C678" s="70"/>
      <c r="D678" s="10"/>
      <c r="E678" s="10"/>
      <c r="F678" s="38"/>
      <c r="G678" s="38"/>
      <c r="H678" s="38"/>
      <c r="I678" s="38"/>
      <c r="J678" s="38"/>
      <c r="K678" s="38"/>
      <c r="L678" s="38"/>
      <c r="W678" s="7" t="str">
        <f t="shared" si="12"/>
        <v/>
      </c>
    </row>
    <row r="679" spans="2:23" ht="15.6" x14ac:dyDescent="0.3">
      <c r="B679" s="127"/>
      <c r="C679" s="70"/>
      <c r="D679" s="10"/>
      <c r="E679" s="10"/>
      <c r="F679" s="38"/>
      <c r="G679" s="38"/>
      <c r="H679" s="38"/>
      <c r="I679" s="38"/>
      <c r="J679" s="38"/>
      <c r="K679" s="38"/>
      <c r="L679" s="38"/>
      <c r="W679" s="7" t="str">
        <f t="shared" si="12"/>
        <v/>
      </c>
    </row>
    <row r="680" spans="2:23" ht="15.6" x14ac:dyDescent="0.3">
      <c r="B680" s="127"/>
      <c r="C680" s="70"/>
      <c r="D680" s="10"/>
      <c r="E680" s="10"/>
      <c r="F680" s="38"/>
      <c r="G680" s="38"/>
      <c r="H680" s="38"/>
      <c r="I680" s="38"/>
      <c r="J680" s="38"/>
      <c r="K680" s="38"/>
      <c r="L680" s="38"/>
      <c r="W680" s="7" t="str">
        <f t="shared" si="12"/>
        <v/>
      </c>
    </row>
    <row r="681" spans="2:23" ht="15.6" x14ac:dyDescent="0.3">
      <c r="B681" s="127"/>
      <c r="C681" s="70"/>
      <c r="D681" s="10"/>
      <c r="E681" s="10"/>
      <c r="F681" s="38"/>
      <c r="G681" s="38"/>
      <c r="H681" s="38"/>
      <c r="I681" s="38"/>
      <c r="J681" s="38"/>
      <c r="K681" s="38"/>
      <c r="L681" s="38"/>
      <c r="W681" s="7" t="str">
        <f t="shared" si="12"/>
        <v/>
      </c>
    </row>
    <row r="682" spans="2:23" ht="15.6" x14ac:dyDescent="0.3">
      <c r="B682" s="127"/>
      <c r="C682" s="70"/>
      <c r="D682" s="10"/>
      <c r="E682" s="10"/>
      <c r="F682" s="38"/>
      <c r="G682" s="38"/>
      <c r="H682" s="38"/>
      <c r="I682" s="38"/>
      <c r="J682" s="38"/>
      <c r="K682" s="38"/>
      <c r="L682" s="38"/>
      <c r="W682" s="7" t="str">
        <f t="shared" si="12"/>
        <v/>
      </c>
    </row>
    <row r="683" spans="2:23" ht="15.6" x14ac:dyDescent="0.3">
      <c r="B683" s="127"/>
      <c r="C683" s="70"/>
      <c r="D683" s="10"/>
      <c r="E683" s="10"/>
      <c r="F683" s="38"/>
      <c r="G683" s="38"/>
      <c r="H683" s="38"/>
      <c r="I683" s="38"/>
      <c r="J683" s="38"/>
      <c r="K683" s="38"/>
      <c r="L683" s="38"/>
      <c r="W683" s="7" t="str">
        <f t="shared" si="12"/>
        <v/>
      </c>
    </row>
    <row r="684" spans="2:23" ht="15.6" x14ac:dyDescent="0.3">
      <c r="B684" s="127"/>
      <c r="C684" s="70"/>
      <c r="D684" s="10"/>
      <c r="E684" s="10"/>
      <c r="F684" s="38"/>
      <c r="G684" s="38"/>
      <c r="H684" s="38"/>
      <c r="I684" s="38"/>
      <c r="J684" s="38"/>
      <c r="K684" s="38"/>
      <c r="L684" s="38"/>
      <c r="W684" s="7" t="str">
        <f t="shared" si="12"/>
        <v/>
      </c>
    </row>
    <row r="685" spans="2:23" ht="15.6" x14ac:dyDescent="0.3">
      <c r="B685" s="127"/>
      <c r="C685" s="70"/>
      <c r="D685" s="10"/>
      <c r="E685" s="10"/>
      <c r="F685" s="38"/>
      <c r="G685" s="38"/>
      <c r="H685" s="38"/>
      <c r="I685" s="38"/>
      <c r="J685" s="38"/>
      <c r="K685" s="38"/>
      <c r="L685" s="38"/>
      <c r="W685" s="7" t="str">
        <f t="shared" si="12"/>
        <v/>
      </c>
    </row>
    <row r="686" spans="2:23" ht="15.6" x14ac:dyDescent="0.3">
      <c r="B686" s="127"/>
      <c r="C686" s="70"/>
      <c r="D686" s="10"/>
      <c r="E686" s="10"/>
      <c r="F686" s="38"/>
      <c r="G686" s="38"/>
      <c r="H686" s="38"/>
      <c r="I686" s="38"/>
      <c r="J686" s="38"/>
      <c r="K686" s="38"/>
      <c r="L686" s="38"/>
      <c r="W686" s="7" t="str">
        <f t="shared" si="12"/>
        <v/>
      </c>
    </row>
    <row r="687" spans="2:23" ht="15.6" x14ac:dyDescent="0.3">
      <c r="B687" s="127"/>
      <c r="C687" s="70"/>
      <c r="D687" s="10"/>
      <c r="E687" s="10"/>
      <c r="F687" s="38"/>
      <c r="G687" s="38"/>
      <c r="H687" s="38"/>
      <c r="I687" s="38"/>
      <c r="J687" s="38"/>
      <c r="K687" s="38"/>
      <c r="L687" s="38"/>
      <c r="W687" s="7" t="str">
        <f t="shared" si="12"/>
        <v/>
      </c>
    </row>
    <row r="688" spans="2:23" ht="15.6" x14ac:dyDescent="0.3">
      <c r="B688" s="127"/>
      <c r="C688" s="70"/>
      <c r="D688" s="10"/>
      <c r="E688" s="10"/>
      <c r="F688" s="38"/>
      <c r="G688" s="38"/>
      <c r="H688" s="38"/>
      <c r="I688" s="38"/>
      <c r="J688" s="38"/>
      <c r="K688" s="38"/>
      <c r="L688" s="38"/>
      <c r="W688" s="7" t="str">
        <f t="shared" si="12"/>
        <v/>
      </c>
    </row>
    <row r="689" spans="2:23" ht="15.6" x14ac:dyDescent="0.3">
      <c r="B689" s="127"/>
      <c r="C689" s="70"/>
      <c r="D689" s="10"/>
      <c r="E689" s="10"/>
      <c r="F689" s="38"/>
      <c r="G689" s="38"/>
      <c r="H689" s="38"/>
      <c r="I689" s="38"/>
      <c r="J689" s="38"/>
      <c r="K689" s="38"/>
      <c r="L689" s="38"/>
      <c r="W689" s="7" t="str">
        <f t="shared" si="12"/>
        <v/>
      </c>
    </row>
    <row r="690" spans="2:23" ht="15.6" x14ac:dyDescent="0.3">
      <c r="B690" s="127"/>
      <c r="C690" s="70"/>
      <c r="D690" s="10"/>
      <c r="E690" s="10"/>
      <c r="F690" s="38"/>
      <c r="G690" s="38"/>
      <c r="H690" s="38"/>
      <c r="I690" s="38"/>
      <c r="J690" s="38"/>
      <c r="K690" s="38"/>
      <c r="L690" s="38"/>
      <c r="W690" s="7" t="str">
        <f t="shared" si="12"/>
        <v/>
      </c>
    </row>
    <row r="691" spans="2:23" ht="15.6" x14ac:dyDescent="0.3">
      <c r="B691" s="127"/>
      <c r="C691" s="70"/>
      <c r="D691" s="10"/>
      <c r="E691" s="10"/>
      <c r="F691" s="38"/>
      <c r="G691" s="38"/>
      <c r="H691" s="38"/>
      <c r="I691" s="38"/>
      <c r="J691" s="38"/>
      <c r="K691" s="38"/>
      <c r="L691" s="38"/>
      <c r="W691" s="7" t="str">
        <f t="shared" si="12"/>
        <v/>
      </c>
    </row>
    <row r="692" spans="2:23" ht="15.6" x14ac:dyDescent="0.3">
      <c r="B692" s="127"/>
      <c r="C692" s="70"/>
      <c r="D692" s="10"/>
      <c r="E692" s="10"/>
      <c r="F692" s="38"/>
      <c r="G692" s="38"/>
      <c r="H692" s="38"/>
      <c r="I692" s="38"/>
      <c r="J692" s="38"/>
      <c r="K692" s="38"/>
      <c r="L692" s="38"/>
      <c r="W692" s="7" t="str">
        <f t="shared" si="12"/>
        <v/>
      </c>
    </row>
    <row r="693" spans="2:23" ht="15.6" x14ac:dyDescent="0.3">
      <c r="B693" s="127"/>
      <c r="C693" s="70"/>
      <c r="D693" s="10"/>
      <c r="E693" s="10"/>
      <c r="F693" s="38"/>
      <c r="G693" s="38"/>
      <c r="H693" s="38"/>
      <c r="I693" s="38"/>
      <c r="J693" s="38"/>
      <c r="K693" s="38"/>
      <c r="L693" s="38"/>
      <c r="W693" s="7" t="str">
        <f t="shared" si="12"/>
        <v/>
      </c>
    </row>
    <row r="694" spans="2:23" ht="15.6" x14ac:dyDescent="0.3">
      <c r="B694" s="127"/>
      <c r="C694" s="70"/>
      <c r="D694" s="10"/>
      <c r="E694" s="10"/>
      <c r="F694" s="38"/>
      <c r="G694" s="38"/>
      <c r="H694" s="38"/>
      <c r="I694" s="38"/>
      <c r="J694" s="38"/>
      <c r="K694" s="38"/>
      <c r="L694" s="38"/>
      <c r="W694" s="7" t="str">
        <f t="shared" si="12"/>
        <v/>
      </c>
    </row>
    <row r="695" spans="2:23" ht="15.6" x14ac:dyDescent="0.3">
      <c r="B695" s="127"/>
      <c r="C695" s="70"/>
      <c r="D695" s="10"/>
      <c r="E695" s="10"/>
      <c r="F695" s="38"/>
      <c r="G695" s="38"/>
      <c r="H695" s="38"/>
      <c r="I695" s="38"/>
      <c r="J695" s="38"/>
      <c r="K695" s="38"/>
      <c r="L695" s="38"/>
      <c r="W695" s="7" t="str">
        <f t="shared" si="12"/>
        <v/>
      </c>
    </row>
    <row r="696" spans="2:23" ht="15.6" x14ac:dyDescent="0.3">
      <c r="B696" s="127"/>
      <c r="C696" s="70"/>
      <c r="D696" s="10"/>
      <c r="E696" s="10"/>
      <c r="F696" s="38"/>
      <c r="G696" s="38"/>
      <c r="H696" s="38"/>
      <c r="I696" s="38"/>
      <c r="J696" s="38"/>
      <c r="K696" s="38"/>
      <c r="L696" s="38"/>
      <c r="W696" s="7" t="str">
        <f t="shared" si="12"/>
        <v/>
      </c>
    </row>
    <row r="697" spans="2:23" ht="15.6" x14ac:dyDescent="0.3">
      <c r="B697" s="127"/>
      <c r="C697" s="70"/>
      <c r="D697" s="10"/>
      <c r="E697" s="10"/>
      <c r="F697" s="38"/>
      <c r="G697" s="38"/>
      <c r="H697" s="38"/>
      <c r="I697" s="38"/>
      <c r="J697" s="38"/>
      <c r="K697" s="38"/>
      <c r="L697" s="38"/>
      <c r="W697" s="7" t="str">
        <f t="shared" si="12"/>
        <v/>
      </c>
    </row>
    <row r="698" spans="2:23" ht="15.6" x14ac:dyDescent="0.3">
      <c r="B698" s="127"/>
      <c r="C698" s="70"/>
      <c r="D698" s="10"/>
      <c r="E698" s="10"/>
      <c r="F698" s="38"/>
      <c r="G698" s="38"/>
      <c r="H698" s="38"/>
      <c r="I698" s="38"/>
      <c r="J698" s="38"/>
      <c r="K698" s="38"/>
      <c r="L698" s="38"/>
      <c r="W698" s="7" t="str">
        <f t="shared" si="12"/>
        <v/>
      </c>
    </row>
    <row r="699" spans="2:23" ht="15.6" x14ac:dyDescent="0.3">
      <c r="B699" s="127"/>
      <c r="C699" s="70"/>
      <c r="D699" s="10"/>
      <c r="E699" s="10"/>
      <c r="F699" s="38"/>
      <c r="G699" s="38"/>
      <c r="H699" s="38"/>
      <c r="I699" s="38"/>
      <c r="J699" s="38"/>
      <c r="K699" s="38"/>
      <c r="L699" s="38"/>
      <c r="W699" s="7" t="str">
        <f t="shared" si="12"/>
        <v/>
      </c>
    </row>
    <row r="700" spans="2:23" ht="15.6" x14ac:dyDescent="0.3">
      <c r="B700" s="127"/>
      <c r="C700" s="70"/>
      <c r="D700" s="10"/>
      <c r="E700" s="10"/>
      <c r="F700" s="38"/>
      <c r="G700" s="38"/>
      <c r="H700" s="38"/>
      <c r="I700" s="38"/>
      <c r="J700" s="38"/>
      <c r="K700" s="38"/>
      <c r="L700" s="38"/>
      <c r="W700" s="7" t="str">
        <f t="shared" si="12"/>
        <v/>
      </c>
    </row>
    <row r="701" spans="2:23" ht="15.6" x14ac:dyDescent="0.3">
      <c r="B701" s="127"/>
      <c r="C701" s="70"/>
      <c r="D701" s="10"/>
      <c r="E701" s="10"/>
      <c r="F701" s="38"/>
      <c r="G701" s="38"/>
      <c r="H701" s="38"/>
      <c r="I701" s="38"/>
      <c r="J701" s="38"/>
      <c r="K701" s="38"/>
      <c r="L701" s="38"/>
      <c r="W701" s="7" t="str">
        <f t="shared" si="12"/>
        <v/>
      </c>
    </row>
    <row r="702" spans="2:23" ht="15.6" x14ac:dyDescent="0.3">
      <c r="B702" s="127"/>
      <c r="C702" s="70"/>
      <c r="D702" s="10"/>
      <c r="E702" s="10"/>
      <c r="F702" s="38"/>
      <c r="G702" s="38"/>
      <c r="H702" s="38"/>
      <c r="I702" s="38"/>
      <c r="J702" s="38"/>
      <c r="K702" s="38"/>
      <c r="L702" s="38"/>
      <c r="W702" s="7" t="str">
        <f t="shared" si="12"/>
        <v/>
      </c>
    </row>
    <row r="703" spans="2:23" ht="15.6" x14ac:dyDescent="0.3">
      <c r="B703" s="127"/>
      <c r="C703" s="70"/>
      <c r="D703" s="10"/>
      <c r="E703" s="10"/>
      <c r="F703" s="38"/>
      <c r="G703" s="38"/>
      <c r="H703" s="38"/>
      <c r="I703" s="38"/>
      <c r="J703" s="38"/>
      <c r="K703" s="38"/>
      <c r="L703" s="38"/>
      <c r="W703" s="7" t="str">
        <f t="shared" si="12"/>
        <v/>
      </c>
    </row>
    <row r="704" spans="2:23" ht="15.6" x14ac:dyDescent="0.3">
      <c r="B704" s="127"/>
      <c r="C704" s="70"/>
      <c r="D704" s="10"/>
      <c r="E704" s="10"/>
      <c r="F704" s="38"/>
      <c r="G704" s="38"/>
      <c r="H704" s="38"/>
      <c r="I704" s="38"/>
      <c r="J704" s="38"/>
      <c r="K704" s="38"/>
      <c r="L704" s="38"/>
      <c r="W704" s="7" t="str">
        <f t="shared" si="12"/>
        <v/>
      </c>
    </row>
    <row r="705" spans="2:23" ht="15.6" x14ac:dyDescent="0.3">
      <c r="B705" s="127"/>
      <c r="C705" s="70"/>
      <c r="D705" s="10"/>
      <c r="E705" s="10"/>
      <c r="F705" s="38"/>
      <c r="G705" s="38"/>
      <c r="H705" s="38"/>
      <c r="I705" s="38"/>
      <c r="J705" s="38"/>
      <c r="K705" s="38"/>
      <c r="L705" s="38"/>
      <c r="W705" s="7" t="str">
        <f t="shared" si="12"/>
        <v/>
      </c>
    </row>
    <row r="706" spans="2:23" ht="15.6" x14ac:dyDescent="0.3">
      <c r="B706" s="127"/>
      <c r="C706" s="70"/>
      <c r="D706" s="10"/>
      <c r="E706" s="10"/>
      <c r="F706" s="38"/>
      <c r="G706" s="38"/>
      <c r="H706" s="38"/>
      <c r="I706" s="38"/>
      <c r="J706" s="38"/>
      <c r="K706" s="38"/>
      <c r="L706" s="38"/>
      <c r="W706" s="7" t="str">
        <f t="shared" si="12"/>
        <v/>
      </c>
    </row>
    <row r="707" spans="2:23" ht="15.6" x14ac:dyDescent="0.3">
      <c r="B707" s="127"/>
      <c r="C707" s="70"/>
      <c r="D707" s="10"/>
      <c r="E707" s="10"/>
      <c r="F707" s="38"/>
      <c r="G707" s="38"/>
      <c r="H707" s="38"/>
      <c r="I707" s="38"/>
      <c r="J707" s="38"/>
      <c r="K707" s="38"/>
      <c r="L707" s="38"/>
      <c r="W707" s="7" t="str">
        <f t="shared" ref="W707:W770" si="13">IF(B707="","",TEXT(B707,"mmm"))</f>
        <v/>
      </c>
    </row>
    <row r="708" spans="2:23" ht="15.6" x14ac:dyDescent="0.3">
      <c r="B708" s="127"/>
      <c r="C708" s="70"/>
      <c r="D708" s="10"/>
      <c r="E708" s="10"/>
      <c r="F708" s="38"/>
      <c r="G708" s="38"/>
      <c r="H708" s="38"/>
      <c r="I708" s="38"/>
      <c r="J708" s="38"/>
      <c r="K708" s="38"/>
      <c r="L708" s="38"/>
      <c r="W708" s="7" t="str">
        <f t="shared" si="13"/>
        <v/>
      </c>
    </row>
    <row r="709" spans="2:23" ht="15.6" x14ac:dyDescent="0.3">
      <c r="B709" s="127"/>
      <c r="C709" s="70"/>
      <c r="D709" s="10"/>
      <c r="E709" s="10"/>
      <c r="F709" s="38"/>
      <c r="G709" s="38"/>
      <c r="H709" s="38"/>
      <c r="I709" s="38"/>
      <c r="J709" s="38"/>
      <c r="K709" s="38"/>
      <c r="L709" s="38"/>
      <c r="W709" s="7" t="str">
        <f t="shared" si="13"/>
        <v/>
      </c>
    </row>
    <row r="710" spans="2:23" ht="15.6" x14ac:dyDescent="0.3">
      <c r="B710" s="127"/>
      <c r="C710" s="70"/>
      <c r="D710" s="10"/>
      <c r="E710" s="10"/>
      <c r="F710" s="38"/>
      <c r="G710" s="38"/>
      <c r="H710" s="38"/>
      <c r="I710" s="38"/>
      <c r="J710" s="38"/>
      <c r="K710" s="38"/>
      <c r="L710" s="38"/>
      <c r="W710" s="7" t="str">
        <f t="shared" si="13"/>
        <v/>
      </c>
    </row>
    <row r="711" spans="2:23" ht="15.6" x14ac:dyDescent="0.3">
      <c r="B711" s="127"/>
      <c r="C711" s="70"/>
      <c r="D711" s="10"/>
      <c r="E711" s="10"/>
      <c r="F711" s="38"/>
      <c r="G711" s="38"/>
      <c r="H711" s="38"/>
      <c r="I711" s="38"/>
      <c r="J711" s="38"/>
      <c r="K711" s="38"/>
      <c r="L711" s="38"/>
      <c r="W711" s="7" t="str">
        <f t="shared" si="13"/>
        <v/>
      </c>
    </row>
    <row r="712" spans="2:23" ht="15.6" x14ac:dyDescent="0.3">
      <c r="B712" s="127"/>
      <c r="C712" s="70"/>
      <c r="D712" s="10"/>
      <c r="E712" s="10"/>
      <c r="F712" s="38"/>
      <c r="G712" s="38"/>
      <c r="H712" s="38"/>
      <c r="I712" s="38"/>
      <c r="J712" s="38"/>
      <c r="K712" s="38"/>
      <c r="L712" s="38"/>
      <c r="W712" s="7" t="str">
        <f t="shared" si="13"/>
        <v/>
      </c>
    </row>
    <row r="713" spans="2:23" ht="15.6" x14ac:dyDescent="0.3">
      <c r="B713" s="127"/>
      <c r="C713" s="70"/>
      <c r="D713" s="10"/>
      <c r="E713" s="10"/>
      <c r="F713" s="38"/>
      <c r="G713" s="38"/>
      <c r="H713" s="38"/>
      <c r="I713" s="38"/>
      <c r="J713" s="38"/>
      <c r="K713" s="38"/>
      <c r="L713" s="38"/>
      <c r="W713" s="7" t="str">
        <f t="shared" si="13"/>
        <v/>
      </c>
    </row>
    <row r="714" spans="2:23" ht="15.6" x14ac:dyDescent="0.3">
      <c r="B714" s="127"/>
      <c r="C714" s="70"/>
      <c r="D714" s="10"/>
      <c r="E714" s="10"/>
      <c r="F714" s="38"/>
      <c r="G714" s="38"/>
      <c r="H714" s="38"/>
      <c r="I714" s="38"/>
      <c r="J714" s="38"/>
      <c r="K714" s="38"/>
      <c r="L714" s="38"/>
      <c r="W714" s="7" t="str">
        <f t="shared" si="13"/>
        <v/>
      </c>
    </row>
    <row r="715" spans="2:23" ht="15.6" x14ac:dyDescent="0.3">
      <c r="B715" s="127"/>
      <c r="C715" s="70"/>
      <c r="D715" s="10"/>
      <c r="E715" s="10"/>
      <c r="F715" s="38"/>
      <c r="G715" s="38"/>
      <c r="H715" s="38"/>
      <c r="I715" s="38"/>
      <c r="J715" s="38"/>
      <c r="K715" s="38"/>
      <c r="L715" s="38"/>
      <c r="W715" s="7" t="str">
        <f t="shared" si="13"/>
        <v/>
      </c>
    </row>
    <row r="716" spans="2:23" ht="15.6" x14ac:dyDescent="0.3">
      <c r="B716" s="127"/>
      <c r="C716" s="70"/>
      <c r="D716" s="10"/>
      <c r="E716" s="10"/>
      <c r="F716" s="38"/>
      <c r="G716" s="38"/>
      <c r="H716" s="38"/>
      <c r="I716" s="38"/>
      <c r="J716" s="38"/>
      <c r="K716" s="38"/>
      <c r="L716" s="38"/>
      <c r="W716" s="7" t="str">
        <f t="shared" si="13"/>
        <v/>
      </c>
    </row>
    <row r="717" spans="2:23" ht="15.6" x14ac:dyDescent="0.3">
      <c r="B717" s="127"/>
      <c r="C717" s="70"/>
      <c r="D717" s="10"/>
      <c r="E717" s="10"/>
      <c r="F717" s="38"/>
      <c r="G717" s="38"/>
      <c r="H717" s="38"/>
      <c r="I717" s="38"/>
      <c r="J717" s="38"/>
      <c r="K717" s="38"/>
      <c r="L717" s="38"/>
      <c r="W717" s="7" t="str">
        <f t="shared" si="13"/>
        <v/>
      </c>
    </row>
    <row r="718" spans="2:23" ht="15.6" x14ac:dyDescent="0.3">
      <c r="B718" s="127"/>
      <c r="C718" s="70"/>
      <c r="D718" s="10"/>
      <c r="E718" s="10"/>
      <c r="F718" s="38"/>
      <c r="G718" s="38"/>
      <c r="H718" s="38"/>
      <c r="I718" s="38"/>
      <c r="J718" s="38"/>
      <c r="K718" s="38"/>
      <c r="L718" s="38"/>
      <c r="W718" s="7" t="str">
        <f t="shared" si="13"/>
        <v/>
      </c>
    </row>
    <row r="719" spans="2:23" ht="15.6" x14ac:dyDescent="0.3">
      <c r="B719" s="127"/>
      <c r="C719" s="70"/>
      <c r="D719" s="10"/>
      <c r="E719" s="10"/>
      <c r="F719" s="38"/>
      <c r="G719" s="38"/>
      <c r="H719" s="38"/>
      <c r="I719" s="38"/>
      <c r="J719" s="38"/>
      <c r="K719" s="38"/>
      <c r="L719" s="38"/>
      <c r="W719" s="7" t="str">
        <f t="shared" si="13"/>
        <v/>
      </c>
    </row>
    <row r="720" spans="2:23" ht="15.6" x14ac:dyDescent="0.3">
      <c r="B720" s="127"/>
      <c r="C720" s="70"/>
      <c r="D720" s="10"/>
      <c r="E720" s="10"/>
      <c r="F720" s="38"/>
      <c r="G720" s="38"/>
      <c r="H720" s="38"/>
      <c r="I720" s="38"/>
      <c r="J720" s="38"/>
      <c r="K720" s="38"/>
      <c r="L720" s="38"/>
      <c r="W720" s="7" t="str">
        <f t="shared" si="13"/>
        <v/>
      </c>
    </row>
    <row r="721" spans="2:23" ht="15.6" x14ac:dyDescent="0.3">
      <c r="B721" s="127"/>
      <c r="C721" s="70"/>
      <c r="D721" s="10"/>
      <c r="E721" s="10"/>
      <c r="F721" s="38"/>
      <c r="G721" s="38"/>
      <c r="H721" s="38"/>
      <c r="I721" s="38"/>
      <c r="J721" s="38"/>
      <c r="K721" s="38"/>
      <c r="L721" s="38"/>
      <c r="W721" s="7" t="str">
        <f t="shared" si="13"/>
        <v/>
      </c>
    </row>
    <row r="722" spans="2:23" ht="15.6" x14ac:dyDescent="0.3">
      <c r="B722" s="127"/>
      <c r="C722" s="70"/>
      <c r="D722" s="10"/>
      <c r="E722" s="10"/>
      <c r="F722" s="38"/>
      <c r="G722" s="38"/>
      <c r="H722" s="38"/>
      <c r="I722" s="38"/>
      <c r="J722" s="38"/>
      <c r="K722" s="38"/>
      <c r="L722" s="38"/>
      <c r="W722" s="7" t="str">
        <f t="shared" si="13"/>
        <v/>
      </c>
    </row>
    <row r="723" spans="2:23" ht="15.6" x14ac:dyDescent="0.3">
      <c r="B723" s="127"/>
      <c r="C723" s="70"/>
      <c r="D723" s="10"/>
      <c r="E723" s="10"/>
      <c r="F723" s="38"/>
      <c r="G723" s="38"/>
      <c r="H723" s="38"/>
      <c r="I723" s="38"/>
      <c r="J723" s="38"/>
      <c r="K723" s="38"/>
      <c r="L723" s="38"/>
      <c r="W723" s="7" t="str">
        <f t="shared" si="13"/>
        <v/>
      </c>
    </row>
    <row r="724" spans="2:23" ht="15.6" x14ac:dyDescent="0.3">
      <c r="B724" s="127"/>
      <c r="C724" s="70"/>
      <c r="D724" s="10"/>
      <c r="E724" s="10"/>
      <c r="F724" s="38"/>
      <c r="G724" s="38"/>
      <c r="H724" s="38"/>
      <c r="I724" s="38"/>
      <c r="J724" s="38"/>
      <c r="K724" s="38"/>
      <c r="L724" s="38"/>
      <c r="W724" s="7" t="str">
        <f t="shared" si="13"/>
        <v/>
      </c>
    </row>
    <row r="725" spans="2:23" ht="15.6" x14ac:dyDescent="0.3">
      <c r="B725" s="127"/>
      <c r="C725" s="70"/>
      <c r="D725" s="10"/>
      <c r="E725" s="10"/>
      <c r="F725" s="38"/>
      <c r="G725" s="38"/>
      <c r="H725" s="38"/>
      <c r="I725" s="38"/>
      <c r="J725" s="38"/>
      <c r="K725" s="38"/>
      <c r="L725" s="38"/>
      <c r="W725" s="7" t="str">
        <f t="shared" si="13"/>
        <v/>
      </c>
    </row>
    <row r="726" spans="2:23" ht="15.6" x14ac:dyDescent="0.3">
      <c r="B726" s="127"/>
      <c r="C726" s="70"/>
      <c r="D726" s="10"/>
      <c r="E726" s="10"/>
      <c r="F726" s="38"/>
      <c r="G726" s="38"/>
      <c r="H726" s="38"/>
      <c r="I726" s="38"/>
      <c r="J726" s="38"/>
      <c r="K726" s="38"/>
      <c r="L726" s="38"/>
      <c r="W726" s="7" t="str">
        <f t="shared" si="13"/>
        <v/>
      </c>
    </row>
    <row r="727" spans="2:23" ht="15.6" x14ac:dyDescent="0.3">
      <c r="B727" s="127"/>
      <c r="C727" s="70"/>
      <c r="D727" s="10"/>
      <c r="E727" s="10"/>
      <c r="F727" s="38"/>
      <c r="G727" s="38"/>
      <c r="H727" s="38"/>
      <c r="I727" s="38"/>
      <c r="J727" s="38"/>
      <c r="K727" s="38"/>
      <c r="L727" s="38"/>
      <c r="W727" s="7" t="str">
        <f t="shared" si="13"/>
        <v/>
      </c>
    </row>
    <row r="728" spans="2:23" ht="15.6" x14ac:dyDescent="0.3">
      <c r="B728" s="127"/>
      <c r="C728" s="70"/>
      <c r="D728" s="10"/>
      <c r="E728" s="10"/>
      <c r="F728" s="38"/>
      <c r="G728" s="38"/>
      <c r="H728" s="38"/>
      <c r="I728" s="38"/>
      <c r="J728" s="38"/>
      <c r="K728" s="38"/>
      <c r="L728" s="38"/>
      <c r="W728" s="7" t="str">
        <f t="shared" si="13"/>
        <v/>
      </c>
    </row>
    <row r="729" spans="2:23" ht="15.6" x14ac:dyDescent="0.3">
      <c r="B729" s="127"/>
      <c r="C729" s="70"/>
      <c r="D729" s="10"/>
      <c r="E729" s="10"/>
      <c r="F729" s="38"/>
      <c r="G729" s="38"/>
      <c r="H729" s="38"/>
      <c r="I729" s="38"/>
      <c r="J729" s="38"/>
      <c r="K729" s="38"/>
      <c r="L729" s="38"/>
      <c r="W729" s="7" t="str">
        <f t="shared" si="13"/>
        <v/>
      </c>
    </row>
    <row r="730" spans="2:23" ht="15.6" x14ac:dyDescent="0.3">
      <c r="B730" s="127"/>
      <c r="C730" s="70"/>
      <c r="D730" s="10"/>
      <c r="E730" s="10"/>
      <c r="F730" s="38"/>
      <c r="G730" s="38"/>
      <c r="H730" s="38"/>
      <c r="I730" s="38"/>
      <c r="J730" s="38"/>
      <c r="K730" s="38"/>
      <c r="L730" s="38"/>
      <c r="W730" s="7" t="str">
        <f t="shared" si="13"/>
        <v/>
      </c>
    </row>
    <row r="731" spans="2:23" ht="15.6" x14ac:dyDescent="0.3">
      <c r="B731" s="127"/>
      <c r="C731" s="70"/>
      <c r="D731" s="10"/>
      <c r="E731" s="10"/>
      <c r="F731" s="38"/>
      <c r="G731" s="38"/>
      <c r="H731" s="38"/>
      <c r="I731" s="38"/>
      <c r="J731" s="38"/>
      <c r="K731" s="38"/>
      <c r="L731" s="38"/>
      <c r="W731" s="7" t="str">
        <f t="shared" si="13"/>
        <v/>
      </c>
    </row>
    <row r="732" spans="2:23" ht="15.6" x14ac:dyDescent="0.3">
      <c r="B732" s="127"/>
      <c r="C732" s="70"/>
      <c r="D732" s="10"/>
      <c r="E732" s="10"/>
      <c r="F732" s="38"/>
      <c r="G732" s="38"/>
      <c r="H732" s="38"/>
      <c r="I732" s="38"/>
      <c r="J732" s="38"/>
      <c r="K732" s="38"/>
      <c r="L732" s="38"/>
      <c r="W732" s="7" t="str">
        <f t="shared" si="13"/>
        <v/>
      </c>
    </row>
    <row r="733" spans="2:23" ht="15.6" x14ac:dyDescent="0.3">
      <c r="B733" s="127"/>
      <c r="C733" s="70"/>
      <c r="D733" s="10"/>
      <c r="E733" s="10"/>
      <c r="F733" s="38"/>
      <c r="G733" s="38"/>
      <c r="H733" s="38"/>
      <c r="I733" s="38"/>
      <c r="J733" s="38"/>
      <c r="K733" s="38"/>
      <c r="L733" s="38"/>
      <c r="W733" s="7" t="str">
        <f t="shared" si="13"/>
        <v/>
      </c>
    </row>
    <row r="734" spans="2:23" ht="15.6" x14ac:dyDescent="0.3">
      <c r="B734" s="127"/>
      <c r="C734" s="70"/>
      <c r="D734" s="10"/>
      <c r="E734" s="10"/>
      <c r="F734" s="38"/>
      <c r="G734" s="38"/>
      <c r="H734" s="38"/>
      <c r="I734" s="38"/>
      <c r="J734" s="38"/>
      <c r="K734" s="38"/>
      <c r="L734" s="38"/>
      <c r="W734" s="7" t="str">
        <f t="shared" si="13"/>
        <v/>
      </c>
    </row>
    <row r="735" spans="2:23" ht="15.6" x14ac:dyDescent="0.3">
      <c r="B735" s="127"/>
      <c r="C735" s="70"/>
      <c r="D735" s="10"/>
      <c r="E735" s="10"/>
      <c r="F735" s="38"/>
      <c r="G735" s="38"/>
      <c r="H735" s="38"/>
      <c r="I735" s="38"/>
      <c r="J735" s="38"/>
      <c r="K735" s="38"/>
      <c r="L735" s="38"/>
      <c r="W735" s="7" t="str">
        <f t="shared" si="13"/>
        <v/>
      </c>
    </row>
    <row r="736" spans="2:23" ht="15.6" x14ac:dyDescent="0.3">
      <c r="B736" s="127"/>
      <c r="C736" s="70"/>
      <c r="D736" s="10"/>
      <c r="E736" s="10"/>
      <c r="F736" s="38"/>
      <c r="G736" s="38"/>
      <c r="H736" s="38"/>
      <c r="I736" s="38"/>
      <c r="J736" s="38"/>
      <c r="K736" s="38"/>
      <c r="L736" s="38"/>
      <c r="W736" s="7" t="str">
        <f t="shared" si="13"/>
        <v/>
      </c>
    </row>
    <row r="737" spans="2:23" ht="15.6" x14ac:dyDescent="0.3">
      <c r="B737" s="127"/>
      <c r="C737" s="70"/>
      <c r="D737" s="10"/>
      <c r="E737" s="10"/>
      <c r="F737" s="38"/>
      <c r="G737" s="38"/>
      <c r="H737" s="38"/>
      <c r="I737" s="38"/>
      <c r="J737" s="38"/>
      <c r="K737" s="38"/>
      <c r="L737" s="38"/>
      <c r="W737" s="7" t="str">
        <f t="shared" si="13"/>
        <v/>
      </c>
    </row>
    <row r="738" spans="2:23" ht="15.6" x14ac:dyDescent="0.3">
      <c r="B738" s="127"/>
      <c r="C738" s="70"/>
      <c r="D738" s="10"/>
      <c r="E738" s="10"/>
      <c r="F738" s="38"/>
      <c r="G738" s="38"/>
      <c r="H738" s="38"/>
      <c r="I738" s="38"/>
      <c r="J738" s="38"/>
      <c r="K738" s="38"/>
      <c r="L738" s="38"/>
      <c r="W738" s="7" t="str">
        <f t="shared" si="13"/>
        <v/>
      </c>
    </row>
    <row r="739" spans="2:23" ht="15.6" x14ac:dyDescent="0.3">
      <c r="B739" s="127"/>
      <c r="C739" s="70"/>
      <c r="D739" s="10"/>
      <c r="E739" s="10"/>
      <c r="F739" s="38"/>
      <c r="G739" s="38"/>
      <c r="H739" s="38"/>
      <c r="I739" s="38"/>
      <c r="J739" s="38"/>
      <c r="K739" s="38"/>
      <c r="L739" s="38"/>
      <c r="W739" s="7" t="str">
        <f t="shared" si="13"/>
        <v/>
      </c>
    </row>
    <row r="740" spans="2:23" ht="15.6" x14ac:dyDescent="0.3">
      <c r="B740" s="127"/>
      <c r="C740" s="70"/>
      <c r="D740" s="10"/>
      <c r="E740" s="10"/>
      <c r="F740" s="38"/>
      <c r="G740" s="38"/>
      <c r="H740" s="38"/>
      <c r="I740" s="38"/>
      <c r="J740" s="38"/>
      <c r="K740" s="38"/>
      <c r="L740" s="38"/>
      <c r="W740" s="7" t="str">
        <f t="shared" si="13"/>
        <v/>
      </c>
    </row>
    <row r="741" spans="2:23" ht="15.6" x14ac:dyDescent="0.3">
      <c r="B741" s="127"/>
      <c r="C741" s="70"/>
      <c r="D741" s="10"/>
      <c r="E741" s="10"/>
      <c r="F741" s="38"/>
      <c r="G741" s="38"/>
      <c r="H741" s="38"/>
      <c r="I741" s="38"/>
      <c r="J741" s="38"/>
      <c r="K741" s="38"/>
      <c r="L741" s="38"/>
      <c r="W741" s="7" t="str">
        <f t="shared" si="13"/>
        <v/>
      </c>
    </row>
    <row r="742" spans="2:23" ht="15.6" x14ac:dyDescent="0.3">
      <c r="B742" s="127"/>
      <c r="C742" s="70"/>
      <c r="D742" s="10"/>
      <c r="E742" s="10"/>
      <c r="F742" s="38"/>
      <c r="G742" s="38"/>
      <c r="H742" s="38"/>
      <c r="I742" s="38"/>
      <c r="J742" s="38"/>
      <c r="K742" s="38"/>
      <c r="L742" s="38"/>
      <c r="W742" s="7" t="str">
        <f t="shared" si="13"/>
        <v/>
      </c>
    </row>
    <row r="743" spans="2:23" ht="15.6" x14ac:dyDescent="0.3">
      <c r="B743" s="127"/>
      <c r="C743" s="70"/>
      <c r="D743" s="10"/>
      <c r="E743" s="10"/>
      <c r="F743" s="38"/>
      <c r="G743" s="38"/>
      <c r="H743" s="38"/>
      <c r="I743" s="38"/>
      <c r="J743" s="38"/>
      <c r="K743" s="38"/>
      <c r="L743" s="38"/>
      <c r="W743" s="7" t="str">
        <f t="shared" si="13"/>
        <v/>
      </c>
    </row>
    <row r="744" spans="2:23" ht="15.6" x14ac:dyDescent="0.3">
      <c r="B744" s="127"/>
      <c r="C744" s="70"/>
      <c r="D744" s="10"/>
      <c r="E744" s="10"/>
      <c r="F744" s="38"/>
      <c r="G744" s="38"/>
      <c r="H744" s="38"/>
      <c r="I744" s="38"/>
      <c r="J744" s="38"/>
      <c r="K744" s="38"/>
      <c r="L744" s="38"/>
      <c r="W744" s="7" t="str">
        <f t="shared" si="13"/>
        <v/>
      </c>
    </row>
    <row r="745" spans="2:23" ht="15.6" x14ac:dyDescent="0.3">
      <c r="B745" s="127"/>
      <c r="C745" s="70"/>
      <c r="D745" s="10"/>
      <c r="E745" s="10"/>
      <c r="F745" s="38"/>
      <c r="G745" s="38"/>
      <c r="H745" s="38"/>
      <c r="I745" s="38"/>
      <c r="J745" s="38"/>
      <c r="K745" s="38"/>
      <c r="L745" s="38"/>
      <c r="W745" s="7" t="str">
        <f t="shared" si="13"/>
        <v/>
      </c>
    </row>
    <row r="746" spans="2:23" ht="15.6" x14ac:dyDescent="0.3">
      <c r="B746" s="127"/>
      <c r="C746" s="70"/>
      <c r="D746" s="10"/>
      <c r="E746" s="10"/>
      <c r="F746" s="38"/>
      <c r="G746" s="38"/>
      <c r="H746" s="38"/>
      <c r="I746" s="38"/>
      <c r="J746" s="38"/>
      <c r="K746" s="38"/>
      <c r="L746" s="38"/>
      <c r="W746" s="7" t="str">
        <f t="shared" si="13"/>
        <v/>
      </c>
    </row>
    <row r="747" spans="2:23" ht="15.6" x14ac:dyDescent="0.3">
      <c r="B747" s="127"/>
      <c r="C747" s="70"/>
      <c r="D747" s="10"/>
      <c r="E747" s="10"/>
      <c r="F747" s="38"/>
      <c r="G747" s="38"/>
      <c r="H747" s="38"/>
      <c r="I747" s="38"/>
      <c r="J747" s="38"/>
      <c r="K747" s="38"/>
      <c r="L747" s="38"/>
      <c r="W747" s="7" t="str">
        <f t="shared" si="13"/>
        <v/>
      </c>
    </row>
    <row r="748" spans="2:23" ht="15.6" x14ac:dyDescent="0.3">
      <c r="B748" s="127"/>
      <c r="C748" s="70"/>
      <c r="D748" s="10"/>
      <c r="E748" s="10"/>
      <c r="F748" s="38"/>
      <c r="G748" s="38"/>
      <c r="H748" s="38"/>
      <c r="I748" s="38"/>
      <c r="J748" s="38"/>
      <c r="K748" s="38"/>
      <c r="L748" s="38"/>
      <c r="W748" s="7" t="str">
        <f t="shared" si="13"/>
        <v/>
      </c>
    </row>
    <row r="749" spans="2:23" ht="15.6" x14ac:dyDescent="0.3">
      <c r="B749" s="127"/>
      <c r="C749" s="70"/>
      <c r="D749" s="10"/>
      <c r="E749" s="10"/>
      <c r="F749" s="38"/>
      <c r="G749" s="38"/>
      <c r="H749" s="38"/>
      <c r="I749" s="38"/>
      <c r="J749" s="38"/>
      <c r="K749" s="38"/>
      <c r="L749" s="38"/>
      <c r="W749" s="7" t="str">
        <f t="shared" si="13"/>
        <v/>
      </c>
    </row>
    <row r="750" spans="2:23" ht="15.6" x14ac:dyDescent="0.3">
      <c r="B750" s="127"/>
      <c r="C750" s="70"/>
      <c r="D750" s="10"/>
      <c r="E750" s="10"/>
      <c r="F750" s="38"/>
      <c r="G750" s="38"/>
      <c r="H750" s="38"/>
      <c r="I750" s="38"/>
      <c r="J750" s="38"/>
      <c r="K750" s="38"/>
      <c r="L750" s="38"/>
      <c r="W750" s="7" t="str">
        <f t="shared" si="13"/>
        <v/>
      </c>
    </row>
    <row r="751" spans="2:23" ht="15.6" x14ac:dyDescent="0.3">
      <c r="B751" s="127"/>
      <c r="C751" s="70"/>
      <c r="D751" s="10"/>
      <c r="E751" s="10"/>
      <c r="F751" s="38"/>
      <c r="G751" s="38"/>
      <c r="H751" s="38"/>
      <c r="I751" s="38"/>
      <c r="J751" s="38"/>
      <c r="K751" s="38"/>
      <c r="L751" s="38"/>
      <c r="W751" s="7" t="str">
        <f t="shared" si="13"/>
        <v/>
      </c>
    </row>
    <row r="752" spans="2:23" ht="15.6" x14ac:dyDescent="0.3">
      <c r="B752" s="127"/>
      <c r="C752" s="70"/>
      <c r="D752" s="10"/>
      <c r="E752" s="10"/>
      <c r="F752" s="38"/>
      <c r="G752" s="38"/>
      <c r="H752" s="38"/>
      <c r="I752" s="38"/>
      <c r="J752" s="38"/>
      <c r="K752" s="38"/>
      <c r="L752" s="38"/>
      <c r="W752" s="7" t="str">
        <f t="shared" si="13"/>
        <v/>
      </c>
    </row>
    <row r="753" spans="2:23" ht="15.6" x14ac:dyDescent="0.3">
      <c r="B753" s="127"/>
      <c r="C753" s="70"/>
      <c r="D753" s="10"/>
      <c r="E753" s="10"/>
      <c r="F753" s="38"/>
      <c r="G753" s="38"/>
      <c r="H753" s="38"/>
      <c r="I753" s="38"/>
      <c r="J753" s="38"/>
      <c r="K753" s="38"/>
      <c r="L753" s="38"/>
      <c r="W753" s="7" t="str">
        <f t="shared" si="13"/>
        <v/>
      </c>
    </row>
    <row r="754" spans="2:23" ht="15.6" x14ac:dyDescent="0.3">
      <c r="B754" s="127"/>
      <c r="C754" s="70"/>
      <c r="D754" s="10"/>
      <c r="E754" s="10"/>
      <c r="F754" s="38"/>
      <c r="G754" s="38"/>
      <c r="H754" s="38"/>
      <c r="I754" s="38"/>
      <c r="J754" s="38"/>
      <c r="K754" s="38"/>
      <c r="L754" s="38"/>
      <c r="W754" s="7" t="str">
        <f t="shared" si="13"/>
        <v/>
      </c>
    </row>
    <row r="755" spans="2:23" ht="15.6" x14ac:dyDescent="0.3">
      <c r="B755" s="127"/>
      <c r="C755" s="70"/>
      <c r="D755" s="10"/>
      <c r="E755" s="10"/>
      <c r="F755" s="38"/>
      <c r="G755" s="38"/>
      <c r="H755" s="38"/>
      <c r="I755" s="38"/>
      <c r="J755" s="38"/>
      <c r="K755" s="38"/>
      <c r="L755" s="38"/>
      <c r="W755" s="7" t="str">
        <f t="shared" si="13"/>
        <v/>
      </c>
    </row>
    <row r="756" spans="2:23" ht="15.6" x14ac:dyDescent="0.3">
      <c r="B756" s="127"/>
      <c r="C756" s="70"/>
      <c r="D756" s="10"/>
      <c r="E756" s="10"/>
      <c r="F756" s="38"/>
      <c r="G756" s="38"/>
      <c r="H756" s="38"/>
      <c r="I756" s="38"/>
      <c r="J756" s="38"/>
      <c r="K756" s="38"/>
      <c r="L756" s="38"/>
      <c r="W756" s="7" t="str">
        <f t="shared" si="13"/>
        <v/>
      </c>
    </row>
    <row r="757" spans="2:23" ht="15.6" x14ac:dyDescent="0.3">
      <c r="B757" s="127"/>
      <c r="C757" s="70"/>
      <c r="D757" s="10"/>
      <c r="E757" s="10"/>
      <c r="F757" s="38"/>
      <c r="G757" s="38"/>
      <c r="H757" s="38"/>
      <c r="I757" s="38"/>
      <c r="J757" s="38"/>
      <c r="K757" s="38"/>
      <c r="L757" s="38"/>
      <c r="W757" s="7" t="str">
        <f t="shared" si="13"/>
        <v/>
      </c>
    </row>
    <row r="758" spans="2:23" ht="15.6" x14ac:dyDescent="0.3">
      <c r="B758" s="127"/>
      <c r="C758" s="70"/>
      <c r="D758" s="10"/>
      <c r="E758" s="10"/>
      <c r="F758" s="38"/>
      <c r="G758" s="38"/>
      <c r="H758" s="38"/>
      <c r="I758" s="38"/>
      <c r="J758" s="38"/>
      <c r="K758" s="38"/>
      <c r="L758" s="38"/>
      <c r="W758" s="7" t="str">
        <f t="shared" si="13"/>
        <v/>
      </c>
    </row>
    <row r="759" spans="2:23" ht="15.6" x14ac:dyDescent="0.3">
      <c r="B759" s="127"/>
      <c r="C759" s="70"/>
      <c r="D759" s="10"/>
      <c r="E759" s="10"/>
      <c r="F759" s="38"/>
      <c r="G759" s="38"/>
      <c r="H759" s="38"/>
      <c r="I759" s="38"/>
      <c r="J759" s="38"/>
      <c r="K759" s="38"/>
      <c r="L759" s="38"/>
      <c r="W759" s="7" t="str">
        <f t="shared" si="13"/>
        <v/>
      </c>
    </row>
    <row r="760" spans="2:23" ht="15.6" x14ac:dyDescent="0.3">
      <c r="B760" s="127"/>
      <c r="C760" s="70"/>
      <c r="D760" s="10"/>
      <c r="E760" s="10"/>
      <c r="F760" s="38"/>
      <c r="G760" s="38"/>
      <c r="H760" s="38"/>
      <c r="I760" s="38"/>
      <c r="J760" s="38"/>
      <c r="K760" s="38"/>
      <c r="L760" s="38"/>
      <c r="W760" s="7" t="str">
        <f t="shared" si="13"/>
        <v/>
      </c>
    </row>
    <row r="761" spans="2:23" ht="15.6" x14ac:dyDescent="0.3">
      <c r="B761" s="127"/>
      <c r="C761" s="70"/>
      <c r="D761" s="10"/>
      <c r="E761" s="10"/>
      <c r="F761" s="38"/>
      <c r="G761" s="38"/>
      <c r="H761" s="38"/>
      <c r="I761" s="38"/>
      <c r="J761" s="38"/>
      <c r="K761" s="38"/>
      <c r="L761" s="38"/>
      <c r="W761" s="7" t="str">
        <f t="shared" si="13"/>
        <v/>
      </c>
    </row>
    <row r="762" spans="2:23" ht="15.6" x14ac:dyDescent="0.3">
      <c r="B762" s="127"/>
      <c r="C762" s="70"/>
      <c r="D762" s="10"/>
      <c r="E762" s="10"/>
      <c r="F762" s="38"/>
      <c r="G762" s="38"/>
      <c r="H762" s="38"/>
      <c r="I762" s="38"/>
      <c r="J762" s="38"/>
      <c r="K762" s="38"/>
      <c r="L762" s="38"/>
      <c r="W762" s="7" t="str">
        <f t="shared" si="13"/>
        <v/>
      </c>
    </row>
    <row r="763" spans="2:23" ht="15.6" x14ac:dyDescent="0.3">
      <c r="B763" s="127"/>
      <c r="C763" s="70"/>
      <c r="D763" s="10"/>
      <c r="E763" s="10"/>
      <c r="F763" s="38"/>
      <c r="G763" s="38"/>
      <c r="H763" s="38"/>
      <c r="I763" s="38"/>
      <c r="J763" s="38"/>
      <c r="K763" s="38"/>
      <c r="L763" s="38"/>
      <c r="W763" s="7" t="str">
        <f t="shared" si="13"/>
        <v/>
      </c>
    </row>
    <row r="764" spans="2:23" ht="15.6" x14ac:dyDescent="0.3">
      <c r="B764" s="127"/>
      <c r="C764" s="70"/>
      <c r="D764" s="10"/>
      <c r="E764" s="10"/>
      <c r="F764" s="38"/>
      <c r="G764" s="38"/>
      <c r="H764" s="38"/>
      <c r="I764" s="38"/>
      <c r="J764" s="38"/>
      <c r="K764" s="38"/>
      <c r="L764" s="38"/>
      <c r="W764" s="7" t="str">
        <f t="shared" si="13"/>
        <v/>
      </c>
    </row>
    <row r="765" spans="2:23" ht="15.6" x14ac:dyDescent="0.3">
      <c r="B765" s="127"/>
      <c r="C765" s="70"/>
      <c r="D765" s="10"/>
      <c r="E765" s="10"/>
      <c r="F765" s="38"/>
      <c r="G765" s="38"/>
      <c r="H765" s="38"/>
      <c r="I765" s="38"/>
      <c r="J765" s="38"/>
      <c r="K765" s="38"/>
      <c r="L765" s="38"/>
      <c r="W765" s="7" t="str">
        <f t="shared" si="13"/>
        <v/>
      </c>
    </row>
    <row r="766" spans="2:23" ht="15.6" x14ac:dyDescent="0.3">
      <c r="B766" s="127"/>
      <c r="C766" s="70"/>
      <c r="D766" s="10"/>
      <c r="E766" s="10"/>
      <c r="F766" s="38"/>
      <c r="G766" s="38"/>
      <c r="H766" s="38"/>
      <c r="I766" s="38"/>
      <c r="J766" s="38"/>
      <c r="K766" s="38"/>
      <c r="L766" s="38"/>
      <c r="W766" s="7" t="str">
        <f t="shared" si="13"/>
        <v/>
      </c>
    </row>
    <row r="767" spans="2:23" ht="15.6" x14ac:dyDescent="0.3">
      <c r="B767" s="127"/>
      <c r="C767" s="70"/>
      <c r="D767" s="10"/>
      <c r="E767" s="10"/>
      <c r="F767" s="38"/>
      <c r="G767" s="38"/>
      <c r="H767" s="38"/>
      <c r="I767" s="38"/>
      <c r="J767" s="38"/>
      <c r="K767" s="38"/>
      <c r="L767" s="38"/>
      <c r="W767" s="7" t="str">
        <f t="shared" si="13"/>
        <v/>
      </c>
    </row>
    <row r="768" spans="2:23" ht="15.6" x14ac:dyDescent="0.3">
      <c r="B768" s="127"/>
      <c r="C768" s="70"/>
      <c r="D768" s="10"/>
      <c r="E768" s="10"/>
      <c r="F768" s="38"/>
      <c r="G768" s="38"/>
      <c r="H768" s="38"/>
      <c r="I768" s="38"/>
      <c r="J768" s="38"/>
      <c r="K768" s="38"/>
      <c r="L768" s="38"/>
      <c r="W768" s="7" t="str">
        <f t="shared" si="13"/>
        <v/>
      </c>
    </row>
    <row r="769" spans="2:23" ht="15.6" x14ac:dyDescent="0.3">
      <c r="B769" s="127"/>
      <c r="C769" s="70"/>
      <c r="D769" s="10"/>
      <c r="E769" s="10"/>
      <c r="F769" s="38"/>
      <c r="G769" s="38"/>
      <c r="H769" s="38"/>
      <c r="I769" s="38"/>
      <c r="J769" s="38"/>
      <c r="K769" s="38"/>
      <c r="L769" s="38"/>
      <c r="W769" s="7" t="str">
        <f t="shared" si="13"/>
        <v/>
      </c>
    </row>
    <row r="770" spans="2:23" ht="15.6" x14ac:dyDescent="0.3">
      <c r="B770" s="127"/>
      <c r="C770" s="70"/>
      <c r="D770" s="10"/>
      <c r="E770" s="10"/>
      <c r="F770" s="38"/>
      <c r="G770" s="38"/>
      <c r="H770" s="38"/>
      <c r="I770" s="38"/>
      <c r="J770" s="38"/>
      <c r="K770" s="38"/>
      <c r="L770" s="38"/>
      <c r="W770" s="7" t="str">
        <f t="shared" si="13"/>
        <v/>
      </c>
    </row>
    <row r="771" spans="2:23" ht="15.6" x14ac:dyDescent="0.3">
      <c r="B771" s="127"/>
      <c r="C771" s="70"/>
      <c r="D771" s="10"/>
      <c r="E771" s="10"/>
      <c r="F771" s="38"/>
      <c r="G771" s="38"/>
      <c r="H771" s="38"/>
      <c r="I771" s="38"/>
      <c r="J771" s="38"/>
      <c r="K771" s="38"/>
      <c r="L771" s="38"/>
      <c r="W771" s="7" t="str">
        <f t="shared" ref="W771:W834" si="14">IF(B771="","",TEXT(B771,"mmm"))</f>
        <v/>
      </c>
    </row>
    <row r="772" spans="2:23" ht="15.6" x14ac:dyDescent="0.3">
      <c r="B772" s="127"/>
      <c r="C772" s="70"/>
      <c r="D772" s="10"/>
      <c r="E772" s="10"/>
      <c r="F772" s="38"/>
      <c r="G772" s="38"/>
      <c r="H772" s="38"/>
      <c r="I772" s="38"/>
      <c r="J772" s="38"/>
      <c r="K772" s="38"/>
      <c r="L772" s="38"/>
      <c r="W772" s="7" t="str">
        <f t="shared" si="14"/>
        <v/>
      </c>
    </row>
    <row r="773" spans="2:23" ht="15.6" x14ac:dyDescent="0.3">
      <c r="B773" s="127"/>
      <c r="C773" s="70"/>
      <c r="D773" s="10"/>
      <c r="E773" s="10"/>
      <c r="F773" s="38"/>
      <c r="G773" s="38"/>
      <c r="H773" s="38"/>
      <c r="I773" s="38"/>
      <c r="J773" s="38"/>
      <c r="K773" s="38"/>
      <c r="L773" s="38"/>
      <c r="W773" s="7" t="str">
        <f t="shared" si="14"/>
        <v/>
      </c>
    </row>
    <row r="774" spans="2:23" ht="15.6" x14ac:dyDescent="0.3">
      <c r="B774" s="127"/>
      <c r="C774" s="70"/>
      <c r="D774" s="10"/>
      <c r="E774" s="10"/>
      <c r="F774" s="38"/>
      <c r="G774" s="38"/>
      <c r="H774" s="38"/>
      <c r="I774" s="38"/>
      <c r="J774" s="38"/>
      <c r="K774" s="38"/>
      <c r="L774" s="38"/>
      <c r="W774" s="7" t="str">
        <f t="shared" si="14"/>
        <v/>
      </c>
    </row>
    <row r="775" spans="2:23" ht="15.6" x14ac:dyDescent="0.3">
      <c r="B775" s="127"/>
      <c r="C775" s="70"/>
      <c r="D775" s="10"/>
      <c r="E775" s="10"/>
      <c r="F775" s="38"/>
      <c r="G775" s="38"/>
      <c r="H775" s="38"/>
      <c r="I775" s="38"/>
      <c r="J775" s="38"/>
      <c r="K775" s="38"/>
      <c r="L775" s="38"/>
      <c r="W775" s="7" t="str">
        <f t="shared" si="14"/>
        <v/>
      </c>
    </row>
    <row r="776" spans="2:23" ht="15.6" x14ac:dyDescent="0.3">
      <c r="B776" s="127"/>
      <c r="C776" s="70"/>
      <c r="D776" s="10"/>
      <c r="E776" s="10"/>
      <c r="F776" s="38"/>
      <c r="G776" s="38"/>
      <c r="H776" s="38"/>
      <c r="I776" s="38"/>
      <c r="J776" s="38"/>
      <c r="K776" s="38"/>
      <c r="L776" s="38"/>
      <c r="W776" s="7" t="str">
        <f t="shared" si="14"/>
        <v/>
      </c>
    </row>
    <row r="777" spans="2:23" ht="15.6" x14ac:dyDescent="0.3">
      <c r="B777" s="127"/>
      <c r="C777" s="70"/>
      <c r="D777" s="10"/>
      <c r="E777" s="10"/>
      <c r="F777" s="38"/>
      <c r="G777" s="38"/>
      <c r="H777" s="38"/>
      <c r="I777" s="38"/>
      <c r="J777" s="38"/>
      <c r="K777" s="38"/>
      <c r="L777" s="38"/>
      <c r="W777" s="7" t="str">
        <f t="shared" si="14"/>
        <v/>
      </c>
    </row>
    <row r="778" spans="2:23" ht="15.6" x14ac:dyDescent="0.3">
      <c r="B778" s="127"/>
      <c r="C778" s="70"/>
      <c r="D778" s="10"/>
      <c r="E778" s="10"/>
      <c r="F778" s="38"/>
      <c r="G778" s="38"/>
      <c r="H778" s="38"/>
      <c r="I778" s="38"/>
      <c r="J778" s="38"/>
      <c r="K778" s="38"/>
      <c r="L778" s="38"/>
      <c r="W778" s="7" t="str">
        <f t="shared" si="14"/>
        <v/>
      </c>
    </row>
    <row r="779" spans="2:23" ht="15.6" x14ac:dyDescent="0.3">
      <c r="B779" s="127"/>
      <c r="C779" s="70"/>
      <c r="D779" s="10"/>
      <c r="E779" s="10"/>
      <c r="F779" s="38"/>
      <c r="G779" s="38"/>
      <c r="H779" s="38"/>
      <c r="I779" s="38"/>
      <c r="J779" s="38"/>
      <c r="K779" s="38"/>
      <c r="L779" s="38"/>
      <c r="W779" s="7" t="str">
        <f t="shared" si="14"/>
        <v/>
      </c>
    </row>
    <row r="780" spans="2:23" ht="15.6" x14ac:dyDescent="0.3">
      <c r="B780" s="127"/>
      <c r="C780" s="70"/>
      <c r="D780" s="10"/>
      <c r="E780" s="10"/>
      <c r="F780" s="38"/>
      <c r="G780" s="38"/>
      <c r="H780" s="38"/>
      <c r="I780" s="38"/>
      <c r="J780" s="38"/>
      <c r="K780" s="38"/>
      <c r="L780" s="38"/>
      <c r="W780" s="7" t="str">
        <f t="shared" si="14"/>
        <v/>
      </c>
    </row>
    <row r="781" spans="2:23" ht="15.6" x14ac:dyDescent="0.3">
      <c r="B781" s="127"/>
      <c r="C781" s="70"/>
      <c r="D781" s="10"/>
      <c r="E781" s="10"/>
      <c r="F781" s="38"/>
      <c r="G781" s="38"/>
      <c r="H781" s="38"/>
      <c r="I781" s="38"/>
      <c r="J781" s="38"/>
      <c r="K781" s="38"/>
      <c r="L781" s="38"/>
      <c r="W781" s="7" t="str">
        <f t="shared" si="14"/>
        <v/>
      </c>
    </row>
    <row r="782" spans="2:23" ht="15.6" x14ac:dyDescent="0.3">
      <c r="B782" s="127"/>
      <c r="C782" s="70"/>
      <c r="D782" s="10"/>
      <c r="E782" s="10"/>
      <c r="F782" s="38"/>
      <c r="G782" s="38"/>
      <c r="H782" s="38"/>
      <c r="I782" s="38"/>
      <c r="J782" s="38"/>
      <c r="K782" s="38"/>
      <c r="L782" s="38"/>
      <c r="W782" s="7" t="str">
        <f t="shared" si="14"/>
        <v/>
      </c>
    </row>
    <row r="783" spans="2:23" ht="15.6" x14ac:dyDescent="0.3">
      <c r="B783" s="127"/>
      <c r="C783" s="70"/>
      <c r="D783" s="10"/>
      <c r="E783" s="10"/>
      <c r="F783" s="38"/>
      <c r="G783" s="38"/>
      <c r="H783" s="38"/>
      <c r="I783" s="38"/>
      <c r="J783" s="38"/>
      <c r="K783" s="38"/>
      <c r="L783" s="38"/>
      <c r="W783" s="7" t="str">
        <f t="shared" si="14"/>
        <v/>
      </c>
    </row>
    <row r="784" spans="2:23" ht="15.6" x14ac:dyDescent="0.3">
      <c r="B784" s="127"/>
      <c r="C784" s="70"/>
      <c r="D784" s="10"/>
      <c r="E784" s="10"/>
      <c r="F784" s="38"/>
      <c r="G784" s="38"/>
      <c r="H784" s="38"/>
      <c r="I784" s="38"/>
      <c r="J784" s="38"/>
      <c r="K784" s="38"/>
      <c r="L784" s="38"/>
      <c r="W784" s="7" t="str">
        <f t="shared" si="14"/>
        <v/>
      </c>
    </row>
    <row r="785" spans="2:23" ht="15.6" x14ac:dyDescent="0.3">
      <c r="B785" s="127"/>
      <c r="C785" s="70"/>
      <c r="D785" s="10"/>
      <c r="E785" s="10"/>
      <c r="F785" s="38"/>
      <c r="G785" s="38"/>
      <c r="H785" s="38"/>
      <c r="I785" s="38"/>
      <c r="J785" s="38"/>
      <c r="K785" s="38"/>
      <c r="L785" s="38"/>
      <c r="W785" s="7" t="str">
        <f t="shared" si="14"/>
        <v/>
      </c>
    </row>
    <row r="786" spans="2:23" ht="15.6" x14ac:dyDescent="0.3">
      <c r="B786" s="127"/>
      <c r="C786" s="70"/>
      <c r="D786" s="10"/>
      <c r="E786" s="10"/>
      <c r="F786" s="38"/>
      <c r="G786" s="38"/>
      <c r="H786" s="38"/>
      <c r="I786" s="38"/>
      <c r="J786" s="38"/>
      <c r="K786" s="38"/>
      <c r="L786" s="38"/>
      <c r="W786" s="7" t="str">
        <f t="shared" si="14"/>
        <v/>
      </c>
    </row>
    <row r="787" spans="2:23" ht="15.6" x14ac:dyDescent="0.3">
      <c r="B787" s="127"/>
      <c r="C787" s="70"/>
      <c r="D787" s="10"/>
      <c r="E787" s="10"/>
      <c r="F787" s="38"/>
      <c r="G787" s="38"/>
      <c r="H787" s="38"/>
      <c r="I787" s="38"/>
      <c r="J787" s="38"/>
      <c r="K787" s="38"/>
      <c r="L787" s="38"/>
      <c r="W787" s="7" t="str">
        <f t="shared" si="14"/>
        <v/>
      </c>
    </row>
    <row r="788" spans="2:23" ht="15.6" x14ac:dyDescent="0.3">
      <c r="B788" s="127"/>
      <c r="C788" s="70"/>
      <c r="D788" s="10"/>
      <c r="E788" s="10"/>
      <c r="F788" s="38"/>
      <c r="G788" s="38"/>
      <c r="H788" s="38"/>
      <c r="I788" s="38"/>
      <c r="J788" s="38"/>
      <c r="K788" s="38"/>
      <c r="L788" s="38"/>
      <c r="W788" s="7" t="str">
        <f t="shared" si="14"/>
        <v/>
      </c>
    </row>
    <row r="789" spans="2:23" ht="15.6" x14ac:dyDescent="0.3">
      <c r="B789" s="127"/>
      <c r="C789" s="70"/>
      <c r="D789" s="10"/>
      <c r="E789" s="10"/>
      <c r="F789" s="38"/>
      <c r="G789" s="38"/>
      <c r="H789" s="38"/>
      <c r="I789" s="38"/>
      <c r="J789" s="38"/>
      <c r="K789" s="38"/>
      <c r="L789" s="38"/>
      <c r="W789" s="7" t="str">
        <f t="shared" si="14"/>
        <v/>
      </c>
    </row>
    <row r="790" spans="2:23" ht="15.6" x14ac:dyDescent="0.3">
      <c r="B790" s="127"/>
      <c r="C790" s="70"/>
      <c r="D790" s="10"/>
      <c r="E790" s="10"/>
      <c r="F790" s="38"/>
      <c r="G790" s="38"/>
      <c r="H790" s="38"/>
      <c r="I790" s="38"/>
      <c r="J790" s="38"/>
      <c r="K790" s="38"/>
      <c r="L790" s="38"/>
      <c r="W790" s="7" t="str">
        <f t="shared" si="14"/>
        <v/>
      </c>
    </row>
    <row r="791" spans="2:23" ht="15.6" x14ac:dyDescent="0.3">
      <c r="B791" s="127"/>
      <c r="C791" s="70"/>
      <c r="D791" s="10"/>
      <c r="E791" s="10"/>
      <c r="F791" s="38"/>
      <c r="G791" s="38"/>
      <c r="H791" s="38"/>
      <c r="I791" s="38"/>
      <c r="J791" s="38"/>
      <c r="K791" s="38"/>
      <c r="L791" s="38"/>
      <c r="W791" s="7" t="str">
        <f t="shared" si="14"/>
        <v/>
      </c>
    </row>
    <row r="792" spans="2:23" ht="15.6" x14ac:dyDescent="0.3">
      <c r="B792" s="127"/>
      <c r="C792" s="70"/>
      <c r="D792" s="10"/>
      <c r="E792" s="10"/>
      <c r="F792" s="38"/>
      <c r="G792" s="38"/>
      <c r="H792" s="38"/>
      <c r="I792" s="38"/>
      <c r="J792" s="38"/>
      <c r="K792" s="38"/>
      <c r="L792" s="38"/>
      <c r="W792" s="7" t="str">
        <f t="shared" si="14"/>
        <v/>
      </c>
    </row>
    <row r="793" spans="2:23" ht="15.6" x14ac:dyDescent="0.3">
      <c r="B793" s="127"/>
      <c r="C793" s="70"/>
      <c r="D793" s="10"/>
      <c r="E793" s="10"/>
      <c r="F793" s="38"/>
      <c r="G793" s="38"/>
      <c r="H793" s="38"/>
      <c r="I793" s="38"/>
      <c r="J793" s="38"/>
      <c r="K793" s="38"/>
      <c r="L793" s="38"/>
      <c r="W793" s="7" t="str">
        <f t="shared" si="14"/>
        <v/>
      </c>
    </row>
    <row r="794" spans="2:23" ht="15.6" x14ac:dyDescent="0.3">
      <c r="B794" s="127"/>
      <c r="C794" s="70"/>
      <c r="D794" s="10"/>
      <c r="E794" s="10"/>
      <c r="F794" s="38"/>
      <c r="G794" s="38"/>
      <c r="H794" s="38"/>
      <c r="I794" s="38"/>
      <c r="J794" s="38"/>
      <c r="K794" s="38"/>
      <c r="L794" s="38"/>
      <c r="W794" s="7" t="str">
        <f t="shared" si="14"/>
        <v/>
      </c>
    </row>
    <row r="795" spans="2:23" ht="15.6" x14ac:dyDescent="0.3">
      <c r="B795" s="127"/>
      <c r="C795" s="70"/>
      <c r="D795" s="10"/>
      <c r="E795" s="10"/>
      <c r="F795" s="38"/>
      <c r="G795" s="38"/>
      <c r="H795" s="38"/>
      <c r="I795" s="38"/>
      <c r="J795" s="38"/>
      <c r="K795" s="38"/>
      <c r="L795" s="38"/>
      <c r="W795" s="7" t="str">
        <f t="shared" si="14"/>
        <v/>
      </c>
    </row>
    <row r="796" spans="2:23" ht="15.6" x14ac:dyDescent="0.3">
      <c r="B796" s="127"/>
      <c r="C796" s="70"/>
      <c r="D796" s="10"/>
      <c r="E796" s="10"/>
      <c r="F796" s="38"/>
      <c r="G796" s="38"/>
      <c r="H796" s="38"/>
      <c r="I796" s="38"/>
      <c r="J796" s="38"/>
      <c r="K796" s="38"/>
      <c r="L796" s="38"/>
      <c r="W796" s="7" t="str">
        <f t="shared" si="14"/>
        <v/>
      </c>
    </row>
    <row r="797" spans="2:23" ht="15.6" x14ac:dyDescent="0.3">
      <c r="B797" s="127"/>
      <c r="C797" s="70"/>
      <c r="D797" s="10"/>
      <c r="E797" s="10"/>
      <c r="F797" s="38"/>
      <c r="G797" s="38"/>
      <c r="H797" s="38"/>
      <c r="I797" s="38"/>
      <c r="J797" s="38"/>
      <c r="K797" s="38"/>
      <c r="L797" s="38"/>
      <c r="W797" s="7" t="str">
        <f t="shared" si="14"/>
        <v/>
      </c>
    </row>
    <row r="798" spans="2:23" ht="15.6" x14ac:dyDescent="0.3">
      <c r="B798" s="127"/>
      <c r="C798" s="70"/>
      <c r="D798" s="10"/>
      <c r="E798" s="10"/>
      <c r="F798" s="38"/>
      <c r="G798" s="38"/>
      <c r="H798" s="38"/>
      <c r="I798" s="38"/>
      <c r="J798" s="38"/>
      <c r="K798" s="38"/>
      <c r="L798" s="38"/>
      <c r="W798" s="7" t="str">
        <f t="shared" si="14"/>
        <v/>
      </c>
    </row>
    <row r="799" spans="2:23" ht="15.6" x14ac:dyDescent="0.3">
      <c r="B799" s="127"/>
      <c r="C799" s="70"/>
      <c r="D799" s="10"/>
      <c r="E799" s="10"/>
      <c r="F799" s="38"/>
      <c r="G799" s="38"/>
      <c r="H799" s="38"/>
      <c r="I799" s="38"/>
      <c r="J799" s="38"/>
      <c r="K799" s="38"/>
      <c r="L799" s="38"/>
      <c r="W799" s="7" t="str">
        <f t="shared" si="14"/>
        <v/>
      </c>
    </row>
    <row r="800" spans="2:23" ht="15.6" x14ac:dyDescent="0.3">
      <c r="B800" s="127"/>
      <c r="C800" s="70"/>
      <c r="D800" s="10"/>
      <c r="E800" s="10"/>
      <c r="F800" s="38"/>
      <c r="G800" s="38"/>
      <c r="H800" s="38"/>
      <c r="I800" s="38"/>
      <c r="J800" s="38"/>
      <c r="K800" s="38"/>
      <c r="L800" s="38"/>
      <c r="W800" s="7" t="str">
        <f t="shared" si="14"/>
        <v/>
      </c>
    </row>
    <row r="801" spans="2:23" ht="15.6" x14ac:dyDescent="0.3">
      <c r="B801" s="127"/>
      <c r="C801" s="70"/>
      <c r="D801" s="10"/>
      <c r="E801" s="10"/>
      <c r="F801" s="38"/>
      <c r="G801" s="38"/>
      <c r="H801" s="38"/>
      <c r="I801" s="38"/>
      <c r="J801" s="38"/>
      <c r="K801" s="38"/>
      <c r="L801" s="38"/>
      <c r="W801" s="7" t="str">
        <f t="shared" si="14"/>
        <v/>
      </c>
    </row>
    <row r="802" spans="2:23" ht="15.6" x14ac:dyDescent="0.3">
      <c r="B802" s="127"/>
      <c r="C802" s="70"/>
      <c r="D802" s="10"/>
      <c r="E802" s="10"/>
      <c r="F802" s="38"/>
      <c r="G802" s="38"/>
      <c r="H802" s="38"/>
      <c r="I802" s="38"/>
      <c r="J802" s="38"/>
      <c r="K802" s="38"/>
      <c r="L802" s="38"/>
      <c r="W802" s="7" t="str">
        <f t="shared" si="14"/>
        <v/>
      </c>
    </row>
    <row r="803" spans="2:23" ht="15.6" x14ac:dyDescent="0.3">
      <c r="B803" s="127"/>
      <c r="C803" s="70"/>
      <c r="D803" s="10"/>
      <c r="E803" s="10"/>
      <c r="F803" s="38"/>
      <c r="G803" s="38"/>
      <c r="H803" s="38"/>
      <c r="I803" s="38"/>
      <c r="J803" s="38"/>
      <c r="K803" s="38"/>
      <c r="L803" s="38"/>
      <c r="W803" s="7" t="str">
        <f t="shared" si="14"/>
        <v/>
      </c>
    </row>
    <row r="804" spans="2:23" ht="15.6" x14ac:dyDescent="0.3">
      <c r="B804" s="127"/>
      <c r="C804" s="70"/>
      <c r="D804" s="10"/>
      <c r="E804" s="10"/>
      <c r="F804" s="38"/>
      <c r="G804" s="38"/>
      <c r="H804" s="38"/>
      <c r="I804" s="38"/>
      <c r="J804" s="38"/>
      <c r="K804" s="38"/>
      <c r="L804" s="38"/>
      <c r="W804" s="7" t="str">
        <f t="shared" si="14"/>
        <v/>
      </c>
    </row>
    <row r="805" spans="2:23" ht="15.6" x14ac:dyDescent="0.3">
      <c r="B805" s="127"/>
      <c r="C805" s="70"/>
      <c r="D805" s="10"/>
      <c r="E805" s="10"/>
      <c r="F805" s="38"/>
      <c r="G805" s="38"/>
      <c r="H805" s="38"/>
      <c r="I805" s="38"/>
      <c r="J805" s="38"/>
      <c r="K805" s="38"/>
      <c r="L805" s="38"/>
      <c r="W805" s="7" t="str">
        <f t="shared" si="14"/>
        <v/>
      </c>
    </row>
    <row r="806" spans="2:23" ht="15.6" x14ac:dyDescent="0.3">
      <c r="B806" s="127"/>
      <c r="C806" s="70"/>
      <c r="D806" s="10"/>
      <c r="E806" s="10"/>
      <c r="F806" s="38"/>
      <c r="G806" s="38"/>
      <c r="H806" s="38"/>
      <c r="I806" s="38"/>
      <c r="J806" s="38"/>
      <c r="K806" s="38"/>
      <c r="L806" s="38"/>
      <c r="W806" s="7" t="str">
        <f t="shared" si="14"/>
        <v/>
      </c>
    </row>
    <row r="807" spans="2:23" ht="15.6" x14ac:dyDescent="0.3">
      <c r="B807" s="127"/>
      <c r="C807" s="70"/>
      <c r="D807" s="10"/>
      <c r="E807" s="10"/>
      <c r="F807" s="38"/>
      <c r="G807" s="38"/>
      <c r="H807" s="38"/>
      <c r="I807" s="38"/>
      <c r="J807" s="38"/>
      <c r="K807" s="38"/>
      <c r="L807" s="38"/>
      <c r="W807" s="7" t="str">
        <f t="shared" si="14"/>
        <v/>
      </c>
    </row>
    <row r="808" spans="2:23" ht="15.6" x14ac:dyDescent="0.3">
      <c r="B808" s="127"/>
      <c r="C808" s="70"/>
      <c r="D808" s="10"/>
      <c r="E808" s="10"/>
      <c r="F808" s="38"/>
      <c r="G808" s="38"/>
      <c r="H808" s="38"/>
      <c r="I808" s="38"/>
      <c r="J808" s="38"/>
      <c r="K808" s="38"/>
      <c r="L808" s="38"/>
      <c r="W808" s="7" t="str">
        <f t="shared" si="14"/>
        <v/>
      </c>
    </row>
    <row r="809" spans="2:23" ht="15.6" x14ac:dyDescent="0.3">
      <c r="B809" s="127"/>
      <c r="C809" s="70"/>
      <c r="D809" s="10"/>
      <c r="E809" s="10"/>
      <c r="F809" s="38"/>
      <c r="G809" s="38"/>
      <c r="H809" s="38"/>
      <c r="I809" s="38"/>
      <c r="J809" s="38"/>
      <c r="K809" s="38"/>
      <c r="L809" s="38"/>
      <c r="W809" s="7" t="str">
        <f t="shared" si="14"/>
        <v/>
      </c>
    </row>
    <row r="810" spans="2:23" ht="15.6" x14ac:dyDescent="0.3">
      <c r="B810" s="127"/>
      <c r="C810" s="70"/>
      <c r="D810" s="10"/>
      <c r="E810" s="10"/>
      <c r="F810" s="38"/>
      <c r="G810" s="38"/>
      <c r="H810" s="38"/>
      <c r="I810" s="38"/>
      <c r="J810" s="38"/>
      <c r="K810" s="38"/>
      <c r="L810" s="38"/>
      <c r="W810" s="7" t="str">
        <f t="shared" si="14"/>
        <v/>
      </c>
    </row>
    <row r="811" spans="2:23" ht="15.6" x14ac:dyDescent="0.3">
      <c r="B811" s="127"/>
      <c r="C811" s="70"/>
      <c r="D811" s="10"/>
      <c r="E811" s="10"/>
      <c r="F811" s="38"/>
      <c r="G811" s="38"/>
      <c r="H811" s="38"/>
      <c r="I811" s="38"/>
      <c r="J811" s="38"/>
      <c r="K811" s="38"/>
      <c r="L811" s="38"/>
      <c r="W811" s="7" t="str">
        <f t="shared" si="14"/>
        <v/>
      </c>
    </row>
    <row r="812" spans="2:23" ht="15.6" x14ac:dyDescent="0.3">
      <c r="B812" s="127"/>
      <c r="C812" s="70"/>
      <c r="D812" s="10"/>
      <c r="E812" s="10"/>
      <c r="F812" s="38"/>
      <c r="G812" s="38"/>
      <c r="H812" s="38"/>
      <c r="I812" s="38"/>
      <c r="J812" s="38"/>
      <c r="K812" s="38"/>
      <c r="L812" s="38"/>
      <c r="W812" s="7" t="str">
        <f t="shared" si="14"/>
        <v/>
      </c>
    </row>
    <row r="813" spans="2:23" ht="15.6" x14ac:dyDescent="0.3">
      <c r="B813" s="127"/>
      <c r="C813" s="70"/>
      <c r="D813" s="10"/>
      <c r="E813" s="10"/>
      <c r="F813" s="38"/>
      <c r="G813" s="38"/>
      <c r="H813" s="38"/>
      <c r="I813" s="38"/>
      <c r="J813" s="38"/>
      <c r="K813" s="38"/>
      <c r="L813" s="38"/>
      <c r="W813" s="7" t="str">
        <f t="shared" si="14"/>
        <v/>
      </c>
    </row>
    <row r="814" spans="2:23" ht="15.6" x14ac:dyDescent="0.3">
      <c r="B814" s="127"/>
      <c r="C814" s="70"/>
      <c r="D814" s="10"/>
      <c r="E814" s="10"/>
      <c r="F814" s="38"/>
      <c r="G814" s="38"/>
      <c r="H814" s="38"/>
      <c r="I814" s="38"/>
      <c r="J814" s="38"/>
      <c r="K814" s="38"/>
      <c r="L814" s="38"/>
      <c r="W814" s="7" t="str">
        <f t="shared" si="14"/>
        <v/>
      </c>
    </row>
    <row r="815" spans="2:23" ht="15.6" x14ac:dyDescent="0.3">
      <c r="B815" s="127"/>
      <c r="C815" s="70"/>
      <c r="D815" s="10"/>
      <c r="E815" s="10"/>
      <c r="F815" s="38"/>
      <c r="G815" s="38"/>
      <c r="H815" s="38"/>
      <c r="I815" s="38"/>
      <c r="J815" s="38"/>
      <c r="K815" s="38"/>
      <c r="L815" s="38"/>
      <c r="W815" s="7" t="str">
        <f t="shared" si="14"/>
        <v/>
      </c>
    </row>
    <row r="816" spans="2:23" ht="15.6" x14ac:dyDescent="0.3">
      <c r="B816" s="127"/>
      <c r="C816" s="70"/>
      <c r="D816" s="10"/>
      <c r="E816" s="10"/>
      <c r="F816" s="38"/>
      <c r="G816" s="38"/>
      <c r="H816" s="38"/>
      <c r="I816" s="38"/>
      <c r="J816" s="38"/>
      <c r="K816" s="38"/>
      <c r="L816" s="38"/>
      <c r="W816" s="7" t="str">
        <f t="shared" si="14"/>
        <v/>
      </c>
    </row>
    <row r="817" spans="2:23" ht="15.6" x14ac:dyDescent="0.3">
      <c r="B817" s="127"/>
      <c r="C817" s="70"/>
      <c r="D817" s="10"/>
      <c r="E817" s="10"/>
      <c r="F817" s="38"/>
      <c r="G817" s="38"/>
      <c r="H817" s="38"/>
      <c r="I817" s="38"/>
      <c r="J817" s="38"/>
      <c r="K817" s="38"/>
      <c r="L817" s="38"/>
      <c r="W817" s="7" t="str">
        <f t="shared" si="14"/>
        <v/>
      </c>
    </row>
    <row r="818" spans="2:23" ht="15.6" x14ac:dyDescent="0.3">
      <c r="B818" s="127"/>
      <c r="C818" s="70"/>
      <c r="D818" s="10"/>
      <c r="E818" s="10"/>
      <c r="F818" s="38"/>
      <c r="G818" s="38"/>
      <c r="H818" s="38"/>
      <c r="I818" s="38"/>
      <c r="J818" s="38"/>
      <c r="K818" s="38"/>
      <c r="L818" s="38"/>
      <c r="W818" s="7" t="str">
        <f t="shared" si="14"/>
        <v/>
      </c>
    </row>
    <row r="819" spans="2:23" ht="15.6" x14ac:dyDescent="0.3">
      <c r="B819" s="127"/>
      <c r="C819" s="70"/>
      <c r="D819" s="10"/>
      <c r="E819" s="10"/>
      <c r="F819" s="38"/>
      <c r="G819" s="38"/>
      <c r="H819" s="38"/>
      <c r="I819" s="38"/>
      <c r="J819" s="38"/>
      <c r="K819" s="38"/>
      <c r="L819" s="38"/>
      <c r="W819" s="7" t="str">
        <f t="shared" si="14"/>
        <v/>
      </c>
    </row>
    <row r="820" spans="2:23" ht="15.6" x14ac:dyDescent="0.3">
      <c r="B820" s="127"/>
      <c r="C820" s="70"/>
      <c r="D820" s="10"/>
      <c r="E820" s="10"/>
      <c r="F820" s="38"/>
      <c r="G820" s="38"/>
      <c r="H820" s="38"/>
      <c r="I820" s="38"/>
      <c r="J820" s="38"/>
      <c r="K820" s="38"/>
      <c r="L820" s="38"/>
      <c r="W820" s="7" t="str">
        <f t="shared" si="14"/>
        <v/>
      </c>
    </row>
    <row r="821" spans="2:23" ht="15.6" x14ac:dyDescent="0.3">
      <c r="B821" s="127"/>
      <c r="C821" s="70"/>
      <c r="D821" s="10"/>
      <c r="E821" s="10"/>
      <c r="F821" s="38"/>
      <c r="G821" s="38"/>
      <c r="H821" s="38"/>
      <c r="I821" s="38"/>
      <c r="J821" s="38"/>
      <c r="K821" s="38"/>
      <c r="L821" s="38"/>
      <c r="W821" s="7" t="str">
        <f t="shared" si="14"/>
        <v/>
      </c>
    </row>
    <row r="822" spans="2:23" ht="15.6" x14ac:dyDescent="0.3">
      <c r="B822" s="127"/>
      <c r="C822" s="70"/>
      <c r="D822" s="10"/>
      <c r="E822" s="10"/>
      <c r="F822" s="38"/>
      <c r="G822" s="38"/>
      <c r="H822" s="38"/>
      <c r="I822" s="38"/>
      <c r="J822" s="38"/>
      <c r="K822" s="38"/>
      <c r="L822" s="38"/>
      <c r="W822" s="7" t="str">
        <f t="shared" si="14"/>
        <v/>
      </c>
    </row>
    <row r="823" spans="2:23" ht="15.6" x14ac:dyDescent="0.3">
      <c r="B823" s="127"/>
      <c r="C823" s="70"/>
      <c r="D823" s="10"/>
      <c r="E823" s="10"/>
      <c r="F823" s="38"/>
      <c r="G823" s="38"/>
      <c r="H823" s="38"/>
      <c r="I823" s="38"/>
      <c r="J823" s="38"/>
      <c r="K823" s="38"/>
      <c r="L823" s="38"/>
      <c r="W823" s="7" t="str">
        <f t="shared" si="14"/>
        <v/>
      </c>
    </row>
    <row r="824" spans="2:23" ht="15.6" x14ac:dyDescent="0.3">
      <c r="B824" s="127"/>
      <c r="C824" s="70"/>
      <c r="D824" s="10"/>
      <c r="E824" s="10"/>
      <c r="F824" s="38"/>
      <c r="G824" s="38"/>
      <c r="H824" s="38"/>
      <c r="I824" s="38"/>
      <c r="J824" s="38"/>
      <c r="K824" s="38"/>
      <c r="L824" s="38"/>
      <c r="W824" s="7" t="str">
        <f t="shared" si="14"/>
        <v/>
      </c>
    </row>
    <row r="825" spans="2:23" ht="15.6" x14ac:dyDescent="0.3">
      <c r="B825" s="127"/>
      <c r="C825" s="70"/>
      <c r="D825" s="10"/>
      <c r="E825" s="10"/>
      <c r="F825" s="38"/>
      <c r="G825" s="38"/>
      <c r="H825" s="38"/>
      <c r="I825" s="38"/>
      <c r="J825" s="38"/>
      <c r="K825" s="38"/>
      <c r="L825" s="38"/>
      <c r="W825" s="7" t="str">
        <f t="shared" si="14"/>
        <v/>
      </c>
    </row>
    <row r="826" spans="2:23" ht="15.6" x14ac:dyDescent="0.3">
      <c r="B826" s="127"/>
      <c r="C826" s="70"/>
      <c r="D826" s="10"/>
      <c r="E826" s="10"/>
      <c r="F826" s="38"/>
      <c r="G826" s="38"/>
      <c r="H826" s="38"/>
      <c r="I826" s="38"/>
      <c r="J826" s="38"/>
      <c r="K826" s="38"/>
      <c r="L826" s="38"/>
      <c r="W826" s="7" t="str">
        <f t="shared" si="14"/>
        <v/>
      </c>
    </row>
    <row r="827" spans="2:23" ht="15.6" x14ac:dyDescent="0.3">
      <c r="B827" s="127"/>
      <c r="C827" s="70"/>
      <c r="D827" s="10"/>
      <c r="E827" s="10"/>
      <c r="F827" s="38"/>
      <c r="G827" s="38"/>
      <c r="H827" s="38"/>
      <c r="I827" s="38"/>
      <c r="J827" s="38"/>
      <c r="K827" s="38"/>
      <c r="L827" s="38"/>
      <c r="W827" s="7" t="str">
        <f t="shared" si="14"/>
        <v/>
      </c>
    </row>
    <row r="828" spans="2:23" ht="15.6" x14ac:dyDescent="0.3">
      <c r="B828" s="127"/>
      <c r="C828" s="70"/>
      <c r="D828" s="10"/>
      <c r="E828" s="10"/>
      <c r="F828" s="38"/>
      <c r="G828" s="38"/>
      <c r="H828" s="38"/>
      <c r="I828" s="38"/>
      <c r="J828" s="38"/>
      <c r="K828" s="38"/>
      <c r="L828" s="38"/>
      <c r="W828" s="7" t="str">
        <f t="shared" si="14"/>
        <v/>
      </c>
    </row>
    <row r="829" spans="2:23" ht="15.6" x14ac:dyDescent="0.3">
      <c r="B829" s="127"/>
      <c r="C829" s="70"/>
      <c r="D829" s="10"/>
      <c r="E829" s="10"/>
      <c r="F829" s="38"/>
      <c r="G829" s="38"/>
      <c r="H829" s="38"/>
      <c r="I829" s="38"/>
      <c r="J829" s="38"/>
      <c r="K829" s="38"/>
      <c r="L829" s="38"/>
      <c r="W829" s="7" t="str">
        <f t="shared" si="14"/>
        <v/>
      </c>
    </row>
    <row r="830" spans="2:23" ht="15.6" x14ac:dyDescent="0.3">
      <c r="B830" s="127"/>
      <c r="C830" s="70"/>
      <c r="D830" s="10"/>
      <c r="E830" s="10"/>
      <c r="F830" s="38"/>
      <c r="G830" s="38"/>
      <c r="H830" s="38"/>
      <c r="I830" s="38"/>
      <c r="J830" s="38"/>
      <c r="K830" s="38"/>
      <c r="L830" s="38"/>
      <c r="W830" s="7" t="str">
        <f t="shared" si="14"/>
        <v/>
      </c>
    </row>
    <row r="831" spans="2:23" ht="15.6" x14ac:dyDescent="0.3">
      <c r="B831" s="127"/>
      <c r="C831" s="70"/>
      <c r="D831" s="10"/>
      <c r="E831" s="10"/>
      <c r="F831" s="38"/>
      <c r="G831" s="38"/>
      <c r="H831" s="38"/>
      <c r="I831" s="38"/>
      <c r="J831" s="38"/>
      <c r="K831" s="38"/>
      <c r="L831" s="38"/>
      <c r="W831" s="7" t="str">
        <f t="shared" si="14"/>
        <v/>
      </c>
    </row>
    <row r="832" spans="2:23" ht="15.6" x14ac:dyDescent="0.3">
      <c r="B832" s="127"/>
      <c r="C832" s="70"/>
      <c r="D832" s="10"/>
      <c r="E832" s="10"/>
      <c r="F832" s="38"/>
      <c r="G832" s="38"/>
      <c r="H832" s="38"/>
      <c r="I832" s="38"/>
      <c r="J832" s="38"/>
      <c r="K832" s="38"/>
      <c r="L832" s="38"/>
      <c r="W832" s="7" t="str">
        <f t="shared" si="14"/>
        <v/>
      </c>
    </row>
    <row r="833" spans="2:23" ht="15.6" x14ac:dyDescent="0.3">
      <c r="B833" s="127"/>
      <c r="C833" s="70"/>
      <c r="D833" s="10"/>
      <c r="E833" s="10"/>
      <c r="F833" s="38"/>
      <c r="G833" s="38"/>
      <c r="H833" s="38"/>
      <c r="I833" s="38"/>
      <c r="J833" s="38"/>
      <c r="K833" s="38"/>
      <c r="L833" s="38"/>
      <c r="W833" s="7" t="str">
        <f t="shared" si="14"/>
        <v/>
      </c>
    </row>
    <row r="834" spans="2:23" ht="15.6" x14ac:dyDescent="0.3">
      <c r="B834" s="127"/>
      <c r="C834" s="70"/>
      <c r="D834" s="10"/>
      <c r="E834" s="10"/>
      <c r="F834" s="38"/>
      <c r="G834" s="38"/>
      <c r="H834" s="38"/>
      <c r="I834" s="38"/>
      <c r="J834" s="38"/>
      <c r="K834" s="38"/>
      <c r="L834" s="38"/>
      <c r="W834" s="7" t="str">
        <f t="shared" si="14"/>
        <v/>
      </c>
    </row>
    <row r="835" spans="2:23" ht="15.6" x14ac:dyDescent="0.3">
      <c r="B835" s="127"/>
      <c r="C835" s="70"/>
      <c r="D835" s="10"/>
      <c r="E835" s="10"/>
      <c r="F835" s="38"/>
      <c r="G835" s="38"/>
      <c r="H835" s="38"/>
      <c r="I835" s="38"/>
      <c r="J835" s="38"/>
      <c r="K835" s="38"/>
      <c r="L835" s="38"/>
      <c r="W835" s="7" t="str">
        <f t="shared" ref="W835:W898" si="15">IF(B835="","",TEXT(B835,"mmm"))</f>
        <v/>
      </c>
    </row>
    <row r="836" spans="2:23" ht="15.6" x14ac:dyDescent="0.3">
      <c r="B836" s="127"/>
      <c r="C836" s="70"/>
      <c r="D836" s="10"/>
      <c r="E836" s="10"/>
      <c r="F836" s="38"/>
      <c r="G836" s="38"/>
      <c r="H836" s="38"/>
      <c r="I836" s="38"/>
      <c r="J836" s="38"/>
      <c r="K836" s="38"/>
      <c r="L836" s="38"/>
      <c r="W836" s="7" t="str">
        <f t="shared" si="15"/>
        <v/>
      </c>
    </row>
    <row r="837" spans="2:23" ht="15.6" x14ac:dyDescent="0.3">
      <c r="B837" s="127"/>
      <c r="C837" s="70"/>
      <c r="D837" s="10"/>
      <c r="E837" s="10"/>
      <c r="F837" s="38"/>
      <c r="G837" s="38"/>
      <c r="H837" s="38"/>
      <c r="I837" s="38"/>
      <c r="J837" s="38"/>
      <c r="K837" s="38"/>
      <c r="L837" s="38"/>
      <c r="W837" s="7" t="str">
        <f t="shared" si="15"/>
        <v/>
      </c>
    </row>
    <row r="838" spans="2:23" ht="15.6" x14ac:dyDescent="0.3">
      <c r="B838" s="127"/>
      <c r="C838" s="70"/>
      <c r="D838" s="10"/>
      <c r="E838" s="10"/>
      <c r="F838" s="38"/>
      <c r="G838" s="38"/>
      <c r="H838" s="38"/>
      <c r="I838" s="38"/>
      <c r="J838" s="38"/>
      <c r="K838" s="38"/>
      <c r="L838" s="38"/>
      <c r="W838" s="7" t="str">
        <f t="shared" si="15"/>
        <v/>
      </c>
    </row>
    <row r="839" spans="2:23" ht="15.6" x14ac:dyDescent="0.3">
      <c r="B839" s="127"/>
      <c r="C839" s="70"/>
      <c r="D839" s="10"/>
      <c r="E839" s="10"/>
      <c r="F839" s="38"/>
      <c r="G839" s="38"/>
      <c r="H839" s="38"/>
      <c r="I839" s="38"/>
      <c r="J839" s="38"/>
      <c r="K839" s="38"/>
      <c r="L839" s="38"/>
      <c r="W839" s="7" t="str">
        <f t="shared" si="15"/>
        <v/>
      </c>
    </row>
    <row r="840" spans="2:23" ht="15.6" x14ac:dyDescent="0.3">
      <c r="B840" s="127"/>
      <c r="C840" s="70"/>
      <c r="D840" s="10"/>
      <c r="E840" s="10"/>
      <c r="F840" s="38"/>
      <c r="G840" s="38"/>
      <c r="H840" s="38"/>
      <c r="I840" s="38"/>
      <c r="J840" s="38"/>
      <c r="K840" s="38"/>
      <c r="L840" s="38"/>
      <c r="W840" s="7" t="str">
        <f t="shared" si="15"/>
        <v/>
      </c>
    </row>
    <row r="841" spans="2:23" ht="15.6" x14ac:dyDescent="0.3">
      <c r="B841" s="127"/>
      <c r="C841" s="70"/>
      <c r="D841" s="10"/>
      <c r="E841" s="10"/>
      <c r="F841" s="38"/>
      <c r="G841" s="38"/>
      <c r="H841" s="38"/>
      <c r="I841" s="38"/>
      <c r="J841" s="38"/>
      <c r="K841" s="38"/>
      <c r="L841" s="38"/>
      <c r="W841" s="7" t="str">
        <f t="shared" si="15"/>
        <v/>
      </c>
    </row>
    <row r="842" spans="2:23" ht="15.6" x14ac:dyDescent="0.3">
      <c r="B842" s="127"/>
      <c r="C842" s="70"/>
      <c r="D842" s="10"/>
      <c r="E842" s="10"/>
      <c r="F842" s="38"/>
      <c r="G842" s="38"/>
      <c r="H842" s="38"/>
      <c r="I842" s="38"/>
      <c r="J842" s="38"/>
      <c r="K842" s="38"/>
      <c r="L842" s="38"/>
      <c r="W842" s="7" t="str">
        <f t="shared" si="15"/>
        <v/>
      </c>
    </row>
    <row r="843" spans="2:23" ht="15.6" x14ac:dyDescent="0.3">
      <c r="B843" s="127"/>
      <c r="C843" s="70"/>
      <c r="D843" s="10"/>
      <c r="E843" s="10"/>
      <c r="F843" s="38"/>
      <c r="G843" s="38"/>
      <c r="H843" s="38"/>
      <c r="I843" s="38"/>
      <c r="J843" s="38"/>
      <c r="K843" s="38"/>
      <c r="L843" s="38"/>
      <c r="W843" s="7" t="str">
        <f t="shared" si="15"/>
        <v/>
      </c>
    </row>
    <row r="844" spans="2:23" ht="15.6" x14ac:dyDescent="0.3">
      <c r="B844" s="127"/>
      <c r="C844" s="70"/>
      <c r="D844" s="10"/>
      <c r="E844" s="10"/>
      <c r="F844" s="38"/>
      <c r="G844" s="38"/>
      <c r="H844" s="38"/>
      <c r="I844" s="38"/>
      <c r="J844" s="38"/>
      <c r="K844" s="38"/>
      <c r="L844" s="38"/>
      <c r="W844" s="7" t="str">
        <f t="shared" si="15"/>
        <v/>
      </c>
    </row>
    <row r="845" spans="2:23" ht="15.6" x14ac:dyDescent="0.3">
      <c r="B845" s="127"/>
      <c r="C845" s="70"/>
      <c r="D845" s="10"/>
      <c r="E845" s="10"/>
      <c r="F845" s="38"/>
      <c r="G845" s="38"/>
      <c r="H845" s="38"/>
      <c r="I845" s="38"/>
      <c r="J845" s="38"/>
      <c r="K845" s="38"/>
      <c r="L845" s="38"/>
      <c r="W845" s="7" t="str">
        <f t="shared" si="15"/>
        <v/>
      </c>
    </row>
    <row r="846" spans="2:23" ht="15.6" x14ac:dyDescent="0.3">
      <c r="B846" s="127"/>
      <c r="C846" s="70"/>
      <c r="D846" s="10"/>
      <c r="E846" s="10"/>
      <c r="F846" s="38"/>
      <c r="G846" s="38"/>
      <c r="H846" s="38"/>
      <c r="I846" s="38"/>
      <c r="J846" s="38"/>
      <c r="K846" s="38"/>
      <c r="L846" s="38"/>
      <c r="W846" s="7" t="str">
        <f t="shared" si="15"/>
        <v/>
      </c>
    </row>
    <row r="847" spans="2:23" ht="15.6" x14ac:dyDescent="0.3">
      <c r="B847" s="127"/>
      <c r="C847" s="70"/>
      <c r="D847" s="10"/>
      <c r="E847" s="10"/>
      <c r="F847" s="38"/>
      <c r="G847" s="38"/>
      <c r="H847" s="38"/>
      <c r="I847" s="38"/>
      <c r="J847" s="38"/>
      <c r="K847" s="38"/>
      <c r="L847" s="38"/>
      <c r="W847" s="7" t="str">
        <f t="shared" si="15"/>
        <v/>
      </c>
    </row>
    <row r="848" spans="2:23" ht="15.6" x14ac:dyDescent="0.3">
      <c r="B848" s="127"/>
      <c r="C848" s="70"/>
      <c r="D848" s="10"/>
      <c r="E848" s="10"/>
      <c r="F848" s="38"/>
      <c r="G848" s="38"/>
      <c r="H848" s="38"/>
      <c r="I848" s="38"/>
      <c r="J848" s="38"/>
      <c r="K848" s="38"/>
      <c r="L848" s="38"/>
      <c r="W848" s="7" t="str">
        <f t="shared" si="15"/>
        <v/>
      </c>
    </row>
    <row r="849" spans="2:23" ht="15.6" x14ac:dyDescent="0.3">
      <c r="B849" s="127"/>
      <c r="C849" s="70"/>
      <c r="D849" s="10"/>
      <c r="E849" s="10"/>
      <c r="F849" s="38"/>
      <c r="G849" s="38"/>
      <c r="H849" s="38"/>
      <c r="I849" s="38"/>
      <c r="J849" s="38"/>
      <c r="K849" s="38"/>
      <c r="L849" s="38"/>
      <c r="W849" s="7" t="str">
        <f t="shared" si="15"/>
        <v/>
      </c>
    </row>
    <row r="850" spans="2:23" ht="15.6" x14ac:dyDescent="0.3">
      <c r="B850" s="127"/>
      <c r="C850" s="70"/>
      <c r="D850" s="10"/>
      <c r="E850" s="10"/>
      <c r="F850" s="38"/>
      <c r="G850" s="38"/>
      <c r="H850" s="38"/>
      <c r="I850" s="38"/>
      <c r="J850" s="38"/>
      <c r="K850" s="38"/>
      <c r="L850" s="38"/>
      <c r="W850" s="7" t="str">
        <f t="shared" si="15"/>
        <v/>
      </c>
    </row>
    <row r="851" spans="2:23" ht="15.6" x14ac:dyDescent="0.3">
      <c r="B851" s="127"/>
      <c r="C851" s="70"/>
      <c r="D851" s="10"/>
      <c r="E851" s="10"/>
      <c r="F851" s="38"/>
      <c r="G851" s="38"/>
      <c r="H851" s="38"/>
      <c r="I851" s="38"/>
      <c r="J851" s="38"/>
      <c r="K851" s="38"/>
      <c r="L851" s="38"/>
      <c r="W851" s="7" t="str">
        <f t="shared" si="15"/>
        <v/>
      </c>
    </row>
    <row r="852" spans="2:23" ht="15.6" x14ac:dyDescent="0.3">
      <c r="B852" s="127"/>
      <c r="C852" s="70"/>
      <c r="D852" s="10"/>
      <c r="E852" s="10"/>
      <c r="F852" s="38"/>
      <c r="G852" s="38"/>
      <c r="H852" s="38"/>
      <c r="I852" s="38"/>
      <c r="J852" s="38"/>
      <c r="K852" s="38"/>
      <c r="L852" s="38"/>
      <c r="W852" s="7" t="str">
        <f t="shared" si="15"/>
        <v/>
      </c>
    </row>
    <row r="853" spans="2:23" ht="15.6" x14ac:dyDescent="0.3">
      <c r="B853" s="127"/>
      <c r="C853" s="70"/>
      <c r="D853" s="10"/>
      <c r="E853" s="10"/>
      <c r="F853" s="38"/>
      <c r="G853" s="38"/>
      <c r="H853" s="38"/>
      <c r="I853" s="38"/>
      <c r="J853" s="38"/>
      <c r="K853" s="38"/>
      <c r="L853" s="38"/>
      <c r="W853" s="7" t="str">
        <f t="shared" si="15"/>
        <v/>
      </c>
    </row>
    <row r="854" spans="2:23" ht="15.6" x14ac:dyDescent="0.3">
      <c r="B854" s="127"/>
      <c r="C854" s="70"/>
      <c r="D854" s="10"/>
      <c r="E854" s="10"/>
      <c r="F854" s="38"/>
      <c r="G854" s="38"/>
      <c r="H854" s="38"/>
      <c r="I854" s="38"/>
      <c r="J854" s="38"/>
      <c r="K854" s="38"/>
      <c r="L854" s="38"/>
      <c r="W854" s="7" t="str">
        <f t="shared" si="15"/>
        <v/>
      </c>
    </row>
    <row r="855" spans="2:23" ht="15.6" x14ac:dyDescent="0.3">
      <c r="B855" s="127"/>
      <c r="C855" s="70"/>
      <c r="D855" s="10"/>
      <c r="E855" s="10"/>
      <c r="F855" s="38"/>
      <c r="G855" s="38"/>
      <c r="H855" s="38"/>
      <c r="I855" s="38"/>
      <c r="J855" s="38"/>
      <c r="K855" s="38"/>
      <c r="L855" s="38"/>
      <c r="W855" s="7" t="str">
        <f t="shared" si="15"/>
        <v/>
      </c>
    </row>
    <row r="856" spans="2:23" ht="15.6" x14ac:dyDescent="0.3">
      <c r="B856" s="127"/>
      <c r="C856" s="70"/>
      <c r="D856" s="10"/>
      <c r="E856" s="10"/>
      <c r="F856" s="38"/>
      <c r="G856" s="38"/>
      <c r="H856" s="38"/>
      <c r="I856" s="38"/>
      <c r="J856" s="38"/>
      <c r="K856" s="38"/>
      <c r="L856" s="38"/>
      <c r="W856" s="7" t="str">
        <f t="shared" si="15"/>
        <v/>
      </c>
    </row>
    <row r="857" spans="2:23" ht="15.6" x14ac:dyDescent="0.3">
      <c r="B857" s="127"/>
      <c r="C857" s="70"/>
      <c r="D857" s="10"/>
      <c r="E857" s="10"/>
      <c r="F857" s="38"/>
      <c r="G857" s="38"/>
      <c r="H857" s="38"/>
      <c r="I857" s="38"/>
      <c r="J857" s="38"/>
      <c r="K857" s="38"/>
      <c r="L857" s="38"/>
      <c r="W857" s="7" t="str">
        <f t="shared" si="15"/>
        <v/>
      </c>
    </row>
    <row r="858" spans="2:23" ht="15.6" x14ac:dyDescent="0.3">
      <c r="B858" s="127"/>
      <c r="C858" s="70"/>
      <c r="D858" s="10"/>
      <c r="E858" s="10"/>
      <c r="F858" s="38"/>
      <c r="G858" s="38"/>
      <c r="H858" s="38"/>
      <c r="I858" s="38"/>
      <c r="J858" s="38"/>
      <c r="K858" s="38"/>
      <c r="L858" s="38"/>
      <c r="W858" s="7" t="str">
        <f t="shared" si="15"/>
        <v/>
      </c>
    </row>
    <row r="859" spans="2:23" ht="15.6" x14ac:dyDescent="0.3">
      <c r="B859" s="127"/>
      <c r="C859" s="70"/>
      <c r="D859" s="10"/>
      <c r="E859" s="10"/>
      <c r="F859" s="38"/>
      <c r="G859" s="38"/>
      <c r="H859" s="38"/>
      <c r="I859" s="38"/>
      <c r="J859" s="38"/>
      <c r="K859" s="38"/>
      <c r="L859" s="38"/>
      <c r="W859" s="7" t="str">
        <f t="shared" si="15"/>
        <v/>
      </c>
    </row>
    <row r="860" spans="2:23" ht="15.6" x14ac:dyDescent="0.3">
      <c r="B860" s="127"/>
      <c r="C860" s="70"/>
      <c r="D860" s="10"/>
      <c r="E860" s="10"/>
      <c r="F860" s="38"/>
      <c r="G860" s="38"/>
      <c r="H860" s="38"/>
      <c r="I860" s="38"/>
      <c r="J860" s="38"/>
      <c r="K860" s="38"/>
      <c r="L860" s="38"/>
      <c r="W860" s="7" t="str">
        <f t="shared" si="15"/>
        <v/>
      </c>
    </row>
    <row r="861" spans="2:23" ht="15.6" x14ac:dyDescent="0.3">
      <c r="B861" s="127"/>
      <c r="C861" s="70"/>
      <c r="D861" s="10"/>
      <c r="E861" s="10"/>
      <c r="F861" s="38"/>
      <c r="G861" s="38"/>
      <c r="H861" s="38"/>
      <c r="I861" s="38"/>
      <c r="J861" s="38"/>
      <c r="K861" s="38"/>
      <c r="L861" s="38"/>
      <c r="W861" s="7" t="str">
        <f t="shared" si="15"/>
        <v/>
      </c>
    </row>
    <row r="862" spans="2:23" ht="15.6" x14ac:dyDescent="0.3">
      <c r="B862" s="127"/>
      <c r="C862" s="70"/>
      <c r="D862" s="10"/>
      <c r="E862" s="10"/>
      <c r="F862" s="38"/>
      <c r="G862" s="38"/>
      <c r="H862" s="38"/>
      <c r="I862" s="38"/>
      <c r="J862" s="38"/>
      <c r="K862" s="38"/>
      <c r="L862" s="38"/>
      <c r="W862" s="7" t="str">
        <f t="shared" si="15"/>
        <v/>
      </c>
    </row>
    <row r="863" spans="2:23" ht="15.6" x14ac:dyDescent="0.3">
      <c r="B863" s="127"/>
      <c r="C863" s="70"/>
      <c r="D863" s="10"/>
      <c r="E863" s="10"/>
      <c r="F863" s="38"/>
      <c r="G863" s="38"/>
      <c r="H863" s="38"/>
      <c r="I863" s="38"/>
      <c r="J863" s="38"/>
      <c r="K863" s="38"/>
      <c r="L863" s="38"/>
      <c r="W863" s="7" t="str">
        <f t="shared" si="15"/>
        <v/>
      </c>
    </row>
    <row r="864" spans="2:23" ht="15.6" x14ac:dyDescent="0.3">
      <c r="B864" s="127"/>
      <c r="C864" s="70"/>
      <c r="D864" s="10"/>
      <c r="E864" s="10"/>
      <c r="F864" s="38"/>
      <c r="G864" s="38"/>
      <c r="H864" s="38"/>
      <c r="I864" s="38"/>
      <c r="J864" s="38"/>
      <c r="K864" s="38"/>
      <c r="L864" s="38"/>
      <c r="W864" s="7" t="str">
        <f t="shared" si="15"/>
        <v/>
      </c>
    </row>
    <row r="865" spans="2:23" ht="15.6" x14ac:dyDescent="0.3">
      <c r="B865" s="127"/>
      <c r="C865" s="70"/>
      <c r="D865" s="10"/>
      <c r="E865" s="10"/>
      <c r="F865" s="38"/>
      <c r="G865" s="38"/>
      <c r="H865" s="38"/>
      <c r="I865" s="38"/>
      <c r="J865" s="38"/>
      <c r="K865" s="38"/>
      <c r="L865" s="38"/>
      <c r="W865" s="7" t="str">
        <f t="shared" si="15"/>
        <v/>
      </c>
    </row>
    <row r="866" spans="2:23" ht="15.6" x14ac:dyDescent="0.3">
      <c r="B866" s="127"/>
      <c r="C866" s="70"/>
      <c r="D866" s="10"/>
      <c r="E866" s="10"/>
      <c r="F866" s="38"/>
      <c r="G866" s="38"/>
      <c r="H866" s="38"/>
      <c r="I866" s="38"/>
      <c r="J866" s="38"/>
      <c r="K866" s="38"/>
      <c r="L866" s="38"/>
      <c r="W866" s="7" t="str">
        <f t="shared" si="15"/>
        <v/>
      </c>
    </row>
    <row r="867" spans="2:23" ht="15.6" x14ac:dyDescent="0.3">
      <c r="B867" s="127"/>
      <c r="C867" s="70"/>
      <c r="D867" s="10"/>
      <c r="E867" s="10"/>
      <c r="F867" s="38"/>
      <c r="G867" s="38"/>
      <c r="H867" s="38"/>
      <c r="I867" s="38"/>
      <c r="J867" s="38"/>
      <c r="K867" s="38"/>
      <c r="L867" s="38"/>
      <c r="W867" s="7" t="str">
        <f t="shared" si="15"/>
        <v/>
      </c>
    </row>
    <row r="868" spans="2:23" ht="15.6" x14ac:dyDescent="0.3">
      <c r="B868" s="127"/>
      <c r="C868" s="70"/>
      <c r="D868" s="10"/>
      <c r="E868" s="10"/>
      <c r="F868" s="38"/>
      <c r="G868" s="38"/>
      <c r="H868" s="38"/>
      <c r="I868" s="38"/>
      <c r="J868" s="38"/>
      <c r="K868" s="38"/>
      <c r="L868" s="38"/>
      <c r="W868" s="7" t="str">
        <f t="shared" si="15"/>
        <v/>
      </c>
    </row>
    <row r="869" spans="2:23" ht="15.6" x14ac:dyDescent="0.3">
      <c r="B869" s="127"/>
      <c r="C869" s="70"/>
      <c r="D869" s="10"/>
      <c r="E869" s="10"/>
      <c r="F869" s="38"/>
      <c r="G869" s="38"/>
      <c r="H869" s="38"/>
      <c r="I869" s="38"/>
      <c r="J869" s="38"/>
      <c r="K869" s="38"/>
      <c r="L869" s="38"/>
      <c r="W869" s="7" t="str">
        <f t="shared" si="15"/>
        <v/>
      </c>
    </row>
    <row r="870" spans="2:23" ht="15.6" x14ac:dyDescent="0.3">
      <c r="B870" s="127"/>
      <c r="C870" s="70"/>
      <c r="D870" s="10"/>
      <c r="E870" s="10"/>
      <c r="F870" s="38"/>
      <c r="G870" s="38"/>
      <c r="H870" s="38"/>
      <c r="I870" s="38"/>
      <c r="J870" s="38"/>
      <c r="K870" s="38"/>
      <c r="L870" s="38"/>
      <c r="W870" s="7" t="str">
        <f t="shared" si="15"/>
        <v/>
      </c>
    </row>
    <row r="871" spans="2:23" ht="15.6" x14ac:dyDescent="0.3">
      <c r="B871" s="127"/>
      <c r="C871" s="70"/>
      <c r="D871" s="10"/>
      <c r="E871" s="10"/>
      <c r="F871" s="38"/>
      <c r="G871" s="38"/>
      <c r="H871" s="38"/>
      <c r="I871" s="38"/>
      <c r="J871" s="38"/>
      <c r="K871" s="38"/>
      <c r="L871" s="38"/>
      <c r="W871" s="7" t="str">
        <f t="shared" si="15"/>
        <v/>
      </c>
    </row>
    <row r="872" spans="2:23" ht="15.6" x14ac:dyDescent="0.3">
      <c r="B872" s="127"/>
      <c r="C872" s="70"/>
      <c r="D872" s="10"/>
      <c r="E872" s="10"/>
      <c r="F872" s="38"/>
      <c r="G872" s="38"/>
      <c r="H872" s="38"/>
      <c r="I872" s="38"/>
      <c r="J872" s="38"/>
      <c r="K872" s="38"/>
      <c r="L872" s="38"/>
      <c r="W872" s="7" t="str">
        <f t="shared" si="15"/>
        <v/>
      </c>
    </row>
    <row r="873" spans="2:23" ht="15.6" x14ac:dyDescent="0.3">
      <c r="B873" s="127"/>
      <c r="C873" s="70"/>
      <c r="D873" s="10"/>
      <c r="E873" s="10"/>
      <c r="F873" s="38"/>
      <c r="G873" s="38"/>
      <c r="H873" s="38"/>
      <c r="I873" s="38"/>
      <c r="J873" s="38"/>
      <c r="K873" s="38"/>
      <c r="L873" s="38"/>
      <c r="W873" s="7" t="str">
        <f t="shared" si="15"/>
        <v/>
      </c>
    </row>
    <row r="874" spans="2:23" ht="15.6" x14ac:dyDescent="0.3">
      <c r="B874" s="127"/>
      <c r="C874" s="70"/>
      <c r="D874" s="10"/>
      <c r="E874" s="10"/>
      <c r="F874" s="38"/>
      <c r="G874" s="38"/>
      <c r="H874" s="38"/>
      <c r="I874" s="38"/>
      <c r="J874" s="38"/>
      <c r="K874" s="38"/>
      <c r="L874" s="38"/>
      <c r="W874" s="7" t="str">
        <f t="shared" si="15"/>
        <v/>
      </c>
    </row>
    <row r="875" spans="2:23" ht="15.6" x14ac:dyDescent="0.3">
      <c r="B875" s="127"/>
      <c r="C875" s="70"/>
      <c r="D875" s="10"/>
      <c r="E875" s="10"/>
      <c r="F875" s="38"/>
      <c r="G875" s="38"/>
      <c r="H875" s="38"/>
      <c r="I875" s="38"/>
      <c r="J875" s="38"/>
      <c r="K875" s="38"/>
      <c r="L875" s="38"/>
      <c r="W875" s="7" t="str">
        <f t="shared" si="15"/>
        <v/>
      </c>
    </row>
    <row r="876" spans="2:23" ht="15.6" x14ac:dyDescent="0.3">
      <c r="B876" s="127"/>
      <c r="C876" s="70"/>
      <c r="D876" s="10"/>
      <c r="E876" s="10"/>
      <c r="F876" s="38"/>
      <c r="G876" s="38"/>
      <c r="H876" s="38"/>
      <c r="I876" s="38"/>
      <c r="J876" s="38"/>
      <c r="K876" s="38"/>
      <c r="L876" s="38"/>
      <c r="W876" s="7" t="str">
        <f t="shared" si="15"/>
        <v/>
      </c>
    </row>
    <row r="877" spans="2:23" ht="15.6" x14ac:dyDescent="0.3">
      <c r="B877" s="127"/>
      <c r="C877" s="70"/>
      <c r="D877" s="10"/>
      <c r="E877" s="10"/>
      <c r="F877" s="38"/>
      <c r="G877" s="38"/>
      <c r="H877" s="38"/>
      <c r="I877" s="38"/>
      <c r="J877" s="38"/>
      <c r="K877" s="38"/>
      <c r="L877" s="38"/>
      <c r="W877" s="7" t="str">
        <f t="shared" si="15"/>
        <v/>
      </c>
    </row>
    <row r="878" spans="2:23" ht="15.6" x14ac:dyDescent="0.3">
      <c r="B878" s="127"/>
      <c r="C878" s="70"/>
      <c r="D878" s="10"/>
      <c r="E878" s="10"/>
      <c r="F878" s="38"/>
      <c r="G878" s="38"/>
      <c r="H878" s="38"/>
      <c r="I878" s="38"/>
      <c r="J878" s="38"/>
      <c r="K878" s="38"/>
      <c r="L878" s="38"/>
      <c r="W878" s="7" t="str">
        <f t="shared" si="15"/>
        <v/>
      </c>
    </row>
    <row r="879" spans="2:23" ht="15.6" x14ac:dyDescent="0.3">
      <c r="B879" s="127"/>
      <c r="C879" s="70"/>
      <c r="D879" s="10"/>
      <c r="E879" s="10"/>
      <c r="F879" s="38"/>
      <c r="G879" s="38"/>
      <c r="H879" s="38"/>
      <c r="I879" s="38"/>
      <c r="J879" s="38"/>
      <c r="K879" s="38"/>
      <c r="L879" s="38"/>
      <c r="W879" s="7" t="str">
        <f t="shared" si="15"/>
        <v/>
      </c>
    </row>
    <row r="880" spans="2:23" ht="15.6" x14ac:dyDescent="0.3">
      <c r="B880" s="127"/>
      <c r="C880" s="70"/>
      <c r="D880" s="10"/>
      <c r="E880" s="10"/>
      <c r="F880" s="38"/>
      <c r="G880" s="38"/>
      <c r="H880" s="38"/>
      <c r="I880" s="38"/>
      <c r="J880" s="38"/>
      <c r="K880" s="38"/>
      <c r="L880" s="38"/>
      <c r="W880" s="7" t="str">
        <f t="shared" si="15"/>
        <v/>
      </c>
    </row>
    <row r="881" spans="2:23" ht="15.6" x14ac:dyDescent="0.3">
      <c r="B881" s="127"/>
      <c r="C881" s="70"/>
      <c r="D881" s="10"/>
      <c r="E881" s="10"/>
      <c r="F881" s="38"/>
      <c r="G881" s="38"/>
      <c r="H881" s="38"/>
      <c r="I881" s="38"/>
      <c r="J881" s="38"/>
      <c r="K881" s="38"/>
      <c r="L881" s="38"/>
      <c r="W881" s="7" t="str">
        <f t="shared" si="15"/>
        <v/>
      </c>
    </row>
    <row r="882" spans="2:23" ht="15.6" x14ac:dyDescent="0.3">
      <c r="B882" s="127"/>
      <c r="C882" s="70"/>
      <c r="D882" s="10"/>
      <c r="E882" s="10"/>
      <c r="F882" s="38"/>
      <c r="G882" s="38"/>
      <c r="H882" s="38"/>
      <c r="I882" s="38"/>
      <c r="J882" s="38"/>
      <c r="K882" s="38"/>
      <c r="L882" s="38"/>
      <c r="W882" s="7" t="str">
        <f t="shared" si="15"/>
        <v/>
      </c>
    </row>
    <row r="883" spans="2:23" ht="15.6" x14ac:dyDescent="0.3">
      <c r="B883" s="127"/>
      <c r="C883" s="70"/>
      <c r="D883" s="10"/>
      <c r="E883" s="10"/>
      <c r="F883" s="38"/>
      <c r="G883" s="38"/>
      <c r="H883" s="38"/>
      <c r="I883" s="38"/>
      <c r="J883" s="38"/>
      <c r="K883" s="38"/>
      <c r="L883" s="38"/>
      <c r="W883" s="7" t="str">
        <f t="shared" si="15"/>
        <v/>
      </c>
    </row>
    <row r="884" spans="2:23" ht="15.6" x14ac:dyDescent="0.3">
      <c r="B884" s="127"/>
      <c r="C884" s="70"/>
      <c r="D884" s="10"/>
      <c r="E884" s="10"/>
      <c r="F884" s="38"/>
      <c r="G884" s="38"/>
      <c r="H884" s="38"/>
      <c r="I884" s="38"/>
      <c r="J884" s="38"/>
      <c r="K884" s="38"/>
      <c r="L884" s="38"/>
      <c r="W884" s="7" t="str">
        <f t="shared" si="15"/>
        <v/>
      </c>
    </row>
    <row r="885" spans="2:23" ht="15.6" x14ac:dyDescent="0.3">
      <c r="B885" s="127"/>
      <c r="C885" s="70"/>
      <c r="D885" s="10"/>
      <c r="E885" s="10"/>
      <c r="F885" s="38"/>
      <c r="G885" s="38"/>
      <c r="H885" s="38"/>
      <c r="I885" s="38"/>
      <c r="J885" s="38"/>
      <c r="K885" s="38"/>
      <c r="L885" s="38"/>
      <c r="W885" s="7" t="str">
        <f t="shared" si="15"/>
        <v/>
      </c>
    </row>
    <row r="886" spans="2:23" ht="15.6" x14ac:dyDescent="0.3">
      <c r="B886" s="127"/>
      <c r="C886" s="70"/>
      <c r="D886" s="10"/>
      <c r="E886" s="10"/>
      <c r="F886" s="38"/>
      <c r="G886" s="38"/>
      <c r="H886" s="38"/>
      <c r="I886" s="38"/>
      <c r="J886" s="38"/>
      <c r="K886" s="38"/>
      <c r="L886" s="38"/>
      <c r="W886" s="7" t="str">
        <f t="shared" si="15"/>
        <v/>
      </c>
    </row>
    <row r="887" spans="2:23" ht="15.6" x14ac:dyDescent="0.3">
      <c r="B887" s="127"/>
      <c r="C887" s="70"/>
      <c r="D887" s="10"/>
      <c r="E887" s="10"/>
      <c r="F887" s="38"/>
      <c r="G887" s="38"/>
      <c r="H887" s="38"/>
      <c r="I887" s="38"/>
      <c r="J887" s="38"/>
      <c r="K887" s="38"/>
      <c r="L887" s="38"/>
      <c r="W887" s="7" t="str">
        <f t="shared" si="15"/>
        <v/>
      </c>
    </row>
    <row r="888" spans="2:23" ht="15.6" x14ac:dyDescent="0.3">
      <c r="B888" s="127"/>
      <c r="C888" s="70"/>
      <c r="D888" s="10"/>
      <c r="E888" s="10"/>
      <c r="F888" s="38"/>
      <c r="G888" s="38"/>
      <c r="H888" s="38"/>
      <c r="I888" s="38"/>
      <c r="J888" s="38"/>
      <c r="K888" s="38"/>
      <c r="L888" s="38"/>
      <c r="W888" s="7" t="str">
        <f t="shared" si="15"/>
        <v/>
      </c>
    </row>
    <row r="889" spans="2:23" ht="15.6" x14ac:dyDescent="0.3">
      <c r="B889" s="127"/>
      <c r="C889" s="70"/>
      <c r="D889" s="10"/>
      <c r="E889" s="10"/>
      <c r="F889" s="38"/>
      <c r="G889" s="38"/>
      <c r="H889" s="38"/>
      <c r="I889" s="38"/>
      <c r="J889" s="38"/>
      <c r="K889" s="38"/>
      <c r="L889" s="38"/>
      <c r="W889" s="7" t="str">
        <f t="shared" si="15"/>
        <v/>
      </c>
    </row>
    <row r="890" spans="2:23" ht="15.6" x14ac:dyDescent="0.3">
      <c r="B890" s="127"/>
      <c r="C890" s="70"/>
      <c r="D890" s="10"/>
      <c r="E890" s="10"/>
      <c r="F890" s="38"/>
      <c r="G890" s="38"/>
      <c r="H890" s="38"/>
      <c r="I890" s="38"/>
      <c r="J890" s="38"/>
      <c r="K890" s="38"/>
      <c r="L890" s="38"/>
      <c r="W890" s="7" t="str">
        <f t="shared" si="15"/>
        <v/>
      </c>
    </row>
    <row r="891" spans="2:23" ht="15.6" x14ac:dyDescent="0.3">
      <c r="B891" s="127"/>
      <c r="C891" s="70"/>
      <c r="D891" s="10"/>
      <c r="E891" s="10"/>
      <c r="F891" s="38"/>
      <c r="G891" s="38"/>
      <c r="H891" s="38"/>
      <c r="I891" s="38"/>
      <c r="J891" s="38"/>
      <c r="K891" s="38"/>
      <c r="L891" s="38"/>
      <c r="W891" s="7" t="str">
        <f t="shared" si="15"/>
        <v/>
      </c>
    </row>
    <row r="892" spans="2:23" ht="15.6" x14ac:dyDescent="0.3">
      <c r="B892" s="127"/>
      <c r="C892" s="70"/>
      <c r="D892" s="10"/>
      <c r="E892" s="10"/>
      <c r="F892" s="38"/>
      <c r="G892" s="38"/>
      <c r="H892" s="38"/>
      <c r="I892" s="38"/>
      <c r="J892" s="38"/>
      <c r="K892" s="38"/>
      <c r="L892" s="38"/>
      <c r="W892" s="7" t="str">
        <f t="shared" si="15"/>
        <v/>
      </c>
    </row>
    <row r="893" spans="2:23" ht="15.6" x14ac:dyDescent="0.3">
      <c r="B893" s="127"/>
      <c r="C893" s="70"/>
      <c r="D893" s="10"/>
      <c r="E893" s="10"/>
      <c r="F893" s="38"/>
      <c r="G893" s="38"/>
      <c r="H893" s="38"/>
      <c r="I893" s="38"/>
      <c r="J893" s="38"/>
      <c r="K893" s="38"/>
      <c r="L893" s="38"/>
      <c r="W893" s="7" t="str">
        <f t="shared" si="15"/>
        <v/>
      </c>
    </row>
    <row r="894" spans="2:23" ht="15.6" x14ac:dyDescent="0.3">
      <c r="B894" s="127"/>
      <c r="C894" s="70"/>
      <c r="D894" s="10"/>
      <c r="E894" s="10"/>
      <c r="F894" s="38"/>
      <c r="G894" s="38"/>
      <c r="H894" s="38"/>
      <c r="I894" s="38"/>
      <c r="J894" s="38"/>
      <c r="K894" s="38"/>
      <c r="L894" s="38"/>
      <c r="W894" s="7" t="str">
        <f t="shared" si="15"/>
        <v/>
      </c>
    </row>
    <row r="895" spans="2:23" ht="15.6" x14ac:dyDescent="0.3">
      <c r="B895" s="127"/>
      <c r="C895" s="70"/>
      <c r="D895" s="10"/>
      <c r="E895" s="10"/>
      <c r="F895" s="38"/>
      <c r="G895" s="38"/>
      <c r="H895" s="38"/>
      <c r="I895" s="38"/>
      <c r="J895" s="38"/>
      <c r="K895" s="38"/>
      <c r="L895" s="38"/>
      <c r="W895" s="7" t="str">
        <f t="shared" si="15"/>
        <v/>
      </c>
    </row>
    <row r="896" spans="2:23" ht="15.6" x14ac:dyDescent="0.3">
      <c r="B896" s="127"/>
      <c r="C896" s="70"/>
      <c r="D896" s="10"/>
      <c r="E896" s="10"/>
      <c r="F896" s="38"/>
      <c r="G896" s="38"/>
      <c r="H896" s="38"/>
      <c r="I896" s="38"/>
      <c r="J896" s="38"/>
      <c r="K896" s="38"/>
      <c r="L896" s="38"/>
      <c r="W896" s="7" t="str">
        <f t="shared" si="15"/>
        <v/>
      </c>
    </row>
    <row r="897" spans="2:23" ht="15.6" x14ac:dyDescent="0.3">
      <c r="B897" s="127"/>
      <c r="C897" s="70"/>
      <c r="D897" s="10"/>
      <c r="E897" s="10"/>
      <c r="F897" s="38"/>
      <c r="G897" s="38"/>
      <c r="H897" s="38"/>
      <c r="I897" s="38"/>
      <c r="J897" s="38"/>
      <c r="K897" s="38"/>
      <c r="L897" s="38"/>
      <c r="W897" s="7" t="str">
        <f t="shared" si="15"/>
        <v/>
      </c>
    </row>
    <row r="898" spans="2:23" ht="15.6" x14ac:dyDescent="0.3">
      <c r="B898" s="127"/>
      <c r="C898" s="70"/>
      <c r="D898" s="10"/>
      <c r="E898" s="10"/>
      <c r="F898" s="38"/>
      <c r="G898" s="38"/>
      <c r="H898" s="38"/>
      <c r="I898" s="38"/>
      <c r="J898" s="38"/>
      <c r="K898" s="38"/>
      <c r="L898" s="38"/>
      <c r="W898" s="7" t="str">
        <f t="shared" si="15"/>
        <v/>
      </c>
    </row>
    <row r="899" spans="2:23" ht="15.6" x14ac:dyDescent="0.3">
      <c r="B899" s="127"/>
      <c r="C899" s="70"/>
      <c r="D899" s="10"/>
      <c r="E899" s="10"/>
      <c r="F899" s="38"/>
      <c r="G899" s="38"/>
      <c r="H899" s="38"/>
      <c r="I899" s="38"/>
      <c r="J899" s="38"/>
      <c r="K899" s="38"/>
      <c r="L899" s="38"/>
      <c r="W899" s="7" t="str">
        <f t="shared" ref="W899:W962" si="16">IF(B899="","",TEXT(B899,"mmm"))</f>
        <v/>
      </c>
    </row>
    <row r="900" spans="2:23" ht="15.6" x14ac:dyDescent="0.3">
      <c r="B900" s="127"/>
      <c r="C900" s="70"/>
      <c r="D900" s="10"/>
      <c r="E900" s="10"/>
      <c r="F900" s="38"/>
      <c r="G900" s="38"/>
      <c r="H900" s="38"/>
      <c r="I900" s="38"/>
      <c r="J900" s="38"/>
      <c r="K900" s="38"/>
      <c r="L900" s="38"/>
      <c r="W900" s="7" t="str">
        <f t="shared" si="16"/>
        <v/>
      </c>
    </row>
    <row r="901" spans="2:23" ht="15.6" x14ac:dyDescent="0.3">
      <c r="B901" s="127"/>
      <c r="C901" s="70"/>
      <c r="D901" s="10"/>
      <c r="E901" s="10"/>
      <c r="F901" s="38"/>
      <c r="G901" s="38"/>
      <c r="H901" s="38"/>
      <c r="I901" s="38"/>
      <c r="J901" s="38"/>
      <c r="K901" s="38"/>
      <c r="L901" s="38"/>
      <c r="W901" s="7" t="str">
        <f t="shared" si="16"/>
        <v/>
      </c>
    </row>
    <row r="902" spans="2:23" ht="15.6" x14ac:dyDescent="0.3">
      <c r="B902" s="127"/>
      <c r="C902" s="70"/>
      <c r="D902" s="10"/>
      <c r="E902" s="10"/>
      <c r="F902" s="38"/>
      <c r="G902" s="38"/>
      <c r="H902" s="38"/>
      <c r="I902" s="38"/>
      <c r="J902" s="38"/>
      <c r="K902" s="38"/>
      <c r="L902" s="38"/>
      <c r="W902" s="7" t="str">
        <f t="shared" si="16"/>
        <v/>
      </c>
    </row>
    <row r="903" spans="2:23" ht="15.6" x14ac:dyDescent="0.3">
      <c r="B903" s="127"/>
      <c r="C903" s="70"/>
      <c r="D903" s="10"/>
      <c r="E903" s="10"/>
      <c r="F903" s="38"/>
      <c r="G903" s="38"/>
      <c r="H903" s="38"/>
      <c r="I903" s="38"/>
      <c r="J903" s="38"/>
      <c r="K903" s="38"/>
      <c r="L903" s="38"/>
      <c r="W903" s="7" t="str">
        <f t="shared" si="16"/>
        <v/>
      </c>
    </row>
    <row r="904" spans="2:23" ht="15.6" x14ac:dyDescent="0.3">
      <c r="B904" s="127"/>
      <c r="C904" s="70"/>
      <c r="D904" s="10"/>
      <c r="E904" s="10"/>
      <c r="F904" s="38"/>
      <c r="G904" s="38"/>
      <c r="H904" s="38"/>
      <c r="I904" s="38"/>
      <c r="J904" s="38"/>
      <c r="K904" s="38"/>
      <c r="L904" s="38"/>
      <c r="W904" s="7" t="str">
        <f t="shared" si="16"/>
        <v/>
      </c>
    </row>
    <row r="905" spans="2:23" ht="15.6" x14ac:dyDescent="0.3">
      <c r="B905" s="127"/>
      <c r="C905" s="70"/>
      <c r="D905" s="10"/>
      <c r="E905" s="10"/>
      <c r="F905" s="38"/>
      <c r="G905" s="38"/>
      <c r="H905" s="38"/>
      <c r="I905" s="38"/>
      <c r="J905" s="38"/>
      <c r="K905" s="38"/>
      <c r="L905" s="38"/>
      <c r="W905" s="7" t="str">
        <f t="shared" si="16"/>
        <v/>
      </c>
    </row>
    <row r="906" spans="2:23" ht="15.6" x14ac:dyDescent="0.3">
      <c r="B906" s="127"/>
      <c r="C906" s="70"/>
      <c r="D906" s="10"/>
      <c r="E906" s="10"/>
      <c r="F906" s="38"/>
      <c r="G906" s="38"/>
      <c r="H906" s="38"/>
      <c r="I906" s="38"/>
      <c r="J906" s="38"/>
      <c r="K906" s="38"/>
      <c r="L906" s="38"/>
      <c r="W906" s="7" t="str">
        <f t="shared" si="16"/>
        <v/>
      </c>
    </row>
    <row r="907" spans="2:23" ht="15.6" x14ac:dyDescent="0.3">
      <c r="B907" s="127"/>
      <c r="C907" s="70"/>
      <c r="D907" s="10"/>
      <c r="E907" s="10"/>
      <c r="F907" s="38"/>
      <c r="G907" s="38"/>
      <c r="H907" s="38"/>
      <c r="I907" s="38"/>
      <c r="J907" s="38"/>
      <c r="K907" s="38"/>
      <c r="L907" s="38"/>
      <c r="W907" s="7" t="str">
        <f t="shared" si="16"/>
        <v/>
      </c>
    </row>
    <row r="908" spans="2:23" ht="15.6" x14ac:dyDescent="0.3">
      <c r="B908" s="127"/>
      <c r="C908" s="70"/>
      <c r="D908" s="10"/>
      <c r="E908" s="10"/>
      <c r="F908" s="38"/>
      <c r="G908" s="38"/>
      <c r="H908" s="38"/>
      <c r="I908" s="38"/>
      <c r="J908" s="38"/>
      <c r="K908" s="38"/>
      <c r="L908" s="38"/>
      <c r="W908" s="7" t="str">
        <f t="shared" si="16"/>
        <v/>
      </c>
    </row>
    <row r="909" spans="2:23" ht="15.6" x14ac:dyDescent="0.3">
      <c r="B909" s="127"/>
      <c r="C909" s="70"/>
      <c r="D909" s="10"/>
      <c r="E909" s="10"/>
      <c r="F909" s="38"/>
      <c r="G909" s="38"/>
      <c r="H909" s="38"/>
      <c r="I909" s="38"/>
      <c r="J909" s="38"/>
      <c r="K909" s="38"/>
      <c r="L909" s="38"/>
      <c r="W909" s="7" t="str">
        <f t="shared" si="16"/>
        <v/>
      </c>
    </row>
    <row r="910" spans="2:23" ht="15.6" x14ac:dyDescent="0.3">
      <c r="B910" s="127"/>
      <c r="C910" s="70"/>
      <c r="D910" s="10"/>
      <c r="E910" s="10"/>
      <c r="F910" s="38"/>
      <c r="G910" s="38"/>
      <c r="H910" s="38"/>
      <c r="I910" s="38"/>
      <c r="J910" s="38"/>
      <c r="K910" s="38"/>
      <c r="L910" s="38"/>
      <c r="W910" s="7" t="str">
        <f t="shared" si="16"/>
        <v/>
      </c>
    </row>
    <row r="911" spans="2:23" ht="15.6" x14ac:dyDescent="0.3">
      <c r="B911" s="127"/>
      <c r="C911" s="70"/>
      <c r="D911" s="10"/>
      <c r="E911" s="10"/>
      <c r="F911" s="38"/>
      <c r="G911" s="38"/>
      <c r="H911" s="38"/>
      <c r="I911" s="38"/>
      <c r="J911" s="38"/>
      <c r="K911" s="38"/>
      <c r="L911" s="38"/>
      <c r="W911" s="7" t="str">
        <f t="shared" si="16"/>
        <v/>
      </c>
    </row>
    <row r="912" spans="2:23" ht="15.6" x14ac:dyDescent="0.3">
      <c r="B912" s="127"/>
      <c r="C912" s="70"/>
      <c r="D912" s="10"/>
      <c r="E912" s="10"/>
      <c r="F912" s="38"/>
      <c r="G912" s="38"/>
      <c r="H912" s="38"/>
      <c r="I912" s="38"/>
      <c r="J912" s="38"/>
      <c r="K912" s="38"/>
      <c r="L912" s="38"/>
      <c r="W912" s="7" t="str">
        <f t="shared" si="16"/>
        <v/>
      </c>
    </row>
    <row r="913" spans="2:23" ht="15.6" x14ac:dyDescent="0.3">
      <c r="B913" s="127"/>
      <c r="C913" s="70"/>
      <c r="D913" s="10"/>
      <c r="E913" s="10"/>
      <c r="F913" s="38"/>
      <c r="G913" s="38"/>
      <c r="H913" s="38"/>
      <c r="I913" s="38"/>
      <c r="J913" s="38"/>
      <c r="K913" s="38"/>
      <c r="L913" s="38"/>
      <c r="W913" s="7" t="str">
        <f t="shared" si="16"/>
        <v/>
      </c>
    </row>
    <row r="914" spans="2:23" ht="15.6" x14ac:dyDescent="0.3">
      <c r="B914" s="127"/>
      <c r="C914" s="70"/>
      <c r="D914" s="10"/>
      <c r="E914" s="10"/>
      <c r="F914" s="38"/>
      <c r="G914" s="38"/>
      <c r="H914" s="38"/>
      <c r="I914" s="38"/>
      <c r="J914" s="38"/>
      <c r="K914" s="38"/>
      <c r="L914" s="38"/>
      <c r="W914" s="7" t="str">
        <f t="shared" si="16"/>
        <v/>
      </c>
    </row>
    <row r="915" spans="2:23" ht="15.6" x14ac:dyDescent="0.3">
      <c r="B915" s="127"/>
      <c r="C915" s="70"/>
      <c r="D915" s="10"/>
      <c r="E915" s="10"/>
      <c r="F915" s="38"/>
      <c r="G915" s="38"/>
      <c r="H915" s="38"/>
      <c r="I915" s="38"/>
      <c r="J915" s="38"/>
      <c r="K915" s="38"/>
      <c r="L915" s="38"/>
      <c r="W915" s="7" t="str">
        <f t="shared" si="16"/>
        <v/>
      </c>
    </row>
    <row r="916" spans="2:23" ht="15.6" x14ac:dyDescent="0.3">
      <c r="B916" s="127"/>
      <c r="C916" s="70"/>
      <c r="D916" s="10"/>
      <c r="E916" s="10"/>
      <c r="F916" s="38"/>
      <c r="G916" s="38"/>
      <c r="H916" s="38"/>
      <c r="I916" s="38"/>
      <c r="J916" s="38"/>
      <c r="K916" s="38"/>
      <c r="L916" s="38"/>
      <c r="W916" s="7" t="str">
        <f t="shared" si="16"/>
        <v/>
      </c>
    </row>
    <row r="917" spans="2:23" ht="15.6" x14ac:dyDescent="0.3">
      <c r="B917" s="127"/>
      <c r="C917" s="70"/>
      <c r="D917" s="10"/>
      <c r="E917" s="10"/>
      <c r="F917" s="38"/>
      <c r="G917" s="38"/>
      <c r="H917" s="38"/>
      <c r="I917" s="38"/>
      <c r="J917" s="38"/>
      <c r="K917" s="38"/>
      <c r="L917" s="38"/>
      <c r="W917" s="7" t="str">
        <f t="shared" si="16"/>
        <v/>
      </c>
    </row>
    <row r="918" spans="2:23" ht="15.6" x14ac:dyDescent="0.3">
      <c r="B918" s="127"/>
      <c r="C918" s="70"/>
      <c r="D918" s="10"/>
      <c r="E918" s="10"/>
      <c r="F918" s="38"/>
      <c r="G918" s="38"/>
      <c r="H918" s="38"/>
      <c r="I918" s="38"/>
      <c r="J918" s="38"/>
      <c r="K918" s="38"/>
      <c r="L918" s="38"/>
      <c r="W918" s="7" t="str">
        <f t="shared" si="16"/>
        <v/>
      </c>
    </row>
    <row r="919" spans="2:23" ht="15.6" x14ac:dyDescent="0.3">
      <c r="B919" s="127"/>
      <c r="C919" s="70"/>
      <c r="D919" s="10"/>
      <c r="E919" s="10"/>
      <c r="F919" s="38"/>
      <c r="G919" s="38"/>
      <c r="H919" s="38"/>
      <c r="I919" s="38"/>
      <c r="J919" s="38"/>
      <c r="K919" s="38"/>
      <c r="L919" s="38"/>
      <c r="W919" s="7" t="str">
        <f t="shared" si="16"/>
        <v/>
      </c>
    </row>
    <row r="920" spans="2:23" ht="15.6" x14ac:dyDescent="0.3">
      <c r="B920" s="127"/>
      <c r="C920" s="70"/>
      <c r="D920" s="10"/>
      <c r="E920" s="10"/>
      <c r="F920" s="38"/>
      <c r="G920" s="38"/>
      <c r="H920" s="38"/>
      <c r="I920" s="38"/>
      <c r="J920" s="38"/>
      <c r="K920" s="38"/>
      <c r="L920" s="38"/>
      <c r="W920" s="7" t="str">
        <f t="shared" si="16"/>
        <v/>
      </c>
    </row>
    <row r="921" spans="2:23" ht="15.6" x14ac:dyDescent="0.3">
      <c r="B921" s="127"/>
      <c r="C921" s="70"/>
      <c r="D921" s="10"/>
      <c r="E921" s="10"/>
      <c r="F921" s="38"/>
      <c r="G921" s="38"/>
      <c r="H921" s="38"/>
      <c r="I921" s="38"/>
      <c r="J921" s="38"/>
      <c r="K921" s="38"/>
      <c r="L921" s="38"/>
      <c r="W921" s="7" t="str">
        <f t="shared" si="16"/>
        <v/>
      </c>
    </row>
    <row r="922" spans="2:23" ht="15.6" x14ac:dyDescent="0.3">
      <c r="B922" s="127"/>
      <c r="C922" s="70"/>
      <c r="D922" s="10"/>
      <c r="E922" s="10"/>
      <c r="F922" s="38"/>
      <c r="G922" s="38"/>
      <c r="H922" s="38"/>
      <c r="I922" s="38"/>
      <c r="J922" s="38"/>
      <c r="K922" s="38"/>
      <c r="L922" s="38"/>
      <c r="W922" s="7" t="str">
        <f t="shared" si="16"/>
        <v/>
      </c>
    </row>
    <row r="923" spans="2:23" ht="15.6" x14ac:dyDescent="0.3">
      <c r="B923" s="127"/>
      <c r="C923" s="70"/>
      <c r="D923" s="10"/>
      <c r="E923" s="10"/>
      <c r="F923" s="38"/>
      <c r="G923" s="38"/>
      <c r="H923" s="38"/>
      <c r="I923" s="38"/>
      <c r="J923" s="38"/>
      <c r="K923" s="38"/>
      <c r="L923" s="38"/>
      <c r="W923" s="7" t="str">
        <f t="shared" si="16"/>
        <v/>
      </c>
    </row>
    <row r="924" spans="2:23" ht="15.6" x14ac:dyDescent="0.3">
      <c r="B924" s="127"/>
      <c r="C924" s="70"/>
      <c r="D924" s="10"/>
      <c r="E924" s="10"/>
      <c r="F924" s="38"/>
      <c r="G924" s="38"/>
      <c r="H924" s="38"/>
      <c r="I924" s="38"/>
      <c r="J924" s="38"/>
      <c r="K924" s="38"/>
      <c r="L924" s="38"/>
      <c r="W924" s="7" t="str">
        <f t="shared" si="16"/>
        <v/>
      </c>
    </row>
    <row r="925" spans="2:23" ht="15.6" x14ac:dyDescent="0.3">
      <c r="B925" s="127"/>
      <c r="C925" s="70"/>
      <c r="D925" s="10"/>
      <c r="E925" s="10"/>
      <c r="F925" s="38"/>
      <c r="G925" s="38"/>
      <c r="H925" s="38"/>
      <c r="I925" s="38"/>
      <c r="J925" s="38"/>
      <c r="K925" s="38"/>
      <c r="L925" s="38"/>
      <c r="W925" s="7" t="str">
        <f t="shared" si="16"/>
        <v/>
      </c>
    </row>
    <row r="926" spans="2:23" ht="15.6" x14ac:dyDescent="0.3">
      <c r="B926" s="127"/>
      <c r="C926" s="70"/>
      <c r="D926" s="10"/>
      <c r="E926" s="10"/>
      <c r="F926" s="38"/>
      <c r="G926" s="38"/>
      <c r="H926" s="38"/>
      <c r="I926" s="38"/>
      <c r="J926" s="38"/>
      <c r="K926" s="38"/>
      <c r="L926" s="38"/>
      <c r="W926" s="7" t="str">
        <f t="shared" si="16"/>
        <v/>
      </c>
    </row>
    <row r="927" spans="2:23" ht="15.6" x14ac:dyDescent="0.3">
      <c r="B927" s="127"/>
      <c r="C927" s="70"/>
      <c r="D927" s="10"/>
      <c r="E927" s="10"/>
      <c r="F927" s="38"/>
      <c r="G927" s="38"/>
      <c r="H927" s="38"/>
      <c r="I927" s="38"/>
      <c r="J927" s="38"/>
      <c r="K927" s="38"/>
      <c r="L927" s="38"/>
      <c r="W927" s="7" t="str">
        <f t="shared" si="16"/>
        <v/>
      </c>
    </row>
    <row r="928" spans="2:23" ht="15.6" x14ac:dyDescent="0.3">
      <c r="B928" s="127"/>
      <c r="C928" s="70"/>
      <c r="D928" s="10"/>
      <c r="E928" s="10"/>
      <c r="F928" s="38"/>
      <c r="G928" s="38"/>
      <c r="H928" s="38"/>
      <c r="I928" s="38"/>
      <c r="J928" s="38"/>
      <c r="K928" s="38"/>
      <c r="L928" s="38"/>
      <c r="W928" s="7" t="str">
        <f t="shared" si="16"/>
        <v/>
      </c>
    </row>
    <row r="929" spans="2:23" ht="15.6" x14ac:dyDescent="0.3">
      <c r="B929" s="127"/>
      <c r="C929" s="70"/>
      <c r="D929" s="10"/>
      <c r="E929" s="10"/>
      <c r="F929" s="38"/>
      <c r="G929" s="38"/>
      <c r="H929" s="38"/>
      <c r="I929" s="38"/>
      <c r="J929" s="38"/>
      <c r="K929" s="38"/>
      <c r="L929" s="38"/>
      <c r="W929" s="7" t="str">
        <f t="shared" si="16"/>
        <v/>
      </c>
    </row>
    <row r="930" spans="2:23" ht="15.6" x14ac:dyDescent="0.3">
      <c r="B930" s="127"/>
      <c r="C930" s="70"/>
      <c r="D930" s="10"/>
      <c r="E930" s="10"/>
      <c r="F930" s="38"/>
      <c r="G930" s="38"/>
      <c r="H930" s="38"/>
      <c r="I930" s="38"/>
      <c r="J930" s="38"/>
      <c r="K930" s="38"/>
      <c r="L930" s="38"/>
      <c r="W930" s="7" t="str">
        <f t="shared" si="16"/>
        <v/>
      </c>
    </row>
    <row r="931" spans="2:23" ht="15.6" x14ac:dyDescent="0.3">
      <c r="B931" s="127"/>
      <c r="C931" s="70"/>
      <c r="D931" s="10"/>
      <c r="E931" s="10"/>
      <c r="F931" s="38"/>
      <c r="G931" s="38"/>
      <c r="H931" s="38"/>
      <c r="I931" s="38"/>
      <c r="J931" s="38"/>
      <c r="K931" s="38"/>
      <c r="L931" s="38"/>
      <c r="W931" s="7" t="str">
        <f t="shared" si="16"/>
        <v/>
      </c>
    </row>
    <row r="932" spans="2:23" ht="15.6" x14ac:dyDescent="0.3">
      <c r="B932" s="127"/>
      <c r="C932" s="70"/>
      <c r="D932" s="10"/>
      <c r="E932" s="10"/>
      <c r="F932" s="38"/>
      <c r="G932" s="38"/>
      <c r="H932" s="38"/>
      <c r="I932" s="38"/>
      <c r="J932" s="38"/>
      <c r="K932" s="38"/>
      <c r="L932" s="38"/>
      <c r="W932" s="7" t="str">
        <f t="shared" si="16"/>
        <v/>
      </c>
    </row>
    <row r="933" spans="2:23" ht="15.6" x14ac:dyDescent="0.3">
      <c r="B933" s="127"/>
      <c r="C933" s="70"/>
      <c r="D933" s="10"/>
      <c r="E933" s="10"/>
      <c r="F933" s="38"/>
      <c r="G933" s="38"/>
      <c r="H933" s="38"/>
      <c r="I933" s="38"/>
      <c r="J933" s="38"/>
      <c r="K933" s="38"/>
      <c r="L933" s="38"/>
      <c r="W933" s="7" t="str">
        <f t="shared" si="16"/>
        <v/>
      </c>
    </row>
    <row r="934" spans="2:23" ht="15.6" x14ac:dyDescent="0.3">
      <c r="B934" s="127"/>
      <c r="C934" s="70"/>
      <c r="D934" s="10"/>
      <c r="E934" s="10"/>
      <c r="F934" s="38"/>
      <c r="G934" s="38"/>
      <c r="H934" s="38"/>
      <c r="I934" s="38"/>
      <c r="J934" s="38"/>
      <c r="K934" s="38"/>
      <c r="L934" s="38"/>
      <c r="W934" s="7" t="str">
        <f t="shared" si="16"/>
        <v/>
      </c>
    </row>
    <row r="935" spans="2:23" ht="15.6" x14ac:dyDescent="0.3">
      <c r="B935" s="127"/>
      <c r="C935" s="70"/>
      <c r="D935" s="10"/>
      <c r="E935" s="10"/>
      <c r="F935" s="38"/>
      <c r="G935" s="38"/>
      <c r="H935" s="38"/>
      <c r="I935" s="38"/>
      <c r="J935" s="38"/>
      <c r="K935" s="38"/>
      <c r="L935" s="38"/>
      <c r="W935" s="7" t="str">
        <f t="shared" si="16"/>
        <v/>
      </c>
    </row>
    <row r="936" spans="2:23" ht="15.6" x14ac:dyDescent="0.3">
      <c r="B936" s="127"/>
      <c r="C936" s="70"/>
      <c r="D936" s="10"/>
      <c r="E936" s="10"/>
      <c r="F936" s="38"/>
      <c r="G936" s="38"/>
      <c r="H936" s="38"/>
      <c r="I936" s="38"/>
      <c r="J936" s="38"/>
      <c r="K936" s="38"/>
      <c r="L936" s="38"/>
      <c r="W936" s="7" t="str">
        <f t="shared" si="16"/>
        <v/>
      </c>
    </row>
    <row r="937" spans="2:23" ht="15.6" x14ac:dyDescent="0.3">
      <c r="B937" s="127"/>
      <c r="C937" s="70"/>
      <c r="D937" s="10"/>
      <c r="E937" s="10"/>
      <c r="F937" s="38"/>
      <c r="G937" s="38"/>
      <c r="H937" s="38"/>
      <c r="I937" s="38"/>
      <c r="J937" s="38"/>
      <c r="K937" s="38"/>
      <c r="L937" s="38"/>
      <c r="W937" s="7" t="str">
        <f t="shared" si="16"/>
        <v/>
      </c>
    </row>
    <row r="938" spans="2:23" ht="15.6" x14ac:dyDescent="0.3">
      <c r="B938" s="127"/>
      <c r="C938" s="70"/>
      <c r="D938" s="10"/>
      <c r="E938" s="10"/>
      <c r="F938" s="38"/>
      <c r="G938" s="38"/>
      <c r="H938" s="38"/>
      <c r="I938" s="38"/>
      <c r="J938" s="38"/>
      <c r="K938" s="38"/>
      <c r="L938" s="38"/>
      <c r="W938" s="7" t="str">
        <f t="shared" si="16"/>
        <v/>
      </c>
    </row>
    <row r="939" spans="2:23" ht="15.6" x14ac:dyDescent="0.3">
      <c r="B939" s="127"/>
      <c r="C939" s="70"/>
      <c r="D939" s="10"/>
      <c r="E939" s="10"/>
      <c r="F939" s="38"/>
      <c r="G939" s="38"/>
      <c r="H939" s="38"/>
      <c r="I939" s="38"/>
      <c r="J939" s="38"/>
      <c r="K939" s="38"/>
      <c r="L939" s="38"/>
      <c r="W939" s="7" t="str">
        <f t="shared" si="16"/>
        <v/>
      </c>
    </row>
    <row r="940" spans="2:23" ht="15.6" x14ac:dyDescent="0.3">
      <c r="B940" s="127"/>
      <c r="C940" s="70"/>
      <c r="D940" s="10"/>
      <c r="E940" s="10"/>
      <c r="F940" s="38"/>
      <c r="G940" s="38"/>
      <c r="H940" s="38"/>
      <c r="I940" s="38"/>
      <c r="J940" s="38"/>
      <c r="K940" s="38"/>
      <c r="L940" s="38"/>
      <c r="W940" s="7" t="str">
        <f t="shared" si="16"/>
        <v/>
      </c>
    </row>
    <row r="941" spans="2:23" ht="15.6" x14ac:dyDescent="0.3">
      <c r="B941" s="127"/>
      <c r="C941" s="70"/>
      <c r="D941" s="10"/>
      <c r="E941" s="10"/>
      <c r="F941" s="38"/>
      <c r="G941" s="38"/>
      <c r="H941" s="38"/>
      <c r="I941" s="38"/>
      <c r="J941" s="38"/>
      <c r="K941" s="38"/>
      <c r="L941" s="38"/>
      <c r="W941" s="7" t="str">
        <f t="shared" si="16"/>
        <v/>
      </c>
    </row>
    <row r="942" spans="2:23" ht="15.6" x14ac:dyDescent="0.3">
      <c r="B942" s="127"/>
      <c r="C942" s="70"/>
      <c r="D942" s="10"/>
      <c r="E942" s="10"/>
      <c r="F942" s="38"/>
      <c r="G942" s="38"/>
      <c r="H942" s="38"/>
      <c r="I942" s="38"/>
      <c r="J942" s="38"/>
      <c r="K942" s="38"/>
      <c r="L942" s="38"/>
      <c r="W942" s="7" t="str">
        <f t="shared" si="16"/>
        <v/>
      </c>
    </row>
    <row r="943" spans="2:23" ht="15.6" x14ac:dyDescent="0.3">
      <c r="B943" s="127"/>
      <c r="C943" s="70"/>
      <c r="D943" s="10"/>
      <c r="E943" s="10"/>
      <c r="F943" s="38"/>
      <c r="G943" s="38"/>
      <c r="H943" s="38"/>
      <c r="I943" s="38"/>
      <c r="J943" s="38"/>
      <c r="K943" s="38"/>
      <c r="L943" s="38"/>
      <c r="W943" s="7" t="str">
        <f t="shared" si="16"/>
        <v/>
      </c>
    </row>
    <row r="944" spans="2:23" ht="15.6" x14ac:dyDescent="0.3">
      <c r="B944" s="127"/>
      <c r="C944" s="70"/>
      <c r="D944" s="10"/>
      <c r="E944" s="10"/>
      <c r="F944" s="38"/>
      <c r="G944" s="38"/>
      <c r="H944" s="38"/>
      <c r="I944" s="38"/>
      <c r="J944" s="38"/>
      <c r="K944" s="38"/>
      <c r="L944" s="38"/>
      <c r="W944" s="7" t="str">
        <f t="shared" si="16"/>
        <v/>
      </c>
    </row>
    <row r="945" spans="2:23" ht="15.6" x14ac:dyDescent="0.3">
      <c r="B945" s="127"/>
      <c r="C945" s="70"/>
      <c r="D945" s="10"/>
      <c r="E945" s="10"/>
      <c r="F945" s="38"/>
      <c r="G945" s="38"/>
      <c r="H945" s="38"/>
      <c r="I945" s="38"/>
      <c r="J945" s="38"/>
      <c r="K945" s="38"/>
      <c r="L945" s="38"/>
      <c r="W945" s="7" t="str">
        <f t="shared" si="16"/>
        <v/>
      </c>
    </row>
    <row r="946" spans="2:23" ht="15.6" x14ac:dyDescent="0.3">
      <c r="B946" s="127"/>
      <c r="C946" s="70"/>
      <c r="D946" s="10"/>
      <c r="E946" s="10"/>
      <c r="F946" s="38"/>
      <c r="G946" s="38"/>
      <c r="H946" s="38"/>
      <c r="I946" s="38"/>
      <c r="J946" s="38"/>
      <c r="K946" s="38"/>
      <c r="L946" s="38"/>
      <c r="W946" s="7" t="str">
        <f t="shared" si="16"/>
        <v/>
      </c>
    </row>
    <row r="947" spans="2:23" ht="15.6" x14ac:dyDescent="0.3">
      <c r="B947" s="127"/>
      <c r="C947" s="70"/>
      <c r="D947" s="10"/>
      <c r="E947" s="10"/>
      <c r="F947" s="38"/>
      <c r="G947" s="38"/>
      <c r="H947" s="38"/>
      <c r="I947" s="38"/>
      <c r="J947" s="38"/>
      <c r="K947" s="38"/>
      <c r="L947" s="38"/>
      <c r="W947" s="7" t="str">
        <f t="shared" si="16"/>
        <v/>
      </c>
    </row>
    <row r="948" spans="2:23" ht="15.6" x14ac:dyDescent="0.3">
      <c r="B948" s="127"/>
      <c r="C948" s="70"/>
      <c r="D948" s="10"/>
      <c r="E948" s="10"/>
      <c r="F948" s="38"/>
      <c r="G948" s="38"/>
      <c r="H948" s="38"/>
      <c r="I948" s="38"/>
      <c r="J948" s="38"/>
      <c r="K948" s="38"/>
      <c r="L948" s="38"/>
      <c r="W948" s="7" t="str">
        <f t="shared" si="16"/>
        <v/>
      </c>
    </row>
    <row r="949" spans="2:23" ht="15.6" x14ac:dyDescent="0.3">
      <c r="B949" s="127"/>
      <c r="C949" s="70"/>
      <c r="D949" s="10"/>
      <c r="E949" s="10"/>
      <c r="F949" s="38"/>
      <c r="G949" s="38"/>
      <c r="H949" s="38"/>
      <c r="I949" s="38"/>
      <c r="J949" s="38"/>
      <c r="K949" s="38"/>
      <c r="L949" s="38"/>
      <c r="W949" s="7" t="str">
        <f t="shared" si="16"/>
        <v/>
      </c>
    </row>
    <row r="950" spans="2:23" ht="15.6" x14ac:dyDescent="0.3">
      <c r="B950" s="127"/>
      <c r="C950" s="70"/>
      <c r="D950" s="10"/>
      <c r="E950" s="10"/>
      <c r="F950" s="38"/>
      <c r="G950" s="38"/>
      <c r="H950" s="38"/>
      <c r="I950" s="38"/>
      <c r="J950" s="38"/>
      <c r="K950" s="38"/>
      <c r="L950" s="38"/>
      <c r="W950" s="7" t="str">
        <f t="shared" si="16"/>
        <v/>
      </c>
    </row>
    <row r="951" spans="2:23" ht="15.6" x14ac:dyDescent="0.3">
      <c r="B951" s="127"/>
      <c r="C951" s="70"/>
      <c r="D951" s="10"/>
      <c r="E951" s="10"/>
      <c r="F951" s="38"/>
      <c r="G951" s="38"/>
      <c r="H951" s="38"/>
      <c r="I951" s="38"/>
      <c r="J951" s="38"/>
      <c r="K951" s="38"/>
      <c r="L951" s="38"/>
      <c r="W951" s="7" t="str">
        <f t="shared" si="16"/>
        <v/>
      </c>
    </row>
    <row r="952" spans="2:23" ht="15.6" x14ac:dyDescent="0.3">
      <c r="B952" s="127"/>
      <c r="C952" s="70"/>
      <c r="D952" s="10"/>
      <c r="E952" s="10"/>
      <c r="F952" s="38"/>
      <c r="G952" s="38"/>
      <c r="H952" s="38"/>
      <c r="I952" s="38"/>
      <c r="J952" s="38"/>
      <c r="K952" s="38"/>
      <c r="L952" s="38"/>
      <c r="W952" s="7" t="str">
        <f t="shared" si="16"/>
        <v/>
      </c>
    </row>
    <row r="953" spans="2:23" ht="15.6" x14ac:dyDescent="0.3">
      <c r="B953" s="127"/>
      <c r="C953" s="70"/>
      <c r="D953" s="10"/>
      <c r="E953" s="10"/>
      <c r="F953" s="38"/>
      <c r="G953" s="38"/>
      <c r="H953" s="38"/>
      <c r="I953" s="38"/>
      <c r="J953" s="38"/>
      <c r="K953" s="38"/>
      <c r="L953" s="38"/>
      <c r="W953" s="7" t="str">
        <f t="shared" si="16"/>
        <v/>
      </c>
    </row>
    <row r="954" spans="2:23" ht="15.6" x14ac:dyDescent="0.3">
      <c r="B954" s="127"/>
      <c r="C954" s="70"/>
      <c r="D954" s="10"/>
      <c r="E954" s="10"/>
      <c r="F954" s="38"/>
      <c r="G954" s="38"/>
      <c r="H954" s="38"/>
      <c r="I954" s="38"/>
      <c r="J954" s="38"/>
      <c r="K954" s="38"/>
      <c r="L954" s="38"/>
      <c r="W954" s="7" t="str">
        <f t="shared" si="16"/>
        <v/>
      </c>
    </row>
    <row r="955" spans="2:23" ht="15.6" x14ac:dyDescent="0.3">
      <c r="B955" s="127"/>
      <c r="C955" s="70"/>
      <c r="D955" s="10"/>
      <c r="E955" s="10"/>
      <c r="F955" s="38"/>
      <c r="G955" s="38"/>
      <c r="H955" s="38"/>
      <c r="I955" s="38"/>
      <c r="J955" s="38"/>
      <c r="K955" s="38"/>
      <c r="L955" s="38"/>
      <c r="W955" s="7" t="str">
        <f t="shared" si="16"/>
        <v/>
      </c>
    </row>
    <row r="956" spans="2:23" ht="15.6" x14ac:dyDescent="0.3">
      <c r="B956" s="127"/>
      <c r="C956" s="70"/>
      <c r="D956" s="10"/>
      <c r="E956" s="10"/>
      <c r="F956" s="38"/>
      <c r="G956" s="38"/>
      <c r="H956" s="38"/>
      <c r="I956" s="38"/>
      <c r="J956" s="38"/>
      <c r="K956" s="38"/>
      <c r="L956" s="38"/>
      <c r="W956" s="7" t="str">
        <f t="shared" si="16"/>
        <v/>
      </c>
    </row>
    <row r="957" spans="2:23" ht="15.6" x14ac:dyDescent="0.3">
      <c r="B957" s="127"/>
      <c r="C957" s="70"/>
      <c r="D957" s="10"/>
      <c r="E957" s="10"/>
      <c r="F957" s="38"/>
      <c r="G957" s="38"/>
      <c r="H957" s="38"/>
      <c r="I957" s="38"/>
      <c r="J957" s="38"/>
      <c r="K957" s="38"/>
      <c r="L957" s="38"/>
      <c r="W957" s="7" t="str">
        <f t="shared" si="16"/>
        <v/>
      </c>
    </row>
    <row r="958" spans="2:23" ht="15.6" x14ac:dyDescent="0.3">
      <c r="B958" s="127"/>
      <c r="C958" s="70"/>
      <c r="D958" s="10"/>
      <c r="E958" s="10"/>
      <c r="F958" s="38"/>
      <c r="G958" s="38"/>
      <c r="H958" s="38"/>
      <c r="I958" s="38"/>
      <c r="J958" s="38"/>
      <c r="K958" s="38"/>
      <c r="L958" s="38"/>
      <c r="W958" s="7" t="str">
        <f t="shared" si="16"/>
        <v/>
      </c>
    </row>
    <row r="959" spans="2:23" ht="15.6" x14ac:dyDescent="0.3">
      <c r="B959" s="127"/>
      <c r="C959" s="70"/>
      <c r="D959" s="10"/>
      <c r="E959" s="10"/>
      <c r="F959" s="38"/>
      <c r="G959" s="38"/>
      <c r="H959" s="38"/>
      <c r="I959" s="38"/>
      <c r="J959" s="38"/>
      <c r="K959" s="38"/>
      <c r="L959" s="38"/>
      <c r="W959" s="7" t="str">
        <f t="shared" si="16"/>
        <v/>
      </c>
    </row>
    <row r="960" spans="2:23" ht="15.6" x14ac:dyDescent="0.3">
      <c r="B960" s="127"/>
      <c r="C960" s="70"/>
      <c r="D960" s="10"/>
      <c r="E960" s="10"/>
      <c r="F960" s="38"/>
      <c r="G960" s="38"/>
      <c r="H960" s="38"/>
      <c r="I960" s="38"/>
      <c r="J960" s="38"/>
      <c r="K960" s="38"/>
      <c r="L960" s="38"/>
      <c r="W960" s="7" t="str">
        <f t="shared" si="16"/>
        <v/>
      </c>
    </row>
    <row r="961" spans="2:23" ht="15.6" x14ac:dyDescent="0.3">
      <c r="B961" s="127"/>
      <c r="C961" s="70"/>
      <c r="D961" s="10"/>
      <c r="E961" s="10"/>
      <c r="F961" s="38"/>
      <c r="G961" s="38"/>
      <c r="H961" s="38"/>
      <c r="I961" s="38"/>
      <c r="J961" s="38"/>
      <c r="K961" s="38"/>
      <c r="L961" s="38"/>
      <c r="W961" s="7" t="str">
        <f t="shared" si="16"/>
        <v/>
      </c>
    </row>
    <row r="962" spans="2:23" ht="15.6" x14ac:dyDescent="0.3">
      <c r="B962" s="127"/>
      <c r="C962" s="70"/>
      <c r="D962" s="10"/>
      <c r="E962" s="10"/>
      <c r="F962" s="38"/>
      <c r="G962" s="38"/>
      <c r="H962" s="38"/>
      <c r="I962" s="38"/>
      <c r="J962" s="38"/>
      <c r="K962" s="38"/>
      <c r="L962" s="38"/>
      <c r="W962" s="7" t="str">
        <f t="shared" si="16"/>
        <v/>
      </c>
    </row>
    <row r="963" spans="2:23" ht="15.6" x14ac:dyDescent="0.3">
      <c r="B963" s="127"/>
      <c r="C963" s="70"/>
      <c r="D963" s="10"/>
      <c r="E963" s="10"/>
      <c r="F963" s="38"/>
      <c r="G963" s="38"/>
      <c r="H963" s="38"/>
      <c r="I963" s="38"/>
      <c r="J963" s="38"/>
      <c r="K963" s="38"/>
      <c r="L963" s="38"/>
      <c r="W963" s="7" t="str">
        <f t="shared" ref="W963:W994" si="17">IF(B963="","",TEXT(B963,"mmm"))</f>
        <v/>
      </c>
    </row>
    <row r="964" spans="2:23" ht="15.6" x14ac:dyDescent="0.3">
      <c r="B964" s="127"/>
      <c r="C964" s="70"/>
      <c r="D964" s="10"/>
      <c r="E964" s="10"/>
      <c r="F964" s="38"/>
      <c r="G964" s="38"/>
      <c r="H964" s="38"/>
      <c r="I964" s="38"/>
      <c r="J964" s="38"/>
      <c r="K964" s="38"/>
      <c r="L964" s="38"/>
      <c r="W964" s="7" t="str">
        <f t="shared" si="17"/>
        <v/>
      </c>
    </row>
    <row r="965" spans="2:23" ht="15.6" x14ac:dyDescent="0.3">
      <c r="B965" s="127"/>
      <c r="C965" s="70"/>
      <c r="D965" s="10"/>
      <c r="E965" s="10"/>
      <c r="F965" s="38"/>
      <c r="G965" s="38"/>
      <c r="H965" s="38"/>
      <c r="I965" s="38"/>
      <c r="J965" s="38"/>
      <c r="K965" s="38"/>
      <c r="L965" s="38"/>
      <c r="W965" s="7" t="str">
        <f t="shared" si="17"/>
        <v/>
      </c>
    </row>
    <row r="966" spans="2:23" ht="15.6" x14ac:dyDescent="0.3">
      <c r="B966" s="127"/>
      <c r="C966" s="70"/>
      <c r="D966" s="10"/>
      <c r="E966" s="10"/>
      <c r="F966" s="38"/>
      <c r="G966" s="38"/>
      <c r="H966" s="38"/>
      <c r="I966" s="38"/>
      <c r="J966" s="38"/>
      <c r="K966" s="38"/>
      <c r="L966" s="38"/>
      <c r="W966" s="7" t="str">
        <f t="shared" si="17"/>
        <v/>
      </c>
    </row>
    <row r="967" spans="2:23" ht="15.6" x14ac:dyDescent="0.3">
      <c r="B967" s="127"/>
      <c r="C967" s="70"/>
      <c r="D967" s="10"/>
      <c r="E967" s="10"/>
      <c r="F967" s="38"/>
      <c r="G967" s="38"/>
      <c r="H967" s="38"/>
      <c r="I967" s="38"/>
      <c r="J967" s="38"/>
      <c r="K967" s="38"/>
      <c r="L967" s="38"/>
      <c r="W967" s="7" t="str">
        <f t="shared" si="17"/>
        <v/>
      </c>
    </row>
    <row r="968" spans="2:23" ht="15.6" x14ac:dyDescent="0.3">
      <c r="B968" s="127"/>
      <c r="C968" s="70"/>
      <c r="D968" s="10"/>
      <c r="E968" s="10"/>
      <c r="F968" s="38"/>
      <c r="G968" s="38"/>
      <c r="H968" s="38"/>
      <c r="I968" s="38"/>
      <c r="J968" s="38"/>
      <c r="K968" s="38"/>
      <c r="L968" s="38"/>
      <c r="W968" s="7" t="str">
        <f t="shared" si="17"/>
        <v/>
      </c>
    </row>
    <row r="969" spans="2:23" ht="15.6" x14ac:dyDescent="0.3">
      <c r="B969" s="127"/>
      <c r="C969" s="70"/>
      <c r="D969" s="10"/>
      <c r="E969" s="10"/>
      <c r="F969" s="38"/>
      <c r="G969" s="38"/>
      <c r="H969" s="38"/>
      <c r="I969" s="38"/>
      <c r="J969" s="38"/>
      <c r="K969" s="38"/>
      <c r="L969" s="38"/>
      <c r="W969" s="7" t="str">
        <f t="shared" si="17"/>
        <v/>
      </c>
    </row>
    <row r="970" spans="2:23" ht="15.6" x14ac:dyDescent="0.3">
      <c r="B970" s="127"/>
      <c r="C970" s="70"/>
      <c r="D970" s="10"/>
      <c r="E970" s="10"/>
      <c r="F970" s="38"/>
      <c r="G970" s="38"/>
      <c r="H970" s="38"/>
      <c r="I970" s="38"/>
      <c r="J970" s="38"/>
      <c r="K970" s="38"/>
      <c r="L970" s="38"/>
      <c r="W970" s="7" t="str">
        <f t="shared" si="17"/>
        <v/>
      </c>
    </row>
    <row r="971" spans="2:23" ht="15.6" x14ac:dyDescent="0.3">
      <c r="B971" s="127"/>
      <c r="C971" s="70"/>
      <c r="D971" s="10"/>
      <c r="E971" s="10"/>
      <c r="F971" s="38"/>
      <c r="G971" s="38"/>
      <c r="H971" s="38"/>
      <c r="I971" s="38"/>
      <c r="J971" s="38"/>
      <c r="K971" s="38"/>
      <c r="L971" s="38"/>
      <c r="W971" s="7" t="str">
        <f t="shared" si="17"/>
        <v/>
      </c>
    </row>
    <row r="972" spans="2:23" ht="15.6" x14ac:dyDescent="0.3">
      <c r="B972" s="127"/>
      <c r="C972" s="70"/>
      <c r="D972" s="10"/>
      <c r="E972" s="10"/>
      <c r="F972" s="38"/>
      <c r="G972" s="38"/>
      <c r="H972" s="38"/>
      <c r="I972" s="38"/>
      <c r="J972" s="38"/>
      <c r="K972" s="38"/>
      <c r="L972" s="38"/>
      <c r="W972" s="7" t="str">
        <f t="shared" si="17"/>
        <v/>
      </c>
    </row>
    <row r="973" spans="2:23" ht="15.6" x14ac:dyDescent="0.3">
      <c r="B973" s="127"/>
      <c r="C973" s="70"/>
      <c r="D973" s="10"/>
      <c r="E973" s="10"/>
      <c r="F973" s="38"/>
      <c r="G973" s="38"/>
      <c r="H973" s="38"/>
      <c r="I973" s="38"/>
      <c r="J973" s="38"/>
      <c r="K973" s="38"/>
      <c r="L973" s="38"/>
      <c r="W973" s="7" t="str">
        <f t="shared" si="17"/>
        <v/>
      </c>
    </row>
    <row r="974" spans="2:23" ht="15.6" x14ac:dyDescent="0.3">
      <c r="B974" s="127"/>
      <c r="C974" s="70"/>
      <c r="D974" s="10"/>
      <c r="E974" s="10"/>
      <c r="F974" s="38"/>
      <c r="G974" s="38"/>
      <c r="H974" s="38"/>
      <c r="I974" s="38"/>
      <c r="J974" s="38"/>
      <c r="K974" s="38"/>
      <c r="L974" s="38"/>
      <c r="W974" s="7" t="str">
        <f t="shared" si="17"/>
        <v/>
      </c>
    </row>
    <row r="975" spans="2:23" ht="15.6" x14ac:dyDescent="0.3">
      <c r="B975" s="127"/>
      <c r="C975" s="70"/>
      <c r="D975" s="10"/>
      <c r="E975" s="10"/>
      <c r="F975" s="38"/>
      <c r="G975" s="38"/>
      <c r="H975" s="38"/>
      <c r="I975" s="38"/>
      <c r="J975" s="38"/>
      <c r="K975" s="38"/>
      <c r="L975" s="38"/>
      <c r="W975" s="7" t="str">
        <f t="shared" si="17"/>
        <v/>
      </c>
    </row>
    <row r="976" spans="2:23" ht="15.6" x14ac:dyDescent="0.3">
      <c r="B976" s="127"/>
      <c r="C976" s="70"/>
      <c r="D976" s="10"/>
      <c r="E976" s="10"/>
      <c r="F976" s="38"/>
      <c r="G976" s="38"/>
      <c r="H976" s="38"/>
      <c r="I976" s="38"/>
      <c r="J976" s="38"/>
      <c r="K976" s="38"/>
      <c r="L976" s="38"/>
      <c r="W976" s="7" t="str">
        <f t="shared" si="17"/>
        <v/>
      </c>
    </row>
    <row r="977" spans="2:23" ht="15.6" x14ac:dyDescent="0.3">
      <c r="B977" s="127"/>
      <c r="C977" s="70"/>
      <c r="D977" s="10"/>
      <c r="E977" s="10"/>
      <c r="F977" s="38"/>
      <c r="G977" s="38"/>
      <c r="H977" s="38"/>
      <c r="I977" s="38"/>
      <c r="J977" s="38"/>
      <c r="K977" s="38"/>
      <c r="L977" s="38"/>
      <c r="W977" s="7" t="str">
        <f t="shared" si="17"/>
        <v/>
      </c>
    </row>
    <row r="978" spans="2:23" ht="15.6" x14ac:dyDescent="0.3">
      <c r="B978" s="127"/>
      <c r="C978" s="70"/>
      <c r="D978" s="10"/>
      <c r="E978" s="10"/>
      <c r="F978" s="38"/>
      <c r="G978" s="38"/>
      <c r="H978" s="38"/>
      <c r="I978" s="38"/>
      <c r="J978" s="38"/>
      <c r="K978" s="38"/>
      <c r="L978" s="38"/>
      <c r="W978" s="7" t="str">
        <f t="shared" si="17"/>
        <v/>
      </c>
    </row>
    <row r="979" spans="2:23" ht="15.6" x14ac:dyDescent="0.3">
      <c r="B979" s="127"/>
      <c r="C979" s="70"/>
      <c r="D979" s="10"/>
      <c r="E979" s="10"/>
      <c r="F979" s="38"/>
      <c r="G979" s="38"/>
      <c r="H979" s="38"/>
      <c r="I979" s="38"/>
      <c r="J979" s="38"/>
      <c r="K979" s="38"/>
      <c r="L979" s="38"/>
      <c r="W979" s="7" t="str">
        <f t="shared" si="17"/>
        <v/>
      </c>
    </row>
    <row r="980" spans="2:23" ht="15.6" x14ac:dyDescent="0.3">
      <c r="B980" s="127"/>
      <c r="C980" s="70"/>
      <c r="D980" s="10"/>
      <c r="E980" s="10"/>
      <c r="F980" s="38"/>
      <c r="G980" s="38"/>
      <c r="H980" s="38"/>
      <c r="I980" s="38"/>
      <c r="J980" s="38"/>
      <c r="K980" s="38"/>
      <c r="L980" s="38"/>
      <c r="W980" s="7" t="str">
        <f t="shared" si="17"/>
        <v/>
      </c>
    </row>
    <row r="981" spans="2:23" ht="15.6" x14ac:dyDescent="0.3">
      <c r="B981" s="127"/>
      <c r="C981" s="70"/>
      <c r="D981" s="10"/>
      <c r="E981" s="10"/>
      <c r="F981" s="38"/>
      <c r="G981" s="38"/>
      <c r="H981" s="38"/>
      <c r="I981" s="38"/>
      <c r="J981" s="38"/>
      <c r="K981" s="38"/>
      <c r="L981" s="38"/>
      <c r="W981" s="7" t="str">
        <f t="shared" si="17"/>
        <v/>
      </c>
    </row>
    <row r="982" spans="2:23" ht="15.6" x14ac:dyDescent="0.3">
      <c r="B982" s="127"/>
      <c r="C982" s="70"/>
      <c r="D982" s="10"/>
      <c r="E982" s="10"/>
      <c r="F982" s="38"/>
      <c r="G982" s="38"/>
      <c r="H982" s="38"/>
      <c r="I982" s="38"/>
      <c r="J982" s="38"/>
      <c r="K982" s="38"/>
      <c r="L982" s="38"/>
      <c r="W982" s="7" t="str">
        <f t="shared" si="17"/>
        <v/>
      </c>
    </row>
    <row r="983" spans="2:23" ht="15.6" x14ac:dyDescent="0.3">
      <c r="B983" s="127"/>
      <c r="C983" s="70"/>
      <c r="D983" s="10"/>
      <c r="E983" s="10"/>
      <c r="F983" s="38"/>
      <c r="G983" s="38"/>
      <c r="H983" s="38"/>
      <c r="I983" s="38"/>
      <c r="J983" s="38"/>
      <c r="K983" s="38"/>
      <c r="L983" s="38"/>
      <c r="W983" s="7" t="str">
        <f t="shared" si="17"/>
        <v/>
      </c>
    </row>
    <row r="984" spans="2:23" ht="15.6" x14ac:dyDescent="0.3">
      <c r="B984" s="127"/>
      <c r="C984" s="70"/>
      <c r="D984" s="10"/>
      <c r="E984" s="10"/>
      <c r="F984" s="38"/>
      <c r="G984" s="38"/>
      <c r="H984" s="38"/>
      <c r="I984" s="38"/>
      <c r="J984" s="38"/>
      <c r="K984" s="38"/>
      <c r="L984" s="38"/>
      <c r="W984" s="7" t="str">
        <f t="shared" si="17"/>
        <v/>
      </c>
    </row>
    <row r="985" spans="2:23" ht="15.6" x14ac:dyDescent="0.3">
      <c r="B985" s="127"/>
      <c r="C985" s="70"/>
      <c r="D985" s="10"/>
      <c r="E985" s="10"/>
      <c r="F985" s="38"/>
      <c r="G985" s="38"/>
      <c r="H985" s="38"/>
      <c r="I985" s="38"/>
      <c r="J985" s="38"/>
      <c r="K985" s="38"/>
      <c r="L985" s="38"/>
      <c r="W985" s="7" t="str">
        <f t="shared" si="17"/>
        <v/>
      </c>
    </row>
    <row r="986" spans="2:23" ht="15.6" x14ac:dyDescent="0.3">
      <c r="B986" s="127"/>
      <c r="C986" s="70"/>
      <c r="D986" s="10"/>
      <c r="E986" s="10"/>
      <c r="F986" s="38"/>
      <c r="G986" s="38"/>
      <c r="H986" s="38"/>
      <c r="I986" s="38"/>
      <c r="J986" s="38"/>
      <c r="K986" s="38"/>
      <c r="L986" s="38"/>
      <c r="W986" s="7" t="str">
        <f t="shared" si="17"/>
        <v/>
      </c>
    </row>
    <row r="987" spans="2:23" ht="15.6" x14ac:dyDescent="0.3">
      <c r="B987" s="127"/>
      <c r="C987" s="70"/>
      <c r="D987" s="10"/>
      <c r="E987" s="10"/>
      <c r="F987" s="38"/>
      <c r="G987" s="38"/>
      <c r="H987" s="38"/>
      <c r="I987" s="38"/>
      <c r="J987" s="38"/>
      <c r="K987" s="38"/>
      <c r="L987" s="38"/>
      <c r="W987" s="7" t="str">
        <f t="shared" si="17"/>
        <v/>
      </c>
    </row>
    <row r="988" spans="2:23" ht="15.6" x14ac:dyDescent="0.3">
      <c r="B988" s="127"/>
      <c r="C988" s="70"/>
      <c r="D988" s="10"/>
      <c r="E988" s="10"/>
      <c r="F988" s="38"/>
      <c r="G988" s="38"/>
      <c r="H988" s="38"/>
      <c r="I988" s="38"/>
      <c r="J988" s="38"/>
      <c r="K988" s="38"/>
      <c r="L988" s="38"/>
      <c r="W988" s="7" t="str">
        <f t="shared" si="17"/>
        <v/>
      </c>
    </row>
    <row r="989" spans="2:23" ht="15.6" x14ac:dyDescent="0.3">
      <c r="B989" s="127"/>
      <c r="C989" s="70"/>
      <c r="D989" s="10"/>
      <c r="E989" s="10"/>
      <c r="F989" s="38"/>
      <c r="G989" s="38"/>
      <c r="H989" s="38"/>
      <c r="I989" s="38"/>
      <c r="J989" s="38"/>
      <c r="K989" s="38"/>
      <c r="L989" s="38"/>
      <c r="W989" s="7" t="str">
        <f t="shared" si="17"/>
        <v/>
      </c>
    </row>
    <row r="990" spans="2:23" ht="15.6" x14ac:dyDescent="0.3">
      <c r="B990" s="127"/>
      <c r="C990" s="70"/>
      <c r="D990" s="10"/>
      <c r="E990" s="10"/>
      <c r="F990" s="38"/>
      <c r="G990" s="38"/>
      <c r="H990" s="38"/>
      <c r="I990" s="38"/>
      <c r="J990" s="38"/>
      <c r="K990" s="38"/>
      <c r="L990" s="38"/>
      <c r="W990" s="7" t="str">
        <f t="shared" si="17"/>
        <v/>
      </c>
    </row>
    <row r="991" spans="2:23" ht="15.6" x14ac:dyDescent="0.3">
      <c r="B991" s="127"/>
      <c r="C991" s="70"/>
      <c r="D991" s="10"/>
      <c r="E991" s="10"/>
      <c r="F991" s="38"/>
      <c r="G991" s="38"/>
      <c r="H991" s="38"/>
      <c r="I991" s="38"/>
      <c r="J991" s="38"/>
      <c r="K991" s="38"/>
      <c r="L991" s="38"/>
      <c r="W991" s="7" t="str">
        <f t="shared" si="17"/>
        <v/>
      </c>
    </row>
    <row r="992" spans="2:23" ht="15.6" x14ac:dyDescent="0.3">
      <c r="B992" s="127"/>
      <c r="C992" s="70"/>
      <c r="D992" s="10"/>
      <c r="E992" s="10"/>
      <c r="F992" s="38"/>
      <c r="G992" s="38"/>
      <c r="H992" s="38"/>
      <c r="I992" s="38"/>
      <c r="J992" s="38"/>
      <c r="K992" s="38"/>
      <c r="L992" s="38"/>
      <c r="W992" s="7" t="str">
        <f t="shared" si="17"/>
        <v/>
      </c>
    </row>
    <row r="993" spans="2:23" ht="15.6" x14ac:dyDescent="0.3">
      <c r="B993" s="127"/>
      <c r="C993" s="70"/>
      <c r="D993" s="10"/>
      <c r="E993" s="10"/>
      <c r="F993" s="38"/>
      <c r="G993" s="38"/>
      <c r="H993" s="38"/>
      <c r="I993" s="38"/>
      <c r="J993" s="38"/>
      <c r="K993" s="38"/>
      <c r="L993" s="38"/>
      <c r="W993" s="7" t="str">
        <f t="shared" si="17"/>
        <v/>
      </c>
    </row>
    <row r="994" spans="2:23" ht="15.6" x14ac:dyDescent="0.3">
      <c r="B994" s="127"/>
      <c r="C994" s="70"/>
      <c r="D994" s="10"/>
      <c r="E994" s="10"/>
      <c r="F994" s="38"/>
      <c r="G994" s="38"/>
      <c r="H994" s="38"/>
      <c r="I994" s="38"/>
      <c r="J994" s="38"/>
      <c r="K994" s="38"/>
      <c r="L994" s="38"/>
      <c r="W994" s="7" t="str">
        <f t="shared" si="17"/>
        <v/>
      </c>
    </row>
    <row r="995" spans="2:23" ht="15.6" x14ac:dyDescent="0.3">
      <c r="B995" s="127"/>
      <c r="C995" s="70"/>
      <c r="D995" s="10"/>
      <c r="E995" s="10"/>
      <c r="F995" s="38"/>
      <c r="G995" s="38"/>
      <c r="H995" s="38"/>
      <c r="I995" s="38"/>
      <c r="J995" s="38"/>
      <c r="K995" s="38"/>
      <c r="L995" s="38"/>
    </row>
    <row r="996" spans="2:23" ht="15.6" x14ac:dyDescent="0.3">
      <c r="C996" s="70"/>
    </row>
    <row r="997" spans="2:23" ht="15.6" x14ac:dyDescent="0.3">
      <c r="C997" s="70"/>
    </row>
    <row r="998" spans="2:23" ht="15.6" x14ac:dyDescent="0.3">
      <c r="C998" s="70"/>
    </row>
    <row r="999" spans="2:23" ht="15.6" x14ac:dyDescent="0.3">
      <c r="C999" s="70"/>
    </row>
    <row r="1000" spans="2:23" ht="15.6" x14ac:dyDescent="0.3">
      <c r="C1000" s="70"/>
    </row>
    <row r="1001" spans="2:23" ht="15.6" x14ac:dyDescent="0.3">
      <c r="C1001" s="70"/>
    </row>
    <row r="1002" spans="2:23" ht="15.6" x14ac:dyDescent="0.3">
      <c r="C1002" s="70"/>
    </row>
    <row r="1003" spans="2:23" ht="15.6" x14ac:dyDescent="0.3">
      <c r="C1003" s="70"/>
    </row>
    <row r="1004" spans="2:23" ht="15.6" x14ac:dyDescent="0.3">
      <c r="C1004" s="70"/>
    </row>
    <row r="1005" spans="2:23" ht="15.6" x14ac:dyDescent="0.3">
      <c r="C1005" s="70"/>
    </row>
    <row r="1006" spans="2:23" ht="15.6" x14ac:dyDescent="0.3">
      <c r="C1006" s="70"/>
    </row>
    <row r="1007" spans="2:23" ht="15.6" x14ac:dyDescent="0.3">
      <c r="C1007" s="70"/>
    </row>
    <row r="1008" spans="2:23" ht="15.6" x14ac:dyDescent="0.3">
      <c r="C1008" s="70"/>
    </row>
    <row r="1009" spans="3:3" ht="15.6" x14ac:dyDescent="0.3">
      <c r="C1009" s="70"/>
    </row>
    <row r="1010" spans="3:3" ht="15.6" x14ac:dyDescent="0.3">
      <c r="C1010" s="70"/>
    </row>
    <row r="1011" spans="3:3" ht="15.6" x14ac:dyDescent="0.3">
      <c r="C1011" s="70"/>
    </row>
    <row r="1012" spans="3:3" ht="15.6" x14ac:dyDescent="0.3">
      <c r="C1012" s="70"/>
    </row>
    <row r="1013" spans="3:3" ht="15.6" x14ac:dyDescent="0.3">
      <c r="C1013" s="70"/>
    </row>
    <row r="1014" spans="3:3" ht="15.6" x14ac:dyDescent="0.3">
      <c r="C1014" s="70"/>
    </row>
    <row r="1015" spans="3:3" ht="15.6" x14ac:dyDescent="0.3">
      <c r="C1015" s="70"/>
    </row>
    <row r="1016" spans="3:3" ht="15.6" x14ac:dyDescent="0.3">
      <c r="C1016" s="70"/>
    </row>
    <row r="1017" spans="3:3" ht="15.6" x14ac:dyDescent="0.3">
      <c r="C1017" s="70"/>
    </row>
    <row r="1018" spans="3:3" ht="15.6" x14ac:dyDescent="0.3">
      <c r="C1018" s="70"/>
    </row>
    <row r="1019" spans="3:3" ht="15.6" x14ac:dyDescent="0.3">
      <c r="C1019" s="70"/>
    </row>
    <row r="1020" spans="3:3" ht="15.6" x14ac:dyDescent="0.3">
      <c r="C1020" s="70"/>
    </row>
    <row r="1021" spans="3:3" ht="15.6" x14ac:dyDescent="0.3">
      <c r="C1021" s="70"/>
    </row>
    <row r="1022" spans="3:3" ht="15.6" x14ac:dyDescent="0.3">
      <c r="C1022" s="70"/>
    </row>
    <row r="1023" spans="3:3" ht="15.6" x14ac:dyDescent="0.3">
      <c r="C1023" s="70"/>
    </row>
    <row r="1024" spans="3:3" ht="15.6" x14ac:dyDescent="0.3">
      <c r="C1024" s="70"/>
    </row>
    <row r="1025" spans="3:3" ht="15.6" x14ac:dyDescent="0.3">
      <c r="C1025" s="70"/>
    </row>
    <row r="1026" spans="3:3" ht="15.6" x14ac:dyDescent="0.3">
      <c r="C1026" s="70"/>
    </row>
    <row r="1027" spans="3:3" ht="15.6" x14ac:dyDescent="0.3">
      <c r="C1027" s="70"/>
    </row>
    <row r="1028" spans="3:3" ht="15.6" x14ac:dyDescent="0.3">
      <c r="C1028" s="70"/>
    </row>
    <row r="1029" spans="3:3" ht="15.6" x14ac:dyDescent="0.3">
      <c r="C1029" s="70"/>
    </row>
    <row r="1030" spans="3:3" ht="15.6" x14ac:dyDescent="0.3">
      <c r="C1030" s="70"/>
    </row>
    <row r="1031" spans="3:3" ht="15.6" x14ac:dyDescent="0.3">
      <c r="C1031" s="70"/>
    </row>
    <row r="1032" spans="3:3" ht="15.6" x14ac:dyDescent="0.3">
      <c r="C1032" s="70"/>
    </row>
    <row r="1033" spans="3:3" ht="15.6" x14ac:dyDescent="0.3">
      <c r="C1033" s="70"/>
    </row>
    <row r="1034" spans="3:3" ht="15.6" x14ac:dyDescent="0.3">
      <c r="C1034" s="70"/>
    </row>
    <row r="1035" spans="3:3" ht="15.6" x14ac:dyDescent="0.3">
      <c r="C1035" s="70"/>
    </row>
    <row r="1036" spans="3:3" ht="15.6" x14ac:dyDescent="0.3">
      <c r="C1036" s="70"/>
    </row>
    <row r="1037" spans="3:3" ht="15.6" x14ac:dyDescent="0.3">
      <c r="C1037" s="70"/>
    </row>
    <row r="1038" spans="3:3" ht="15.6" x14ac:dyDescent="0.3">
      <c r="C1038" s="70"/>
    </row>
    <row r="1039" spans="3:3" ht="15.6" x14ac:dyDescent="0.3">
      <c r="C1039" s="70"/>
    </row>
    <row r="1040" spans="3:3" ht="15.6" x14ac:dyDescent="0.3">
      <c r="C1040" s="70"/>
    </row>
    <row r="1041" spans="3:3" ht="15.6" x14ac:dyDescent="0.3">
      <c r="C1041" s="70"/>
    </row>
    <row r="1042" spans="3:3" ht="15.6" x14ac:dyDescent="0.3">
      <c r="C1042" s="70"/>
    </row>
    <row r="1043" spans="3:3" ht="15.6" x14ac:dyDescent="0.3">
      <c r="C1043" s="70"/>
    </row>
    <row r="1044" spans="3:3" ht="15.6" x14ac:dyDescent="0.3">
      <c r="C1044" s="70"/>
    </row>
    <row r="1045" spans="3:3" ht="15.6" x14ac:dyDescent="0.3">
      <c r="C1045" s="70"/>
    </row>
    <row r="1046" spans="3:3" ht="15.6" x14ac:dyDescent="0.3">
      <c r="C1046" s="70"/>
    </row>
    <row r="1047" spans="3:3" ht="15.6" x14ac:dyDescent="0.3">
      <c r="C1047" s="70"/>
    </row>
    <row r="1048" spans="3:3" ht="15.6" x14ac:dyDescent="0.3">
      <c r="C1048" s="70"/>
    </row>
    <row r="1049" spans="3:3" ht="15.6" x14ac:dyDescent="0.3">
      <c r="C1049" s="70"/>
    </row>
    <row r="1050" spans="3:3" ht="15.6" x14ac:dyDescent="0.3">
      <c r="C1050" s="70"/>
    </row>
    <row r="1051" spans="3:3" ht="15.6" x14ac:dyDescent="0.3">
      <c r="C1051" s="70"/>
    </row>
    <row r="1052" spans="3:3" ht="15.6" x14ac:dyDescent="0.3">
      <c r="C1052" s="70"/>
    </row>
    <row r="1053" spans="3:3" ht="15.6" x14ac:dyDescent="0.3">
      <c r="C1053" s="70"/>
    </row>
    <row r="1054" spans="3:3" ht="15.6" x14ac:dyDescent="0.3">
      <c r="C1054" s="70"/>
    </row>
    <row r="1055" spans="3:3" ht="15.6" x14ac:dyDescent="0.3">
      <c r="C1055" s="70"/>
    </row>
    <row r="1056" spans="3:3" ht="15.6" x14ac:dyDescent="0.3">
      <c r="C1056" s="70"/>
    </row>
    <row r="1057" spans="3:3" ht="15.6" x14ac:dyDescent="0.3">
      <c r="C1057" s="70"/>
    </row>
    <row r="1058" spans="3:3" ht="15.6" x14ac:dyDescent="0.3">
      <c r="C1058" s="70"/>
    </row>
    <row r="1059" spans="3:3" ht="15.6" x14ac:dyDescent="0.3">
      <c r="C1059" s="70"/>
    </row>
    <row r="1060" spans="3:3" ht="15.6" x14ac:dyDescent="0.3">
      <c r="C1060" s="70"/>
    </row>
    <row r="1061" spans="3:3" ht="15.6" x14ac:dyDescent="0.3">
      <c r="C1061" s="70"/>
    </row>
    <row r="1062" spans="3:3" ht="15.6" x14ac:dyDescent="0.3">
      <c r="C1062" s="70"/>
    </row>
    <row r="1063" spans="3:3" ht="15.6" x14ac:dyDescent="0.3">
      <c r="C1063" s="70"/>
    </row>
    <row r="1064" spans="3:3" ht="15.6" x14ac:dyDescent="0.3">
      <c r="C1064" s="70"/>
    </row>
    <row r="1065" spans="3:3" ht="15.6" x14ac:dyDescent="0.3">
      <c r="C1065" s="70"/>
    </row>
    <row r="1066" spans="3:3" ht="15.6" x14ac:dyDescent="0.3">
      <c r="C1066" s="70"/>
    </row>
    <row r="1067" spans="3:3" ht="15.6" x14ac:dyDescent="0.3">
      <c r="C1067" s="70"/>
    </row>
    <row r="1068" spans="3:3" ht="15.6" x14ac:dyDescent="0.3">
      <c r="C1068" s="70"/>
    </row>
    <row r="1069" spans="3:3" ht="15.6" x14ac:dyDescent="0.3">
      <c r="C1069" s="70"/>
    </row>
    <row r="1070" spans="3:3" ht="15.6" x14ac:dyDescent="0.3">
      <c r="C1070" s="70"/>
    </row>
    <row r="1071" spans="3:3" ht="15.6" x14ac:dyDescent="0.3">
      <c r="C1071" s="70"/>
    </row>
    <row r="1072" spans="3:3" ht="15.6" x14ac:dyDescent="0.3">
      <c r="C1072" s="70"/>
    </row>
    <row r="1073" spans="3:3" ht="15.6" x14ac:dyDescent="0.3">
      <c r="C1073" s="70"/>
    </row>
    <row r="1074" spans="3:3" ht="15.6" x14ac:dyDescent="0.3">
      <c r="C1074" s="70"/>
    </row>
    <row r="1075" spans="3:3" ht="15.6" x14ac:dyDescent="0.3">
      <c r="C1075" s="70"/>
    </row>
    <row r="1076" spans="3:3" ht="15.6" x14ac:dyDescent="0.3">
      <c r="C1076" s="70"/>
    </row>
    <row r="1077" spans="3:3" ht="15.6" x14ac:dyDescent="0.3">
      <c r="C1077" s="70"/>
    </row>
    <row r="1078" spans="3:3" ht="15.6" x14ac:dyDescent="0.3">
      <c r="C1078" s="70"/>
    </row>
    <row r="1079" spans="3:3" ht="15.6" x14ac:dyDescent="0.3">
      <c r="C1079" s="70"/>
    </row>
    <row r="1080" spans="3:3" ht="15.6" x14ac:dyDescent="0.3">
      <c r="C1080" s="70"/>
    </row>
    <row r="1081" spans="3:3" ht="15.6" x14ac:dyDescent="0.3">
      <c r="C1081" s="70"/>
    </row>
    <row r="1082" spans="3:3" ht="15.6" x14ac:dyDescent="0.3">
      <c r="C1082" s="70"/>
    </row>
    <row r="1083" spans="3:3" ht="15.6" x14ac:dyDescent="0.3">
      <c r="C1083" s="70"/>
    </row>
    <row r="1084" spans="3:3" ht="15.6" x14ac:dyDescent="0.3">
      <c r="C1084" s="70"/>
    </row>
    <row r="1085" spans="3:3" ht="15.6" x14ac:dyDescent="0.3">
      <c r="C1085" s="70"/>
    </row>
    <row r="1086" spans="3:3" ht="15.6" x14ac:dyDescent="0.3">
      <c r="C1086" s="70"/>
    </row>
    <row r="1087" spans="3:3" ht="15.6" x14ac:dyDescent="0.3">
      <c r="C1087" s="70"/>
    </row>
    <row r="1088" spans="3:3" ht="15.6" x14ac:dyDescent="0.3">
      <c r="C1088" s="70"/>
    </row>
    <row r="1089" spans="3:3" ht="15.6" x14ac:dyDescent="0.3">
      <c r="C1089" s="70"/>
    </row>
    <row r="1090" spans="3:3" ht="15.6" x14ac:dyDescent="0.3">
      <c r="C1090" s="70"/>
    </row>
    <row r="1091" spans="3:3" ht="15.6" x14ac:dyDescent="0.3">
      <c r="C1091" s="70"/>
    </row>
    <row r="1092" spans="3:3" ht="15.6" x14ac:dyDescent="0.3">
      <c r="C1092" s="70"/>
    </row>
    <row r="1093" spans="3:3" ht="15.6" x14ac:dyDescent="0.3">
      <c r="C1093" s="70"/>
    </row>
    <row r="1094" spans="3:3" ht="15.6" x14ac:dyDescent="0.3">
      <c r="C1094" s="70"/>
    </row>
    <row r="1095" spans="3:3" ht="15.6" x14ac:dyDescent="0.3">
      <c r="C1095" s="70"/>
    </row>
    <row r="1096" spans="3:3" ht="15.6" x14ac:dyDescent="0.3">
      <c r="C1096" s="70"/>
    </row>
    <row r="1097" spans="3:3" ht="15.6" x14ac:dyDescent="0.3">
      <c r="C1097" s="70"/>
    </row>
    <row r="1098" spans="3:3" ht="15.6" x14ac:dyDescent="0.3">
      <c r="C1098" s="70"/>
    </row>
    <row r="1099" spans="3:3" ht="15.6" x14ac:dyDescent="0.3">
      <c r="C1099" s="70"/>
    </row>
    <row r="1100" spans="3:3" ht="15.6" x14ac:dyDescent="0.3">
      <c r="C1100" s="70"/>
    </row>
    <row r="1101" spans="3:3" ht="15.6" x14ac:dyDescent="0.3">
      <c r="C1101" s="70"/>
    </row>
    <row r="1102" spans="3:3" ht="15.6" x14ac:dyDescent="0.3">
      <c r="C1102" s="70"/>
    </row>
    <row r="1103" spans="3:3" ht="15.6" x14ac:dyDescent="0.3">
      <c r="C1103" s="70"/>
    </row>
    <row r="1104" spans="3:3" ht="15.6" x14ac:dyDescent="0.3">
      <c r="C1104" s="70"/>
    </row>
    <row r="1105" spans="3:3" ht="15.6" x14ac:dyDescent="0.3">
      <c r="C1105" s="70"/>
    </row>
    <row r="1106" spans="3:3" ht="15.6" x14ac:dyDescent="0.3">
      <c r="C1106" s="70"/>
    </row>
    <row r="1107" spans="3:3" ht="15.6" x14ac:dyDescent="0.3">
      <c r="C1107" s="70"/>
    </row>
    <row r="1108" spans="3:3" ht="15.6" x14ac:dyDescent="0.3">
      <c r="C1108" s="70"/>
    </row>
    <row r="1109" spans="3:3" ht="15.6" x14ac:dyDescent="0.3">
      <c r="C1109" s="70"/>
    </row>
    <row r="1110" spans="3:3" ht="15.6" x14ac:dyDescent="0.3">
      <c r="C1110" s="70"/>
    </row>
    <row r="1111" spans="3:3" ht="15.6" x14ac:dyDescent="0.3">
      <c r="C1111" s="70"/>
    </row>
    <row r="1112" spans="3:3" ht="15.6" x14ac:dyDescent="0.3">
      <c r="C1112" s="70"/>
    </row>
    <row r="1113" spans="3:3" ht="15.6" x14ac:dyDescent="0.3">
      <c r="C1113" s="70"/>
    </row>
    <row r="1114" spans="3:3" ht="15.6" x14ac:dyDescent="0.3">
      <c r="C1114" s="70"/>
    </row>
    <row r="1115" spans="3:3" ht="15.6" x14ac:dyDescent="0.3">
      <c r="C1115" s="70"/>
    </row>
    <row r="1116" spans="3:3" ht="15.6" x14ac:dyDescent="0.3">
      <c r="C1116" s="70"/>
    </row>
    <row r="1117" spans="3:3" ht="15.6" x14ac:dyDescent="0.3">
      <c r="C1117" s="70"/>
    </row>
    <row r="1118" spans="3:3" ht="15.6" x14ac:dyDescent="0.3">
      <c r="C1118" s="70"/>
    </row>
    <row r="1119" spans="3:3" ht="15.6" x14ac:dyDescent="0.3">
      <c r="C1119" s="70"/>
    </row>
    <row r="1120" spans="3:3" ht="15.6" x14ac:dyDescent="0.3">
      <c r="C1120" s="70"/>
    </row>
    <row r="1121" spans="3:3" ht="15.6" x14ac:dyDescent="0.3">
      <c r="C1121" s="70"/>
    </row>
    <row r="1122" spans="3:3" ht="15.6" x14ac:dyDescent="0.3">
      <c r="C1122" s="70"/>
    </row>
    <row r="1123" spans="3:3" ht="15.6" x14ac:dyDescent="0.3">
      <c r="C1123" s="70"/>
    </row>
    <row r="1124" spans="3:3" ht="15.6" x14ac:dyDescent="0.3">
      <c r="C1124" s="70"/>
    </row>
    <row r="1125" spans="3:3" ht="15.6" x14ac:dyDescent="0.3">
      <c r="C1125" s="70"/>
    </row>
    <row r="1126" spans="3:3" ht="15.6" x14ac:dyDescent="0.3">
      <c r="C1126" s="70"/>
    </row>
    <row r="1127" spans="3:3" ht="15.6" x14ac:dyDescent="0.3">
      <c r="C1127" s="70"/>
    </row>
    <row r="1128" spans="3:3" ht="15.6" x14ac:dyDescent="0.3">
      <c r="C1128" s="70"/>
    </row>
    <row r="1129" spans="3:3" ht="15.6" x14ac:dyDescent="0.3">
      <c r="C1129" s="70"/>
    </row>
    <row r="1130" spans="3:3" ht="15.6" x14ac:dyDescent="0.3">
      <c r="C1130" s="70"/>
    </row>
    <row r="1131" spans="3:3" ht="15.6" x14ac:dyDescent="0.3">
      <c r="C1131" s="70"/>
    </row>
    <row r="1132" spans="3:3" ht="15.6" x14ac:dyDescent="0.3">
      <c r="C1132" s="70"/>
    </row>
    <row r="1133" spans="3:3" ht="15.6" x14ac:dyDescent="0.3">
      <c r="C1133" s="70"/>
    </row>
    <row r="1134" spans="3:3" ht="15.6" x14ac:dyDescent="0.3">
      <c r="C1134" s="70"/>
    </row>
    <row r="1135" spans="3:3" ht="15.6" x14ac:dyDescent="0.3">
      <c r="C1135" s="70"/>
    </row>
    <row r="1136" spans="3:3" ht="15.6" x14ac:dyDescent="0.3">
      <c r="C1136" s="70"/>
    </row>
    <row r="1137" spans="3:3" ht="15.6" x14ac:dyDescent="0.3">
      <c r="C1137" s="70"/>
    </row>
    <row r="1138" spans="3:3" ht="15.6" x14ac:dyDescent="0.3">
      <c r="C1138" s="70"/>
    </row>
    <row r="1139" spans="3:3" ht="15.6" x14ac:dyDescent="0.3">
      <c r="C1139" s="70"/>
    </row>
    <row r="1140" spans="3:3" ht="15.6" x14ac:dyDescent="0.3">
      <c r="C1140" s="70"/>
    </row>
    <row r="1141" spans="3:3" ht="15.6" x14ac:dyDescent="0.3">
      <c r="C1141" s="70"/>
    </row>
    <row r="1142" spans="3:3" ht="15.6" x14ac:dyDescent="0.3">
      <c r="C1142" s="70"/>
    </row>
    <row r="1143" spans="3:3" ht="15.6" x14ac:dyDescent="0.3">
      <c r="C1143" s="70"/>
    </row>
    <row r="1144" spans="3:3" ht="15.6" x14ac:dyDescent="0.3">
      <c r="C1144" s="70"/>
    </row>
    <row r="1145" spans="3:3" ht="15.6" x14ac:dyDescent="0.3">
      <c r="C1145" s="70"/>
    </row>
    <row r="1146" spans="3:3" ht="15.6" x14ac:dyDescent="0.3">
      <c r="C1146" s="70"/>
    </row>
    <row r="1147" spans="3:3" ht="15.6" x14ac:dyDescent="0.3">
      <c r="C1147" s="70"/>
    </row>
    <row r="1148" spans="3:3" ht="15.6" x14ac:dyDescent="0.3">
      <c r="C1148" s="70"/>
    </row>
    <row r="1149" spans="3:3" ht="15.6" x14ac:dyDescent="0.3">
      <c r="C1149" s="70"/>
    </row>
    <row r="1150" spans="3:3" ht="15.6" x14ac:dyDescent="0.3">
      <c r="C1150" s="70"/>
    </row>
    <row r="1151" spans="3:3" ht="15.6" x14ac:dyDescent="0.3">
      <c r="C1151" s="70"/>
    </row>
    <row r="1152" spans="3:3" ht="15.6" x14ac:dyDescent="0.3">
      <c r="C1152" s="70"/>
    </row>
    <row r="1153" spans="3:3" ht="15.6" x14ac:dyDescent="0.3">
      <c r="C1153" s="70"/>
    </row>
    <row r="1154" spans="3:3" ht="15.6" x14ac:dyDescent="0.3">
      <c r="C1154" s="70"/>
    </row>
    <row r="1155" spans="3:3" ht="15.6" x14ac:dyDescent="0.3">
      <c r="C1155" s="70"/>
    </row>
    <row r="1156" spans="3:3" ht="15.6" x14ac:dyDescent="0.3">
      <c r="C1156" s="70"/>
    </row>
    <row r="1157" spans="3:3" ht="15.6" x14ac:dyDescent="0.3">
      <c r="C1157" s="70"/>
    </row>
    <row r="1158" spans="3:3" ht="15.6" x14ac:dyDescent="0.3">
      <c r="C1158" s="70"/>
    </row>
    <row r="1159" spans="3:3" ht="15.6" x14ac:dyDescent="0.3">
      <c r="C1159" s="70"/>
    </row>
    <row r="1160" spans="3:3" ht="15.6" x14ac:dyDescent="0.3">
      <c r="C1160" s="70"/>
    </row>
    <row r="1161" spans="3:3" ht="15.6" x14ac:dyDescent="0.3">
      <c r="C1161" s="70"/>
    </row>
    <row r="1162" spans="3:3" ht="15.6" x14ac:dyDescent="0.3">
      <c r="C1162" s="70"/>
    </row>
    <row r="1163" spans="3:3" ht="15.6" x14ac:dyDescent="0.3">
      <c r="C1163" s="70"/>
    </row>
    <row r="1164" spans="3:3" ht="15.6" x14ac:dyDescent="0.3">
      <c r="C1164" s="70"/>
    </row>
    <row r="1165" spans="3:3" ht="15.6" x14ac:dyDescent="0.3">
      <c r="C1165" s="70"/>
    </row>
    <row r="1166" spans="3:3" ht="15.6" x14ac:dyDescent="0.3">
      <c r="C1166" s="70"/>
    </row>
    <row r="1167" spans="3:3" ht="15.6" x14ac:dyDescent="0.3">
      <c r="C1167" s="70"/>
    </row>
    <row r="1168" spans="3:3" ht="15.6" x14ac:dyDescent="0.3">
      <c r="C1168" s="70"/>
    </row>
    <row r="1169" spans="3:3" ht="15.6" x14ac:dyDescent="0.3">
      <c r="C1169" s="70"/>
    </row>
    <row r="1170" spans="3:3" ht="15.6" x14ac:dyDescent="0.3">
      <c r="C1170" s="70"/>
    </row>
    <row r="1171" spans="3:3" ht="15.6" x14ac:dyDescent="0.3">
      <c r="C1171" s="70"/>
    </row>
    <row r="1172" spans="3:3" ht="15.6" x14ac:dyDescent="0.3">
      <c r="C1172" s="70"/>
    </row>
    <row r="1173" spans="3:3" ht="15.6" x14ac:dyDescent="0.3">
      <c r="C1173" s="70"/>
    </row>
    <row r="1174" spans="3:3" ht="15.6" x14ac:dyDescent="0.3">
      <c r="C1174" s="70"/>
    </row>
    <row r="1175" spans="3:3" ht="15.6" x14ac:dyDescent="0.3">
      <c r="C1175" s="70"/>
    </row>
    <row r="1176" spans="3:3" ht="15.6" x14ac:dyDescent="0.3">
      <c r="C1176" s="70"/>
    </row>
    <row r="1177" spans="3:3" ht="15.6" x14ac:dyDescent="0.3">
      <c r="C1177" s="70"/>
    </row>
    <row r="1178" spans="3:3" ht="15.6" x14ac:dyDescent="0.3">
      <c r="C1178" s="70"/>
    </row>
    <row r="1179" spans="3:3" ht="15.6" x14ac:dyDescent="0.3">
      <c r="C1179" s="70"/>
    </row>
    <row r="1180" spans="3:3" ht="15.6" x14ac:dyDescent="0.3">
      <c r="C1180" s="70"/>
    </row>
    <row r="1181" spans="3:3" ht="15.6" x14ac:dyDescent="0.3">
      <c r="C1181" s="70"/>
    </row>
    <row r="1182" spans="3:3" ht="15.6" x14ac:dyDescent="0.3">
      <c r="C1182" s="70"/>
    </row>
    <row r="1183" spans="3:3" ht="15.6" x14ac:dyDescent="0.3">
      <c r="C1183" s="70"/>
    </row>
    <row r="1184" spans="3:3" ht="15.6" x14ac:dyDescent="0.3">
      <c r="C1184" s="70"/>
    </row>
    <row r="1185" spans="3:3" ht="15.6" x14ac:dyDescent="0.3">
      <c r="C1185" s="70"/>
    </row>
    <row r="1186" spans="3:3" ht="15.6" x14ac:dyDescent="0.3">
      <c r="C1186" s="70"/>
    </row>
    <row r="1187" spans="3:3" ht="15.6" x14ac:dyDescent="0.3">
      <c r="C1187" s="70"/>
    </row>
    <row r="1188" spans="3:3" ht="15.6" x14ac:dyDescent="0.3">
      <c r="C1188" s="70"/>
    </row>
    <row r="1189" spans="3:3" ht="15.6" x14ac:dyDescent="0.3">
      <c r="C1189" s="70"/>
    </row>
    <row r="1190" spans="3:3" ht="15.6" x14ac:dyDescent="0.3">
      <c r="C1190" s="70"/>
    </row>
    <row r="1191" spans="3:3" ht="15.6" x14ac:dyDescent="0.3">
      <c r="C1191" s="70"/>
    </row>
    <row r="1192" spans="3:3" ht="15.6" x14ac:dyDescent="0.3">
      <c r="C1192" s="70"/>
    </row>
    <row r="1193" spans="3:3" ht="15.6" x14ac:dyDescent="0.3">
      <c r="C1193" s="70"/>
    </row>
    <row r="1194" spans="3:3" ht="15.6" x14ac:dyDescent="0.3">
      <c r="C1194" s="70"/>
    </row>
    <row r="1195" spans="3:3" ht="15.6" x14ac:dyDescent="0.3">
      <c r="C1195" s="70"/>
    </row>
    <row r="1196" spans="3:3" ht="15.6" x14ac:dyDescent="0.3">
      <c r="C1196" s="70"/>
    </row>
    <row r="1197" spans="3:3" ht="15.6" x14ac:dyDescent="0.3">
      <c r="C1197" s="70"/>
    </row>
    <row r="1198" spans="3:3" ht="15.6" x14ac:dyDescent="0.3">
      <c r="C1198" s="70"/>
    </row>
    <row r="1199" spans="3:3" ht="15.6" x14ac:dyDescent="0.3">
      <c r="C1199" s="70"/>
    </row>
    <row r="1200" spans="3:3" ht="15.6" x14ac:dyDescent="0.3">
      <c r="C1200" s="70"/>
    </row>
    <row r="1201" spans="3:3" ht="15.6" x14ac:dyDescent="0.3">
      <c r="C1201" s="70"/>
    </row>
    <row r="1202" spans="3:3" ht="15.6" x14ac:dyDescent="0.3">
      <c r="C1202" s="70"/>
    </row>
    <row r="1203" spans="3:3" ht="15.6" x14ac:dyDescent="0.3">
      <c r="C1203" s="70"/>
    </row>
    <row r="1204" spans="3:3" ht="15.6" x14ac:dyDescent="0.3">
      <c r="C1204" s="70"/>
    </row>
    <row r="1205" spans="3:3" ht="15.6" x14ac:dyDescent="0.3">
      <c r="C1205" s="70"/>
    </row>
    <row r="1206" spans="3:3" ht="15.6" x14ac:dyDescent="0.3">
      <c r="C1206" s="70"/>
    </row>
    <row r="1207" spans="3:3" ht="15.6" x14ac:dyDescent="0.3">
      <c r="C1207" s="70"/>
    </row>
    <row r="1208" spans="3:3" ht="15.6" x14ac:dyDescent="0.3">
      <c r="C1208" s="70"/>
    </row>
    <row r="1209" spans="3:3" ht="15.6" x14ac:dyDescent="0.3">
      <c r="C1209" s="70"/>
    </row>
    <row r="1210" spans="3:3" ht="15.6" x14ac:dyDescent="0.3">
      <c r="C1210" s="70"/>
    </row>
    <row r="1211" spans="3:3" ht="15.6" x14ac:dyDescent="0.3">
      <c r="C1211" s="70"/>
    </row>
    <row r="1212" spans="3:3" ht="15.6" x14ac:dyDescent="0.3">
      <c r="C1212" s="70"/>
    </row>
    <row r="1213" spans="3:3" ht="15.6" x14ac:dyDescent="0.3">
      <c r="C1213" s="70"/>
    </row>
    <row r="1214" spans="3:3" ht="15.6" x14ac:dyDescent="0.3">
      <c r="C1214" s="70"/>
    </row>
    <row r="1215" spans="3:3" ht="15.6" x14ac:dyDescent="0.3">
      <c r="C1215" s="70"/>
    </row>
    <row r="1216" spans="3:3" ht="15.6" x14ac:dyDescent="0.3">
      <c r="C1216" s="70"/>
    </row>
    <row r="1217" spans="3:3" ht="15.6" x14ac:dyDescent="0.3">
      <c r="C1217" s="70"/>
    </row>
    <row r="1218" spans="3:3" ht="15.6" x14ac:dyDescent="0.3">
      <c r="C1218" s="70"/>
    </row>
    <row r="1219" spans="3:3" ht="15.6" x14ac:dyDescent="0.3">
      <c r="C1219" s="70"/>
    </row>
    <row r="1220" spans="3:3" ht="15.6" x14ac:dyDescent="0.3">
      <c r="C1220" s="70"/>
    </row>
    <row r="1221" spans="3:3" ht="15.6" x14ac:dyDescent="0.3">
      <c r="C1221" s="70"/>
    </row>
    <row r="1222" spans="3:3" ht="15.6" x14ac:dyDescent="0.3">
      <c r="C1222" s="70"/>
    </row>
    <row r="1223" spans="3:3" ht="15.6" x14ac:dyDescent="0.3">
      <c r="C1223" s="70"/>
    </row>
    <row r="1224" spans="3:3" ht="15.6" x14ac:dyDescent="0.3">
      <c r="C1224" s="70"/>
    </row>
    <row r="1225" spans="3:3" ht="15.6" x14ac:dyDescent="0.3">
      <c r="C1225" s="70"/>
    </row>
    <row r="1226" spans="3:3" ht="15.6" x14ac:dyDescent="0.3">
      <c r="C1226" s="70"/>
    </row>
    <row r="1227" spans="3:3" ht="15.6" x14ac:dyDescent="0.3">
      <c r="C1227" s="70"/>
    </row>
    <row r="1228" spans="3:3" ht="15.6" x14ac:dyDescent="0.3">
      <c r="C1228" s="70"/>
    </row>
    <row r="1229" spans="3:3" ht="15.6" x14ac:dyDescent="0.3">
      <c r="C1229" s="70"/>
    </row>
    <row r="1230" spans="3:3" ht="15.6" x14ac:dyDescent="0.3">
      <c r="C1230" s="70"/>
    </row>
    <row r="1231" spans="3:3" ht="15.6" x14ac:dyDescent="0.3">
      <c r="C1231" s="70"/>
    </row>
    <row r="1232" spans="3:3" ht="15.6" x14ac:dyDescent="0.3">
      <c r="C1232" s="70"/>
    </row>
    <row r="1233" spans="3:3" ht="15.6" x14ac:dyDescent="0.3">
      <c r="C1233" s="70"/>
    </row>
    <row r="1234" spans="3:3" ht="15.6" x14ac:dyDescent="0.3">
      <c r="C1234" s="70"/>
    </row>
    <row r="1235" spans="3:3" ht="15.6" x14ac:dyDescent="0.3">
      <c r="C1235" s="70"/>
    </row>
    <row r="1236" spans="3:3" ht="15.6" x14ac:dyDescent="0.3">
      <c r="C1236" s="70"/>
    </row>
    <row r="1237" spans="3:3" ht="15.6" x14ac:dyDescent="0.3">
      <c r="C1237" s="70"/>
    </row>
    <row r="1238" spans="3:3" ht="15.6" x14ac:dyDescent="0.3">
      <c r="C1238" s="70"/>
    </row>
    <row r="1239" spans="3:3" ht="15.6" x14ac:dyDescent="0.3">
      <c r="C1239" s="70"/>
    </row>
    <row r="1240" spans="3:3" ht="15.6" x14ac:dyDescent="0.3">
      <c r="C1240" s="70"/>
    </row>
    <row r="1241" spans="3:3" ht="15.6" x14ac:dyDescent="0.3">
      <c r="C1241" s="70"/>
    </row>
    <row r="1242" spans="3:3" ht="15.6" x14ac:dyDescent="0.3">
      <c r="C1242" s="70"/>
    </row>
    <row r="1243" spans="3:3" ht="15.6" x14ac:dyDescent="0.3">
      <c r="C1243" s="70"/>
    </row>
    <row r="1244" spans="3:3" ht="15.6" x14ac:dyDescent="0.3">
      <c r="C1244" s="70"/>
    </row>
    <row r="1245" spans="3:3" ht="15.6" x14ac:dyDescent="0.3">
      <c r="C1245" s="70"/>
    </row>
    <row r="1246" spans="3:3" ht="15.6" x14ac:dyDescent="0.3">
      <c r="C1246" s="70"/>
    </row>
    <row r="1247" spans="3:3" ht="15.6" x14ac:dyDescent="0.3">
      <c r="C1247" s="70"/>
    </row>
    <row r="1248" spans="3:3" ht="15.6" x14ac:dyDescent="0.3">
      <c r="C1248" s="70"/>
    </row>
    <row r="1249" spans="3:3" ht="15.6" x14ac:dyDescent="0.3">
      <c r="C1249" s="70"/>
    </row>
    <row r="1250" spans="3:3" ht="15.6" x14ac:dyDescent="0.3">
      <c r="C1250" s="70"/>
    </row>
    <row r="1251" spans="3:3" ht="15.6" x14ac:dyDescent="0.3">
      <c r="C1251" s="70"/>
    </row>
    <row r="1252" spans="3:3" ht="15.6" x14ac:dyDescent="0.3">
      <c r="C1252" s="70"/>
    </row>
    <row r="1253" spans="3:3" ht="15.6" x14ac:dyDescent="0.3">
      <c r="C1253" s="70"/>
    </row>
    <row r="1254" spans="3:3" ht="15.6" x14ac:dyDescent="0.3">
      <c r="C1254" s="70"/>
    </row>
    <row r="1255" spans="3:3" ht="15.6" x14ac:dyDescent="0.3">
      <c r="C1255" s="70"/>
    </row>
    <row r="1256" spans="3:3" ht="15.6" x14ac:dyDescent="0.3">
      <c r="C1256" s="70"/>
    </row>
    <row r="1257" spans="3:3" ht="15.6" x14ac:dyDescent="0.3">
      <c r="C1257" s="70"/>
    </row>
    <row r="1258" spans="3:3" ht="15.6" x14ac:dyDescent="0.3">
      <c r="C1258" s="70"/>
    </row>
    <row r="1259" spans="3:3" ht="15.6" x14ac:dyDescent="0.3">
      <c r="C1259" s="70"/>
    </row>
    <row r="1260" spans="3:3" ht="15.6" x14ac:dyDescent="0.3">
      <c r="C1260" s="70"/>
    </row>
    <row r="1261" spans="3:3" ht="15.6" x14ac:dyDescent="0.3">
      <c r="C1261" s="70"/>
    </row>
    <row r="1262" spans="3:3" ht="15.6" x14ac:dyDescent="0.3">
      <c r="C1262" s="70"/>
    </row>
    <row r="1263" spans="3:3" ht="15.6" x14ac:dyDescent="0.3">
      <c r="C1263" s="70"/>
    </row>
    <row r="1264" spans="3:3" ht="15.6" x14ac:dyDescent="0.3">
      <c r="C1264" s="70"/>
    </row>
    <row r="1265" spans="3:3" ht="15.6" x14ac:dyDescent="0.3">
      <c r="C1265" s="70"/>
    </row>
    <row r="1266" spans="3:3" ht="15.6" x14ac:dyDescent="0.3">
      <c r="C1266" s="70"/>
    </row>
    <row r="1267" spans="3:3" ht="15.6" x14ac:dyDescent="0.3">
      <c r="C1267" s="70"/>
    </row>
    <row r="1268" spans="3:3" ht="15.6" x14ac:dyDescent="0.3">
      <c r="C1268" s="70"/>
    </row>
    <row r="1269" spans="3:3" ht="15.6" x14ac:dyDescent="0.3">
      <c r="C1269" s="70"/>
    </row>
    <row r="1270" spans="3:3" ht="15.6" x14ac:dyDescent="0.3">
      <c r="C1270" s="70"/>
    </row>
    <row r="1271" spans="3:3" ht="15.6" x14ac:dyDescent="0.3">
      <c r="C1271" s="70"/>
    </row>
    <row r="1272" spans="3:3" ht="15.6" x14ac:dyDescent="0.3">
      <c r="C1272" s="70"/>
    </row>
    <row r="1273" spans="3:3" ht="15.6" x14ac:dyDescent="0.3">
      <c r="C1273" s="70"/>
    </row>
    <row r="1274" spans="3:3" ht="15.6" x14ac:dyDescent="0.3">
      <c r="C1274" s="70"/>
    </row>
    <row r="1275" spans="3:3" ht="15.6" x14ac:dyDescent="0.3">
      <c r="C1275" s="70"/>
    </row>
    <row r="1276" spans="3:3" ht="15.6" x14ac:dyDescent="0.3">
      <c r="C1276" s="70"/>
    </row>
    <row r="1277" spans="3:3" ht="15.6" x14ac:dyDescent="0.3">
      <c r="C1277" s="70"/>
    </row>
    <row r="1278" spans="3:3" ht="15.6" x14ac:dyDescent="0.3">
      <c r="C1278" s="70"/>
    </row>
    <row r="1279" spans="3:3" ht="15.6" x14ac:dyDescent="0.3">
      <c r="C1279" s="70"/>
    </row>
    <row r="1280" spans="3:3" ht="15.6" x14ac:dyDescent="0.3">
      <c r="C1280" s="70"/>
    </row>
    <row r="1281" spans="3:3" ht="15.6" x14ac:dyDescent="0.3">
      <c r="C1281" s="70"/>
    </row>
    <row r="1282" spans="3:3" ht="15.6" x14ac:dyDescent="0.3">
      <c r="C1282" s="70"/>
    </row>
    <row r="1283" spans="3:3" ht="15.6" x14ac:dyDescent="0.3">
      <c r="C1283" s="70"/>
    </row>
    <row r="1284" spans="3:3" ht="15.6" x14ac:dyDescent="0.3">
      <c r="C1284" s="70"/>
    </row>
    <row r="1285" spans="3:3" ht="15.6" x14ac:dyDescent="0.3">
      <c r="C1285" s="70"/>
    </row>
    <row r="1286" spans="3:3" ht="15.6" x14ac:dyDescent="0.3">
      <c r="C1286" s="70"/>
    </row>
    <row r="1287" spans="3:3" ht="15.6" x14ac:dyDescent="0.3">
      <c r="C1287" s="70"/>
    </row>
    <row r="1288" spans="3:3" ht="15.6" x14ac:dyDescent="0.3">
      <c r="C1288" s="70"/>
    </row>
    <row r="1289" spans="3:3" ht="15.6" x14ac:dyDescent="0.3">
      <c r="C1289" s="70"/>
    </row>
    <row r="1290" spans="3:3" ht="15.6" x14ac:dyDescent="0.3">
      <c r="C1290" s="70"/>
    </row>
    <row r="1291" spans="3:3" ht="15.6" x14ac:dyDescent="0.3">
      <c r="C1291" s="70"/>
    </row>
    <row r="1292" spans="3:3" ht="15.6" x14ac:dyDescent="0.3">
      <c r="C1292" s="70"/>
    </row>
    <row r="1293" spans="3:3" ht="15.6" x14ac:dyDescent="0.3">
      <c r="C1293" s="70"/>
    </row>
    <row r="1294" spans="3:3" ht="15.6" x14ac:dyDescent="0.3">
      <c r="C1294" s="70"/>
    </row>
    <row r="1295" spans="3:3" ht="15.6" x14ac:dyDescent="0.3">
      <c r="C1295" s="70"/>
    </row>
    <row r="1296" spans="3:3" ht="15.6" x14ac:dyDescent="0.3">
      <c r="C1296" s="70"/>
    </row>
    <row r="1297" spans="3:3" ht="15.6" x14ac:dyDescent="0.3">
      <c r="C1297" s="70"/>
    </row>
    <row r="1298" spans="3:3" ht="15.6" x14ac:dyDescent="0.3">
      <c r="C1298" s="70"/>
    </row>
    <row r="1299" spans="3:3" ht="15.6" x14ac:dyDescent="0.3">
      <c r="C1299" s="70"/>
    </row>
    <row r="1300" spans="3:3" ht="15.6" x14ac:dyDescent="0.3">
      <c r="C1300" s="70"/>
    </row>
    <row r="1301" spans="3:3" ht="15.6" x14ac:dyDescent="0.3">
      <c r="C1301" s="70"/>
    </row>
    <row r="1302" spans="3:3" ht="15.6" x14ac:dyDescent="0.3">
      <c r="C1302" s="70"/>
    </row>
    <row r="1303" spans="3:3" ht="15.6" x14ac:dyDescent="0.3">
      <c r="C1303" s="70"/>
    </row>
    <row r="1304" spans="3:3" ht="15.6" x14ac:dyDescent="0.3">
      <c r="C1304" s="70"/>
    </row>
    <row r="1305" spans="3:3" ht="15.6" x14ac:dyDescent="0.3">
      <c r="C1305" s="70"/>
    </row>
    <row r="1306" spans="3:3" ht="15.6" x14ac:dyDescent="0.3">
      <c r="C1306" s="70"/>
    </row>
    <row r="1307" spans="3:3" ht="15.6" x14ac:dyDescent="0.3">
      <c r="C1307" s="70"/>
    </row>
    <row r="1308" spans="3:3" ht="15.6" x14ac:dyDescent="0.3">
      <c r="C1308" s="70"/>
    </row>
    <row r="1309" spans="3:3" ht="15.6" x14ac:dyDescent="0.3">
      <c r="C1309" s="70"/>
    </row>
    <row r="1310" spans="3:3" ht="15.6" x14ac:dyDescent="0.3">
      <c r="C1310" s="70"/>
    </row>
    <row r="1311" spans="3:3" ht="15.6" x14ac:dyDescent="0.3">
      <c r="C1311" s="70"/>
    </row>
    <row r="1312" spans="3:3" ht="15.6" x14ac:dyDescent="0.3">
      <c r="C1312" s="70"/>
    </row>
    <row r="1313" spans="3:3" ht="15.6" x14ac:dyDescent="0.3">
      <c r="C1313" s="70"/>
    </row>
    <row r="1314" spans="3:3" ht="15.6" x14ac:dyDescent="0.3">
      <c r="C1314" s="70"/>
    </row>
    <row r="1315" spans="3:3" ht="15.6" x14ac:dyDescent="0.3">
      <c r="C1315" s="70"/>
    </row>
    <row r="1316" spans="3:3" ht="15.6" x14ac:dyDescent="0.3">
      <c r="C1316" s="70"/>
    </row>
    <row r="1317" spans="3:3" ht="15.6" x14ac:dyDescent="0.3">
      <c r="C1317" s="70"/>
    </row>
    <row r="1318" spans="3:3" ht="15.6" x14ac:dyDescent="0.3">
      <c r="C1318" s="70"/>
    </row>
    <row r="1319" spans="3:3" ht="15.6" x14ac:dyDescent="0.3">
      <c r="C1319" s="70"/>
    </row>
    <row r="1320" spans="3:3" ht="15.6" x14ac:dyDescent="0.3">
      <c r="C1320" s="70"/>
    </row>
    <row r="1321" spans="3:3" ht="15.6" x14ac:dyDescent="0.3">
      <c r="C1321" s="70"/>
    </row>
    <row r="1322" spans="3:3" ht="15.6" x14ac:dyDescent="0.3">
      <c r="C1322" s="70"/>
    </row>
    <row r="1323" spans="3:3" ht="15.6" x14ac:dyDescent="0.3">
      <c r="C1323" s="70"/>
    </row>
    <row r="1324" spans="3:3" ht="15.6" x14ac:dyDescent="0.3">
      <c r="C1324" s="70"/>
    </row>
    <row r="1325" spans="3:3" ht="15.6" x14ac:dyDescent="0.3">
      <c r="C1325" s="70"/>
    </row>
    <row r="1326" spans="3:3" ht="15.6" x14ac:dyDescent="0.3">
      <c r="C1326" s="70"/>
    </row>
    <row r="1327" spans="3:3" ht="15.6" x14ac:dyDescent="0.3">
      <c r="C1327" s="70"/>
    </row>
    <row r="1328" spans="3:3" ht="15.6" x14ac:dyDescent="0.3">
      <c r="C1328" s="70"/>
    </row>
    <row r="1329" spans="3:3" ht="15.6" x14ac:dyDescent="0.3">
      <c r="C1329" s="70"/>
    </row>
    <row r="1330" spans="3:3" ht="15.6" x14ac:dyDescent="0.3">
      <c r="C1330" s="70"/>
    </row>
    <row r="1331" spans="3:3" ht="15.6" x14ac:dyDescent="0.3">
      <c r="C1331" s="70"/>
    </row>
    <row r="1332" spans="3:3" ht="15.6" x14ac:dyDescent="0.3">
      <c r="C1332" s="70"/>
    </row>
    <row r="1333" spans="3:3" ht="15.6" x14ac:dyDescent="0.3">
      <c r="C1333" s="70"/>
    </row>
    <row r="1334" spans="3:3" ht="15.6" x14ac:dyDescent="0.3">
      <c r="C1334" s="70"/>
    </row>
    <row r="1335" spans="3:3" ht="15.6" x14ac:dyDescent="0.3">
      <c r="C1335" s="70"/>
    </row>
    <row r="1336" spans="3:3" ht="15.6" x14ac:dyDescent="0.3">
      <c r="C1336" s="70"/>
    </row>
    <row r="1337" spans="3:3" ht="15.6" x14ac:dyDescent="0.3">
      <c r="C1337" s="70"/>
    </row>
    <row r="1338" spans="3:3" ht="15.6" x14ac:dyDescent="0.3">
      <c r="C1338" s="70"/>
    </row>
    <row r="1339" spans="3:3" ht="15.6" x14ac:dyDescent="0.3">
      <c r="C1339" s="70"/>
    </row>
    <row r="1340" spans="3:3" ht="15.6" x14ac:dyDescent="0.3">
      <c r="C1340" s="70"/>
    </row>
    <row r="1341" spans="3:3" ht="15.6" x14ac:dyDescent="0.3">
      <c r="C1341" s="70"/>
    </row>
    <row r="1342" spans="3:3" ht="15.6" x14ac:dyDescent="0.3">
      <c r="C1342" s="70"/>
    </row>
    <row r="1343" spans="3:3" ht="15.6" x14ac:dyDescent="0.3">
      <c r="C1343" s="70"/>
    </row>
    <row r="1344" spans="3:3" ht="15.6" x14ac:dyDescent="0.3">
      <c r="C1344" s="70"/>
    </row>
    <row r="1345" spans="3:3" ht="15.6" x14ac:dyDescent="0.3">
      <c r="C1345" s="70"/>
    </row>
    <row r="1346" spans="3:3" ht="15.6" x14ac:dyDescent="0.3">
      <c r="C1346" s="70"/>
    </row>
    <row r="1347" spans="3:3" ht="15.6" x14ac:dyDescent="0.3">
      <c r="C1347" s="70"/>
    </row>
    <row r="1348" spans="3:3" ht="15.6" x14ac:dyDescent="0.3">
      <c r="C1348" s="70"/>
    </row>
    <row r="1349" spans="3:3" ht="15.6" x14ac:dyDescent="0.3">
      <c r="C1349" s="70"/>
    </row>
    <row r="1350" spans="3:3" ht="15.6" x14ac:dyDescent="0.3">
      <c r="C1350" s="70"/>
    </row>
    <row r="1351" spans="3:3" ht="15.6" x14ac:dyDescent="0.3">
      <c r="C1351" s="70"/>
    </row>
    <row r="1352" spans="3:3" ht="15.6" x14ac:dyDescent="0.3">
      <c r="C1352" s="70"/>
    </row>
    <row r="1353" spans="3:3" ht="15.6" x14ac:dyDescent="0.3">
      <c r="C1353" s="70"/>
    </row>
    <row r="1354" spans="3:3" ht="15.6" x14ac:dyDescent="0.3">
      <c r="C1354" s="70"/>
    </row>
    <row r="1355" spans="3:3" ht="15.6" x14ac:dyDescent="0.3">
      <c r="C1355" s="70"/>
    </row>
    <row r="1356" spans="3:3" ht="15.6" x14ac:dyDescent="0.3">
      <c r="C1356" s="70"/>
    </row>
    <row r="1357" spans="3:3" ht="15.6" x14ac:dyDescent="0.3">
      <c r="C1357" s="70"/>
    </row>
    <row r="1358" spans="3:3" ht="15.6" x14ac:dyDescent="0.3">
      <c r="C1358" s="70"/>
    </row>
    <row r="1359" spans="3:3" ht="15.6" x14ac:dyDescent="0.3">
      <c r="C1359" s="70"/>
    </row>
    <row r="1360" spans="3:3" ht="15.6" x14ac:dyDescent="0.3">
      <c r="C1360" s="70"/>
    </row>
    <row r="1361" spans="3:3" ht="15.6" x14ac:dyDescent="0.3">
      <c r="C1361" s="70"/>
    </row>
    <row r="1362" spans="3:3" ht="15.6" x14ac:dyDescent="0.3">
      <c r="C1362" s="70"/>
    </row>
    <row r="1363" spans="3:3" ht="15.6" x14ac:dyDescent="0.3">
      <c r="C1363" s="70"/>
    </row>
    <row r="1364" spans="3:3" ht="15.6" x14ac:dyDescent="0.3">
      <c r="C1364" s="70"/>
    </row>
    <row r="1365" spans="3:3" ht="15.6" x14ac:dyDescent="0.3">
      <c r="C1365" s="70"/>
    </row>
    <row r="1366" spans="3:3" ht="15.6" x14ac:dyDescent="0.3">
      <c r="C1366" s="70"/>
    </row>
    <row r="1367" spans="3:3" ht="15.6" x14ac:dyDescent="0.3">
      <c r="C1367" s="70"/>
    </row>
    <row r="1368" spans="3:3" ht="15.6" x14ac:dyDescent="0.3">
      <c r="C1368" s="70"/>
    </row>
    <row r="1369" spans="3:3" ht="15.6" x14ac:dyDescent="0.3">
      <c r="C1369" s="70"/>
    </row>
    <row r="1370" spans="3:3" ht="15.6" x14ac:dyDescent="0.3">
      <c r="C1370" s="70"/>
    </row>
    <row r="1371" spans="3:3" ht="15.6" x14ac:dyDescent="0.3">
      <c r="C1371" s="70"/>
    </row>
    <row r="1372" spans="3:3" ht="15.6" x14ac:dyDescent="0.3">
      <c r="C1372" s="70"/>
    </row>
    <row r="1373" spans="3:3" ht="15.6" x14ac:dyDescent="0.3">
      <c r="C1373" s="70"/>
    </row>
    <row r="1374" spans="3:3" ht="15.6" x14ac:dyDescent="0.3">
      <c r="C1374" s="70"/>
    </row>
    <row r="1375" spans="3:3" ht="15.6" x14ac:dyDescent="0.3">
      <c r="C1375" s="70"/>
    </row>
    <row r="1376" spans="3:3" ht="15.6" x14ac:dyDescent="0.3">
      <c r="C1376" s="70"/>
    </row>
    <row r="1377" spans="3:3" ht="15.6" x14ac:dyDescent="0.3">
      <c r="C1377" s="70"/>
    </row>
    <row r="1378" spans="3:3" ht="15.6" x14ac:dyDescent="0.3">
      <c r="C1378" s="70"/>
    </row>
    <row r="1379" spans="3:3" ht="15.6" x14ac:dyDescent="0.3">
      <c r="C1379" s="70"/>
    </row>
    <row r="1380" spans="3:3" ht="15.6" x14ac:dyDescent="0.3">
      <c r="C1380" s="70"/>
    </row>
    <row r="1381" spans="3:3" ht="15.6" x14ac:dyDescent="0.3">
      <c r="C1381" s="70"/>
    </row>
    <row r="1382" spans="3:3" ht="15.6" x14ac:dyDescent="0.3">
      <c r="C1382" s="70"/>
    </row>
    <row r="1383" spans="3:3" ht="15.6" x14ac:dyDescent="0.3">
      <c r="C1383" s="70"/>
    </row>
    <row r="1384" spans="3:3" ht="15.6" x14ac:dyDescent="0.3">
      <c r="C1384" s="70"/>
    </row>
    <row r="1385" spans="3:3" ht="15.6" x14ac:dyDescent="0.3">
      <c r="C1385" s="70"/>
    </row>
    <row r="1386" spans="3:3" ht="15.6" x14ac:dyDescent="0.3">
      <c r="C1386" s="70"/>
    </row>
    <row r="1387" spans="3:3" ht="15.6" x14ac:dyDescent="0.3">
      <c r="C1387" s="70"/>
    </row>
    <row r="1388" spans="3:3" ht="15.6" x14ac:dyDescent="0.3">
      <c r="C1388" s="70"/>
    </row>
    <row r="1389" spans="3:3" ht="15.6" x14ac:dyDescent="0.3">
      <c r="C1389" s="70"/>
    </row>
    <row r="1390" spans="3:3" ht="15.6" x14ac:dyDescent="0.3">
      <c r="C1390" s="70"/>
    </row>
    <row r="1391" spans="3:3" ht="15.6" x14ac:dyDescent="0.3">
      <c r="C1391" s="70"/>
    </row>
    <row r="1392" spans="3:3" ht="15.6" x14ac:dyDescent="0.3">
      <c r="C1392" s="70"/>
    </row>
    <row r="1393" spans="3:3" ht="15.6" x14ac:dyDescent="0.3">
      <c r="C1393" s="70"/>
    </row>
    <row r="1394" spans="3:3" ht="15.6" x14ac:dyDescent="0.3">
      <c r="C1394" s="70"/>
    </row>
    <row r="1395" spans="3:3" ht="15.6" x14ac:dyDescent="0.3">
      <c r="C1395" s="70"/>
    </row>
    <row r="1396" spans="3:3" ht="15.6" x14ac:dyDescent="0.3">
      <c r="C1396" s="70"/>
    </row>
    <row r="1397" spans="3:3" ht="15.6" x14ac:dyDescent="0.3">
      <c r="C1397" s="70"/>
    </row>
    <row r="1398" spans="3:3" ht="15.6" x14ac:dyDescent="0.3">
      <c r="C1398" s="70"/>
    </row>
    <row r="1399" spans="3:3" ht="15.6" x14ac:dyDescent="0.3">
      <c r="C1399" s="70"/>
    </row>
    <row r="1400" spans="3:3" ht="15.6" x14ac:dyDescent="0.3">
      <c r="C1400" s="70"/>
    </row>
    <row r="1401" spans="3:3" ht="15.6" x14ac:dyDescent="0.3">
      <c r="C1401" s="70"/>
    </row>
    <row r="1402" spans="3:3" ht="15.6" x14ac:dyDescent="0.3">
      <c r="C1402" s="70"/>
    </row>
    <row r="1403" spans="3:3" ht="15.6" x14ac:dyDescent="0.3">
      <c r="C1403" s="70"/>
    </row>
    <row r="1404" spans="3:3" ht="15.6" x14ac:dyDescent="0.3">
      <c r="C1404" s="70"/>
    </row>
    <row r="1405" spans="3:3" ht="15.6" x14ac:dyDescent="0.3">
      <c r="C1405" s="70"/>
    </row>
    <row r="1406" spans="3:3" ht="15.6" x14ac:dyDescent="0.3">
      <c r="C1406" s="70"/>
    </row>
    <row r="1407" spans="3:3" ht="15.6" x14ac:dyDescent="0.3">
      <c r="C1407" s="70"/>
    </row>
    <row r="1408" spans="3:3" ht="15.6" x14ac:dyDescent="0.3">
      <c r="C1408" s="70"/>
    </row>
    <row r="1409" spans="3:3" ht="15.6" x14ac:dyDescent="0.3">
      <c r="C1409" s="70"/>
    </row>
    <row r="1410" spans="3:3" ht="15.6" x14ac:dyDescent="0.3">
      <c r="C1410" s="70"/>
    </row>
    <row r="1411" spans="3:3" ht="15.6" x14ac:dyDescent="0.3">
      <c r="C1411" s="70"/>
    </row>
    <row r="1412" spans="3:3" ht="15.6" x14ac:dyDescent="0.3">
      <c r="C1412" s="70"/>
    </row>
    <row r="1413" spans="3:3" ht="15.6" x14ac:dyDescent="0.3">
      <c r="C1413" s="70"/>
    </row>
    <row r="1414" spans="3:3" ht="15.6" x14ac:dyDescent="0.3">
      <c r="C1414" s="70"/>
    </row>
    <row r="1415" spans="3:3" ht="15.6" x14ac:dyDescent="0.3">
      <c r="C1415" s="70"/>
    </row>
    <row r="1416" spans="3:3" ht="15.6" x14ac:dyDescent="0.3">
      <c r="C1416" s="70"/>
    </row>
    <row r="1417" spans="3:3" ht="15.6" x14ac:dyDescent="0.3">
      <c r="C1417" s="70"/>
    </row>
    <row r="1418" spans="3:3" ht="15.6" x14ac:dyDescent="0.3">
      <c r="C1418" s="70"/>
    </row>
    <row r="1419" spans="3:3" ht="15.6" x14ac:dyDescent="0.3">
      <c r="C1419" s="70"/>
    </row>
    <row r="1420" spans="3:3" ht="15.6" x14ac:dyDescent="0.3">
      <c r="C1420" s="70"/>
    </row>
    <row r="1421" spans="3:3" ht="15.6" x14ac:dyDescent="0.3">
      <c r="C1421" s="70"/>
    </row>
    <row r="1422" spans="3:3" ht="15.6" x14ac:dyDescent="0.3">
      <c r="C1422" s="70"/>
    </row>
    <row r="1423" spans="3:3" ht="15.6" x14ac:dyDescent="0.3">
      <c r="C1423" s="70"/>
    </row>
    <row r="1424" spans="3:3" ht="15.6" x14ac:dyDescent="0.3">
      <c r="C1424" s="70"/>
    </row>
    <row r="1425" spans="3:3" ht="15.6" x14ac:dyDescent="0.3">
      <c r="C1425" s="70"/>
    </row>
    <row r="1426" spans="3:3" ht="15.6" x14ac:dyDescent="0.3">
      <c r="C1426" s="70"/>
    </row>
    <row r="1427" spans="3:3" ht="15.6" x14ac:dyDescent="0.3">
      <c r="C1427" s="70"/>
    </row>
    <row r="1428" spans="3:3" ht="15.6" x14ac:dyDescent="0.3">
      <c r="C1428" s="70"/>
    </row>
    <row r="1429" spans="3:3" ht="15.6" x14ac:dyDescent="0.3">
      <c r="C1429" s="70"/>
    </row>
    <row r="1430" spans="3:3" ht="15.6" x14ac:dyDescent="0.3">
      <c r="C1430" s="70"/>
    </row>
    <row r="1431" spans="3:3" ht="15.6" x14ac:dyDescent="0.3">
      <c r="C1431" s="70"/>
    </row>
    <row r="1432" spans="3:3" ht="15.6" x14ac:dyDescent="0.3">
      <c r="C1432" s="70"/>
    </row>
    <row r="1433" spans="3:3" ht="15.6" x14ac:dyDescent="0.3">
      <c r="C1433" s="70"/>
    </row>
    <row r="1434" spans="3:3" ht="15.6" x14ac:dyDescent="0.3">
      <c r="C1434" s="70"/>
    </row>
    <row r="1435" spans="3:3" ht="15.6" x14ac:dyDescent="0.3">
      <c r="C1435" s="70"/>
    </row>
    <row r="1436" spans="3:3" ht="15.6" x14ac:dyDescent="0.3">
      <c r="C1436" s="70"/>
    </row>
    <row r="1437" spans="3:3" ht="15.6" x14ac:dyDescent="0.3">
      <c r="C1437" s="70"/>
    </row>
    <row r="1438" spans="3:3" ht="15.6" x14ac:dyDescent="0.3">
      <c r="C1438" s="70"/>
    </row>
    <row r="1439" spans="3:3" ht="15.6" x14ac:dyDescent="0.3">
      <c r="C1439" s="70"/>
    </row>
    <row r="1440" spans="3:3" ht="15.6" x14ac:dyDescent="0.3">
      <c r="C1440" s="70"/>
    </row>
    <row r="1441" spans="3:3" ht="15.6" x14ac:dyDescent="0.3">
      <c r="C1441" s="70"/>
    </row>
    <row r="1442" spans="3:3" ht="15.6" x14ac:dyDescent="0.3">
      <c r="C1442" s="70"/>
    </row>
    <row r="1443" spans="3:3" ht="15.6" x14ac:dyDescent="0.3">
      <c r="C1443" s="70"/>
    </row>
    <row r="1444" spans="3:3" ht="15.6" x14ac:dyDescent="0.3">
      <c r="C1444" s="70"/>
    </row>
    <row r="1445" spans="3:3" ht="15.6" x14ac:dyDescent="0.3">
      <c r="C1445" s="70"/>
    </row>
    <row r="1446" spans="3:3" ht="15.6" x14ac:dyDescent="0.3">
      <c r="C1446" s="70"/>
    </row>
    <row r="1447" spans="3:3" ht="15.6" x14ac:dyDescent="0.3">
      <c r="C1447" s="70"/>
    </row>
    <row r="1448" spans="3:3" ht="15.6" x14ac:dyDescent="0.3">
      <c r="C1448" s="70"/>
    </row>
    <row r="1449" spans="3:3" ht="15.6" x14ac:dyDescent="0.3">
      <c r="C1449" s="70"/>
    </row>
    <row r="1450" spans="3:3" ht="15.6" x14ac:dyDescent="0.3">
      <c r="C1450" s="70"/>
    </row>
    <row r="1451" spans="3:3" ht="15.6" x14ac:dyDescent="0.3">
      <c r="C1451" s="70"/>
    </row>
    <row r="1452" spans="3:3" ht="15.6" x14ac:dyDescent="0.3">
      <c r="C1452" s="70"/>
    </row>
    <row r="1453" spans="3:3" ht="15.6" x14ac:dyDescent="0.3">
      <c r="C1453" s="70"/>
    </row>
    <row r="1454" spans="3:3" ht="15.6" x14ac:dyDescent="0.3">
      <c r="C1454" s="70"/>
    </row>
    <row r="1455" spans="3:3" ht="15.6" x14ac:dyDescent="0.3">
      <c r="C1455" s="70"/>
    </row>
    <row r="1456" spans="3:3" ht="15.6" x14ac:dyDescent="0.3">
      <c r="C1456" s="70"/>
    </row>
    <row r="1457" spans="3:3" ht="15.6" x14ac:dyDescent="0.3">
      <c r="C1457" s="70"/>
    </row>
    <row r="1458" spans="3:3" ht="15.6" x14ac:dyDescent="0.3">
      <c r="C1458" s="70"/>
    </row>
    <row r="1459" spans="3:3" ht="15.6" x14ac:dyDescent="0.3">
      <c r="C1459" s="70"/>
    </row>
    <row r="1460" spans="3:3" ht="15.6" x14ac:dyDescent="0.3">
      <c r="C1460" s="70"/>
    </row>
    <row r="1461" spans="3:3" ht="15.6" x14ac:dyDescent="0.3">
      <c r="C1461" s="70"/>
    </row>
    <row r="1462" spans="3:3" ht="15.6" x14ac:dyDescent="0.3">
      <c r="C1462" s="70"/>
    </row>
    <row r="1463" spans="3:3" ht="15.6" x14ac:dyDescent="0.3">
      <c r="C1463" s="70"/>
    </row>
    <row r="1464" spans="3:3" ht="15.6" x14ac:dyDescent="0.3">
      <c r="C1464" s="70"/>
    </row>
    <row r="1465" spans="3:3" ht="15.6" x14ac:dyDescent="0.3">
      <c r="C1465" s="70"/>
    </row>
    <row r="1466" spans="3:3" ht="15.6" x14ac:dyDescent="0.3">
      <c r="C1466" s="70"/>
    </row>
    <row r="1467" spans="3:3" ht="15.6" x14ac:dyDescent="0.3">
      <c r="C1467" s="70"/>
    </row>
    <row r="1468" spans="3:3" ht="15.6" x14ac:dyDescent="0.3">
      <c r="C1468" s="70"/>
    </row>
    <row r="1469" spans="3:3" ht="15.6" x14ac:dyDescent="0.3">
      <c r="C1469" s="70"/>
    </row>
    <row r="1470" spans="3:3" ht="15.6" x14ac:dyDescent="0.3">
      <c r="C1470" s="70"/>
    </row>
    <row r="1471" spans="3:3" ht="15.6" x14ac:dyDescent="0.3">
      <c r="C1471" s="70"/>
    </row>
    <row r="1472" spans="3:3" ht="15.6" x14ac:dyDescent="0.3">
      <c r="C1472" s="70"/>
    </row>
    <row r="1473" spans="3:3" ht="15.6" x14ac:dyDescent="0.3">
      <c r="C1473" s="70"/>
    </row>
    <row r="1474" spans="3:3" ht="15.6" x14ac:dyDescent="0.3">
      <c r="C1474" s="70"/>
    </row>
    <row r="1475" spans="3:3" ht="15.6" x14ac:dyDescent="0.3">
      <c r="C1475" s="70"/>
    </row>
    <row r="1476" spans="3:3" ht="15.6" x14ac:dyDescent="0.3">
      <c r="C1476" s="70"/>
    </row>
    <row r="1477" spans="3:3" ht="15.6" x14ac:dyDescent="0.3">
      <c r="C1477" s="70"/>
    </row>
    <row r="1478" spans="3:3" ht="15.6" x14ac:dyDescent="0.3">
      <c r="C1478" s="70"/>
    </row>
    <row r="1479" spans="3:3" ht="15.6" x14ac:dyDescent="0.3">
      <c r="C1479" s="70"/>
    </row>
    <row r="1480" spans="3:3" ht="15.6" x14ac:dyDescent="0.3">
      <c r="C1480" s="70"/>
    </row>
    <row r="1481" spans="3:3" ht="15.6" x14ac:dyDescent="0.3">
      <c r="C1481" s="70"/>
    </row>
    <row r="1482" spans="3:3" ht="15.6" x14ac:dyDescent="0.3">
      <c r="C1482" s="70"/>
    </row>
    <row r="1483" spans="3:3" ht="15.6" x14ac:dyDescent="0.3">
      <c r="C1483" s="70"/>
    </row>
    <row r="1484" spans="3:3" ht="15.6" x14ac:dyDescent="0.3">
      <c r="C1484" s="70"/>
    </row>
    <row r="1485" spans="3:3" ht="15.6" x14ac:dyDescent="0.3">
      <c r="C1485" s="70"/>
    </row>
    <row r="1486" spans="3:3" ht="15.6" x14ac:dyDescent="0.3">
      <c r="C1486" s="70"/>
    </row>
    <row r="1487" spans="3:3" ht="15.6" x14ac:dyDescent="0.3">
      <c r="C1487" s="70"/>
    </row>
    <row r="1488" spans="3:3" ht="15.6" x14ac:dyDescent="0.3">
      <c r="C1488" s="70"/>
    </row>
    <row r="1489" spans="3:3" ht="15.6" x14ac:dyDescent="0.3">
      <c r="C1489" s="70"/>
    </row>
    <row r="1490" spans="3:3" ht="15.6" x14ac:dyDescent="0.3">
      <c r="C1490" s="70"/>
    </row>
    <row r="1491" spans="3:3" ht="15.6" x14ac:dyDescent="0.3">
      <c r="C1491" s="70"/>
    </row>
    <row r="1492" spans="3:3" ht="15.6" x14ac:dyDescent="0.3">
      <c r="C1492" s="70"/>
    </row>
    <row r="1493" spans="3:3" ht="15.6" x14ac:dyDescent="0.3">
      <c r="C1493" s="70"/>
    </row>
    <row r="1494" spans="3:3" ht="15.6" x14ac:dyDescent="0.3">
      <c r="C1494" s="70"/>
    </row>
    <row r="1495" spans="3:3" ht="15.6" x14ac:dyDescent="0.3">
      <c r="C1495" s="70"/>
    </row>
    <row r="1496" spans="3:3" ht="15.6" x14ac:dyDescent="0.3">
      <c r="C1496" s="70"/>
    </row>
    <row r="1497" spans="3:3" ht="15.6" x14ac:dyDescent="0.3">
      <c r="C1497" s="70"/>
    </row>
    <row r="1498" spans="3:3" ht="15.6" x14ac:dyDescent="0.3">
      <c r="C1498" s="70"/>
    </row>
    <row r="1499" spans="3:3" ht="15.6" x14ac:dyDescent="0.3">
      <c r="C1499" s="70"/>
    </row>
    <row r="1500" spans="3:3" ht="15.6" x14ac:dyDescent="0.3">
      <c r="C1500" s="70"/>
    </row>
    <row r="1501" spans="3:3" ht="15.6" x14ac:dyDescent="0.3">
      <c r="C1501" s="70"/>
    </row>
    <row r="1502" spans="3:3" ht="15.6" x14ac:dyDescent="0.3">
      <c r="C1502" s="70"/>
    </row>
    <row r="1503" spans="3:3" ht="15.6" x14ac:dyDescent="0.3">
      <c r="C1503" s="70"/>
    </row>
    <row r="1504" spans="3:3" ht="15.6" x14ac:dyDescent="0.3">
      <c r="C1504" s="70"/>
    </row>
    <row r="1505" spans="3:3" ht="15.6" x14ac:dyDescent="0.3">
      <c r="C1505" s="70"/>
    </row>
    <row r="1506" spans="3:3" ht="15.6" x14ac:dyDescent="0.3">
      <c r="C1506" s="70"/>
    </row>
    <row r="1507" spans="3:3" ht="15.6" x14ac:dyDescent="0.3">
      <c r="C1507" s="70"/>
    </row>
    <row r="1508" spans="3:3" ht="15.6" x14ac:dyDescent="0.3">
      <c r="C1508" s="70"/>
    </row>
    <row r="1509" spans="3:3" ht="15.6" x14ac:dyDescent="0.3">
      <c r="C1509" s="70"/>
    </row>
    <row r="1510" spans="3:3" ht="15.6" x14ac:dyDescent="0.3">
      <c r="C1510" s="70"/>
    </row>
    <row r="1511" spans="3:3" ht="15.6" x14ac:dyDescent="0.3">
      <c r="C1511" s="70"/>
    </row>
    <row r="1512" spans="3:3" ht="15.6" x14ac:dyDescent="0.3">
      <c r="C1512" s="70"/>
    </row>
    <row r="1513" spans="3:3" ht="15.6" x14ac:dyDescent="0.3">
      <c r="C1513" s="70"/>
    </row>
    <row r="1514" spans="3:3" ht="15.6" x14ac:dyDescent="0.3">
      <c r="C1514" s="70"/>
    </row>
    <row r="1515" spans="3:3" ht="15.6" x14ac:dyDescent="0.3">
      <c r="C1515" s="70"/>
    </row>
    <row r="1516" spans="3:3" ht="15.6" x14ac:dyDescent="0.3">
      <c r="C1516" s="70"/>
    </row>
    <row r="1517" spans="3:3" ht="15.6" x14ac:dyDescent="0.3">
      <c r="C1517" s="70"/>
    </row>
    <row r="1518" spans="3:3" ht="15.6" x14ac:dyDescent="0.3">
      <c r="C1518" s="70"/>
    </row>
    <row r="1519" spans="3:3" ht="15.6" x14ac:dyDescent="0.3">
      <c r="C1519" s="70"/>
    </row>
    <row r="1520" spans="3:3" ht="15.6" x14ac:dyDescent="0.3">
      <c r="C1520" s="70"/>
    </row>
    <row r="1521" spans="3:3" ht="15.6" x14ac:dyDescent="0.3">
      <c r="C1521" s="70"/>
    </row>
    <row r="1522" spans="3:3" ht="15.6" x14ac:dyDescent="0.3">
      <c r="C1522" s="70"/>
    </row>
    <row r="1523" spans="3:3" ht="15.6" x14ac:dyDescent="0.3">
      <c r="C1523" s="70"/>
    </row>
    <row r="1524" spans="3:3" ht="15.6" x14ac:dyDescent="0.3">
      <c r="C1524" s="70"/>
    </row>
    <row r="1525" spans="3:3" ht="15.6" x14ac:dyDescent="0.3">
      <c r="C1525" s="70"/>
    </row>
    <row r="1526" spans="3:3" ht="15.6" x14ac:dyDescent="0.3">
      <c r="C1526" s="70"/>
    </row>
    <row r="1527" spans="3:3" ht="15.6" x14ac:dyDescent="0.3">
      <c r="C1527" s="70"/>
    </row>
    <row r="1528" spans="3:3" ht="15.6" x14ac:dyDescent="0.3">
      <c r="C1528" s="70"/>
    </row>
    <row r="1529" spans="3:3" ht="15.6" x14ac:dyDescent="0.3">
      <c r="C1529" s="70"/>
    </row>
    <row r="1530" spans="3:3" ht="15.6" x14ac:dyDescent="0.3">
      <c r="C1530" s="70"/>
    </row>
    <row r="1531" spans="3:3" ht="15.6" x14ac:dyDescent="0.3">
      <c r="C1531" s="70"/>
    </row>
    <row r="1532" spans="3:3" ht="15.6" x14ac:dyDescent="0.3">
      <c r="C1532" s="70"/>
    </row>
    <row r="1533" spans="3:3" ht="15.6" x14ac:dyDescent="0.3">
      <c r="C1533" s="70"/>
    </row>
    <row r="1534" spans="3:3" ht="15.6" x14ac:dyDescent="0.3">
      <c r="C1534" s="70"/>
    </row>
    <row r="1535" spans="3:3" ht="15.6" x14ac:dyDescent="0.3">
      <c r="C1535" s="70"/>
    </row>
    <row r="1536" spans="3:3" ht="15.6" x14ac:dyDescent="0.3">
      <c r="C1536" s="70"/>
    </row>
    <row r="1537" spans="3:3" ht="15.6" x14ac:dyDescent="0.3">
      <c r="C1537" s="70"/>
    </row>
    <row r="1538" spans="3:3" ht="15.6" x14ac:dyDescent="0.3">
      <c r="C1538" s="70"/>
    </row>
    <row r="1539" spans="3:3" ht="15.6" x14ac:dyDescent="0.3">
      <c r="C1539" s="70"/>
    </row>
    <row r="1540" spans="3:3" ht="15.6" x14ac:dyDescent="0.3">
      <c r="C1540" s="70"/>
    </row>
    <row r="1541" spans="3:3" ht="15.6" x14ac:dyDescent="0.3">
      <c r="C1541" s="70"/>
    </row>
    <row r="1542" spans="3:3" ht="15.6" x14ac:dyDescent="0.3">
      <c r="C1542" s="70"/>
    </row>
    <row r="1543" spans="3:3" ht="15.6" x14ac:dyDescent="0.3">
      <c r="C1543" s="70"/>
    </row>
    <row r="1544" spans="3:3" ht="15.6" x14ac:dyDescent="0.3">
      <c r="C1544" s="70"/>
    </row>
    <row r="1545" spans="3:3" ht="15.6" x14ac:dyDescent="0.3">
      <c r="C1545" s="70"/>
    </row>
    <row r="1546" spans="3:3" ht="15.6" x14ac:dyDescent="0.3">
      <c r="C1546" s="70"/>
    </row>
    <row r="1547" spans="3:3" ht="15.6" x14ac:dyDescent="0.3">
      <c r="C1547" s="70"/>
    </row>
    <row r="1548" spans="3:3" ht="15.6" x14ac:dyDescent="0.3">
      <c r="C1548" s="70"/>
    </row>
    <row r="1549" spans="3:3" ht="15.6" x14ac:dyDescent="0.3">
      <c r="C1549" s="70"/>
    </row>
    <row r="1550" spans="3:3" ht="15.6" x14ac:dyDescent="0.3">
      <c r="C1550" s="70"/>
    </row>
    <row r="1551" spans="3:3" ht="15.6" x14ac:dyDescent="0.3">
      <c r="C1551" s="70"/>
    </row>
    <row r="1552" spans="3:3" ht="15.6" x14ac:dyDescent="0.3">
      <c r="C1552" s="70"/>
    </row>
    <row r="1553" spans="3:3" ht="15.6" x14ac:dyDescent="0.3">
      <c r="C1553" s="70"/>
    </row>
    <row r="1554" spans="3:3" ht="15.6" x14ac:dyDescent="0.3">
      <c r="C1554" s="70"/>
    </row>
    <row r="1555" spans="3:3" ht="15.6" x14ac:dyDescent="0.3">
      <c r="C1555" s="70"/>
    </row>
    <row r="1556" spans="3:3" ht="15.6" x14ac:dyDescent="0.3">
      <c r="C1556" s="70"/>
    </row>
    <row r="1557" spans="3:3" ht="15.6" x14ac:dyDescent="0.3">
      <c r="C1557" s="70"/>
    </row>
    <row r="1558" spans="3:3" ht="15.6" x14ac:dyDescent="0.3">
      <c r="C1558" s="70"/>
    </row>
    <row r="1559" spans="3:3" ht="15.6" x14ac:dyDescent="0.3">
      <c r="C1559" s="70"/>
    </row>
    <row r="1560" spans="3:3" ht="15.6" x14ac:dyDescent="0.3">
      <c r="C1560" s="70"/>
    </row>
    <row r="1561" spans="3:3" ht="15.6" x14ac:dyDescent="0.3">
      <c r="C1561" s="70"/>
    </row>
    <row r="1562" spans="3:3" ht="15.6" x14ac:dyDescent="0.3">
      <c r="C1562" s="70"/>
    </row>
    <row r="1563" spans="3:3" ht="15.6" x14ac:dyDescent="0.3">
      <c r="C1563" s="70"/>
    </row>
    <row r="1564" spans="3:3" ht="15.6" x14ac:dyDescent="0.3">
      <c r="C1564" s="70"/>
    </row>
    <row r="1565" spans="3:3" ht="15.6" x14ac:dyDescent="0.3">
      <c r="C1565" s="70"/>
    </row>
    <row r="1566" spans="3:3" ht="15.6" x14ac:dyDescent="0.3">
      <c r="C1566" s="70"/>
    </row>
    <row r="1567" spans="3:3" ht="15.6" x14ac:dyDescent="0.3">
      <c r="C1567" s="70"/>
    </row>
    <row r="1568" spans="3:3" ht="15.6" x14ac:dyDescent="0.3">
      <c r="C1568" s="70"/>
    </row>
    <row r="1569" spans="3:3" ht="15.6" x14ac:dyDescent="0.3">
      <c r="C1569" s="70"/>
    </row>
    <row r="1570" spans="3:3" ht="15.6" x14ac:dyDescent="0.3">
      <c r="C1570" s="70"/>
    </row>
    <row r="1571" spans="3:3" ht="15.6" x14ac:dyDescent="0.3">
      <c r="C1571" s="70"/>
    </row>
    <row r="1572" spans="3:3" ht="15.6" x14ac:dyDescent="0.3">
      <c r="C1572" s="70"/>
    </row>
    <row r="1573" spans="3:3" ht="15.6" x14ac:dyDescent="0.3">
      <c r="C1573" s="70"/>
    </row>
    <row r="1574" spans="3:3" ht="15.6" x14ac:dyDescent="0.3">
      <c r="C1574" s="70"/>
    </row>
    <row r="1575" spans="3:3" ht="15.6" x14ac:dyDescent="0.3">
      <c r="C1575" s="70"/>
    </row>
    <row r="1576" spans="3:3" ht="15.6" x14ac:dyDescent="0.3">
      <c r="C1576" s="70"/>
    </row>
    <row r="1577" spans="3:3" ht="15.6" x14ac:dyDescent="0.3">
      <c r="C1577" s="70"/>
    </row>
    <row r="1578" spans="3:3" ht="15.6" x14ac:dyDescent="0.3">
      <c r="C1578" s="70"/>
    </row>
    <row r="1579" spans="3:3" ht="15.6" x14ac:dyDescent="0.3">
      <c r="C1579" s="70"/>
    </row>
    <row r="1580" spans="3:3" ht="15.6" x14ac:dyDescent="0.3">
      <c r="C1580" s="70"/>
    </row>
    <row r="1581" spans="3:3" ht="15.6" x14ac:dyDescent="0.3">
      <c r="C1581" s="70"/>
    </row>
    <row r="1582" spans="3:3" ht="15.6" x14ac:dyDescent="0.3">
      <c r="C1582" s="70"/>
    </row>
    <row r="1583" spans="3:3" ht="15.6" x14ac:dyDescent="0.3">
      <c r="C1583" s="70"/>
    </row>
    <row r="1584" spans="3:3" ht="15.6" x14ac:dyDescent="0.3">
      <c r="C1584" s="70"/>
    </row>
    <row r="1585" spans="3:3" ht="15.6" x14ac:dyDescent="0.3">
      <c r="C1585" s="70"/>
    </row>
    <row r="1586" spans="3:3" ht="15.6" x14ac:dyDescent="0.3">
      <c r="C1586" s="70"/>
    </row>
    <row r="1587" spans="3:3" ht="15.6" x14ac:dyDescent="0.3">
      <c r="C1587" s="70"/>
    </row>
    <row r="1588" spans="3:3" ht="15.6" x14ac:dyDescent="0.3">
      <c r="C1588" s="70"/>
    </row>
    <row r="1589" spans="3:3" ht="15.6" x14ac:dyDescent="0.3">
      <c r="C1589" s="70"/>
    </row>
    <row r="1590" spans="3:3" ht="15.6" x14ac:dyDescent="0.3">
      <c r="C1590" s="70"/>
    </row>
    <row r="1591" spans="3:3" ht="15.6" x14ac:dyDescent="0.3">
      <c r="C1591" s="70"/>
    </row>
    <row r="1592" spans="3:3" ht="15.6" x14ac:dyDescent="0.3">
      <c r="C1592" s="70"/>
    </row>
    <row r="1593" spans="3:3" ht="15.6" x14ac:dyDescent="0.3">
      <c r="C1593" s="70"/>
    </row>
    <row r="1594" spans="3:3" ht="15.6" x14ac:dyDescent="0.3">
      <c r="C1594" s="70"/>
    </row>
    <row r="1595" spans="3:3" ht="15.6" x14ac:dyDescent="0.3">
      <c r="C1595" s="70"/>
    </row>
    <row r="1596" spans="3:3" ht="15.6" x14ac:dyDescent="0.3">
      <c r="C1596" s="70"/>
    </row>
    <row r="1597" spans="3:3" ht="15.6" x14ac:dyDescent="0.3">
      <c r="C1597" s="70"/>
    </row>
    <row r="1598" spans="3:3" ht="15.6" x14ac:dyDescent="0.3">
      <c r="C1598" s="70"/>
    </row>
    <row r="1599" spans="3:3" ht="15.6" x14ac:dyDescent="0.3">
      <c r="C1599" s="70"/>
    </row>
    <row r="1600" spans="3:3" ht="15.6" x14ac:dyDescent="0.3">
      <c r="C1600" s="70"/>
    </row>
    <row r="1601" spans="3:3" ht="15.6" x14ac:dyDescent="0.3">
      <c r="C1601" s="70"/>
    </row>
    <row r="1602" spans="3:3" ht="15.6" x14ac:dyDescent="0.3">
      <c r="C1602" s="70"/>
    </row>
    <row r="1603" spans="3:3" ht="15.6" x14ac:dyDescent="0.3">
      <c r="C1603" s="70"/>
    </row>
    <row r="1604" spans="3:3" ht="15.6" x14ac:dyDescent="0.3">
      <c r="C1604" s="70"/>
    </row>
    <row r="1605" spans="3:3" ht="15.6" x14ac:dyDescent="0.3">
      <c r="C1605" s="70"/>
    </row>
    <row r="1606" spans="3:3" ht="15.6" x14ac:dyDescent="0.3">
      <c r="C1606" s="70"/>
    </row>
    <row r="1607" spans="3:3" ht="15.6" x14ac:dyDescent="0.3">
      <c r="C1607" s="70"/>
    </row>
    <row r="1608" spans="3:3" ht="15.6" x14ac:dyDescent="0.3">
      <c r="C1608" s="70"/>
    </row>
    <row r="1609" spans="3:3" ht="15.6" x14ac:dyDescent="0.3">
      <c r="C1609" s="70"/>
    </row>
    <row r="1610" spans="3:3" ht="15.6" x14ac:dyDescent="0.3">
      <c r="C1610" s="70"/>
    </row>
    <row r="1611" spans="3:3" ht="15.6" x14ac:dyDescent="0.3">
      <c r="C1611" s="70"/>
    </row>
    <row r="1612" spans="3:3" ht="15.6" x14ac:dyDescent="0.3">
      <c r="C1612" s="70"/>
    </row>
    <row r="1613" spans="3:3" ht="15.6" x14ac:dyDescent="0.3">
      <c r="C1613" s="70"/>
    </row>
    <row r="1614" spans="3:3" ht="15.6" x14ac:dyDescent="0.3">
      <c r="C1614" s="70"/>
    </row>
    <row r="1615" spans="3:3" ht="15.6" x14ac:dyDescent="0.3">
      <c r="C1615" s="70"/>
    </row>
    <row r="1616" spans="3:3" ht="15.6" x14ac:dyDescent="0.3">
      <c r="C1616" s="70"/>
    </row>
    <row r="1617" spans="3:3" ht="15.6" x14ac:dyDescent="0.3">
      <c r="C1617" s="70"/>
    </row>
    <row r="1618" spans="3:3" ht="15.6" x14ac:dyDescent="0.3">
      <c r="C1618" s="70"/>
    </row>
    <row r="1619" spans="3:3" ht="15.6" x14ac:dyDescent="0.3">
      <c r="C1619" s="70"/>
    </row>
    <row r="1620" spans="3:3" ht="15.6" x14ac:dyDescent="0.3">
      <c r="C1620" s="70"/>
    </row>
    <row r="1621" spans="3:3" ht="15.6" x14ac:dyDescent="0.3">
      <c r="C1621" s="70"/>
    </row>
    <row r="1622" spans="3:3" ht="15.6" x14ac:dyDescent="0.3">
      <c r="C1622" s="70"/>
    </row>
    <row r="1623" spans="3:3" ht="15.6" x14ac:dyDescent="0.3">
      <c r="C1623" s="70"/>
    </row>
    <row r="1624" spans="3:3" ht="15.6" x14ac:dyDescent="0.3">
      <c r="C1624" s="70"/>
    </row>
    <row r="1625" spans="3:3" ht="15.6" x14ac:dyDescent="0.3">
      <c r="C1625" s="70"/>
    </row>
    <row r="1626" spans="3:3" ht="15.6" x14ac:dyDescent="0.3">
      <c r="C1626" s="70"/>
    </row>
    <row r="1627" spans="3:3" ht="15.6" x14ac:dyDescent="0.3">
      <c r="C1627" s="70"/>
    </row>
    <row r="1628" spans="3:3" ht="15.6" x14ac:dyDescent="0.3">
      <c r="C1628" s="70"/>
    </row>
    <row r="1629" spans="3:3" ht="15.6" x14ac:dyDescent="0.3">
      <c r="C1629" s="70"/>
    </row>
    <row r="1630" spans="3:3" ht="15.6" x14ac:dyDescent="0.3">
      <c r="C1630" s="70"/>
    </row>
    <row r="1631" spans="3:3" ht="15.6" x14ac:dyDescent="0.3">
      <c r="C1631" s="70"/>
    </row>
    <row r="1632" spans="3:3" ht="15.6" x14ac:dyDescent="0.3">
      <c r="C1632" s="70"/>
    </row>
    <row r="1633" spans="3:3" ht="15.6" x14ac:dyDescent="0.3">
      <c r="C1633" s="70"/>
    </row>
    <row r="1634" spans="3:3" ht="15.6" x14ac:dyDescent="0.3">
      <c r="C1634" s="70"/>
    </row>
    <row r="1635" spans="3:3" ht="15.6" x14ac:dyDescent="0.3">
      <c r="C1635" s="70"/>
    </row>
    <row r="1636" spans="3:3" ht="15.6" x14ac:dyDescent="0.3">
      <c r="C1636" s="70"/>
    </row>
    <row r="1637" spans="3:3" ht="15.6" x14ac:dyDescent="0.3">
      <c r="C1637" s="70"/>
    </row>
    <row r="1638" spans="3:3" ht="15.6" x14ac:dyDescent="0.3">
      <c r="C1638" s="70"/>
    </row>
    <row r="1639" spans="3:3" ht="15.6" x14ac:dyDescent="0.3">
      <c r="C1639" s="70"/>
    </row>
    <row r="1640" spans="3:3" ht="15.6" x14ac:dyDescent="0.3">
      <c r="C1640" s="70"/>
    </row>
    <row r="1641" spans="3:3" ht="15.6" x14ac:dyDescent="0.3">
      <c r="C1641" s="70"/>
    </row>
    <row r="1642" spans="3:3" ht="15.6" x14ac:dyDescent="0.3">
      <c r="C1642" s="70"/>
    </row>
    <row r="1643" spans="3:3" ht="15.6" x14ac:dyDescent="0.3">
      <c r="C1643" s="70"/>
    </row>
    <row r="1644" spans="3:3" ht="15.6" x14ac:dyDescent="0.3">
      <c r="C1644" s="70"/>
    </row>
    <row r="1645" spans="3:3" ht="15.6" x14ac:dyDescent="0.3">
      <c r="C1645" s="70"/>
    </row>
    <row r="1646" spans="3:3" ht="15.6" x14ac:dyDescent="0.3">
      <c r="C1646" s="70"/>
    </row>
    <row r="1647" spans="3:3" ht="15.6" x14ac:dyDescent="0.3">
      <c r="C1647" s="70"/>
    </row>
    <row r="1648" spans="3:3" ht="15.6" x14ac:dyDescent="0.3">
      <c r="C1648" s="70"/>
    </row>
    <row r="1649" spans="3:3" ht="15.6" x14ac:dyDescent="0.3">
      <c r="C1649" s="70"/>
    </row>
    <row r="1650" spans="3:3" ht="15.6" x14ac:dyDescent="0.3">
      <c r="C1650" s="70"/>
    </row>
    <row r="1651" spans="3:3" ht="15.6" x14ac:dyDescent="0.3">
      <c r="C1651" s="70"/>
    </row>
    <row r="1652" spans="3:3" ht="15.6" x14ac:dyDescent="0.3">
      <c r="C1652" s="70"/>
    </row>
    <row r="1653" spans="3:3" ht="15.6" x14ac:dyDescent="0.3">
      <c r="C1653" s="70"/>
    </row>
    <row r="1654" spans="3:3" ht="15.6" x14ac:dyDescent="0.3">
      <c r="C1654" s="70"/>
    </row>
    <row r="1655" spans="3:3" ht="15.6" x14ac:dyDescent="0.3">
      <c r="C1655" s="70"/>
    </row>
    <row r="1656" spans="3:3" ht="15.6" x14ac:dyDescent="0.3">
      <c r="C1656" s="70"/>
    </row>
    <row r="1657" spans="3:3" ht="15.6" x14ac:dyDescent="0.3">
      <c r="C1657" s="70"/>
    </row>
    <row r="1658" spans="3:3" ht="15.6" x14ac:dyDescent="0.3">
      <c r="C1658" s="70"/>
    </row>
    <row r="1659" spans="3:3" ht="15.6" x14ac:dyDescent="0.3">
      <c r="C1659" s="70"/>
    </row>
    <row r="1660" spans="3:3" ht="15.6" x14ac:dyDescent="0.3">
      <c r="C1660" s="70"/>
    </row>
    <row r="1661" spans="3:3" ht="15.6" x14ac:dyDescent="0.3">
      <c r="C1661" s="70"/>
    </row>
    <row r="1662" spans="3:3" ht="15.6" x14ac:dyDescent="0.3">
      <c r="C1662" s="70"/>
    </row>
    <row r="1663" spans="3:3" ht="15.6" x14ac:dyDescent="0.3">
      <c r="C1663" s="70"/>
    </row>
    <row r="1664" spans="3:3" ht="15.6" x14ac:dyDescent="0.3">
      <c r="C1664" s="70"/>
    </row>
    <row r="1665" spans="3:3" ht="15.6" x14ac:dyDescent="0.3">
      <c r="C1665" s="70"/>
    </row>
    <row r="1666" spans="3:3" ht="15.6" x14ac:dyDescent="0.3">
      <c r="C1666" s="70"/>
    </row>
    <row r="1667" spans="3:3" ht="15.6" x14ac:dyDescent="0.3">
      <c r="C1667" s="70"/>
    </row>
    <row r="1668" spans="3:3" ht="15.6" x14ac:dyDescent="0.3">
      <c r="C1668" s="70"/>
    </row>
    <row r="1669" spans="3:3" ht="15.6" x14ac:dyDescent="0.3">
      <c r="C1669" s="70"/>
    </row>
    <row r="1670" spans="3:3" ht="15.6" x14ac:dyDescent="0.3">
      <c r="C1670" s="70"/>
    </row>
    <row r="1671" spans="3:3" ht="15.6" x14ac:dyDescent="0.3">
      <c r="C1671" s="70"/>
    </row>
    <row r="1672" spans="3:3" ht="15.6" x14ac:dyDescent="0.3">
      <c r="C1672" s="70"/>
    </row>
    <row r="1673" spans="3:3" ht="15.6" x14ac:dyDescent="0.3">
      <c r="C1673" s="70"/>
    </row>
    <row r="1674" spans="3:3" ht="15.6" x14ac:dyDescent="0.3">
      <c r="C1674" s="70"/>
    </row>
    <row r="1675" spans="3:3" ht="15.6" x14ac:dyDescent="0.3">
      <c r="C1675" s="70"/>
    </row>
    <row r="1676" spans="3:3" ht="15.6" x14ac:dyDescent="0.3">
      <c r="C1676" s="70"/>
    </row>
    <row r="1677" spans="3:3" ht="15.6" x14ac:dyDescent="0.3">
      <c r="C1677" s="70"/>
    </row>
    <row r="1678" spans="3:3" ht="15.6" x14ac:dyDescent="0.3">
      <c r="C1678" s="70"/>
    </row>
    <row r="1679" spans="3:3" ht="15.6" x14ac:dyDescent="0.3">
      <c r="C1679" s="70"/>
    </row>
    <row r="1680" spans="3:3" ht="15.6" x14ac:dyDescent="0.3">
      <c r="C1680" s="70"/>
    </row>
    <row r="1681" spans="3:3" ht="15.6" x14ac:dyDescent="0.3">
      <c r="C1681" s="70"/>
    </row>
    <row r="1682" spans="3:3" ht="15.6" x14ac:dyDescent="0.3">
      <c r="C1682" s="70"/>
    </row>
    <row r="1683" spans="3:3" ht="15.6" x14ac:dyDescent="0.3">
      <c r="C1683" s="70"/>
    </row>
    <row r="1684" spans="3:3" ht="15.6" x14ac:dyDescent="0.3">
      <c r="C1684" s="70"/>
    </row>
    <row r="1685" spans="3:3" ht="15.6" x14ac:dyDescent="0.3">
      <c r="C1685" s="70"/>
    </row>
    <row r="1686" spans="3:3" ht="15.6" x14ac:dyDescent="0.3">
      <c r="C1686" s="70"/>
    </row>
    <row r="1687" spans="3:3" ht="15.6" x14ac:dyDescent="0.3">
      <c r="C1687" s="70"/>
    </row>
    <row r="1688" spans="3:3" ht="15.6" x14ac:dyDescent="0.3">
      <c r="C1688" s="70"/>
    </row>
    <row r="1689" spans="3:3" ht="15.6" x14ac:dyDescent="0.3">
      <c r="C1689" s="70"/>
    </row>
    <row r="1690" spans="3:3" ht="15.6" x14ac:dyDescent="0.3">
      <c r="C1690" s="70"/>
    </row>
    <row r="1691" spans="3:3" ht="15.6" x14ac:dyDescent="0.3">
      <c r="C1691" s="70"/>
    </row>
    <row r="1692" spans="3:3" ht="15.6" x14ac:dyDescent="0.3">
      <c r="C1692" s="70"/>
    </row>
    <row r="1693" spans="3:3" ht="15.6" x14ac:dyDescent="0.3">
      <c r="C1693" s="70"/>
    </row>
    <row r="1694" spans="3:3" ht="15.6" x14ac:dyDescent="0.3">
      <c r="C1694" s="70"/>
    </row>
    <row r="1695" spans="3:3" ht="15.6" x14ac:dyDescent="0.3">
      <c r="C1695" s="70"/>
    </row>
    <row r="1696" spans="3:3" ht="15.6" x14ac:dyDescent="0.3">
      <c r="C1696" s="70"/>
    </row>
    <row r="1697" spans="3:3" ht="15.6" x14ac:dyDescent="0.3">
      <c r="C1697" s="70"/>
    </row>
    <row r="1698" spans="3:3" ht="15.6" x14ac:dyDescent="0.3">
      <c r="C1698" s="70"/>
    </row>
    <row r="1699" spans="3:3" ht="15.6" x14ac:dyDescent="0.3">
      <c r="C1699" s="70"/>
    </row>
    <row r="1700" spans="3:3" ht="15.6" x14ac:dyDescent="0.3">
      <c r="C1700" s="70"/>
    </row>
    <row r="1701" spans="3:3" ht="15.6" x14ac:dyDescent="0.3">
      <c r="C1701" s="70"/>
    </row>
    <row r="1702" spans="3:3" ht="15.6" x14ac:dyDescent="0.3">
      <c r="C1702" s="70"/>
    </row>
    <row r="1703" spans="3:3" ht="15.6" x14ac:dyDescent="0.3">
      <c r="C1703" s="70"/>
    </row>
    <row r="1704" spans="3:3" ht="15.6" x14ac:dyDescent="0.3">
      <c r="C1704" s="70"/>
    </row>
    <row r="1705" spans="3:3" ht="15.6" x14ac:dyDescent="0.3">
      <c r="C1705" s="70"/>
    </row>
    <row r="1706" spans="3:3" ht="15.6" x14ac:dyDescent="0.3">
      <c r="C1706" s="70"/>
    </row>
    <row r="1707" spans="3:3" ht="15.6" x14ac:dyDescent="0.3">
      <c r="C1707" s="70"/>
    </row>
    <row r="1708" spans="3:3" ht="15.6" x14ac:dyDescent="0.3">
      <c r="C1708" s="70"/>
    </row>
    <row r="1709" spans="3:3" ht="15.6" x14ac:dyDescent="0.3">
      <c r="C1709" s="70"/>
    </row>
    <row r="1710" spans="3:3" ht="15.6" x14ac:dyDescent="0.3">
      <c r="C1710" s="70"/>
    </row>
    <row r="1711" spans="3:3" ht="15.6" x14ac:dyDescent="0.3">
      <c r="C1711" s="70"/>
    </row>
    <row r="1712" spans="3:3" ht="15.6" x14ac:dyDescent="0.3">
      <c r="C1712" s="70"/>
    </row>
    <row r="1713" spans="3:3" ht="15.6" x14ac:dyDescent="0.3">
      <c r="C1713" s="70"/>
    </row>
    <row r="1714" spans="3:3" ht="15.6" x14ac:dyDescent="0.3">
      <c r="C1714" s="70"/>
    </row>
    <row r="1715" spans="3:3" ht="15.6" x14ac:dyDescent="0.3">
      <c r="C1715" s="70"/>
    </row>
    <row r="1716" spans="3:3" ht="15.6" x14ac:dyDescent="0.3">
      <c r="C1716" s="70"/>
    </row>
    <row r="1717" spans="3:3" ht="15.6" x14ac:dyDescent="0.3">
      <c r="C1717" s="70"/>
    </row>
    <row r="1718" spans="3:3" ht="15.6" x14ac:dyDescent="0.3">
      <c r="C1718" s="70"/>
    </row>
    <row r="1719" spans="3:3" ht="15.6" x14ac:dyDescent="0.3">
      <c r="C1719" s="70"/>
    </row>
    <row r="1720" spans="3:3" ht="15.6" x14ac:dyDescent="0.3">
      <c r="C1720" s="70"/>
    </row>
    <row r="1721" spans="3:3" ht="15.6" x14ac:dyDescent="0.3">
      <c r="C1721" s="70"/>
    </row>
    <row r="1722" spans="3:3" ht="15.6" x14ac:dyDescent="0.3">
      <c r="C1722" s="70"/>
    </row>
    <row r="1723" spans="3:3" ht="15.6" x14ac:dyDescent="0.3">
      <c r="C1723" s="70"/>
    </row>
    <row r="1724" spans="3:3" ht="15.6" x14ac:dyDescent="0.3">
      <c r="C1724" s="70"/>
    </row>
    <row r="1725" spans="3:3" ht="15.6" x14ac:dyDescent="0.3">
      <c r="C1725" s="70"/>
    </row>
    <row r="1726" spans="3:3" ht="15.6" x14ac:dyDescent="0.3">
      <c r="C1726" s="70"/>
    </row>
    <row r="1727" spans="3:3" ht="15.6" x14ac:dyDescent="0.3">
      <c r="C1727" s="70"/>
    </row>
    <row r="1728" spans="3:3" ht="15.6" x14ac:dyDescent="0.3">
      <c r="C1728" s="70"/>
    </row>
    <row r="1729" spans="3:3" ht="15.6" x14ac:dyDescent="0.3">
      <c r="C1729" s="70"/>
    </row>
    <row r="1730" spans="3:3" ht="15.6" x14ac:dyDescent="0.3">
      <c r="C1730" s="70"/>
    </row>
    <row r="1731" spans="3:3" ht="15.6" x14ac:dyDescent="0.3">
      <c r="C1731" s="70"/>
    </row>
    <row r="1732" spans="3:3" ht="15.6" x14ac:dyDescent="0.3">
      <c r="C1732" s="70"/>
    </row>
    <row r="1733" spans="3:3" ht="15.6" x14ac:dyDescent="0.3">
      <c r="C1733" s="70"/>
    </row>
    <row r="1734" spans="3:3" ht="15.6" x14ac:dyDescent="0.3">
      <c r="C1734" s="70"/>
    </row>
    <row r="1735" spans="3:3" ht="15.6" x14ac:dyDescent="0.3">
      <c r="C1735" s="70"/>
    </row>
    <row r="1736" spans="3:3" ht="15.6" x14ac:dyDescent="0.3">
      <c r="C1736" s="70"/>
    </row>
    <row r="1737" spans="3:3" ht="15.6" x14ac:dyDescent="0.3">
      <c r="C1737" s="70"/>
    </row>
    <row r="1738" spans="3:3" ht="15.6" x14ac:dyDescent="0.3">
      <c r="C1738" s="70"/>
    </row>
    <row r="1739" spans="3:3" ht="15.6" x14ac:dyDescent="0.3">
      <c r="C1739" s="70"/>
    </row>
    <row r="1740" spans="3:3" ht="15.6" x14ac:dyDescent="0.3">
      <c r="C1740" s="70"/>
    </row>
    <row r="1741" spans="3:3" ht="15.6" x14ac:dyDescent="0.3">
      <c r="C1741" s="70"/>
    </row>
    <row r="1742" spans="3:3" ht="15.6" x14ac:dyDescent="0.3">
      <c r="C1742" s="70"/>
    </row>
    <row r="1743" spans="3:3" ht="15.6" x14ac:dyDescent="0.3">
      <c r="C1743" s="70"/>
    </row>
    <row r="1744" spans="3:3" ht="15.6" x14ac:dyDescent="0.3">
      <c r="C1744" s="70"/>
    </row>
    <row r="1745" spans="3:3" ht="15.6" x14ac:dyDescent="0.3">
      <c r="C1745" s="70"/>
    </row>
    <row r="1746" spans="3:3" ht="15.6" x14ac:dyDescent="0.3">
      <c r="C1746" s="70"/>
    </row>
    <row r="1747" spans="3:3" ht="15.6" x14ac:dyDescent="0.3">
      <c r="C1747" s="70"/>
    </row>
    <row r="1748" spans="3:3" ht="15.6" x14ac:dyDescent="0.3">
      <c r="C1748" s="70"/>
    </row>
    <row r="1749" spans="3:3" ht="15.6" x14ac:dyDescent="0.3">
      <c r="C1749" s="70"/>
    </row>
    <row r="1750" spans="3:3" ht="15.6" x14ac:dyDescent="0.3">
      <c r="C1750" s="70"/>
    </row>
    <row r="1751" spans="3:3" ht="15.6" x14ac:dyDescent="0.3">
      <c r="C1751" s="70"/>
    </row>
    <row r="1752" spans="3:3" ht="15.6" x14ac:dyDescent="0.3">
      <c r="C1752" s="70"/>
    </row>
    <row r="1753" spans="3:3" ht="15.6" x14ac:dyDescent="0.3">
      <c r="C1753" s="70"/>
    </row>
    <row r="1754" spans="3:3" ht="15.6" x14ac:dyDescent="0.3">
      <c r="C1754" s="70"/>
    </row>
    <row r="1755" spans="3:3" ht="15.6" x14ac:dyDescent="0.3">
      <c r="C1755" s="70"/>
    </row>
    <row r="1756" spans="3:3" ht="15.6" x14ac:dyDescent="0.3">
      <c r="C1756" s="70"/>
    </row>
    <row r="1757" spans="3:3" ht="15.6" x14ac:dyDescent="0.3">
      <c r="C1757" s="70"/>
    </row>
    <row r="1758" spans="3:3" ht="15.6" x14ac:dyDescent="0.3">
      <c r="C1758" s="70"/>
    </row>
    <row r="1759" spans="3:3" ht="15.6" x14ac:dyDescent="0.3">
      <c r="C1759" s="70"/>
    </row>
    <row r="1760" spans="3:3" ht="15.6" x14ac:dyDescent="0.3">
      <c r="C1760" s="70"/>
    </row>
    <row r="1761" spans="3:3" ht="15.6" x14ac:dyDescent="0.3">
      <c r="C1761" s="70"/>
    </row>
    <row r="1762" spans="3:3" ht="15.6" x14ac:dyDescent="0.3">
      <c r="C1762" s="70"/>
    </row>
    <row r="1763" spans="3:3" ht="15.6" x14ac:dyDescent="0.3">
      <c r="C1763" s="70"/>
    </row>
    <row r="1764" spans="3:3" ht="15.6" x14ac:dyDescent="0.3">
      <c r="C1764" s="70"/>
    </row>
    <row r="1765" spans="3:3" ht="15.6" x14ac:dyDescent="0.3">
      <c r="C1765" s="70"/>
    </row>
    <row r="1766" spans="3:3" ht="15.6" x14ac:dyDescent="0.3">
      <c r="C1766" s="70"/>
    </row>
    <row r="1767" spans="3:3" ht="15.6" x14ac:dyDescent="0.3">
      <c r="C1767" s="70"/>
    </row>
    <row r="1768" spans="3:3" ht="15.6" x14ac:dyDescent="0.3">
      <c r="C1768" s="70"/>
    </row>
    <row r="1769" spans="3:3" ht="15.6" x14ac:dyDescent="0.3">
      <c r="C1769" s="70"/>
    </row>
    <row r="1770" spans="3:3" ht="15.6" x14ac:dyDescent="0.3">
      <c r="C1770" s="70"/>
    </row>
    <row r="1771" spans="3:3" ht="15.6" x14ac:dyDescent="0.3">
      <c r="C1771" s="70"/>
    </row>
    <row r="1772" spans="3:3" ht="15.6" x14ac:dyDescent="0.3">
      <c r="C1772" s="70"/>
    </row>
    <row r="1773" spans="3:3" ht="15.6" x14ac:dyDescent="0.3">
      <c r="C1773" s="70"/>
    </row>
    <row r="1774" spans="3:3" ht="15.6" x14ac:dyDescent="0.3">
      <c r="C1774" s="70"/>
    </row>
    <row r="1775" spans="3:3" ht="15.6" x14ac:dyDescent="0.3">
      <c r="C1775" s="70"/>
    </row>
    <row r="1776" spans="3:3" ht="15.6" x14ac:dyDescent="0.3">
      <c r="C1776" s="70"/>
    </row>
    <row r="1777" spans="3:3" ht="15.6" x14ac:dyDescent="0.3">
      <c r="C1777" s="70"/>
    </row>
    <row r="1778" spans="3:3" ht="15.6" x14ac:dyDescent="0.3">
      <c r="C1778" s="70"/>
    </row>
    <row r="1779" spans="3:3" ht="15.6" x14ac:dyDescent="0.3">
      <c r="C1779" s="70"/>
    </row>
    <row r="1780" spans="3:3" ht="15.6" x14ac:dyDescent="0.3">
      <c r="C1780" s="70"/>
    </row>
    <row r="1781" spans="3:3" ht="15.6" x14ac:dyDescent="0.3">
      <c r="C1781" s="70"/>
    </row>
    <row r="1782" spans="3:3" ht="15.6" x14ac:dyDescent="0.3">
      <c r="C1782" s="70"/>
    </row>
    <row r="1783" spans="3:3" ht="15.6" x14ac:dyDescent="0.3">
      <c r="C1783" s="70"/>
    </row>
    <row r="1784" spans="3:3" ht="15.6" x14ac:dyDescent="0.3">
      <c r="C1784" s="70"/>
    </row>
    <row r="1785" spans="3:3" ht="15.6" x14ac:dyDescent="0.3">
      <c r="C1785" s="70"/>
    </row>
    <row r="1786" spans="3:3" ht="15.6" x14ac:dyDescent="0.3">
      <c r="C1786" s="70"/>
    </row>
    <row r="1787" spans="3:3" ht="15.6" x14ac:dyDescent="0.3">
      <c r="C1787" s="70"/>
    </row>
    <row r="1788" spans="3:3" ht="15.6" x14ac:dyDescent="0.3">
      <c r="C1788" s="70"/>
    </row>
    <row r="1789" spans="3:3" ht="15.6" x14ac:dyDescent="0.3">
      <c r="C1789" s="70"/>
    </row>
    <row r="1790" spans="3:3" ht="15.6" x14ac:dyDescent="0.3">
      <c r="C1790" s="70"/>
    </row>
    <row r="1791" spans="3:3" ht="15.6" x14ac:dyDescent="0.3">
      <c r="C1791" s="70"/>
    </row>
    <row r="1792" spans="3:3" ht="15.6" x14ac:dyDescent="0.3">
      <c r="C1792" s="70"/>
    </row>
    <row r="1793" spans="3:3" ht="15.6" x14ac:dyDescent="0.3">
      <c r="C1793" s="70"/>
    </row>
    <row r="1794" spans="3:3" ht="15.6" x14ac:dyDescent="0.3">
      <c r="C1794" s="70"/>
    </row>
    <row r="1795" spans="3:3" ht="15.6" x14ac:dyDescent="0.3">
      <c r="C1795" s="70"/>
    </row>
    <row r="1796" spans="3:3" ht="15.6" x14ac:dyDescent="0.3">
      <c r="C1796" s="70"/>
    </row>
    <row r="1797" spans="3:3" ht="15.6" x14ac:dyDescent="0.3">
      <c r="C1797" s="70"/>
    </row>
    <row r="1798" spans="3:3" ht="15.6" x14ac:dyDescent="0.3">
      <c r="C1798" s="70"/>
    </row>
    <row r="1799" spans="3:3" ht="15.6" x14ac:dyDescent="0.3">
      <c r="C1799" s="70"/>
    </row>
    <row r="1800" spans="3:3" ht="15.6" x14ac:dyDescent="0.3">
      <c r="C1800" s="70"/>
    </row>
    <row r="1801" spans="3:3" ht="15.6" x14ac:dyDescent="0.3">
      <c r="C1801" s="70"/>
    </row>
    <row r="1802" spans="3:3" ht="15.6" x14ac:dyDescent="0.3">
      <c r="C1802" s="70"/>
    </row>
    <row r="1803" spans="3:3" ht="15.6" x14ac:dyDescent="0.3">
      <c r="C1803" s="70"/>
    </row>
    <row r="1804" spans="3:3" ht="15.6" x14ac:dyDescent="0.3">
      <c r="C1804" s="70"/>
    </row>
    <row r="1805" spans="3:3" ht="15.6" x14ac:dyDescent="0.3">
      <c r="C1805" s="70"/>
    </row>
    <row r="1806" spans="3:3" ht="15.6" x14ac:dyDescent="0.3">
      <c r="C1806" s="70"/>
    </row>
    <row r="1807" spans="3:3" ht="15.6" x14ac:dyDescent="0.3">
      <c r="C1807" s="70"/>
    </row>
    <row r="1808" spans="3:3" ht="15.6" x14ac:dyDescent="0.3">
      <c r="C1808" s="70"/>
    </row>
    <row r="1809" spans="3:3" ht="15.6" x14ac:dyDescent="0.3">
      <c r="C1809" s="70"/>
    </row>
    <row r="1810" spans="3:3" ht="15.6" x14ac:dyDescent="0.3">
      <c r="C1810" s="70"/>
    </row>
    <row r="1811" spans="3:3" ht="15.6" x14ac:dyDescent="0.3">
      <c r="C1811" s="70"/>
    </row>
    <row r="1812" spans="3:3" ht="15.6" x14ac:dyDescent="0.3">
      <c r="C1812" s="70"/>
    </row>
    <row r="1813" spans="3:3" ht="15.6" x14ac:dyDescent="0.3">
      <c r="C1813" s="70"/>
    </row>
    <row r="1814" spans="3:3" ht="15.6" x14ac:dyDescent="0.3">
      <c r="C1814" s="70"/>
    </row>
    <row r="1815" spans="3:3" ht="15.6" x14ac:dyDescent="0.3">
      <c r="C1815" s="70"/>
    </row>
    <row r="1816" spans="3:3" ht="15.6" x14ac:dyDescent="0.3">
      <c r="C1816" s="70"/>
    </row>
    <row r="1817" spans="3:3" ht="15.6" x14ac:dyDescent="0.3">
      <c r="C1817" s="70"/>
    </row>
    <row r="1818" spans="3:3" ht="15.6" x14ac:dyDescent="0.3">
      <c r="C1818" s="70"/>
    </row>
    <row r="1819" spans="3:3" ht="15.6" x14ac:dyDescent="0.3">
      <c r="C1819" s="70"/>
    </row>
    <row r="1820" spans="3:3" ht="15.6" x14ac:dyDescent="0.3">
      <c r="C1820" s="70"/>
    </row>
    <row r="1821" spans="3:3" ht="15.6" x14ac:dyDescent="0.3">
      <c r="C1821" s="70"/>
    </row>
    <row r="1822" spans="3:3" ht="15.6" x14ac:dyDescent="0.3">
      <c r="C1822" s="70"/>
    </row>
    <row r="1823" spans="3:3" ht="15.6" x14ac:dyDescent="0.3">
      <c r="C1823" s="70"/>
    </row>
    <row r="1824" spans="3:3" ht="15.6" x14ac:dyDescent="0.3">
      <c r="C1824" s="70"/>
    </row>
    <row r="1825" spans="3:3" ht="15.6" x14ac:dyDescent="0.3">
      <c r="C1825" s="70"/>
    </row>
    <row r="1826" spans="3:3" ht="15.6" x14ac:dyDescent="0.3">
      <c r="C1826" s="70"/>
    </row>
    <row r="1827" spans="3:3" ht="15.6" x14ac:dyDescent="0.3">
      <c r="C1827" s="70"/>
    </row>
    <row r="1828" spans="3:3" ht="15.6" x14ac:dyDescent="0.3">
      <c r="C1828" s="70"/>
    </row>
    <row r="1829" spans="3:3" ht="15.6" x14ac:dyDescent="0.3">
      <c r="C1829" s="70"/>
    </row>
    <row r="1830" spans="3:3" ht="15.6" x14ac:dyDescent="0.3">
      <c r="C1830" s="70"/>
    </row>
    <row r="1831" spans="3:3" ht="15.6" x14ac:dyDescent="0.3">
      <c r="C1831" s="70"/>
    </row>
    <row r="1832" spans="3:3" ht="15.6" x14ac:dyDescent="0.3">
      <c r="C1832" s="70"/>
    </row>
    <row r="1833" spans="3:3" ht="15.6" x14ac:dyDescent="0.3">
      <c r="C1833" s="70"/>
    </row>
    <row r="1834" spans="3:3" ht="15.6" x14ac:dyDescent="0.3">
      <c r="C1834" s="70"/>
    </row>
    <row r="1835" spans="3:3" ht="15.6" x14ac:dyDescent="0.3">
      <c r="C1835" s="70"/>
    </row>
    <row r="1836" spans="3:3" ht="15.6" x14ac:dyDescent="0.3">
      <c r="C1836" s="70"/>
    </row>
    <row r="1837" spans="3:3" ht="15.6" x14ac:dyDescent="0.3">
      <c r="C1837" s="70"/>
    </row>
    <row r="1838" spans="3:3" ht="15.6" x14ac:dyDescent="0.3">
      <c r="C1838" s="70"/>
    </row>
    <row r="1839" spans="3:3" ht="15.6" x14ac:dyDescent="0.3">
      <c r="C1839" s="70"/>
    </row>
    <row r="1840" spans="3:3" ht="15.6" x14ac:dyDescent="0.3">
      <c r="C1840" s="70"/>
    </row>
    <row r="1841" spans="3:3" ht="15.6" x14ac:dyDescent="0.3">
      <c r="C1841" s="70"/>
    </row>
    <row r="1842" spans="3:3" ht="15.6" x14ac:dyDescent="0.3">
      <c r="C1842" s="70"/>
    </row>
    <row r="1843" spans="3:3" ht="15.6" x14ac:dyDescent="0.3">
      <c r="C1843" s="70"/>
    </row>
    <row r="1844" spans="3:3" ht="15.6" x14ac:dyDescent="0.3">
      <c r="C1844" s="70"/>
    </row>
    <row r="1845" spans="3:3" ht="15.6" x14ac:dyDescent="0.3">
      <c r="C1845" s="70"/>
    </row>
    <row r="1846" spans="3:3" ht="15.6" x14ac:dyDescent="0.3">
      <c r="C1846" s="70"/>
    </row>
    <row r="1847" spans="3:3" ht="15.6" x14ac:dyDescent="0.3">
      <c r="C1847" s="70"/>
    </row>
    <row r="1848" spans="3:3" ht="15.6" x14ac:dyDescent="0.3">
      <c r="C1848" s="70"/>
    </row>
    <row r="1849" spans="3:3" ht="15.6" x14ac:dyDescent="0.3">
      <c r="C1849" s="70"/>
    </row>
    <row r="1850" spans="3:3" ht="15.6" x14ac:dyDescent="0.3">
      <c r="C1850" s="70"/>
    </row>
    <row r="1851" spans="3:3" ht="15.6" x14ac:dyDescent="0.3">
      <c r="C1851" s="70"/>
    </row>
    <row r="1852" spans="3:3" ht="15.6" x14ac:dyDescent="0.3">
      <c r="C1852" s="70"/>
    </row>
    <row r="1853" spans="3:3" ht="15.6" x14ac:dyDescent="0.3">
      <c r="C1853" s="70"/>
    </row>
    <row r="1854" spans="3:3" ht="15.6" x14ac:dyDescent="0.3">
      <c r="C1854" s="70"/>
    </row>
    <row r="1855" spans="3:3" ht="15.6" x14ac:dyDescent="0.3">
      <c r="C1855" s="70"/>
    </row>
    <row r="1856" spans="3:3" ht="15.6" x14ac:dyDescent="0.3">
      <c r="C1856" s="70"/>
    </row>
    <row r="1857" spans="3:3" ht="15.6" x14ac:dyDescent="0.3">
      <c r="C1857" s="70"/>
    </row>
    <row r="1858" spans="3:3" ht="15.6" x14ac:dyDescent="0.3">
      <c r="C1858" s="70"/>
    </row>
    <row r="1859" spans="3:3" ht="15.6" x14ac:dyDescent="0.3">
      <c r="C1859" s="70"/>
    </row>
    <row r="1860" spans="3:3" ht="15.6" x14ac:dyDescent="0.3">
      <c r="C1860" s="70"/>
    </row>
    <row r="1861" spans="3:3" ht="15.6" x14ac:dyDescent="0.3">
      <c r="C1861" s="70"/>
    </row>
    <row r="1862" spans="3:3" ht="15.6" x14ac:dyDescent="0.3">
      <c r="C1862" s="70"/>
    </row>
    <row r="1863" spans="3:3" ht="15.6" x14ac:dyDescent="0.3">
      <c r="C1863" s="70"/>
    </row>
    <row r="1864" spans="3:3" ht="15.6" x14ac:dyDescent="0.3">
      <c r="C1864" s="70"/>
    </row>
    <row r="1865" spans="3:3" ht="15.6" x14ac:dyDescent="0.3">
      <c r="C1865" s="70"/>
    </row>
    <row r="1866" spans="3:3" ht="15.6" x14ac:dyDescent="0.3">
      <c r="C1866" s="70"/>
    </row>
    <row r="1867" spans="3:3" ht="15.6" x14ac:dyDescent="0.3">
      <c r="C1867" s="70"/>
    </row>
    <row r="1868" spans="3:3" ht="15.6" x14ac:dyDescent="0.3">
      <c r="C1868" s="70"/>
    </row>
    <row r="1869" spans="3:3" ht="15.6" x14ac:dyDescent="0.3">
      <c r="C1869" s="70"/>
    </row>
    <row r="1870" spans="3:3" ht="15.6" x14ac:dyDescent="0.3">
      <c r="C1870" s="70"/>
    </row>
    <row r="1871" spans="3:3" ht="15.6" x14ac:dyDescent="0.3">
      <c r="C1871" s="70"/>
    </row>
    <row r="1872" spans="3:3" ht="15.6" x14ac:dyDescent="0.3">
      <c r="C1872" s="70"/>
    </row>
    <row r="1873" spans="3:3" ht="15.6" x14ac:dyDescent="0.3">
      <c r="C1873" s="70"/>
    </row>
    <row r="1874" spans="3:3" ht="15.6" x14ac:dyDescent="0.3">
      <c r="C1874" s="70"/>
    </row>
    <row r="1875" spans="3:3" ht="15.6" x14ac:dyDescent="0.3">
      <c r="C1875" s="70"/>
    </row>
    <row r="1876" spans="3:3" ht="15.6" x14ac:dyDescent="0.3">
      <c r="C1876" s="70"/>
    </row>
    <row r="1877" spans="3:3" ht="15.6" x14ac:dyDescent="0.3">
      <c r="C1877" s="70"/>
    </row>
    <row r="1878" spans="3:3" ht="15.6" x14ac:dyDescent="0.3">
      <c r="C1878" s="70"/>
    </row>
    <row r="1879" spans="3:3" ht="15.6" x14ac:dyDescent="0.3">
      <c r="C1879" s="70"/>
    </row>
    <row r="1880" spans="3:3" ht="15.6" x14ac:dyDescent="0.3">
      <c r="C1880" s="70"/>
    </row>
    <row r="1881" spans="3:3" ht="15.6" x14ac:dyDescent="0.3">
      <c r="C1881" s="70"/>
    </row>
    <row r="1882" spans="3:3" ht="15.6" x14ac:dyDescent="0.3">
      <c r="C1882" s="70"/>
    </row>
    <row r="1883" spans="3:3" ht="15.6" x14ac:dyDescent="0.3">
      <c r="C1883" s="70"/>
    </row>
    <row r="1884" spans="3:3" ht="15.6" x14ac:dyDescent="0.3">
      <c r="C1884" s="70"/>
    </row>
    <row r="1885" spans="3:3" ht="15.6" x14ac:dyDescent="0.3">
      <c r="C1885" s="70"/>
    </row>
    <row r="1886" spans="3:3" ht="15.6" x14ac:dyDescent="0.3">
      <c r="C1886" s="70"/>
    </row>
    <row r="1887" spans="3:3" ht="15.6" x14ac:dyDescent="0.3">
      <c r="C1887" s="70"/>
    </row>
    <row r="1888" spans="3:3" ht="15.6" x14ac:dyDescent="0.3">
      <c r="C1888" s="70"/>
    </row>
    <row r="1889" spans="3:3" ht="15.6" x14ac:dyDescent="0.3">
      <c r="C1889" s="70"/>
    </row>
    <row r="1890" spans="3:3" ht="15.6" x14ac:dyDescent="0.3">
      <c r="C1890" s="70"/>
    </row>
    <row r="1891" spans="3:3" ht="15.6" x14ac:dyDescent="0.3">
      <c r="C1891" s="70"/>
    </row>
    <row r="1892" spans="3:3" ht="15.6" x14ac:dyDescent="0.3">
      <c r="C1892" s="70"/>
    </row>
    <row r="1893" spans="3:3" ht="15.6" x14ac:dyDescent="0.3">
      <c r="C1893" s="70"/>
    </row>
    <row r="1894" spans="3:3" ht="15.6" x14ac:dyDescent="0.3">
      <c r="C1894" s="70"/>
    </row>
    <row r="1895" spans="3:3" ht="15.6" x14ac:dyDescent="0.3">
      <c r="C1895" s="70"/>
    </row>
    <row r="1896" spans="3:3" ht="15.6" x14ac:dyDescent="0.3">
      <c r="C1896" s="70"/>
    </row>
    <row r="1897" spans="3:3" ht="15.6" x14ac:dyDescent="0.3">
      <c r="C1897" s="70"/>
    </row>
    <row r="1898" spans="3:3" ht="15.6" x14ac:dyDescent="0.3">
      <c r="C1898" s="70"/>
    </row>
    <row r="1899" spans="3:3" ht="15.6" x14ac:dyDescent="0.3">
      <c r="C1899" s="70"/>
    </row>
    <row r="1900" spans="3:3" ht="15.6" x14ac:dyDescent="0.3">
      <c r="C1900" s="70"/>
    </row>
    <row r="1901" spans="3:3" ht="15.6" x14ac:dyDescent="0.3">
      <c r="C1901" s="70"/>
    </row>
    <row r="1902" spans="3:3" ht="15.6" x14ac:dyDescent="0.3">
      <c r="C1902" s="70"/>
    </row>
    <row r="1903" spans="3:3" ht="15.6" x14ac:dyDescent="0.3">
      <c r="C1903" s="70"/>
    </row>
    <row r="1904" spans="3:3" ht="15.6" x14ac:dyDescent="0.3">
      <c r="C1904" s="70"/>
    </row>
    <row r="1905" spans="3:3" ht="15.6" x14ac:dyDescent="0.3">
      <c r="C1905" s="70"/>
    </row>
    <row r="1906" spans="3:3" ht="15.6" x14ac:dyDescent="0.3">
      <c r="C1906" s="70"/>
    </row>
    <row r="1907" spans="3:3" ht="15.6" x14ac:dyDescent="0.3">
      <c r="C1907" s="70"/>
    </row>
    <row r="1908" spans="3:3" ht="15.6" x14ac:dyDescent="0.3">
      <c r="C1908" s="70"/>
    </row>
    <row r="1909" spans="3:3" ht="15.6" x14ac:dyDescent="0.3">
      <c r="C1909" s="70"/>
    </row>
    <row r="1910" spans="3:3" ht="15.6" x14ac:dyDescent="0.3">
      <c r="C1910" s="70"/>
    </row>
    <row r="1911" spans="3:3" ht="15.6" x14ac:dyDescent="0.3">
      <c r="C1911" s="70"/>
    </row>
    <row r="1912" spans="3:3" ht="15.6" x14ac:dyDescent="0.3">
      <c r="C1912" s="70"/>
    </row>
    <row r="1913" spans="3:3" ht="15.6" x14ac:dyDescent="0.3">
      <c r="C1913" s="70"/>
    </row>
    <row r="1914" spans="3:3" ht="15.6" x14ac:dyDescent="0.3">
      <c r="C1914" s="70"/>
    </row>
    <row r="1915" spans="3:3" ht="15.6" x14ac:dyDescent="0.3">
      <c r="C1915" s="70"/>
    </row>
    <row r="1916" spans="3:3" ht="15.6" x14ac:dyDescent="0.3">
      <c r="C1916" s="70"/>
    </row>
    <row r="1917" spans="3:3" ht="15.6" x14ac:dyDescent="0.3">
      <c r="C1917" s="70"/>
    </row>
    <row r="1918" spans="3:3" ht="15.6" x14ac:dyDescent="0.3">
      <c r="C1918" s="70"/>
    </row>
    <row r="1919" spans="3:3" ht="15.6" x14ac:dyDescent="0.3">
      <c r="C1919" s="70"/>
    </row>
    <row r="1920" spans="3:3" ht="15.6" x14ac:dyDescent="0.3">
      <c r="C1920" s="70"/>
    </row>
    <row r="1921" spans="3:3" ht="15.6" x14ac:dyDescent="0.3">
      <c r="C1921" s="70"/>
    </row>
    <row r="1922" spans="3:3" ht="15.6" x14ac:dyDescent="0.3">
      <c r="C1922" s="70"/>
    </row>
    <row r="1923" spans="3:3" ht="15.6" x14ac:dyDescent="0.3">
      <c r="C1923" s="70"/>
    </row>
    <row r="1924" spans="3:3" ht="15.6" x14ac:dyDescent="0.3">
      <c r="C1924" s="70"/>
    </row>
    <row r="1925" spans="3:3" ht="15.6" x14ac:dyDescent="0.3">
      <c r="C1925" s="70"/>
    </row>
    <row r="1926" spans="3:3" ht="15.6" x14ac:dyDescent="0.3">
      <c r="C1926" s="70"/>
    </row>
    <row r="1927" spans="3:3" ht="15.6" x14ac:dyDescent="0.3">
      <c r="C1927" s="70"/>
    </row>
    <row r="1928" spans="3:3" ht="15.6" x14ac:dyDescent="0.3">
      <c r="C1928" s="70"/>
    </row>
    <row r="1929" spans="3:3" ht="15.6" x14ac:dyDescent="0.3">
      <c r="C1929" s="70"/>
    </row>
    <row r="1930" spans="3:3" ht="15.6" x14ac:dyDescent="0.3">
      <c r="C1930" s="70"/>
    </row>
    <row r="1931" spans="3:3" ht="15.6" x14ac:dyDescent="0.3">
      <c r="C1931" s="70"/>
    </row>
    <row r="1932" spans="3:3" ht="15.6" x14ac:dyDescent="0.3">
      <c r="C1932" s="70"/>
    </row>
    <row r="1933" spans="3:3" ht="15.6" x14ac:dyDescent="0.3">
      <c r="C1933" s="70"/>
    </row>
    <row r="1934" spans="3:3" ht="15.6" x14ac:dyDescent="0.3">
      <c r="C1934" s="70"/>
    </row>
    <row r="1935" spans="3:3" ht="15.6" x14ac:dyDescent="0.3">
      <c r="C1935" s="70"/>
    </row>
    <row r="1936" spans="3:3" ht="15.6" x14ac:dyDescent="0.3">
      <c r="C1936" s="70"/>
    </row>
    <row r="1937" spans="3:3" ht="15.6" x14ac:dyDescent="0.3">
      <c r="C1937" s="70"/>
    </row>
    <row r="1938" spans="3:3" ht="15.6" x14ac:dyDescent="0.3">
      <c r="C1938" s="70"/>
    </row>
    <row r="1939" spans="3:3" ht="15.6" x14ac:dyDescent="0.3">
      <c r="C1939" s="70"/>
    </row>
    <row r="1940" spans="3:3" ht="15.6" x14ac:dyDescent="0.3">
      <c r="C1940" s="70"/>
    </row>
    <row r="1941" spans="3:3" ht="15.6" x14ac:dyDescent="0.3">
      <c r="C1941" s="70"/>
    </row>
    <row r="1942" spans="3:3" ht="15.6" x14ac:dyDescent="0.3">
      <c r="C1942" s="70"/>
    </row>
    <row r="1943" spans="3:3" ht="15.6" x14ac:dyDescent="0.3">
      <c r="C1943" s="70"/>
    </row>
    <row r="1944" spans="3:3" ht="15.6" x14ac:dyDescent="0.3">
      <c r="C1944" s="70"/>
    </row>
    <row r="1945" spans="3:3" ht="15.6" x14ac:dyDescent="0.3">
      <c r="C1945" s="70"/>
    </row>
    <row r="1946" spans="3:3" ht="15.6" x14ac:dyDescent="0.3">
      <c r="C1946" s="70"/>
    </row>
    <row r="1947" spans="3:3" ht="15.6" x14ac:dyDescent="0.3">
      <c r="C1947" s="70"/>
    </row>
    <row r="1948" spans="3:3" ht="15.6" x14ac:dyDescent="0.3">
      <c r="C1948" s="70"/>
    </row>
    <row r="1949" spans="3:3" ht="15.6" x14ac:dyDescent="0.3">
      <c r="C1949" s="70"/>
    </row>
    <row r="1950" spans="3:3" ht="15.6" x14ac:dyDescent="0.3">
      <c r="C1950" s="70"/>
    </row>
    <row r="1951" spans="3:3" ht="15.6" x14ac:dyDescent="0.3">
      <c r="C1951" s="70"/>
    </row>
    <row r="1952" spans="3:3" ht="15.6" x14ac:dyDescent="0.3">
      <c r="C1952" s="70"/>
    </row>
    <row r="1953" spans="3:3" ht="15.6" x14ac:dyDescent="0.3">
      <c r="C1953" s="70"/>
    </row>
    <row r="1954" spans="3:3" ht="15.6" x14ac:dyDescent="0.3">
      <c r="C1954" s="70"/>
    </row>
    <row r="1955" spans="3:3" ht="15.6" x14ac:dyDescent="0.3">
      <c r="C1955" s="70"/>
    </row>
    <row r="1956" spans="3:3" ht="15.6" x14ac:dyDescent="0.3">
      <c r="C1956" s="70"/>
    </row>
    <row r="1957" spans="3:3" ht="15.6" x14ac:dyDescent="0.3">
      <c r="C1957" s="70"/>
    </row>
    <row r="1958" spans="3:3" ht="15.6" x14ac:dyDescent="0.3">
      <c r="C1958" s="70"/>
    </row>
    <row r="1959" spans="3:3" ht="15.6" x14ac:dyDescent="0.3">
      <c r="C1959" s="70"/>
    </row>
    <row r="1960" spans="3:3" ht="15.6" x14ac:dyDescent="0.3">
      <c r="C1960" s="70"/>
    </row>
    <row r="1961" spans="3:3" ht="15.6" x14ac:dyDescent="0.3">
      <c r="C1961" s="70"/>
    </row>
    <row r="1962" spans="3:3" ht="15.6" x14ac:dyDescent="0.3">
      <c r="C1962" s="70"/>
    </row>
    <row r="1963" spans="3:3" ht="15.6" x14ac:dyDescent="0.3">
      <c r="C1963" s="70"/>
    </row>
    <row r="1964" spans="3:3" ht="15.6" x14ac:dyDescent="0.3">
      <c r="C1964" s="70"/>
    </row>
    <row r="1965" spans="3:3" ht="15.6" x14ac:dyDescent="0.3">
      <c r="C1965" s="70"/>
    </row>
    <row r="1966" spans="3:3" ht="15.6" x14ac:dyDescent="0.3">
      <c r="C1966" s="70"/>
    </row>
    <row r="1967" spans="3:3" ht="15.6" x14ac:dyDescent="0.3">
      <c r="C1967" s="70"/>
    </row>
    <row r="1968" spans="3:3" ht="15.6" x14ac:dyDescent="0.3">
      <c r="C1968" s="70"/>
    </row>
    <row r="1969" spans="3:3" ht="15.6" x14ac:dyDescent="0.3">
      <c r="C1969" s="70"/>
    </row>
    <row r="1970" spans="3:3" ht="15.6" x14ac:dyDescent="0.3">
      <c r="C1970" s="70"/>
    </row>
    <row r="1971" spans="3:3" ht="15.6" x14ac:dyDescent="0.3">
      <c r="C1971" s="70"/>
    </row>
    <row r="1972" spans="3:3" ht="15.6" x14ac:dyDescent="0.3">
      <c r="C1972" s="70"/>
    </row>
    <row r="1973" spans="3:3" ht="15.6" x14ac:dyDescent="0.3">
      <c r="C1973" s="70"/>
    </row>
    <row r="1974" spans="3:3" ht="15.6" x14ac:dyDescent="0.3">
      <c r="C1974" s="70"/>
    </row>
    <row r="1975" spans="3:3" ht="15.6" x14ac:dyDescent="0.3">
      <c r="C1975" s="70"/>
    </row>
    <row r="1976" spans="3:3" ht="15.6" x14ac:dyDescent="0.3">
      <c r="C1976" s="70"/>
    </row>
    <row r="1977" spans="3:3" ht="15.6" x14ac:dyDescent="0.3">
      <c r="C1977" s="70"/>
    </row>
    <row r="1978" spans="3:3" ht="15.6" x14ac:dyDescent="0.3">
      <c r="C1978" s="70"/>
    </row>
    <row r="1979" spans="3:3" ht="15.6" x14ac:dyDescent="0.3">
      <c r="C1979" s="70"/>
    </row>
    <row r="1980" spans="3:3" ht="15.6" x14ac:dyDescent="0.3">
      <c r="C1980" s="70"/>
    </row>
    <row r="1981" spans="3:3" ht="15.6" x14ac:dyDescent="0.3">
      <c r="C1981" s="70"/>
    </row>
    <row r="1982" spans="3:3" ht="15.6" x14ac:dyDescent="0.3">
      <c r="C1982" s="70"/>
    </row>
    <row r="1983" spans="3:3" ht="15.6" x14ac:dyDescent="0.3">
      <c r="C1983" s="70"/>
    </row>
    <row r="1984" spans="3:3" ht="15.6" x14ac:dyDescent="0.3">
      <c r="C1984" s="70"/>
    </row>
    <row r="1985" spans="3:3" ht="15.6" x14ac:dyDescent="0.3">
      <c r="C1985" s="70"/>
    </row>
    <row r="1986" spans="3:3" ht="15.6" x14ac:dyDescent="0.3">
      <c r="C1986" s="70"/>
    </row>
    <row r="1987" spans="3:3" ht="15.6" x14ac:dyDescent="0.3">
      <c r="C1987" s="70"/>
    </row>
    <row r="1988" spans="3:3" ht="15.6" x14ac:dyDescent="0.3">
      <c r="C1988" s="70"/>
    </row>
    <row r="1989" spans="3:3" ht="15.6" x14ac:dyDescent="0.3">
      <c r="C1989" s="70"/>
    </row>
    <row r="1990" spans="3:3" ht="15.6" x14ac:dyDescent="0.3">
      <c r="C1990" s="70"/>
    </row>
    <row r="1991" spans="3:3" ht="15.6" x14ac:dyDescent="0.3">
      <c r="C1991" s="70"/>
    </row>
    <row r="1992" spans="3:3" ht="15.6" x14ac:dyDescent="0.3">
      <c r="C1992" s="70"/>
    </row>
    <row r="1993" spans="3:3" ht="15.6" x14ac:dyDescent="0.3">
      <c r="C1993" s="70"/>
    </row>
    <row r="1994" spans="3:3" ht="15.6" x14ac:dyDescent="0.3">
      <c r="C1994" s="70"/>
    </row>
    <row r="1995" spans="3:3" ht="15.6" x14ac:dyDescent="0.3">
      <c r="C1995" s="70"/>
    </row>
    <row r="1996" spans="3:3" ht="15.6" x14ac:dyDescent="0.3">
      <c r="C1996" s="70"/>
    </row>
    <row r="1997" spans="3:3" ht="15.6" x14ac:dyDescent="0.3">
      <c r="C1997" s="70"/>
    </row>
    <row r="1998" spans="3:3" ht="15.6" x14ac:dyDescent="0.3">
      <c r="C1998" s="70"/>
    </row>
    <row r="1999" spans="3:3" ht="15.6" x14ac:dyDescent="0.3">
      <c r="C1999" s="70"/>
    </row>
    <row r="2000" spans="3:3" ht="15.6" x14ac:dyDescent="0.3">
      <c r="C2000" s="70"/>
    </row>
    <row r="2001" spans="3:3" ht="15.6" x14ac:dyDescent="0.3">
      <c r="C2001" s="70"/>
    </row>
    <row r="2002" spans="3:3" ht="15.6" x14ac:dyDescent="0.3">
      <c r="C2002" s="70"/>
    </row>
    <row r="2003" spans="3:3" ht="15.6" x14ac:dyDescent="0.3">
      <c r="C2003" s="70"/>
    </row>
    <row r="2004" spans="3:3" ht="15.6" x14ac:dyDescent="0.3">
      <c r="C2004" s="70"/>
    </row>
    <row r="2005" spans="3:3" ht="15.6" x14ac:dyDescent="0.3">
      <c r="C2005" s="70"/>
    </row>
    <row r="2006" spans="3:3" ht="15.6" x14ac:dyDescent="0.3">
      <c r="C2006" s="70"/>
    </row>
    <row r="2007" spans="3:3" ht="15.6" x14ac:dyDescent="0.3">
      <c r="C2007" s="70"/>
    </row>
    <row r="2008" spans="3:3" ht="15.6" x14ac:dyDescent="0.3">
      <c r="C2008" s="70"/>
    </row>
    <row r="2009" spans="3:3" ht="15.6" x14ac:dyDescent="0.3">
      <c r="C2009" s="70"/>
    </row>
    <row r="2010" spans="3:3" ht="15.6" x14ac:dyDescent="0.3">
      <c r="C2010" s="70"/>
    </row>
    <row r="2011" spans="3:3" ht="15.6" x14ac:dyDescent="0.3">
      <c r="C2011" s="70"/>
    </row>
    <row r="2012" spans="3:3" ht="15.6" x14ac:dyDescent="0.3">
      <c r="C2012" s="70"/>
    </row>
    <row r="2013" spans="3:3" ht="15.6" x14ac:dyDescent="0.3">
      <c r="C2013" s="70"/>
    </row>
    <row r="2014" spans="3:3" ht="15.6" x14ac:dyDescent="0.3">
      <c r="C2014" s="70"/>
    </row>
    <row r="2015" spans="3:3" ht="15.6" x14ac:dyDescent="0.3">
      <c r="C2015" s="70"/>
    </row>
    <row r="2016" spans="3:3" ht="15.6" x14ac:dyDescent="0.3">
      <c r="C2016" s="70"/>
    </row>
    <row r="2017" spans="3:3" ht="15.6" x14ac:dyDescent="0.3">
      <c r="C2017" s="70"/>
    </row>
    <row r="2018" spans="3:3" ht="15.6" x14ac:dyDescent="0.3">
      <c r="C2018" s="70"/>
    </row>
    <row r="2019" spans="3:3" ht="15.6" x14ac:dyDescent="0.3">
      <c r="C2019" s="70"/>
    </row>
    <row r="2020" spans="3:3" ht="15.6" x14ac:dyDescent="0.3">
      <c r="C2020" s="70"/>
    </row>
    <row r="2021" spans="3:3" ht="15.6" x14ac:dyDescent="0.3">
      <c r="C2021" s="70"/>
    </row>
    <row r="2022" spans="3:3" ht="15.6" x14ac:dyDescent="0.3">
      <c r="C2022" s="70"/>
    </row>
    <row r="2023" spans="3:3" ht="15.6" x14ac:dyDescent="0.3">
      <c r="C2023" s="70"/>
    </row>
    <row r="2024" spans="3:3" ht="15.6" x14ac:dyDescent="0.3">
      <c r="C2024" s="70"/>
    </row>
    <row r="2025" spans="3:3" ht="15.6" x14ac:dyDescent="0.3">
      <c r="C2025" s="70"/>
    </row>
    <row r="2026" spans="3:3" ht="15.6" x14ac:dyDescent="0.3">
      <c r="C2026" s="70"/>
    </row>
    <row r="2027" spans="3:3" ht="15.6" x14ac:dyDescent="0.3">
      <c r="C2027" s="70"/>
    </row>
    <row r="2028" spans="3:3" ht="15.6" x14ac:dyDescent="0.3">
      <c r="C2028" s="70"/>
    </row>
    <row r="2029" spans="3:3" ht="15.6" x14ac:dyDescent="0.3">
      <c r="C2029" s="70"/>
    </row>
    <row r="2030" spans="3:3" ht="15.6" x14ac:dyDescent="0.3">
      <c r="C2030" s="70"/>
    </row>
    <row r="2031" spans="3:3" ht="15.6" x14ac:dyDescent="0.3">
      <c r="C2031" s="70"/>
    </row>
    <row r="2032" spans="3:3" ht="15.6" x14ac:dyDescent="0.3">
      <c r="C2032" s="70"/>
    </row>
    <row r="2033" spans="3:3" ht="15.6" x14ac:dyDescent="0.3">
      <c r="C2033" s="70"/>
    </row>
    <row r="2034" spans="3:3" ht="15.6" x14ac:dyDescent="0.3">
      <c r="C2034" s="70"/>
    </row>
    <row r="2035" spans="3:3" ht="15.6" x14ac:dyDescent="0.3">
      <c r="C2035" s="70"/>
    </row>
    <row r="2036" spans="3:3" ht="15.6" x14ac:dyDescent="0.3">
      <c r="C2036" s="70"/>
    </row>
    <row r="2037" spans="3:3" ht="15.6" x14ac:dyDescent="0.3">
      <c r="C2037" s="70"/>
    </row>
    <row r="2038" spans="3:3" ht="15.6" x14ac:dyDescent="0.3">
      <c r="C2038" s="70"/>
    </row>
    <row r="2039" spans="3:3" ht="15.6" x14ac:dyDescent="0.3">
      <c r="C2039" s="70"/>
    </row>
    <row r="2040" spans="3:3" ht="15.6" x14ac:dyDescent="0.3">
      <c r="C2040" s="70"/>
    </row>
    <row r="2041" spans="3:3" ht="15.6" x14ac:dyDescent="0.3">
      <c r="C2041" s="70"/>
    </row>
    <row r="2042" spans="3:3" ht="15.6" x14ac:dyDescent="0.3">
      <c r="C2042" s="70"/>
    </row>
    <row r="2043" spans="3:3" ht="15.6" x14ac:dyDescent="0.3">
      <c r="C2043" s="70"/>
    </row>
    <row r="2044" spans="3:3" ht="15.6" x14ac:dyDescent="0.3">
      <c r="C2044" s="70"/>
    </row>
    <row r="2045" spans="3:3" ht="15.6" x14ac:dyDescent="0.3">
      <c r="C2045" s="70"/>
    </row>
    <row r="2046" spans="3:3" ht="15.6" x14ac:dyDescent="0.3">
      <c r="C2046" s="70"/>
    </row>
    <row r="2047" spans="3:3" ht="15.6" x14ac:dyDescent="0.3">
      <c r="C2047" s="70"/>
    </row>
    <row r="2048" spans="3:3" ht="15.6" x14ac:dyDescent="0.3">
      <c r="C2048" s="70"/>
    </row>
    <row r="2049" spans="3:3" ht="15.6" x14ac:dyDescent="0.3">
      <c r="C2049" s="70"/>
    </row>
    <row r="2050" spans="3:3" ht="15.6" x14ac:dyDescent="0.3">
      <c r="C2050" s="70"/>
    </row>
    <row r="2051" spans="3:3" ht="15.6" x14ac:dyDescent="0.3">
      <c r="C2051" s="70"/>
    </row>
    <row r="2052" spans="3:3" ht="15.6" x14ac:dyDescent="0.3">
      <c r="C2052" s="70"/>
    </row>
    <row r="2053" spans="3:3" ht="15.6" x14ac:dyDescent="0.3">
      <c r="C2053" s="70"/>
    </row>
    <row r="2054" spans="3:3" ht="15.6" x14ac:dyDescent="0.3">
      <c r="C2054" s="70"/>
    </row>
    <row r="2055" spans="3:3" ht="15.6" x14ac:dyDescent="0.3">
      <c r="C2055" s="70"/>
    </row>
    <row r="2056" spans="3:3" ht="15.6" x14ac:dyDescent="0.3">
      <c r="C2056" s="70"/>
    </row>
    <row r="2057" spans="3:3" ht="15.6" x14ac:dyDescent="0.3">
      <c r="C2057" s="70"/>
    </row>
    <row r="2058" spans="3:3" ht="15.6" x14ac:dyDescent="0.3">
      <c r="C2058" s="70"/>
    </row>
    <row r="2059" spans="3:3" ht="15.6" x14ac:dyDescent="0.3">
      <c r="C2059" s="70"/>
    </row>
    <row r="2060" spans="3:3" ht="15.6" x14ac:dyDescent="0.3">
      <c r="C2060" s="70"/>
    </row>
    <row r="2061" spans="3:3" ht="15.6" x14ac:dyDescent="0.3">
      <c r="C2061" s="70"/>
    </row>
    <row r="2062" spans="3:3" ht="15.6" x14ac:dyDescent="0.3">
      <c r="C2062" s="70"/>
    </row>
    <row r="2063" spans="3:3" ht="15.6" x14ac:dyDescent="0.3">
      <c r="C2063" s="70"/>
    </row>
    <row r="2064" spans="3:3" ht="15.6" x14ac:dyDescent="0.3">
      <c r="C2064" s="70"/>
    </row>
    <row r="2065" spans="3:3" ht="15.6" x14ac:dyDescent="0.3">
      <c r="C2065" s="70"/>
    </row>
    <row r="2066" spans="3:3" ht="15.6" x14ac:dyDescent="0.3">
      <c r="C2066" s="70"/>
    </row>
    <row r="2067" spans="3:3" ht="15.6" x14ac:dyDescent="0.3">
      <c r="C2067" s="70"/>
    </row>
    <row r="2068" spans="3:3" ht="15.6" x14ac:dyDescent="0.3">
      <c r="C2068" s="70"/>
    </row>
    <row r="2069" spans="3:3" ht="15.6" x14ac:dyDescent="0.3">
      <c r="C2069" s="70"/>
    </row>
    <row r="2070" spans="3:3" ht="15.6" x14ac:dyDescent="0.3">
      <c r="C2070" s="70"/>
    </row>
    <row r="2071" spans="3:3" ht="15.6" x14ac:dyDescent="0.3">
      <c r="C2071" s="70"/>
    </row>
    <row r="2072" spans="3:3" ht="15.6" x14ac:dyDescent="0.3">
      <c r="C2072" s="70"/>
    </row>
    <row r="2073" spans="3:3" ht="15.6" x14ac:dyDescent="0.3">
      <c r="C2073" s="70"/>
    </row>
    <row r="2074" spans="3:3" ht="15.6" x14ac:dyDescent="0.3">
      <c r="C2074" s="70"/>
    </row>
    <row r="2075" spans="3:3" ht="15.6" x14ac:dyDescent="0.3">
      <c r="C2075" s="70"/>
    </row>
    <row r="2076" spans="3:3" ht="15.6" x14ac:dyDescent="0.3">
      <c r="C2076" s="70"/>
    </row>
    <row r="2077" spans="3:3" ht="15.6" x14ac:dyDescent="0.3">
      <c r="C2077" s="70"/>
    </row>
    <row r="2078" spans="3:3" ht="15.6" x14ac:dyDescent="0.3">
      <c r="C2078" s="70"/>
    </row>
    <row r="2079" spans="3:3" ht="15.6" x14ac:dyDescent="0.3">
      <c r="C2079" s="70"/>
    </row>
    <row r="2080" spans="3:3" ht="15.6" x14ac:dyDescent="0.3">
      <c r="C2080" s="70"/>
    </row>
    <row r="2081" spans="3:3" ht="15.6" x14ac:dyDescent="0.3">
      <c r="C2081" s="70"/>
    </row>
    <row r="2082" spans="3:3" ht="15.6" x14ac:dyDescent="0.3">
      <c r="C2082" s="70"/>
    </row>
    <row r="2083" spans="3:3" ht="15.6" x14ac:dyDescent="0.3">
      <c r="C2083" s="70"/>
    </row>
    <row r="2084" spans="3:3" ht="15.6" x14ac:dyDescent="0.3">
      <c r="C2084" s="70"/>
    </row>
    <row r="2085" spans="3:3" ht="15.6" x14ac:dyDescent="0.3">
      <c r="C2085" s="70"/>
    </row>
    <row r="2086" spans="3:3" ht="15.6" x14ac:dyDescent="0.3">
      <c r="C2086" s="70"/>
    </row>
    <row r="2087" spans="3:3" ht="15.6" x14ac:dyDescent="0.3">
      <c r="C2087" s="70"/>
    </row>
    <row r="2088" spans="3:3" ht="15.6" x14ac:dyDescent="0.3">
      <c r="C2088" s="70"/>
    </row>
    <row r="2089" spans="3:3" ht="15.6" x14ac:dyDescent="0.3">
      <c r="C2089" s="70"/>
    </row>
    <row r="2090" spans="3:3" ht="15.6" x14ac:dyDescent="0.3">
      <c r="C2090" s="70"/>
    </row>
    <row r="2091" spans="3:3" ht="15.6" x14ac:dyDescent="0.3">
      <c r="C2091" s="70"/>
    </row>
    <row r="2092" spans="3:3" ht="15.6" x14ac:dyDescent="0.3">
      <c r="C2092" s="70"/>
    </row>
    <row r="2093" spans="3:3" ht="15.6" x14ac:dyDescent="0.3">
      <c r="C2093" s="70"/>
    </row>
    <row r="2094" spans="3:3" ht="15.6" x14ac:dyDescent="0.3">
      <c r="C2094" s="70"/>
    </row>
    <row r="2095" spans="3:3" ht="15.6" x14ac:dyDescent="0.3">
      <c r="C2095" s="70"/>
    </row>
    <row r="2096" spans="3:3" ht="15.6" x14ac:dyDescent="0.3">
      <c r="C2096" s="70"/>
    </row>
    <row r="2097" spans="3:3" ht="15.6" x14ac:dyDescent="0.3">
      <c r="C2097" s="70"/>
    </row>
    <row r="2098" spans="3:3" ht="15.6" x14ac:dyDescent="0.3">
      <c r="C2098" s="70"/>
    </row>
    <row r="2099" spans="3:3" ht="15.6" x14ac:dyDescent="0.3">
      <c r="C2099" s="70"/>
    </row>
    <row r="2100" spans="3:3" ht="15.6" x14ac:dyDescent="0.3">
      <c r="C2100" s="70"/>
    </row>
    <row r="2101" spans="3:3" ht="15.6" x14ac:dyDescent="0.3">
      <c r="C2101" s="70"/>
    </row>
    <row r="2102" spans="3:3" ht="15.6" x14ac:dyDescent="0.3">
      <c r="C2102" s="70"/>
    </row>
    <row r="2103" spans="3:3" ht="15.6" x14ac:dyDescent="0.3">
      <c r="C2103" s="70"/>
    </row>
    <row r="2104" spans="3:3" ht="15.6" x14ac:dyDescent="0.3">
      <c r="C2104" s="70"/>
    </row>
    <row r="2105" spans="3:3" ht="15.6" x14ac:dyDescent="0.3">
      <c r="C2105" s="70"/>
    </row>
    <row r="2106" spans="3:3" ht="15.6" x14ac:dyDescent="0.3">
      <c r="C2106" s="70"/>
    </row>
    <row r="2107" spans="3:3" ht="15.6" x14ac:dyDescent="0.3">
      <c r="C2107" s="70"/>
    </row>
    <row r="2108" spans="3:3" ht="15.6" x14ac:dyDescent="0.3">
      <c r="C2108" s="70"/>
    </row>
    <row r="2109" spans="3:3" ht="15.6" x14ac:dyDescent="0.3">
      <c r="C2109" s="70"/>
    </row>
    <row r="2110" spans="3:3" ht="15.6" x14ac:dyDescent="0.3">
      <c r="C2110" s="70"/>
    </row>
    <row r="2111" spans="3:3" ht="15.6" x14ac:dyDescent="0.3">
      <c r="C2111" s="70"/>
    </row>
    <row r="2112" spans="3:3" ht="15.6" x14ac:dyDescent="0.3">
      <c r="C2112" s="70"/>
    </row>
    <row r="2113" spans="3:3" ht="15.6" x14ac:dyDescent="0.3">
      <c r="C2113" s="70"/>
    </row>
    <row r="2114" spans="3:3" ht="15.6" x14ac:dyDescent="0.3">
      <c r="C2114" s="70"/>
    </row>
    <row r="2115" spans="3:3" ht="15.6" x14ac:dyDescent="0.3">
      <c r="C2115" s="70"/>
    </row>
    <row r="2116" spans="3:3" ht="15.6" x14ac:dyDescent="0.3">
      <c r="C2116" s="70"/>
    </row>
    <row r="2117" spans="3:3" ht="15.6" x14ac:dyDescent="0.3">
      <c r="C2117" s="70"/>
    </row>
    <row r="2118" spans="3:3" ht="15.6" x14ac:dyDescent="0.3">
      <c r="C2118" s="70"/>
    </row>
    <row r="2119" spans="3:3" ht="15.6" x14ac:dyDescent="0.3">
      <c r="C2119" s="70"/>
    </row>
    <row r="2120" spans="3:3" ht="15.6" x14ac:dyDescent="0.3">
      <c r="C2120" s="70"/>
    </row>
    <row r="2121" spans="3:3" ht="15.6" x14ac:dyDescent="0.3">
      <c r="C2121" s="70"/>
    </row>
    <row r="2122" spans="3:3" ht="15.6" x14ac:dyDescent="0.3">
      <c r="C2122" s="70"/>
    </row>
    <row r="2123" spans="3:3" ht="15.6" x14ac:dyDescent="0.3">
      <c r="C2123" s="70"/>
    </row>
    <row r="2124" spans="3:3" ht="15.6" x14ac:dyDescent="0.3">
      <c r="C2124" s="70"/>
    </row>
    <row r="2125" spans="3:3" ht="15.6" x14ac:dyDescent="0.3">
      <c r="C2125" s="70"/>
    </row>
    <row r="2126" spans="3:3" ht="15.6" x14ac:dyDescent="0.3">
      <c r="C2126" s="70"/>
    </row>
    <row r="2127" spans="3:3" ht="15.6" x14ac:dyDescent="0.3">
      <c r="C2127" s="70"/>
    </row>
    <row r="2128" spans="3:3" ht="15.6" x14ac:dyDescent="0.3">
      <c r="C2128" s="70"/>
    </row>
    <row r="2129" spans="3:3" ht="15.6" x14ac:dyDescent="0.3">
      <c r="C2129" s="70"/>
    </row>
    <row r="2130" spans="3:3" ht="15.6" x14ac:dyDescent="0.3">
      <c r="C2130" s="70"/>
    </row>
    <row r="2131" spans="3:3" ht="15.6" x14ac:dyDescent="0.3">
      <c r="C2131" s="70"/>
    </row>
    <row r="2132" spans="3:3" ht="15.6" x14ac:dyDescent="0.3">
      <c r="C2132" s="70"/>
    </row>
    <row r="2133" spans="3:3" ht="15.6" x14ac:dyDescent="0.3">
      <c r="C2133" s="70"/>
    </row>
    <row r="2134" spans="3:3" ht="15.6" x14ac:dyDescent="0.3">
      <c r="C2134" s="70"/>
    </row>
    <row r="2135" spans="3:3" ht="15.6" x14ac:dyDescent="0.3">
      <c r="C2135" s="70"/>
    </row>
    <row r="2136" spans="3:3" ht="15.6" x14ac:dyDescent="0.3">
      <c r="C2136" s="70"/>
    </row>
    <row r="2137" spans="3:3" ht="15.6" x14ac:dyDescent="0.3">
      <c r="C2137" s="70"/>
    </row>
    <row r="2138" spans="3:3" ht="15.6" x14ac:dyDescent="0.3">
      <c r="C2138" s="70"/>
    </row>
    <row r="2139" spans="3:3" ht="15.6" x14ac:dyDescent="0.3">
      <c r="C2139" s="70"/>
    </row>
    <row r="2140" spans="3:3" ht="15.6" x14ac:dyDescent="0.3">
      <c r="C2140" s="70"/>
    </row>
    <row r="2141" spans="3:3" ht="15.6" x14ac:dyDescent="0.3">
      <c r="C2141" s="70"/>
    </row>
    <row r="2142" spans="3:3" ht="15.6" x14ac:dyDescent="0.3">
      <c r="C2142" s="70"/>
    </row>
    <row r="2143" spans="3:3" ht="15.6" x14ac:dyDescent="0.3">
      <c r="C2143" s="70"/>
    </row>
    <row r="2144" spans="3:3" ht="15.6" x14ac:dyDescent="0.3">
      <c r="C2144" s="70"/>
    </row>
    <row r="2145" spans="3:3" ht="15.6" x14ac:dyDescent="0.3">
      <c r="C2145" s="70"/>
    </row>
    <row r="2146" spans="3:3" ht="15.6" x14ac:dyDescent="0.3">
      <c r="C2146" s="70"/>
    </row>
    <row r="2147" spans="3:3" ht="15.6" x14ac:dyDescent="0.3">
      <c r="C2147" s="70"/>
    </row>
    <row r="2148" spans="3:3" ht="15.6" x14ac:dyDescent="0.3">
      <c r="C2148" s="70"/>
    </row>
    <row r="2149" spans="3:3" ht="15.6" x14ac:dyDescent="0.3">
      <c r="C2149" s="70"/>
    </row>
    <row r="2150" spans="3:3" ht="15.6" x14ac:dyDescent="0.3">
      <c r="C2150" s="70"/>
    </row>
    <row r="2151" spans="3:3" ht="15.6" x14ac:dyDescent="0.3">
      <c r="C2151" s="70"/>
    </row>
    <row r="2152" spans="3:3" ht="15.6" x14ac:dyDescent="0.3">
      <c r="C2152" s="70"/>
    </row>
    <row r="2153" spans="3:3" ht="15.6" x14ac:dyDescent="0.3">
      <c r="C2153" s="70"/>
    </row>
    <row r="2154" spans="3:3" ht="15.6" x14ac:dyDescent="0.3">
      <c r="C2154" s="70"/>
    </row>
    <row r="2155" spans="3:3" ht="15.6" x14ac:dyDescent="0.3">
      <c r="C2155" s="70"/>
    </row>
    <row r="2156" spans="3:3" ht="15.6" x14ac:dyDescent="0.3">
      <c r="C2156" s="70"/>
    </row>
    <row r="2157" spans="3:3" ht="15.6" x14ac:dyDescent="0.3">
      <c r="C2157" s="70"/>
    </row>
    <row r="2158" spans="3:3" ht="15.6" x14ac:dyDescent="0.3">
      <c r="C2158" s="70"/>
    </row>
    <row r="2159" spans="3:3" ht="15.6" x14ac:dyDescent="0.3">
      <c r="C2159" s="70"/>
    </row>
    <row r="2160" spans="3:3" ht="15.6" x14ac:dyDescent="0.3">
      <c r="C2160" s="70"/>
    </row>
    <row r="2161" spans="3:3" ht="15.6" x14ac:dyDescent="0.3">
      <c r="C2161" s="70"/>
    </row>
    <row r="2162" spans="3:3" ht="15.6" x14ac:dyDescent="0.3">
      <c r="C2162" s="70"/>
    </row>
    <row r="2163" spans="3:3" ht="15.6" x14ac:dyDescent="0.3">
      <c r="C2163" s="70"/>
    </row>
    <row r="2164" spans="3:3" ht="15.6" x14ac:dyDescent="0.3">
      <c r="C2164" s="70"/>
    </row>
    <row r="2165" spans="3:3" ht="15.6" x14ac:dyDescent="0.3">
      <c r="C2165" s="70"/>
    </row>
    <row r="2166" spans="3:3" ht="15.6" x14ac:dyDescent="0.3">
      <c r="C2166" s="70"/>
    </row>
    <row r="2167" spans="3:3" ht="15.6" x14ac:dyDescent="0.3">
      <c r="C2167" s="70"/>
    </row>
    <row r="2168" spans="3:3" ht="15.6" x14ac:dyDescent="0.3">
      <c r="C2168" s="70"/>
    </row>
    <row r="2169" spans="3:3" ht="15.6" x14ac:dyDescent="0.3">
      <c r="C2169" s="70"/>
    </row>
    <row r="2170" spans="3:3" ht="15.6" x14ac:dyDescent="0.3">
      <c r="C2170" s="70"/>
    </row>
    <row r="2171" spans="3:3" ht="15.6" x14ac:dyDescent="0.3">
      <c r="C2171" s="70"/>
    </row>
    <row r="2172" spans="3:3" ht="15.6" x14ac:dyDescent="0.3">
      <c r="C2172" s="70"/>
    </row>
    <row r="2173" spans="3:3" ht="15.6" x14ac:dyDescent="0.3">
      <c r="C2173" s="70"/>
    </row>
    <row r="2174" spans="3:3" ht="15.6" x14ac:dyDescent="0.3">
      <c r="C2174" s="70"/>
    </row>
    <row r="2175" spans="3:3" ht="15.6" x14ac:dyDescent="0.3">
      <c r="C2175" s="70"/>
    </row>
    <row r="2176" spans="3:3" ht="15.6" x14ac:dyDescent="0.3">
      <c r="C2176" s="70"/>
    </row>
    <row r="2177" spans="3:3" ht="15.6" x14ac:dyDescent="0.3">
      <c r="C2177" s="70"/>
    </row>
    <row r="2178" spans="3:3" ht="15.6" x14ac:dyDescent="0.3">
      <c r="C2178" s="70"/>
    </row>
    <row r="2179" spans="3:3" ht="15.6" x14ac:dyDescent="0.3">
      <c r="C2179" s="70"/>
    </row>
    <row r="2180" spans="3:3" ht="15.6" x14ac:dyDescent="0.3">
      <c r="C2180" s="70"/>
    </row>
    <row r="2181" spans="3:3" ht="15.6" x14ac:dyDescent="0.3">
      <c r="C2181" s="70"/>
    </row>
    <row r="2182" spans="3:3" ht="15.6" x14ac:dyDescent="0.3">
      <c r="C2182" s="70"/>
    </row>
    <row r="2183" spans="3:3" ht="15.6" x14ac:dyDescent="0.3">
      <c r="C2183" s="70"/>
    </row>
    <row r="2184" spans="3:3" ht="15.6" x14ac:dyDescent="0.3">
      <c r="C2184" s="70"/>
    </row>
    <row r="2185" spans="3:3" ht="15.6" x14ac:dyDescent="0.3">
      <c r="C2185" s="70"/>
    </row>
    <row r="2186" spans="3:3" ht="15.6" x14ac:dyDescent="0.3">
      <c r="C2186" s="70"/>
    </row>
    <row r="2187" spans="3:3" ht="15.6" x14ac:dyDescent="0.3">
      <c r="C2187" s="70"/>
    </row>
    <row r="2188" spans="3:3" ht="15.6" x14ac:dyDescent="0.3">
      <c r="C2188" s="70"/>
    </row>
    <row r="2189" spans="3:3" ht="15.6" x14ac:dyDescent="0.3">
      <c r="C2189" s="70"/>
    </row>
    <row r="2190" spans="3:3" ht="15.6" x14ac:dyDescent="0.3">
      <c r="C2190" s="70"/>
    </row>
    <row r="2191" spans="3:3" ht="15.6" x14ac:dyDescent="0.3">
      <c r="C2191" s="70"/>
    </row>
    <row r="2192" spans="3:3" ht="15.6" x14ac:dyDescent="0.3">
      <c r="C2192" s="70"/>
    </row>
    <row r="2193" spans="3:3" ht="15.6" x14ac:dyDescent="0.3">
      <c r="C2193" s="70"/>
    </row>
    <row r="2194" spans="3:3" ht="15.6" x14ac:dyDescent="0.3">
      <c r="C2194" s="70"/>
    </row>
    <row r="2195" spans="3:3" ht="15.6" x14ac:dyDescent="0.3">
      <c r="C2195" s="70"/>
    </row>
    <row r="2196" spans="3:3" ht="15.6" x14ac:dyDescent="0.3">
      <c r="C2196" s="70"/>
    </row>
    <row r="2197" spans="3:3" ht="15.6" x14ac:dyDescent="0.3">
      <c r="C2197" s="70"/>
    </row>
    <row r="2198" spans="3:3" ht="15.6" x14ac:dyDescent="0.3">
      <c r="C2198" s="70"/>
    </row>
    <row r="2199" spans="3:3" ht="15.6" x14ac:dyDescent="0.3">
      <c r="C2199" s="70"/>
    </row>
    <row r="2200" spans="3:3" ht="15.6" x14ac:dyDescent="0.3">
      <c r="C2200" s="70"/>
    </row>
    <row r="2201" spans="3:3" ht="15.6" x14ac:dyDescent="0.3">
      <c r="C2201" s="70"/>
    </row>
    <row r="2202" spans="3:3" ht="15.6" x14ac:dyDescent="0.3">
      <c r="C2202" s="70"/>
    </row>
    <row r="2203" spans="3:3" ht="15.6" x14ac:dyDescent="0.3">
      <c r="C2203" s="70"/>
    </row>
    <row r="2204" spans="3:3" ht="15.6" x14ac:dyDescent="0.3">
      <c r="C2204" s="70"/>
    </row>
    <row r="2205" spans="3:3" ht="15.6" x14ac:dyDescent="0.3">
      <c r="C2205" s="70"/>
    </row>
    <row r="2206" spans="3:3" ht="15.6" x14ac:dyDescent="0.3">
      <c r="C2206" s="70"/>
    </row>
    <row r="2207" spans="3:3" ht="15.6" x14ac:dyDescent="0.3">
      <c r="C2207" s="70"/>
    </row>
    <row r="2208" spans="3:3" ht="15.6" x14ac:dyDescent="0.3">
      <c r="C2208" s="70"/>
    </row>
    <row r="2209" spans="3:3" ht="15.6" x14ac:dyDescent="0.3">
      <c r="C2209" s="70"/>
    </row>
    <row r="2210" spans="3:3" ht="15.6" x14ac:dyDescent="0.3">
      <c r="C2210" s="70"/>
    </row>
    <row r="2211" spans="3:3" ht="15.6" x14ac:dyDescent="0.3">
      <c r="C2211" s="70"/>
    </row>
    <row r="2212" spans="3:3" ht="15.6" x14ac:dyDescent="0.3">
      <c r="C2212" s="70"/>
    </row>
    <row r="2213" spans="3:3" ht="15.6" x14ac:dyDescent="0.3">
      <c r="C2213" s="70"/>
    </row>
    <row r="2214" spans="3:3" ht="15.6" x14ac:dyDescent="0.3">
      <c r="C2214" s="70"/>
    </row>
    <row r="2215" spans="3:3" ht="15.6" x14ac:dyDescent="0.3">
      <c r="C2215" s="70"/>
    </row>
    <row r="2216" spans="3:3" ht="15.6" x14ac:dyDescent="0.3">
      <c r="C2216" s="70"/>
    </row>
    <row r="2217" spans="3:3" ht="15.6" x14ac:dyDescent="0.3">
      <c r="C2217" s="70"/>
    </row>
    <row r="2218" spans="3:3" ht="15.6" x14ac:dyDescent="0.3">
      <c r="C2218" s="70"/>
    </row>
    <row r="2219" spans="3:3" ht="15.6" x14ac:dyDescent="0.3">
      <c r="C2219" s="70"/>
    </row>
    <row r="2220" spans="3:3" ht="15.6" x14ac:dyDescent="0.3">
      <c r="C2220" s="70"/>
    </row>
    <row r="2221" spans="3:3" ht="15.6" x14ac:dyDescent="0.3">
      <c r="C2221" s="70"/>
    </row>
    <row r="2222" spans="3:3" ht="15.6" x14ac:dyDescent="0.3">
      <c r="C2222" s="70"/>
    </row>
    <row r="2223" spans="3:3" ht="15.6" x14ac:dyDescent="0.3">
      <c r="C2223" s="70"/>
    </row>
    <row r="2224" spans="3:3" ht="15.6" x14ac:dyDescent="0.3">
      <c r="C2224" s="70"/>
    </row>
    <row r="2225" spans="3:3" ht="15.6" x14ac:dyDescent="0.3">
      <c r="C2225" s="70"/>
    </row>
    <row r="2226" spans="3:3" ht="15.6" x14ac:dyDescent="0.3">
      <c r="C2226" s="70"/>
    </row>
    <row r="2227" spans="3:3" ht="15.6" x14ac:dyDescent="0.3">
      <c r="C2227" s="70"/>
    </row>
    <row r="2228" spans="3:3" ht="15.6" x14ac:dyDescent="0.3">
      <c r="C2228" s="70"/>
    </row>
    <row r="2229" spans="3:3" ht="15.6" x14ac:dyDescent="0.3">
      <c r="C2229" s="70"/>
    </row>
    <row r="2230" spans="3:3" ht="15.6" x14ac:dyDescent="0.3">
      <c r="C2230" s="70"/>
    </row>
    <row r="2231" spans="3:3" ht="15.6" x14ac:dyDescent="0.3">
      <c r="C2231" s="70"/>
    </row>
    <row r="2232" spans="3:3" ht="15.6" x14ac:dyDescent="0.3">
      <c r="C2232" s="70"/>
    </row>
    <row r="2233" spans="3:3" ht="15.6" x14ac:dyDescent="0.3">
      <c r="C2233" s="70"/>
    </row>
    <row r="2234" spans="3:3" ht="15.6" x14ac:dyDescent="0.3">
      <c r="C2234" s="70"/>
    </row>
    <row r="2235" spans="3:3" ht="15.6" x14ac:dyDescent="0.3">
      <c r="C2235" s="70"/>
    </row>
    <row r="2236" spans="3:3" ht="15.6" x14ac:dyDescent="0.3">
      <c r="C2236" s="70"/>
    </row>
    <row r="2237" spans="3:3" ht="15.6" x14ac:dyDescent="0.3">
      <c r="C2237" s="70"/>
    </row>
    <row r="2238" spans="3:3" ht="15.6" x14ac:dyDescent="0.3">
      <c r="C2238" s="70"/>
    </row>
    <row r="2239" spans="3:3" ht="15.6" x14ac:dyDescent="0.3">
      <c r="C2239" s="70"/>
    </row>
    <row r="2240" spans="3:3" ht="15.6" x14ac:dyDescent="0.3">
      <c r="C2240" s="70"/>
    </row>
    <row r="2241" spans="3:3" ht="15.6" x14ac:dyDescent="0.3">
      <c r="C2241" s="70"/>
    </row>
    <row r="2242" spans="3:3" ht="15.6" x14ac:dyDescent="0.3">
      <c r="C2242" s="70"/>
    </row>
    <row r="2243" spans="3:3" ht="15.6" x14ac:dyDescent="0.3">
      <c r="C2243" s="70"/>
    </row>
    <row r="2244" spans="3:3" ht="15.6" x14ac:dyDescent="0.3">
      <c r="C2244" s="70"/>
    </row>
    <row r="2245" spans="3:3" ht="15.6" x14ac:dyDescent="0.3">
      <c r="C2245" s="70"/>
    </row>
    <row r="2246" spans="3:3" ht="15.6" x14ac:dyDescent="0.3">
      <c r="C2246" s="70"/>
    </row>
    <row r="2247" spans="3:3" ht="15.6" x14ac:dyDescent="0.3">
      <c r="C2247" s="70"/>
    </row>
    <row r="2248" spans="3:3" ht="15.6" x14ac:dyDescent="0.3">
      <c r="C2248" s="70"/>
    </row>
    <row r="2249" spans="3:3" ht="15.6" x14ac:dyDescent="0.3">
      <c r="C2249" s="70"/>
    </row>
    <row r="2250" spans="3:3" ht="15.6" x14ac:dyDescent="0.3">
      <c r="C2250" s="70"/>
    </row>
    <row r="2251" spans="3:3" ht="15.6" x14ac:dyDescent="0.3">
      <c r="C2251" s="70"/>
    </row>
    <row r="2252" spans="3:3" ht="15.6" x14ac:dyDescent="0.3">
      <c r="C2252" s="70"/>
    </row>
    <row r="2253" spans="3:3" ht="15.6" x14ac:dyDescent="0.3">
      <c r="C2253" s="70"/>
    </row>
    <row r="2254" spans="3:3" ht="15.6" x14ac:dyDescent="0.3">
      <c r="C2254" s="70"/>
    </row>
    <row r="2255" spans="3:3" ht="15.6" x14ac:dyDescent="0.3">
      <c r="C2255" s="70"/>
    </row>
    <row r="2256" spans="3:3" ht="15.6" x14ac:dyDescent="0.3">
      <c r="C2256" s="70"/>
    </row>
    <row r="2257" spans="3:3" ht="15.6" x14ac:dyDescent="0.3">
      <c r="C2257" s="70"/>
    </row>
    <row r="2258" spans="3:3" ht="15.6" x14ac:dyDescent="0.3">
      <c r="C2258" s="70"/>
    </row>
    <row r="2259" spans="3:3" ht="15.6" x14ac:dyDescent="0.3">
      <c r="C2259" s="70"/>
    </row>
    <row r="2260" spans="3:3" ht="15.6" x14ac:dyDescent="0.3">
      <c r="C2260" s="70"/>
    </row>
    <row r="2261" spans="3:3" ht="15.6" x14ac:dyDescent="0.3">
      <c r="C2261" s="70"/>
    </row>
    <row r="2262" spans="3:3" ht="15.6" x14ac:dyDescent="0.3">
      <c r="C2262" s="70"/>
    </row>
    <row r="2263" spans="3:3" ht="15.6" x14ac:dyDescent="0.3">
      <c r="C2263" s="70"/>
    </row>
    <row r="2264" spans="3:3" ht="15.6" x14ac:dyDescent="0.3">
      <c r="C2264" s="70"/>
    </row>
    <row r="2265" spans="3:3" ht="15.6" x14ac:dyDescent="0.3">
      <c r="C2265" s="70"/>
    </row>
    <row r="2266" spans="3:3" ht="15.6" x14ac:dyDescent="0.3">
      <c r="C2266" s="70"/>
    </row>
    <row r="2267" spans="3:3" ht="15.6" x14ac:dyDescent="0.3">
      <c r="C2267" s="70"/>
    </row>
    <row r="2268" spans="3:3" ht="15.6" x14ac:dyDescent="0.3">
      <c r="C2268" s="70"/>
    </row>
    <row r="2269" spans="3:3" ht="15.6" x14ac:dyDescent="0.3">
      <c r="C2269" s="70"/>
    </row>
    <row r="2270" spans="3:3" ht="15.6" x14ac:dyDescent="0.3">
      <c r="C2270" s="70"/>
    </row>
    <row r="2271" spans="3:3" ht="15.6" x14ac:dyDescent="0.3">
      <c r="C2271" s="70"/>
    </row>
    <row r="2272" spans="3:3" ht="15.6" x14ac:dyDescent="0.3">
      <c r="C2272" s="70"/>
    </row>
    <row r="2273" spans="3:3" ht="15.6" x14ac:dyDescent="0.3">
      <c r="C2273" s="70"/>
    </row>
    <row r="2274" spans="3:3" ht="15.6" x14ac:dyDescent="0.3">
      <c r="C2274" s="70"/>
    </row>
    <row r="2275" spans="3:3" ht="15.6" x14ac:dyDescent="0.3">
      <c r="C2275" s="70"/>
    </row>
    <row r="2276" spans="3:3" ht="15.6" x14ac:dyDescent="0.3">
      <c r="C2276" s="70"/>
    </row>
    <row r="2277" spans="3:3" ht="15.6" x14ac:dyDescent="0.3">
      <c r="C2277" s="70"/>
    </row>
    <row r="2278" spans="3:3" ht="15.6" x14ac:dyDescent="0.3">
      <c r="C2278" s="70"/>
    </row>
    <row r="2279" spans="3:3" ht="15.6" x14ac:dyDescent="0.3">
      <c r="C2279" s="70"/>
    </row>
    <row r="2280" spans="3:3" ht="15.6" x14ac:dyDescent="0.3">
      <c r="C2280" s="70"/>
    </row>
    <row r="2281" spans="3:3" ht="15.6" x14ac:dyDescent="0.3">
      <c r="C2281" s="70"/>
    </row>
    <row r="2282" spans="3:3" ht="15.6" x14ac:dyDescent="0.3">
      <c r="C2282" s="70"/>
    </row>
    <row r="2283" spans="3:3" ht="15.6" x14ac:dyDescent="0.3">
      <c r="C2283" s="70"/>
    </row>
    <row r="2284" spans="3:3" ht="15.6" x14ac:dyDescent="0.3">
      <c r="C2284" s="70"/>
    </row>
    <row r="2285" spans="3:3" ht="15.6" x14ac:dyDescent="0.3">
      <c r="C2285" s="70"/>
    </row>
    <row r="2286" spans="3:3" ht="15.6" x14ac:dyDescent="0.3">
      <c r="C2286" s="70"/>
    </row>
    <row r="2287" spans="3:3" ht="15.6" x14ac:dyDescent="0.3">
      <c r="C2287" s="70"/>
    </row>
    <row r="2288" spans="3:3" ht="15.6" x14ac:dyDescent="0.3">
      <c r="C2288" s="70"/>
    </row>
    <row r="2289" spans="3:3" ht="15.6" x14ac:dyDescent="0.3">
      <c r="C2289" s="70"/>
    </row>
    <row r="2290" spans="3:3" ht="15.6" x14ac:dyDescent="0.3">
      <c r="C2290" s="70"/>
    </row>
    <row r="2291" spans="3:3" ht="15.6" x14ac:dyDescent="0.3">
      <c r="C2291" s="70"/>
    </row>
    <row r="2292" spans="3:3" ht="15.6" x14ac:dyDescent="0.3">
      <c r="C2292" s="70"/>
    </row>
    <row r="2293" spans="3:3" ht="15.6" x14ac:dyDescent="0.3">
      <c r="C2293" s="70"/>
    </row>
    <row r="2294" spans="3:3" ht="15.6" x14ac:dyDescent="0.3">
      <c r="C2294" s="70"/>
    </row>
    <row r="2295" spans="3:3" ht="15.6" x14ac:dyDescent="0.3">
      <c r="C2295" s="70"/>
    </row>
    <row r="2296" spans="3:3" ht="15.6" x14ac:dyDescent="0.3">
      <c r="C2296" s="70"/>
    </row>
    <row r="2297" spans="3:3" ht="15.6" x14ac:dyDescent="0.3">
      <c r="C2297" s="70"/>
    </row>
    <row r="2298" spans="3:3" ht="15.6" x14ac:dyDescent="0.3">
      <c r="C2298" s="70"/>
    </row>
    <row r="2299" spans="3:3" ht="15.6" x14ac:dyDescent="0.3">
      <c r="C2299" s="70"/>
    </row>
    <row r="2300" spans="3:3" ht="15.6" x14ac:dyDescent="0.3">
      <c r="C2300" s="70"/>
    </row>
    <row r="2301" spans="3:3" ht="15.6" x14ac:dyDescent="0.3">
      <c r="C2301" s="70"/>
    </row>
    <row r="2302" spans="3:3" ht="15.6" x14ac:dyDescent="0.3">
      <c r="C2302" s="70"/>
    </row>
    <row r="2303" spans="3:3" ht="15.6" x14ac:dyDescent="0.3">
      <c r="C2303" s="70"/>
    </row>
    <row r="2304" spans="3:3" ht="15.6" x14ac:dyDescent="0.3">
      <c r="C2304" s="70"/>
    </row>
    <row r="2305" spans="3:3" ht="15.6" x14ac:dyDescent="0.3">
      <c r="C2305" s="70"/>
    </row>
    <row r="2306" spans="3:3" ht="15.6" x14ac:dyDescent="0.3">
      <c r="C2306" s="70"/>
    </row>
    <row r="2307" spans="3:3" ht="15.6" x14ac:dyDescent="0.3">
      <c r="C2307" s="70"/>
    </row>
    <row r="2308" spans="3:3" ht="15.6" x14ac:dyDescent="0.3">
      <c r="C2308" s="70"/>
    </row>
    <row r="2309" spans="3:3" ht="15.6" x14ac:dyDescent="0.3">
      <c r="C2309" s="70"/>
    </row>
    <row r="2310" spans="3:3" ht="15.6" x14ac:dyDescent="0.3">
      <c r="C2310" s="70"/>
    </row>
    <row r="2311" spans="3:3" ht="15.6" x14ac:dyDescent="0.3">
      <c r="C2311" s="70"/>
    </row>
    <row r="2312" spans="3:3" ht="15.6" x14ac:dyDescent="0.3">
      <c r="C2312" s="70"/>
    </row>
    <row r="2313" spans="3:3" ht="15.6" x14ac:dyDescent="0.3">
      <c r="C2313" s="70"/>
    </row>
    <row r="2314" spans="3:3" ht="15.6" x14ac:dyDescent="0.3">
      <c r="C2314" s="70"/>
    </row>
    <row r="2315" spans="3:3" ht="15.6" x14ac:dyDescent="0.3">
      <c r="C2315" s="70"/>
    </row>
    <row r="2316" spans="3:3" ht="15.6" x14ac:dyDescent="0.3">
      <c r="C2316" s="70"/>
    </row>
    <row r="2317" spans="3:3" ht="15.6" x14ac:dyDescent="0.3">
      <c r="C2317" s="70"/>
    </row>
    <row r="2318" spans="3:3" ht="15.6" x14ac:dyDescent="0.3">
      <c r="C2318" s="70"/>
    </row>
    <row r="2319" spans="3:3" ht="15.6" x14ac:dyDescent="0.3">
      <c r="C2319" s="70"/>
    </row>
    <row r="2320" spans="3:3" ht="15.6" x14ac:dyDescent="0.3">
      <c r="C2320" s="70"/>
    </row>
    <row r="2321" spans="3:3" ht="15.6" x14ac:dyDescent="0.3">
      <c r="C2321" s="70"/>
    </row>
    <row r="2322" spans="3:3" ht="15.6" x14ac:dyDescent="0.3">
      <c r="C2322" s="70"/>
    </row>
    <row r="2323" spans="3:3" ht="15.6" x14ac:dyDescent="0.3">
      <c r="C2323" s="70"/>
    </row>
    <row r="2324" spans="3:3" ht="15.6" x14ac:dyDescent="0.3">
      <c r="C2324" s="70"/>
    </row>
    <row r="2325" spans="3:3" ht="15.6" x14ac:dyDescent="0.3">
      <c r="C2325" s="70"/>
    </row>
    <row r="2326" spans="3:3" ht="15.6" x14ac:dyDescent="0.3">
      <c r="C2326" s="70"/>
    </row>
    <row r="2327" spans="3:3" ht="15.6" x14ac:dyDescent="0.3">
      <c r="C2327" s="70"/>
    </row>
    <row r="2328" spans="3:3" ht="15.6" x14ac:dyDescent="0.3">
      <c r="C2328" s="70"/>
    </row>
    <row r="2329" spans="3:3" ht="15.6" x14ac:dyDescent="0.3">
      <c r="C2329" s="70"/>
    </row>
    <row r="2330" spans="3:3" ht="15.6" x14ac:dyDescent="0.3">
      <c r="C2330" s="70"/>
    </row>
    <row r="2331" spans="3:3" ht="15.6" x14ac:dyDescent="0.3">
      <c r="C2331" s="70"/>
    </row>
    <row r="2332" spans="3:3" ht="15.6" x14ac:dyDescent="0.3">
      <c r="C2332" s="70"/>
    </row>
    <row r="2333" spans="3:3" ht="15.6" x14ac:dyDescent="0.3">
      <c r="C2333" s="70"/>
    </row>
    <row r="2334" spans="3:3" ht="15.6" x14ac:dyDescent="0.3">
      <c r="C2334" s="70"/>
    </row>
    <row r="2335" spans="3:3" ht="15.6" x14ac:dyDescent="0.3">
      <c r="C2335" s="70"/>
    </row>
    <row r="2336" spans="3:3" ht="15.6" x14ac:dyDescent="0.3">
      <c r="C2336" s="70"/>
    </row>
    <row r="2337" spans="3:3" ht="15.6" x14ac:dyDescent="0.3">
      <c r="C2337" s="70"/>
    </row>
    <row r="2338" spans="3:3" ht="15.6" x14ac:dyDescent="0.3">
      <c r="C2338" s="70"/>
    </row>
    <row r="2339" spans="3:3" ht="15.6" x14ac:dyDescent="0.3">
      <c r="C2339" s="70"/>
    </row>
    <row r="2340" spans="3:3" ht="15.6" x14ac:dyDescent="0.3">
      <c r="C2340" s="70"/>
    </row>
    <row r="2341" spans="3:3" ht="15.6" x14ac:dyDescent="0.3">
      <c r="C2341" s="70"/>
    </row>
    <row r="2342" spans="3:3" ht="15.6" x14ac:dyDescent="0.3">
      <c r="C2342" s="70"/>
    </row>
    <row r="2343" spans="3:3" ht="15.6" x14ac:dyDescent="0.3">
      <c r="C2343" s="70"/>
    </row>
    <row r="2344" spans="3:3" ht="15.6" x14ac:dyDescent="0.3">
      <c r="C2344" s="70"/>
    </row>
    <row r="2345" spans="3:3" ht="15.6" x14ac:dyDescent="0.3">
      <c r="C2345" s="70"/>
    </row>
    <row r="2346" spans="3:3" ht="15.6" x14ac:dyDescent="0.3">
      <c r="C2346" s="70"/>
    </row>
    <row r="2347" spans="3:3" ht="15.6" x14ac:dyDescent="0.3">
      <c r="C2347" s="70"/>
    </row>
    <row r="2348" spans="3:3" ht="15.6" x14ac:dyDescent="0.3">
      <c r="C2348" s="70"/>
    </row>
    <row r="2349" spans="3:3" ht="15.6" x14ac:dyDescent="0.3">
      <c r="C2349" s="70"/>
    </row>
    <row r="2350" spans="3:3" ht="15.6" x14ac:dyDescent="0.3">
      <c r="C2350" s="70"/>
    </row>
    <row r="2351" spans="3:3" ht="15.6" x14ac:dyDescent="0.3">
      <c r="C2351" s="70"/>
    </row>
    <row r="2352" spans="3:3" ht="15.6" x14ac:dyDescent="0.3">
      <c r="C2352" s="70"/>
    </row>
    <row r="2353" spans="3:3" ht="15.6" x14ac:dyDescent="0.3">
      <c r="C2353" s="70"/>
    </row>
    <row r="2354" spans="3:3" ht="15.6" x14ac:dyDescent="0.3">
      <c r="C2354" s="70"/>
    </row>
    <row r="2355" spans="3:3" ht="15.6" x14ac:dyDescent="0.3">
      <c r="C2355" s="70"/>
    </row>
    <row r="2356" spans="3:3" ht="15.6" x14ac:dyDescent="0.3">
      <c r="C2356" s="70"/>
    </row>
    <row r="2357" spans="3:3" ht="15.6" x14ac:dyDescent="0.3">
      <c r="C2357" s="70"/>
    </row>
    <row r="2358" spans="3:3" ht="15.6" x14ac:dyDescent="0.3">
      <c r="C2358" s="70"/>
    </row>
    <row r="2359" spans="3:3" ht="15.6" x14ac:dyDescent="0.3">
      <c r="C2359" s="70"/>
    </row>
    <row r="2360" spans="3:3" ht="15.6" x14ac:dyDescent="0.3">
      <c r="C2360" s="70"/>
    </row>
    <row r="2361" spans="3:3" ht="15.6" x14ac:dyDescent="0.3">
      <c r="C2361" s="70"/>
    </row>
    <row r="2362" spans="3:3" ht="15.6" x14ac:dyDescent="0.3">
      <c r="C2362" s="70"/>
    </row>
    <row r="2363" spans="3:3" ht="15.6" x14ac:dyDescent="0.3">
      <c r="C2363" s="70"/>
    </row>
    <row r="2364" spans="3:3" ht="15.6" x14ac:dyDescent="0.3">
      <c r="C2364" s="70"/>
    </row>
    <row r="2365" spans="3:3" ht="15.6" x14ac:dyDescent="0.3">
      <c r="C2365" s="70"/>
    </row>
    <row r="2366" spans="3:3" ht="15.6" x14ac:dyDescent="0.3">
      <c r="C2366" s="70"/>
    </row>
    <row r="2367" spans="3:3" ht="15.6" x14ac:dyDescent="0.3">
      <c r="C2367" s="70"/>
    </row>
    <row r="2368" spans="3:3" ht="15.6" x14ac:dyDescent="0.3">
      <c r="C2368" s="70"/>
    </row>
    <row r="2369" spans="3:3" ht="15.6" x14ac:dyDescent="0.3">
      <c r="C2369" s="70"/>
    </row>
    <row r="2370" spans="3:3" ht="15.6" x14ac:dyDescent="0.3">
      <c r="C2370" s="70"/>
    </row>
    <row r="2371" spans="3:3" ht="15.6" x14ac:dyDescent="0.3">
      <c r="C2371" s="70"/>
    </row>
    <row r="2372" spans="3:3" ht="15.6" x14ac:dyDescent="0.3">
      <c r="C2372" s="70"/>
    </row>
    <row r="2373" spans="3:3" ht="15.6" x14ac:dyDescent="0.3">
      <c r="C2373" s="70"/>
    </row>
    <row r="2374" spans="3:3" ht="15.6" x14ac:dyDescent="0.3">
      <c r="C2374" s="70"/>
    </row>
    <row r="2375" spans="3:3" ht="15.6" x14ac:dyDescent="0.3">
      <c r="C2375" s="70"/>
    </row>
    <row r="2376" spans="3:3" ht="15.6" x14ac:dyDescent="0.3">
      <c r="C2376" s="70"/>
    </row>
    <row r="2377" spans="3:3" ht="15.6" x14ac:dyDescent="0.3">
      <c r="C2377" s="70"/>
    </row>
    <row r="2378" spans="3:3" ht="15.6" x14ac:dyDescent="0.3">
      <c r="C2378" s="70"/>
    </row>
    <row r="2379" spans="3:3" ht="15.6" x14ac:dyDescent="0.3">
      <c r="C2379" s="70"/>
    </row>
    <row r="2380" spans="3:3" ht="15.6" x14ac:dyDescent="0.3">
      <c r="C2380" s="70"/>
    </row>
    <row r="2381" spans="3:3" ht="15.6" x14ac:dyDescent="0.3">
      <c r="C2381" s="70"/>
    </row>
    <row r="2382" spans="3:3" ht="15.6" x14ac:dyDescent="0.3">
      <c r="C2382" s="70"/>
    </row>
    <row r="2383" spans="3:3" ht="15.6" x14ac:dyDescent="0.3">
      <c r="C2383" s="70"/>
    </row>
    <row r="2384" spans="3:3" ht="15.6" x14ac:dyDescent="0.3">
      <c r="C2384" s="70"/>
    </row>
    <row r="2385" spans="3:3" ht="15.6" x14ac:dyDescent="0.3">
      <c r="C2385" s="70"/>
    </row>
    <row r="2386" spans="3:3" ht="15.6" x14ac:dyDescent="0.3">
      <c r="C2386" s="70"/>
    </row>
    <row r="2387" spans="3:3" ht="15.6" x14ac:dyDescent="0.3">
      <c r="C2387" s="70"/>
    </row>
    <row r="2388" spans="3:3" ht="15.6" x14ac:dyDescent="0.3">
      <c r="C2388" s="70"/>
    </row>
    <row r="2389" spans="3:3" ht="15.6" x14ac:dyDescent="0.3">
      <c r="C2389" s="70"/>
    </row>
    <row r="2390" spans="3:3" ht="15.6" x14ac:dyDescent="0.3">
      <c r="C2390" s="70"/>
    </row>
    <row r="2391" spans="3:3" ht="15.6" x14ac:dyDescent="0.3">
      <c r="C2391" s="70"/>
    </row>
    <row r="2392" spans="3:3" ht="15.6" x14ac:dyDescent="0.3">
      <c r="C2392" s="70"/>
    </row>
    <row r="2393" spans="3:3" ht="15.6" x14ac:dyDescent="0.3">
      <c r="C2393" s="70"/>
    </row>
    <row r="2394" spans="3:3" ht="15.6" x14ac:dyDescent="0.3">
      <c r="C2394" s="70"/>
    </row>
    <row r="2395" spans="3:3" ht="15.6" x14ac:dyDescent="0.3">
      <c r="C2395" s="70"/>
    </row>
    <row r="2396" spans="3:3" ht="15.6" x14ac:dyDescent="0.3">
      <c r="C2396" s="70"/>
    </row>
    <row r="2397" spans="3:3" ht="15.6" x14ac:dyDescent="0.3">
      <c r="C2397" s="70"/>
    </row>
    <row r="2398" spans="3:3" ht="15.6" x14ac:dyDescent="0.3">
      <c r="C2398" s="70"/>
    </row>
    <row r="2399" spans="3:3" ht="15.6" x14ac:dyDescent="0.3">
      <c r="C2399" s="70"/>
    </row>
    <row r="2400" spans="3:3" ht="15.6" x14ac:dyDescent="0.3">
      <c r="C2400" s="70"/>
    </row>
    <row r="2401" spans="3:3" ht="15.6" x14ac:dyDescent="0.3">
      <c r="C2401" s="70"/>
    </row>
    <row r="2402" spans="3:3" ht="15.6" x14ac:dyDescent="0.3">
      <c r="C2402" s="70"/>
    </row>
    <row r="2403" spans="3:3" ht="15.6" x14ac:dyDescent="0.3">
      <c r="C2403" s="70"/>
    </row>
    <row r="2404" spans="3:3" ht="15.6" x14ac:dyDescent="0.3">
      <c r="C2404" s="70"/>
    </row>
    <row r="2405" spans="3:3" ht="15.6" x14ac:dyDescent="0.3">
      <c r="C2405" s="70"/>
    </row>
    <row r="2406" spans="3:3" ht="15.6" x14ac:dyDescent="0.3">
      <c r="C2406" s="70"/>
    </row>
    <row r="2407" spans="3:3" ht="15.6" x14ac:dyDescent="0.3">
      <c r="C2407" s="70"/>
    </row>
    <row r="2408" spans="3:3" ht="15.6" x14ac:dyDescent="0.3">
      <c r="C2408" s="70"/>
    </row>
    <row r="2409" spans="3:3" ht="15.6" x14ac:dyDescent="0.3">
      <c r="C2409" s="70"/>
    </row>
    <row r="2410" spans="3:3" ht="15.6" x14ac:dyDescent="0.3">
      <c r="C2410" s="70"/>
    </row>
    <row r="2411" spans="3:3" ht="15.6" x14ac:dyDescent="0.3">
      <c r="C2411" s="70"/>
    </row>
    <row r="2412" spans="3:3" ht="15.6" x14ac:dyDescent="0.3">
      <c r="C2412" s="70"/>
    </row>
    <row r="2413" spans="3:3" ht="15.6" x14ac:dyDescent="0.3">
      <c r="C2413" s="70"/>
    </row>
    <row r="2414" spans="3:3" ht="15.6" x14ac:dyDescent="0.3">
      <c r="C2414" s="70"/>
    </row>
    <row r="2415" spans="3:3" ht="15.6" x14ac:dyDescent="0.3">
      <c r="C2415" s="70"/>
    </row>
    <row r="2416" spans="3:3" ht="15.6" x14ac:dyDescent="0.3">
      <c r="C2416" s="70"/>
    </row>
    <row r="2417" spans="3:3" ht="15.6" x14ac:dyDescent="0.3">
      <c r="C2417" s="70"/>
    </row>
    <row r="2418" spans="3:3" ht="15.6" x14ac:dyDescent="0.3">
      <c r="C2418" s="70"/>
    </row>
    <row r="2419" spans="3:3" ht="15.6" x14ac:dyDescent="0.3">
      <c r="C2419" s="70"/>
    </row>
    <row r="2420" spans="3:3" ht="15.6" x14ac:dyDescent="0.3">
      <c r="C2420" s="70"/>
    </row>
    <row r="2421" spans="3:3" ht="15.6" x14ac:dyDescent="0.3">
      <c r="C2421" s="70"/>
    </row>
    <row r="2422" spans="3:3" ht="15.6" x14ac:dyDescent="0.3">
      <c r="C2422" s="70"/>
    </row>
    <row r="2423" spans="3:3" ht="15.6" x14ac:dyDescent="0.3">
      <c r="C2423" s="70"/>
    </row>
    <row r="2424" spans="3:3" ht="15.6" x14ac:dyDescent="0.3">
      <c r="C2424" s="70"/>
    </row>
    <row r="2425" spans="3:3" ht="15.6" x14ac:dyDescent="0.3">
      <c r="C2425" s="70"/>
    </row>
    <row r="2426" spans="3:3" ht="15.6" x14ac:dyDescent="0.3">
      <c r="C2426" s="70"/>
    </row>
    <row r="2427" spans="3:3" ht="15.6" x14ac:dyDescent="0.3">
      <c r="C2427" s="70"/>
    </row>
    <row r="2428" spans="3:3" ht="15.6" x14ac:dyDescent="0.3">
      <c r="C2428" s="70"/>
    </row>
    <row r="2429" spans="3:3" ht="15.6" x14ac:dyDescent="0.3">
      <c r="C2429" s="70"/>
    </row>
    <row r="2430" spans="3:3" ht="15.6" x14ac:dyDescent="0.3">
      <c r="C2430" s="70"/>
    </row>
    <row r="2431" spans="3:3" ht="15.6" x14ac:dyDescent="0.3">
      <c r="C2431" s="70"/>
    </row>
    <row r="2432" spans="3:3" ht="15.6" x14ac:dyDescent="0.3">
      <c r="C2432" s="70"/>
    </row>
    <row r="2433" spans="3:3" ht="15.6" x14ac:dyDescent="0.3">
      <c r="C2433" s="70"/>
    </row>
    <row r="2434" spans="3:3" ht="15.6" x14ac:dyDescent="0.3">
      <c r="C2434" s="70"/>
    </row>
    <row r="2435" spans="3:3" ht="15.6" x14ac:dyDescent="0.3">
      <c r="C2435" s="70"/>
    </row>
    <row r="2436" spans="3:3" ht="15.6" x14ac:dyDescent="0.3">
      <c r="C2436" s="70"/>
    </row>
    <row r="2437" spans="3:3" ht="15.6" x14ac:dyDescent="0.3">
      <c r="C2437" s="70"/>
    </row>
    <row r="2438" spans="3:3" ht="15.6" x14ac:dyDescent="0.3">
      <c r="C2438" s="70"/>
    </row>
    <row r="2439" spans="3:3" ht="15.6" x14ac:dyDescent="0.3">
      <c r="C2439" s="70"/>
    </row>
    <row r="2440" spans="3:3" ht="15.6" x14ac:dyDescent="0.3">
      <c r="C2440" s="70"/>
    </row>
    <row r="2441" spans="3:3" ht="15.6" x14ac:dyDescent="0.3">
      <c r="C2441" s="70"/>
    </row>
    <row r="2442" spans="3:3" ht="15.6" x14ac:dyDescent="0.3">
      <c r="C2442" s="70"/>
    </row>
    <row r="2443" spans="3:3" ht="15.6" x14ac:dyDescent="0.3">
      <c r="C2443" s="70"/>
    </row>
    <row r="2444" spans="3:3" ht="15.6" x14ac:dyDescent="0.3">
      <c r="C2444" s="70"/>
    </row>
    <row r="2445" spans="3:3" ht="15.6" x14ac:dyDescent="0.3">
      <c r="C2445" s="70"/>
    </row>
    <row r="2446" spans="3:3" ht="15.6" x14ac:dyDescent="0.3">
      <c r="C2446" s="70"/>
    </row>
    <row r="2447" spans="3:3" ht="15.6" x14ac:dyDescent="0.3">
      <c r="C2447" s="70"/>
    </row>
    <row r="2448" spans="3:3" ht="15.6" x14ac:dyDescent="0.3">
      <c r="C2448" s="70"/>
    </row>
    <row r="2449" spans="3:3" ht="15.6" x14ac:dyDescent="0.3">
      <c r="C2449" s="70"/>
    </row>
    <row r="2450" spans="3:3" ht="15.6" x14ac:dyDescent="0.3">
      <c r="C2450" s="70"/>
    </row>
    <row r="2451" spans="3:3" ht="15.6" x14ac:dyDescent="0.3">
      <c r="C2451" s="70"/>
    </row>
    <row r="2452" spans="3:3" ht="15.6" x14ac:dyDescent="0.3">
      <c r="C2452" s="70"/>
    </row>
    <row r="2453" spans="3:3" ht="15.6" x14ac:dyDescent="0.3">
      <c r="C2453" s="70"/>
    </row>
    <row r="2454" spans="3:3" ht="15.6" x14ac:dyDescent="0.3">
      <c r="C2454" s="70"/>
    </row>
    <row r="2455" spans="3:3" ht="15.6" x14ac:dyDescent="0.3">
      <c r="C2455" s="70"/>
    </row>
    <row r="2456" spans="3:3" ht="15.6" x14ac:dyDescent="0.3">
      <c r="C2456" s="70"/>
    </row>
    <row r="2457" spans="3:3" ht="15.6" x14ac:dyDescent="0.3">
      <c r="C2457" s="70"/>
    </row>
    <row r="2458" spans="3:3" ht="15.6" x14ac:dyDescent="0.3">
      <c r="C2458" s="70"/>
    </row>
    <row r="2459" spans="3:3" ht="15.6" x14ac:dyDescent="0.3">
      <c r="C2459" s="70"/>
    </row>
    <row r="2460" spans="3:3" ht="15.6" x14ac:dyDescent="0.3">
      <c r="C2460" s="70"/>
    </row>
    <row r="2461" spans="3:3" ht="15.6" x14ac:dyDescent="0.3">
      <c r="C2461" s="70"/>
    </row>
    <row r="2462" spans="3:3" ht="15.6" x14ac:dyDescent="0.3">
      <c r="C2462" s="70"/>
    </row>
    <row r="2463" spans="3:3" ht="15.6" x14ac:dyDescent="0.3">
      <c r="C2463" s="70"/>
    </row>
    <row r="2464" spans="3:3" ht="15.6" x14ac:dyDescent="0.3">
      <c r="C2464" s="70"/>
    </row>
    <row r="2465" spans="3:3" ht="15.6" x14ac:dyDescent="0.3">
      <c r="C2465" s="70"/>
    </row>
    <row r="2466" spans="3:3" ht="15.6" x14ac:dyDescent="0.3">
      <c r="C2466" s="70"/>
    </row>
    <row r="2467" spans="3:3" ht="15.6" x14ac:dyDescent="0.3">
      <c r="C2467" s="70"/>
    </row>
    <row r="2468" spans="3:3" ht="15.6" x14ac:dyDescent="0.3">
      <c r="C2468" s="70"/>
    </row>
    <row r="2469" spans="3:3" ht="15.6" x14ac:dyDescent="0.3">
      <c r="C2469" s="70"/>
    </row>
    <row r="2470" spans="3:3" ht="15.6" x14ac:dyDescent="0.3">
      <c r="C2470" s="70"/>
    </row>
    <row r="2471" spans="3:3" ht="15.6" x14ac:dyDescent="0.3">
      <c r="C2471" s="70"/>
    </row>
    <row r="2472" spans="3:3" ht="15.6" x14ac:dyDescent="0.3">
      <c r="C2472" s="70"/>
    </row>
    <row r="2473" spans="3:3" ht="15.6" x14ac:dyDescent="0.3">
      <c r="C2473" s="70"/>
    </row>
    <row r="2474" spans="3:3" ht="15.6" x14ac:dyDescent="0.3">
      <c r="C2474" s="70"/>
    </row>
    <row r="2475" spans="3:3" ht="15.6" x14ac:dyDescent="0.3">
      <c r="C2475" s="70"/>
    </row>
    <row r="2476" spans="3:3" ht="15.6" x14ac:dyDescent="0.3">
      <c r="C2476" s="70"/>
    </row>
    <row r="2477" spans="3:3" ht="15.6" x14ac:dyDescent="0.3">
      <c r="C2477" s="70"/>
    </row>
    <row r="2478" spans="3:3" ht="15.6" x14ac:dyDescent="0.3">
      <c r="C2478" s="70"/>
    </row>
    <row r="2479" spans="3:3" ht="15.6" x14ac:dyDescent="0.3">
      <c r="C2479" s="70"/>
    </row>
    <row r="2480" spans="3:3" ht="15.6" x14ac:dyDescent="0.3">
      <c r="C2480" s="70"/>
    </row>
    <row r="2481" spans="3:3" ht="15.6" x14ac:dyDescent="0.3">
      <c r="C2481" s="70"/>
    </row>
    <row r="2482" spans="3:3" ht="15.6" x14ac:dyDescent="0.3">
      <c r="C2482" s="70"/>
    </row>
    <row r="2483" spans="3:3" ht="15.6" x14ac:dyDescent="0.3">
      <c r="C2483" s="70"/>
    </row>
    <row r="2484" spans="3:3" ht="15.6" x14ac:dyDescent="0.3">
      <c r="C2484" s="70"/>
    </row>
    <row r="2485" spans="3:3" ht="15.6" x14ac:dyDescent="0.3">
      <c r="C2485" s="70"/>
    </row>
    <row r="2486" spans="3:3" ht="15.6" x14ac:dyDescent="0.3">
      <c r="C2486" s="70"/>
    </row>
    <row r="2487" spans="3:3" ht="15.6" x14ac:dyDescent="0.3">
      <c r="C2487" s="70"/>
    </row>
    <row r="2488" spans="3:3" ht="15.6" x14ac:dyDescent="0.3">
      <c r="C2488" s="70"/>
    </row>
    <row r="2489" spans="3:3" ht="15.6" x14ac:dyDescent="0.3">
      <c r="C2489" s="70"/>
    </row>
    <row r="2490" spans="3:3" ht="15.6" x14ac:dyDescent="0.3">
      <c r="C2490" s="70"/>
    </row>
    <row r="2491" spans="3:3" ht="15.6" x14ac:dyDescent="0.3">
      <c r="C2491" s="70"/>
    </row>
    <row r="2492" spans="3:3" ht="15.6" x14ac:dyDescent="0.3">
      <c r="C2492" s="70"/>
    </row>
    <row r="2493" spans="3:3" ht="15.6" x14ac:dyDescent="0.3">
      <c r="C2493" s="70"/>
    </row>
    <row r="2494" spans="3:3" ht="15.6" x14ac:dyDescent="0.3">
      <c r="C2494" s="70"/>
    </row>
    <row r="2495" spans="3:3" ht="15.6" x14ac:dyDescent="0.3">
      <c r="C2495" s="70"/>
    </row>
    <row r="2496" spans="3:3" ht="15.6" x14ac:dyDescent="0.3">
      <c r="C2496" s="70"/>
    </row>
    <row r="2497" spans="3:3" ht="15.6" x14ac:dyDescent="0.3">
      <c r="C2497" s="70"/>
    </row>
    <row r="2498" spans="3:3" ht="15.6" x14ac:dyDescent="0.3">
      <c r="C2498" s="70"/>
    </row>
    <row r="2499" spans="3:3" ht="15.6" x14ac:dyDescent="0.3">
      <c r="C2499" s="70"/>
    </row>
    <row r="2500" spans="3:3" ht="15.6" x14ac:dyDescent="0.3">
      <c r="C2500" s="70"/>
    </row>
    <row r="2501" spans="3:3" ht="15.6" x14ac:dyDescent="0.3">
      <c r="C2501" s="70"/>
    </row>
    <row r="2502" spans="3:3" ht="15.6" x14ac:dyDescent="0.3">
      <c r="C2502" s="70"/>
    </row>
    <row r="2503" spans="3:3" ht="15.6" x14ac:dyDescent="0.3">
      <c r="C2503" s="70"/>
    </row>
    <row r="2504" spans="3:3" ht="15.6" x14ac:dyDescent="0.3">
      <c r="C2504" s="70"/>
    </row>
    <row r="2505" spans="3:3" ht="15.6" x14ac:dyDescent="0.3">
      <c r="C2505" s="70"/>
    </row>
    <row r="2506" spans="3:3" ht="15.6" x14ac:dyDescent="0.3">
      <c r="C2506" s="70"/>
    </row>
    <row r="2507" spans="3:3" ht="15.6" x14ac:dyDescent="0.3">
      <c r="C2507" s="70"/>
    </row>
    <row r="2508" spans="3:3" ht="15.6" x14ac:dyDescent="0.3">
      <c r="C2508" s="70"/>
    </row>
    <row r="2509" spans="3:3" ht="15.6" x14ac:dyDescent="0.3">
      <c r="C2509" s="70"/>
    </row>
    <row r="2510" spans="3:3" ht="15.6" x14ac:dyDescent="0.3">
      <c r="C2510" s="70"/>
    </row>
    <row r="2511" spans="3:3" ht="15.6" x14ac:dyDescent="0.3">
      <c r="C2511" s="70"/>
    </row>
    <row r="2512" spans="3:3" ht="15.6" x14ac:dyDescent="0.3">
      <c r="C2512" s="70"/>
    </row>
    <row r="2513" spans="3:3" ht="15.6" x14ac:dyDescent="0.3">
      <c r="C2513" s="70"/>
    </row>
    <row r="2514" spans="3:3" ht="15.6" x14ac:dyDescent="0.3">
      <c r="C2514" s="70"/>
    </row>
    <row r="2515" spans="3:3" ht="15.6" x14ac:dyDescent="0.3">
      <c r="C2515" s="70"/>
    </row>
    <row r="2516" spans="3:3" ht="15.6" x14ac:dyDescent="0.3">
      <c r="C2516" s="70"/>
    </row>
    <row r="2517" spans="3:3" ht="15.6" x14ac:dyDescent="0.3">
      <c r="C2517" s="70"/>
    </row>
    <row r="2518" spans="3:3" ht="15.6" x14ac:dyDescent="0.3">
      <c r="C2518" s="70"/>
    </row>
    <row r="2519" spans="3:3" ht="15.6" x14ac:dyDescent="0.3">
      <c r="C2519" s="70"/>
    </row>
    <row r="2520" spans="3:3" ht="15.6" x14ac:dyDescent="0.3">
      <c r="C2520" s="70"/>
    </row>
    <row r="2521" spans="3:3" ht="15.6" x14ac:dyDescent="0.3">
      <c r="C2521" s="70"/>
    </row>
    <row r="2522" spans="3:3" ht="15.6" x14ac:dyDescent="0.3">
      <c r="C2522" s="70"/>
    </row>
    <row r="2523" spans="3:3" ht="15.6" x14ac:dyDescent="0.3">
      <c r="C2523" s="70"/>
    </row>
    <row r="2524" spans="3:3" ht="15.6" x14ac:dyDescent="0.3">
      <c r="C2524" s="70"/>
    </row>
    <row r="2525" spans="3:3" ht="15.6" x14ac:dyDescent="0.3">
      <c r="C2525" s="70"/>
    </row>
    <row r="2526" spans="3:3" ht="15.6" x14ac:dyDescent="0.3">
      <c r="C2526" s="70"/>
    </row>
    <row r="2527" spans="3:3" ht="15.6" x14ac:dyDescent="0.3">
      <c r="C2527" s="70"/>
    </row>
    <row r="2528" spans="3:3" ht="15.6" x14ac:dyDescent="0.3">
      <c r="C2528" s="70"/>
    </row>
    <row r="2529" spans="3:3" ht="15.6" x14ac:dyDescent="0.3">
      <c r="C2529" s="70"/>
    </row>
    <row r="2530" spans="3:3" ht="15.6" x14ac:dyDescent="0.3">
      <c r="C2530" s="70"/>
    </row>
    <row r="2531" spans="3:3" ht="15.6" x14ac:dyDescent="0.3">
      <c r="C2531" s="70"/>
    </row>
    <row r="2532" spans="3:3" ht="15.6" x14ac:dyDescent="0.3">
      <c r="C2532" s="70"/>
    </row>
    <row r="2533" spans="3:3" ht="15.6" x14ac:dyDescent="0.3">
      <c r="C2533" s="70"/>
    </row>
    <row r="2534" spans="3:3" ht="15.6" x14ac:dyDescent="0.3">
      <c r="C2534" s="70"/>
    </row>
    <row r="2535" spans="3:3" ht="15.6" x14ac:dyDescent="0.3">
      <c r="C2535" s="70"/>
    </row>
    <row r="2536" spans="3:3" ht="15.6" x14ac:dyDescent="0.3">
      <c r="C2536" s="70"/>
    </row>
    <row r="2537" spans="3:3" ht="15.6" x14ac:dyDescent="0.3">
      <c r="C2537" s="70"/>
    </row>
    <row r="2538" spans="3:3" ht="15.6" x14ac:dyDescent="0.3">
      <c r="C2538" s="70"/>
    </row>
    <row r="2539" spans="3:3" ht="15.6" x14ac:dyDescent="0.3">
      <c r="C2539" s="70"/>
    </row>
    <row r="2540" spans="3:3" ht="15.6" x14ac:dyDescent="0.3">
      <c r="C2540" s="70"/>
    </row>
    <row r="2541" spans="3:3" ht="15.6" x14ac:dyDescent="0.3">
      <c r="C2541" s="70"/>
    </row>
    <row r="2542" spans="3:3" ht="15.6" x14ac:dyDescent="0.3">
      <c r="C2542" s="70"/>
    </row>
    <row r="2543" spans="3:3" ht="15.6" x14ac:dyDescent="0.3">
      <c r="C2543" s="70"/>
    </row>
    <row r="2544" spans="3:3" ht="15.6" x14ac:dyDescent="0.3">
      <c r="C2544" s="70"/>
    </row>
    <row r="2545" spans="3:3" ht="15.6" x14ac:dyDescent="0.3">
      <c r="C2545" s="70"/>
    </row>
    <row r="2546" spans="3:3" ht="15.6" x14ac:dyDescent="0.3">
      <c r="C2546" s="70"/>
    </row>
    <row r="2547" spans="3:3" ht="15.6" x14ac:dyDescent="0.3">
      <c r="C2547" s="70"/>
    </row>
    <row r="2548" spans="3:3" ht="15.6" x14ac:dyDescent="0.3">
      <c r="C2548" s="70"/>
    </row>
    <row r="2549" spans="3:3" ht="15.6" x14ac:dyDescent="0.3">
      <c r="C2549" s="70"/>
    </row>
    <row r="2550" spans="3:3" ht="15.6" x14ac:dyDescent="0.3">
      <c r="C2550" s="70"/>
    </row>
    <row r="2551" spans="3:3" ht="15.6" x14ac:dyDescent="0.3">
      <c r="C2551" s="70"/>
    </row>
    <row r="2552" spans="3:3" ht="15.6" x14ac:dyDescent="0.3">
      <c r="C2552" s="70"/>
    </row>
    <row r="2553" spans="3:3" ht="15.6" x14ac:dyDescent="0.3">
      <c r="C2553" s="70"/>
    </row>
    <row r="2554" spans="3:3" ht="15.6" x14ac:dyDescent="0.3">
      <c r="C2554" s="70"/>
    </row>
    <row r="2555" spans="3:3" ht="15.6" x14ac:dyDescent="0.3">
      <c r="C2555" s="70"/>
    </row>
    <row r="2556" spans="3:3" ht="15.6" x14ac:dyDescent="0.3">
      <c r="C2556" s="70"/>
    </row>
    <row r="2557" spans="3:3" ht="15.6" x14ac:dyDescent="0.3">
      <c r="C2557" s="70"/>
    </row>
    <row r="2558" spans="3:3" ht="15.6" x14ac:dyDescent="0.3">
      <c r="C2558" s="70"/>
    </row>
    <row r="2559" spans="3:3" ht="15.6" x14ac:dyDescent="0.3">
      <c r="C2559" s="70"/>
    </row>
    <row r="2560" spans="3:3" ht="15.6" x14ac:dyDescent="0.3">
      <c r="C2560" s="70"/>
    </row>
    <row r="2561" spans="3:3" ht="15.6" x14ac:dyDescent="0.3">
      <c r="C2561" s="70"/>
    </row>
    <row r="2562" spans="3:3" ht="15.6" x14ac:dyDescent="0.3">
      <c r="C2562" s="70"/>
    </row>
    <row r="2563" spans="3:3" ht="15.6" x14ac:dyDescent="0.3">
      <c r="C2563" s="70"/>
    </row>
    <row r="2564" spans="3:3" ht="15.6" x14ac:dyDescent="0.3">
      <c r="C2564" s="70"/>
    </row>
    <row r="2565" spans="3:3" ht="15.6" x14ac:dyDescent="0.3">
      <c r="C2565" s="70"/>
    </row>
    <row r="2566" spans="3:3" ht="15.6" x14ac:dyDescent="0.3">
      <c r="C2566" s="70"/>
    </row>
    <row r="2567" spans="3:3" ht="15.6" x14ac:dyDescent="0.3">
      <c r="C2567" s="70"/>
    </row>
    <row r="2568" spans="3:3" ht="15.6" x14ac:dyDescent="0.3">
      <c r="C2568" s="70"/>
    </row>
    <row r="2569" spans="3:3" ht="15.6" x14ac:dyDescent="0.3">
      <c r="C2569" s="70"/>
    </row>
    <row r="2570" spans="3:3" ht="15.6" x14ac:dyDescent="0.3">
      <c r="C2570" s="70"/>
    </row>
    <row r="2571" spans="3:3" ht="15.6" x14ac:dyDescent="0.3">
      <c r="C2571" s="70"/>
    </row>
    <row r="2572" spans="3:3" ht="15.6" x14ac:dyDescent="0.3">
      <c r="C2572" s="70"/>
    </row>
    <row r="2573" spans="3:3" ht="15.6" x14ac:dyDescent="0.3">
      <c r="C2573" s="70"/>
    </row>
    <row r="2574" spans="3:3" ht="15.6" x14ac:dyDescent="0.3">
      <c r="C2574" s="70"/>
    </row>
    <row r="2575" spans="3:3" ht="15.6" x14ac:dyDescent="0.3">
      <c r="C2575" s="70"/>
    </row>
    <row r="2576" spans="3:3" ht="15.6" x14ac:dyDescent="0.3">
      <c r="C2576" s="70"/>
    </row>
    <row r="2577" spans="3:3" ht="15.6" x14ac:dyDescent="0.3">
      <c r="C2577" s="70"/>
    </row>
    <row r="2578" spans="3:3" ht="15.6" x14ac:dyDescent="0.3">
      <c r="C2578" s="70"/>
    </row>
    <row r="2579" spans="3:3" ht="15.6" x14ac:dyDescent="0.3">
      <c r="C2579" s="70"/>
    </row>
    <row r="2580" spans="3:3" ht="15.6" x14ac:dyDescent="0.3">
      <c r="C2580" s="70"/>
    </row>
    <row r="2581" spans="3:3" ht="15.6" x14ac:dyDescent="0.3">
      <c r="C2581" s="70"/>
    </row>
    <row r="2582" spans="3:3" ht="15.6" x14ac:dyDescent="0.3">
      <c r="C2582" s="70"/>
    </row>
    <row r="2583" spans="3:3" ht="15.6" x14ac:dyDescent="0.3">
      <c r="C2583" s="70"/>
    </row>
    <row r="2584" spans="3:3" ht="15.6" x14ac:dyDescent="0.3">
      <c r="C2584" s="70"/>
    </row>
    <row r="2585" spans="3:3" ht="15.6" x14ac:dyDescent="0.3">
      <c r="C2585" s="70"/>
    </row>
    <row r="2586" spans="3:3" ht="15.6" x14ac:dyDescent="0.3">
      <c r="C2586" s="70"/>
    </row>
    <row r="2587" spans="3:3" ht="15.6" x14ac:dyDescent="0.3">
      <c r="C2587" s="70"/>
    </row>
    <row r="2588" spans="3:3" ht="15.6" x14ac:dyDescent="0.3">
      <c r="C2588" s="70"/>
    </row>
    <row r="2589" spans="3:3" ht="15.6" x14ac:dyDescent="0.3">
      <c r="C2589" s="70"/>
    </row>
    <row r="2590" spans="3:3" ht="15.6" x14ac:dyDescent="0.3">
      <c r="C2590" s="70"/>
    </row>
    <row r="2591" spans="3:3" ht="15.6" x14ac:dyDescent="0.3">
      <c r="C2591" s="70"/>
    </row>
    <row r="2592" spans="3:3" ht="15.6" x14ac:dyDescent="0.3">
      <c r="C2592" s="70"/>
    </row>
    <row r="2593" spans="3:3" ht="15.6" x14ac:dyDescent="0.3">
      <c r="C2593" s="70"/>
    </row>
    <row r="2594" spans="3:3" ht="15.6" x14ac:dyDescent="0.3">
      <c r="C2594" s="70"/>
    </row>
    <row r="2595" spans="3:3" ht="15.6" x14ac:dyDescent="0.3">
      <c r="C2595" s="70"/>
    </row>
    <row r="2596" spans="3:3" ht="15.6" x14ac:dyDescent="0.3">
      <c r="C2596" s="70"/>
    </row>
    <row r="2597" spans="3:3" ht="15.6" x14ac:dyDescent="0.3">
      <c r="C2597" s="70"/>
    </row>
    <row r="2598" spans="3:3" ht="15.6" x14ac:dyDescent="0.3">
      <c r="C2598" s="70"/>
    </row>
    <row r="2599" spans="3:3" ht="15.6" x14ac:dyDescent="0.3">
      <c r="C2599" s="70"/>
    </row>
    <row r="2600" spans="3:3" ht="15.6" x14ac:dyDescent="0.3">
      <c r="C2600" s="70"/>
    </row>
    <row r="2601" spans="3:3" ht="15.6" x14ac:dyDescent="0.3">
      <c r="C2601" s="70"/>
    </row>
    <row r="2602" spans="3:3" ht="15.6" x14ac:dyDescent="0.3">
      <c r="C2602" s="70"/>
    </row>
    <row r="2603" spans="3:3" ht="15.6" x14ac:dyDescent="0.3">
      <c r="C2603" s="70"/>
    </row>
    <row r="2604" spans="3:3" ht="15.6" x14ac:dyDescent="0.3">
      <c r="C2604" s="70"/>
    </row>
    <row r="2605" spans="3:3" ht="15.6" x14ac:dyDescent="0.3">
      <c r="C2605" s="70"/>
    </row>
    <row r="2606" spans="3:3" ht="15.6" x14ac:dyDescent="0.3">
      <c r="C2606" s="70"/>
    </row>
    <row r="2607" spans="3:3" ht="15.6" x14ac:dyDescent="0.3">
      <c r="C2607" s="70"/>
    </row>
    <row r="2608" spans="3:3" ht="15.6" x14ac:dyDescent="0.3">
      <c r="C2608" s="70"/>
    </row>
    <row r="2609" spans="3:3" ht="15.6" x14ac:dyDescent="0.3">
      <c r="C2609" s="70"/>
    </row>
    <row r="2610" spans="3:3" ht="15.6" x14ac:dyDescent="0.3">
      <c r="C2610" s="70"/>
    </row>
    <row r="2611" spans="3:3" ht="15.6" x14ac:dyDescent="0.3">
      <c r="C2611" s="70"/>
    </row>
    <row r="2612" spans="3:3" ht="15.6" x14ac:dyDescent="0.3">
      <c r="C2612" s="70"/>
    </row>
    <row r="2613" spans="3:3" ht="15.6" x14ac:dyDescent="0.3">
      <c r="C2613" s="70"/>
    </row>
    <row r="2614" spans="3:3" ht="15.6" x14ac:dyDescent="0.3">
      <c r="C2614" s="70"/>
    </row>
    <row r="2615" spans="3:3" ht="15.6" x14ac:dyDescent="0.3">
      <c r="C2615" s="70"/>
    </row>
    <row r="2616" spans="3:3" ht="15.6" x14ac:dyDescent="0.3">
      <c r="C2616" s="70"/>
    </row>
    <row r="2617" spans="3:3" ht="15.6" x14ac:dyDescent="0.3">
      <c r="C2617" s="70"/>
    </row>
    <row r="2618" spans="3:3" ht="15.6" x14ac:dyDescent="0.3">
      <c r="C2618" s="70"/>
    </row>
    <row r="2619" spans="3:3" ht="15.6" x14ac:dyDescent="0.3">
      <c r="C2619" s="70"/>
    </row>
    <row r="2620" spans="3:3" ht="15.6" x14ac:dyDescent="0.3">
      <c r="C2620" s="70"/>
    </row>
    <row r="2621" spans="3:3" ht="15.6" x14ac:dyDescent="0.3">
      <c r="C2621" s="70"/>
    </row>
    <row r="2622" spans="3:3" ht="15.6" x14ac:dyDescent="0.3">
      <c r="C2622" s="70"/>
    </row>
    <row r="2623" spans="3:3" ht="15.6" x14ac:dyDescent="0.3">
      <c r="C2623" s="70"/>
    </row>
    <row r="2624" spans="3:3" ht="15.6" x14ac:dyDescent="0.3">
      <c r="C2624" s="70"/>
    </row>
    <row r="2625" spans="3:3" ht="15.6" x14ac:dyDescent="0.3">
      <c r="C2625" s="70"/>
    </row>
    <row r="2626" spans="3:3" ht="15.6" x14ac:dyDescent="0.3">
      <c r="C2626" s="70"/>
    </row>
    <row r="2627" spans="3:3" ht="15.6" x14ac:dyDescent="0.3">
      <c r="C2627" s="70"/>
    </row>
    <row r="2628" spans="3:3" ht="15.6" x14ac:dyDescent="0.3">
      <c r="C2628" s="70"/>
    </row>
    <row r="2629" spans="3:3" ht="15.6" x14ac:dyDescent="0.3">
      <c r="C2629" s="70"/>
    </row>
    <row r="2630" spans="3:3" ht="15.6" x14ac:dyDescent="0.3">
      <c r="C2630" s="70"/>
    </row>
    <row r="2631" spans="3:3" ht="15.6" x14ac:dyDescent="0.3">
      <c r="C2631" s="70"/>
    </row>
    <row r="2632" spans="3:3" ht="15.6" x14ac:dyDescent="0.3">
      <c r="C2632" s="70"/>
    </row>
    <row r="2633" spans="3:3" ht="15.6" x14ac:dyDescent="0.3">
      <c r="C2633" s="70"/>
    </row>
    <row r="2634" spans="3:3" ht="15.6" x14ac:dyDescent="0.3">
      <c r="C2634" s="70"/>
    </row>
    <row r="2635" spans="3:3" ht="15.6" x14ac:dyDescent="0.3">
      <c r="C2635" s="70"/>
    </row>
    <row r="2636" spans="3:3" ht="15.6" x14ac:dyDescent="0.3">
      <c r="C2636" s="70"/>
    </row>
    <row r="2637" spans="3:3" ht="15.6" x14ac:dyDescent="0.3">
      <c r="C2637" s="70"/>
    </row>
    <row r="2638" spans="3:3" ht="15.6" x14ac:dyDescent="0.3">
      <c r="C2638" s="70"/>
    </row>
    <row r="2639" spans="3:3" ht="15.6" x14ac:dyDescent="0.3">
      <c r="C2639" s="70"/>
    </row>
    <row r="2640" spans="3:3" ht="15.6" x14ac:dyDescent="0.3">
      <c r="C2640" s="70"/>
    </row>
    <row r="2641" spans="3:3" ht="15.6" x14ac:dyDescent="0.3">
      <c r="C2641" s="70"/>
    </row>
    <row r="2642" spans="3:3" ht="15.6" x14ac:dyDescent="0.3">
      <c r="C2642" s="70"/>
    </row>
    <row r="2643" spans="3:3" ht="15.6" x14ac:dyDescent="0.3">
      <c r="C2643" s="70"/>
    </row>
    <row r="2644" spans="3:3" ht="15.6" x14ac:dyDescent="0.3">
      <c r="C2644" s="70"/>
    </row>
    <row r="2645" spans="3:3" ht="15.6" x14ac:dyDescent="0.3">
      <c r="C2645" s="70"/>
    </row>
    <row r="2646" spans="3:3" ht="15.6" x14ac:dyDescent="0.3">
      <c r="C2646" s="70"/>
    </row>
    <row r="2647" spans="3:3" ht="15.6" x14ac:dyDescent="0.3">
      <c r="C2647" s="70"/>
    </row>
    <row r="2648" spans="3:3" ht="15.6" x14ac:dyDescent="0.3">
      <c r="C2648" s="70"/>
    </row>
    <row r="2649" spans="3:3" ht="15.6" x14ac:dyDescent="0.3">
      <c r="C2649" s="70"/>
    </row>
    <row r="2650" spans="3:3" ht="15.6" x14ac:dyDescent="0.3">
      <c r="C2650" s="70"/>
    </row>
    <row r="2651" spans="3:3" ht="15.6" x14ac:dyDescent="0.3">
      <c r="C2651" s="70"/>
    </row>
    <row r="2652" spans="3:3" ht="15.6" x14ac:dyDescent="0.3">
      <c r="C2652" s="70"/>
    </row>
    <row r="2653" spans="3:3" ht="15.6" x14ac:dyDescent="0.3">
      <c r="C2653" s="70"/>
    </row>
    <row r="2654" spans="3:3" ht="15.6" x14ac:dyDescent="0.3">
      <c r="C2654" s="70"/>
    </row>
    <row r="2655" spans="3:3" ht="15.6" x14ac:dyDescent="0.3">
      <c r="C2655" s="70"/>
    </row>
    <row r="2656" spans="3:3" ht="15.6" x14ac:dyDescent="0.3">
      <c r="C2656" s="70"/>
    </row>
    <row r="2657" spans="3:3" ht="15.6" x14ac:dyDescent="0.3">
      <c r="C2657" s="70"/>
    </row>
    <row r="2658" spans="3:3" ht="15.6" x14ac:dyDescent="0.3">
      <c r="C2658" s="70"/>
    </row>
    <row r="2659" spans="3:3" ht="15.6" x14ac:dyDescent="0.3">
      <c r="C2659" s="70"/>
    </row>
    <row r="2660" spans="3:3" ht="15.6" x14ac:dyDescent="0.3">
      <c r="C2660" s="70"/>
    </row>
    <row r="2661" spans="3:3" ht="15.6" x14ac:dyDescent="0.3">
      <c r="C2661" s="70"/>
    </row>
    <row r="2662" spans="3:3" ht="15.6" x14ac:dyDescent="0.3">
      <c r="C2662" s="70"/>
    </row>
    <row r="2663" spans="3:3" ht="15.6" x14ac:dyDescent="0.3">
      <c r="C2663" s="70"/>
    </row>
    <row r="2664" spans="3:3" ht="15.6" x14ac:dyDescent="0.3">
      <c r="C2664" s="70"/>
    </row>
    <row r="2665" spans="3:3" ht="15.6" x14ac:dyDescent="0.3">
      <c r="C2665" s="70"/>
    </row>
    <row r="2666" spans="3:3" ht="15.6" x14ac:dyDescent="0.3">
      <c r="C2666" s="70"/>
    </row>
    <row r="2667" spans="3:3" ht="15.6" x14ac:dyDescent="0.3">
      <c r="C2667" s="70"/>
    </row>
    <row r="2668" spans="3:3" ht="15.6" x14ac:dyDescent="0.3">
      <c r="C2668" s="70"/>
    </row>
    <row r="2669" spans="3:3" ht="15.6" x14ac:dyDescent="0.3">
      <c r="C2669" s="70"/>
    </row>
    <row r="2670" spans="3:3" ht="15.6" x14ac:dyDescent="0.3">
      <c r="C2670" s="70"/>
    </row>
    <row r="2671" spans="3:3" ht="15.6" x14ac:dyDescent="0.3">
      <c r="C2671" s="70"/>
    </row>
    <row r="2672" spans="3:3" ht="15.6" x14ac:dyDescent="0.3">
      <c r="C2672" s="70"/>
    </row>
    <row r="2673" spans="3:3" ht="15.6" x14ac:dyDescent="0.3">
      <c r="C2673" s="70"/>
    </row>
    <row r="2674" spans="3:3" ht="15.6" x14ac:dyDescent="0.3">
      <c r="C2674" s="70"/>
    </row>
    <row r="2675" spans="3:3" ht="15.6" x14ac:dyDescent="0.3">
      <c r="C2675" s="70"/>
    </row>
    <row r="2676" spans="3:3" ht="15.6" x14ac:dyDescent="0.3">
      <c r="C2676" s="70"/>
    </row>
    <row r="2677" spans="3:3" ht="15.6" x14ac:dyDescent="0.3">
      <c r="C2677" s="70"/>
    </row>
    <row r="2678" spans="3:3" ht="15.6" x14ac:dyDescent="0.3">
      <c r="C2678" s="70"/>
    </row>
    <row r="2679" spans="3:3" ht="15.6" x14ac:dyDescent="0.3">
      <c r="C2679" s="70"/>
    </row>
    <row r="2680" spans="3:3" ht="15.6" x14ac:dyDescent="0.3">
      <c r="C2680" s="70"/>
    </row>
    <row r="2681" spans="3:3" ht="15.6" x14ac:dyDescent="0.3">
      <c r="C2681" s="70"/>
    </row>
    <row r="2682" spans="3:3" ht="15.6" x14ac:dyDescent="0.3">
      <c r="C2682" s="70"/>
    </row>
    <row r="2683" spans="3:3" ht="15.6" x14ac:dyDescent="0.3">
      <c r="C2683" s="70"/>
    </row>
    <row r="2684" spans="3:3" ht="15.6" x14ac:dyDescent="0.3">
      <c r="C2684" s="70"/>
    </row>
    <row r="2685" spans="3:3" ht="15.6" x14ac:dyDescent="0.3">
      <c r="C2685" s="70"/>
    </row>
    <row r="2686" spans="3:3" ht="15.6" x14ac:dyDescent="0.3">
      <c r="C2686" s="70"/>
    </row>
    <row r="2687" spans="3:3" ht="15.6" x14ac:dyDescent="0.3">
      <c r="C2687" s="70"/>
    </row>
    <row r="2688" spans="3:3" ht="15.6" x14ac:dyDescent="0.3">
      <c r="C2688" s="70"/>
    </row>
    <row r="2689" spans="3:3" ht="15.6" x14ac:dyDescent="0.3">
      <c r="C2689" s="70"/>
    </row>
    <row r="2690" spans="3:3" ht="15.6" x14ac:dyDescent="0.3">
      <c r="C2690" s="70"/>
    </row>
    <row r="2691" spans="3:3" ht="15.6" x14ac:dyDescent="0.3">
      <c r="C2691" s="70"/>
    </row>
    <row r="2692" spans="3:3" ht="15.6" x14ac:dyDescent="0.3">
      <c r="C2692" s="70"/>
    </row>
    <row r="2693" spans="3:3" ht="15.6" x14ac:dyDescent="0.3">
      <c r="C2693" s="70"/>
    </row>
    <row r="2694" spans="3:3" ht="15.6" x14ac:dyDescent="0.3">
      <c r="C2694" s="70"/>
    </row>
    <row r="2695" spans="3:3" ht="15.6" x14ac:dyDescent="0.3">
      <c r="C2695" s="70"/>
    </row>
    <row r="2696" spans="3:3" ht="15.6" x14ac:dyDescent="0.3">
      <c r="C2696" s="70"/>
    </row>
    <row r="2697" spans="3:3" ht="15.6" x14ac:dyDescent="0.3">
      <c r="C2697" s="70"/>
    </row>
    <row r="2698" spans="3:3" ht="15.6" x14ac:dyDescent="0.3">
      <c r="C2698" s="70"/>
    </row>
    <row r="2699" spans="3:3" ht="15.6" x14ac:dyDescent="0.3">
      <c r="C2699" s="70"/>
    </row>
    <row r="2700" spans="3:3" ht="15.6" x14ac:dyDescent="0.3">
      <c r="C2700" s="70"/>
    </row>
    <row r="2701" spans="3:3" ht="15.6" x14ac:dyDescent="0.3">
      <c r="C2701" s="70"/>
    </row>
    <row r="2702" spans="3:3" ht="15.6" x14ac:dyDescent="0.3">
      <c r="C2702" s="70"/>
    </row>
    <row r="2703" spans="3:3" ht="15.6" x14ac:dyDescent="0.3">
      <c r="C2703" s="70"/>
    </row>
    <row r="2704" spans="3:3" ht="15.6" x14ac:dyDescent="0.3">
      <c r="C2704" s="70"/>
    </row>
    <row r="2705" spans="3:3" ht="15.6" x14ac:dyDescent="0.3">
      <c r="C2705" s="70"/>
    </row>
    <row r="2706" spans="3:3" ht="15.6" x14ac:dyDescent="0.3">
      <c r="C2706" s="70"/>
    </row>
    <row r="2707" spans="3:3" ht="15.6" x14ac:dyDescent="0.3">
      <c r="C2707" s="70"/>
    </row>
    <row r="2708" spans="3:3" ht="15.6" x14ac:dyDescent="0.3">
      <c r="C2708" s="70"/>
    </row>
    <row r="2709" spans="3:3" ht="15.6" x14ac:dyDescent="0.3">
      <c r="C2709" s="70"/>
    </row>
    <row r="2710" spans="3:3" ht="15.6" x14ac:dyDescent="0.3">
      <c r="C2710" s="70"/>
    </row>
    <row r="2711" spans="3:3" ht="15.6" x14ac:dyDescent="0.3">
      <c r="C2711" s="70"/>
    </row>
    <row r="2712" spans="3:3" ht="15.6" x14ac:dyDescent="0.3">
      <c r="C2712" s="70"/>
    </row>
    <row r="2713" spans="3:3" ht="15.6" x14ac:dyDescent="0.3">
      <c r="C2713" s="70"/>
    </row>
    <row r="2714" spans="3:3" ht="15.6" x14ac:dyDescent="0.3">
      <c r="C2714" s="70"/>
    </row>
    <row r="2715" spans="3:3" ht="15.6" x14ac:dyDescent="0.3">
      <c r="C2715" s="70"/>
    </row>
    <row r="2716" spans="3:3" ht="15.6" x14ac:dyDescent="0.3">
      <c r="C2716" s="70"/>
    </row>
    <row r="2717" spans="3:3" ht="15.6" x14ac:dyDescent="0.3">
      <c r="C2717" s="70"/>
    </row>
    <row r="2718" spans="3:3" ht="15.6" x14ac:dyDescent="0.3">
      <c r="C2718" s="70"/>
    </row>
    <row r="2719" spans="3:3" ht="15.6" x14ac:dyDescent="0.3">
      <c r="C2719" s="70"/>
    </row>
    <row r="2720" spans="3:3" ht="15.6" x14ac:dyDescent="0.3">
      <c r="C2720" s="70"/>
    </row>
    <row r="2721" spans="3:3" ht="15.6" x14ac:dyDescent="0.3">
      <c r="C2721" s="70"/>
    </row>
    <row r="2722" spans="3:3" ht="15.6" x14ac:dyDescent="0.3">
      <c r="C2722" s="70"/>
    </row>
    <row r="2723" spans="3:3" ht="15.6" x14ac:dyDescent="0.3">
      <c r="C2723" s="70"/>
    </row>
    <row r="2724" spans="3:3" ht="15.6" x14ac:dyDescent="0.3">
      <c r="C2724" s="70"/>
    </row>
    <row r="2725" spans="3:3" ht="15.6" x14ac:dyDescent="0.3">
      <c r="C2725" s="70"/>
    </row>
    <row r="2726" spans="3:3" ht="15.6" x14ac:dyDescent="0.3">
      <c r="C2726" s="70"/>
    </row>
    <row r="2727" spans="3:3" ht="15.6" x14ac:dyDescent="0.3">
      <c r="C2727" s="70"/>
    </row>
    <row r="2728" spans="3:3" ht="15.6" x14ac:dyDescent="0.3">
      <c r="C2728" s="70"/>
    </row>
    <row r="2729" spans="3:3" ht="15.6" x14ac:dyDescent="0.3">
      <c r="C2729" s="70"/>
    </row>
    <row r="2730" spans="3:3" ht="15.6" x14ac:dyDescent="0.3">
      <c r="C2730" s="70"/>
    </row>
    <row r="2731" spans="3:3" ht="15.6" x14ac:dyDescent="0.3">
      <c r="C2731" s="70"/>
    </row>
    <row r="2732" spans="3:3" ht="15.6" x14ac:dyDescent="0.3">
      <c r="C2732" s="70"/>
    </row>
    <row r="2733" spans="3:3" ht="15.6" x14ac:dyDescent="0.3">
      <c r="C2733" s="70"/>
    </row>
    <row r="2734" spans="3:3" ht="15.6" x14ac:dyDescent="0.3">
      <c r="C2734" s="70"/>
    </row>
    <row r="2735" spans="3:3" ht="15.6" x14ac:dyDescent="0.3">
      <c r="C2735" s="70"/>
    </row>
    <row r="2736" spans="3:3" ht="15.6" x14ac:dyDescent="0.3">
      <c r="C2736" s="70"/>
    </row>
    <row r="2737" spans="3:3" ht="15.6" x14ac:dyDescent="0.3">
      <c r="C2737" s="70"/>
    </row>
    <row r="2738" spans="3:3" ht="15.6" x14ac:dyDescent="0.3">
      <c r="C2738" s="70"/>
    </row>
    <row r="2739" spans="3:3" ht="15.6" x14ac:dyDescent="0.3">
      <c r="C2739" s="70"/>
    </row>
    <row r="2740" spans="3:3" ht="15.6" x14ac:dyDescent="0.3">
      <c r="C2740" s="70"/>
    </row>
    <row r="2741" spans="3:3" ht="15.6" x14ac:dyDescent="0.3">
      <c r="C2741" s="70"/>
    </row>
    <row r="2742" spans="3:3" ht="15.6" x14ac:dyDescent="0.3">
      <c r="C2742" s="70"/>
    </row>
    <row r="2743" spans="3:3" ht="15.6" x14ac:dyDescent="0.3">
      <c r="C2743" s="70"/>
    </row>
    <row r="2744" spans="3:3" ht="15.6" x14ac:dyDescent="0.3">
      <c r="C2744" s="70"/>
    </row>
    <row r="2745" spans="3:3" ht="15.6" x14ac:dyDescent="0.3">
      <c r="C2745" s="70"/>
    </row>
    <row r="2746" spans="3:3" ht="15.6" x14ac:dyDescent="0.3">
      <c r="C2746" s="70"/>
    </row>
    <row r="2747" spans="3:3" ht="15.6" x14ac:dyDescent="0.3">
      <c r="C2747" s="70"/>
    </row>
    <row r="2748" spans="3:3" ht="15.6" x14ac:dyDescent="0.3">
      <c r="C2748" s="70"/>
    </row>
    <row r="2749" spans="3:3" ht="15.6" x14ac:dyDescent="0.3">
      <c r="C2749" s="70"/>
    </row>
    <row r="2750" spans="3:3" ht="15.6" x14ac:dyDescent="0.3">
      <c r="C2750" s="70"/>
    </row>
    <row r="2751" spans="3:3" ht="15.6" x14ac:dyDescent="0.3">
      <c r="C2751" s="70"/>
    </row>
    <row r="2752" spans="3:3" ht="15.6" x14ac:dyDescent="0.3">
      <c r="C2752" s="70"/>
    </row>
    <row r="2753" spans="3:3" ht="15.6" x14ac:dyDescent="0.3">
      <c r="C2753" s="70"/>
    </row>
    <row r="2754" spans="3:3" ht="15.6" x14ac:dyDescent="0.3">
      <c r="C2754" s="70"/>
    </row>
    <row r="2755" spans="3:3" ht="15.6" x14ac:dyDescent="0.3">
      <c r="C2755" s="70"/>
    </row>
    <row r="2756" spans="3:3" ht="15.6" x14ac:dyDescent="0.3">
      <c r="C2756" s="70"/>
    </row>
    <row r="2757" spans="3:3" ht="15.6" x14ac:dyDescent="0.3">
      <c r="C2757" s="70"/>
    </row>
    <row r="2758" spans="3:3" ht="15.6" x14ac:dyDescent="0.3">
      <c r="C2758" s="70"/>
    </row>
    <row r="2759" spans="3:3" ht="15.6" x14ac:dyDescent="0.3">
      <c r="C2759" s="70"/>
    </row>
    <row r="2760" spans="3:3" ht="15.6" x14ac:dyDescent="0.3">
      <c r="C2760" s="70"/>
    </row>
    <row r="2761" spans="3:3" ht="15.6" x14ac:dyDescent="0.3">
      <c r="C2761" s="70"/>
    </row>
    <row r="2762" spans="3:3" ht="15.6" x14ac:dyDescent="0.3">
      <c r="C2762" s="70"/>
    </row>
    <row r="2763" spans="3:3" ht="15.6" x14ac:dyDescent="0.3">
      <c r="C2763" s="70"/>
    </row>
    <row r="2764" spans="3:3" ht="15.6" x14ac:dyDescent="0.3">
      <c r="C2764" s="70"/>
    </row>
    <row r="2765" spans="3:3" ht="15.6" x14ac:dyDescent="0.3">
      <c r="C2765" s="70"/>
    </row>
    <row r="2766" spans="3:3" ht="15.6" x14ac:dyDescent="0.3">
      <c r="C2766" s="70"/>
    </row>
    <row r="2767" spans="3:3" ht="15.6" x14ac:dyDescent="0.3">
      <c r="C2767" s="70"/>
    </row>
    <row r="2768" spans="3:3" ht="15.6" x14ac:dyDescent="0.3">
      <c r="C2768" s="70"/>
    </row>
    <row r="2769" spans="3:3" ht="15.6" x14ac:dyDescent="0.3">
      <c r="C2769" s="70"/>
    </row>
    <row r="2770" spans="3:3" ht="15.6" x14ac:dyDescent="0.3">
      <c r="C2770" s="70"/>
    </row>
    <row r="2771" spans="3:3" ht="15.6" x14ac:dyDescent="0.3">
      <c r="C2771" s="70"/>
    </row>
    <row r="2772" spans="3:3" ht="15.6" x14ac:dyDescent="0.3">
      <c r="C2772" s="70"/>
    </row>
    <row r="2773" spans="3:3" ht="15.6" x14ac:dyDescent="0.3">
      <c r="C2773" s="70"/>
    </row>
    <row r="2774" spans="3:3" ht="15.6" x14ac:dyDescent="0.3">
      <c r="C2774" s="70"/>
    </row>
    <row r="2775" spans="3:3" ht="15.6" x14ac:dyDescent="0.3">
      <c r="C2775" s="70"/>
    </row>
    <row r="2776" spans="3:3" ht="15.6" x14ac:dyDescent="0.3">
      <c r="C2776" s="70"/>
    </row>
    <row r="2777" spans="3:3" ht="15.6" x14ac:dyDescent="0.3">
      <c r="C2777" s="70"/>
    </row>
    <row r="2778" spans="3:3" ht="15.6" x14ac:dyDescent="0.3">
      <c r="C2778" s="70"/>
    </row>
    <row r="2779" spans="3:3" ht="15.6" x14ac:dyDescent="0.3">
      <c r="C2779" s="70"/>
    </row>
    <row r="2780" spans="3:3" ht="15.6" x14ac:dyDescent="0.3">
      <c r="C2780" s="70"/>
    </row>
    <row r="2781" spans="3:3" ht="15.6" x14ac:dyDescent="0.3">
      <c r="C2781" s="70"/>
    </row>
    <row r="2782" spans="3:3" ht="15.6" x14ac:dyDescent="0.3">
      <c r="C2782" s="70"/>
    </row>
    <row r="2783" spans="3:3" ht="15.6" x14ac:dyDescent="0.3">
      <c r="C2783" s="70"/>
    </row>
    <row r="2784" spans="3:3" ht="15.6" x14ac:dyDescent="0.3">
      <c r="C2784" s="70"/>
    </row>
    <row r="2785" spans="3:3" ht="15.6" x14ac:dyDescent="0.3">
      <c r="C2785" s="70"/>
    </row>
    <row r="2786" spans="3:3" ht="15.6" x14ac:dyDescent="0.3">
      <c r="C2786" s="70"/>
    </row>
    <row r="2787" spans="3:3" ht="15.6" x14ac:dyDescent="0.3">
      <c r="C2787" s="70"/>
    </row>
    <row r="2788" spans="3:3" ht="15.6" x14ac:dyDescent="0.3">
      <c r="C2788" s="70"/>
    </row>
    <row r="2789" spans="3:3" ht="15.6" x14ac:dyDescent="0.3">
      <c r="C2789" s="70"/>
    </row>
    <row r="2790" spans="3:3" ht="15.6" x14ac:dyDescent="0.3">
      <c r="C2790" s="70"/>
    </row>
    <row r="2791" spans="3:3" ht="15.6" x14ac:dyDescent="0.3">
      <c r="C2791" s="70"/>
    </row>
    <row r="2792" spans="3:3" ht="15.6" x14ac:dyDescent="0.3">
      <c r="C2792" s="70"/>
    </row>
    <row r="2793" spans="3:3" ht="15.6" x14ac:dyDescent="0.3">
      <c r="C2793" s="70"/>
    </row>
    <row r="2794" spans="3:3" ht="15.6" x14ac:dyDescent="0.3">
      <c r="C2794" s="70"/>
    </row>
    <row r="2795" spans="3:3" ht="15.6" x14ac:dyDescent="0.3">
      <c r="C2795" s="70"/>
    </row>
    <row r="2796" spans="3:3" ht="15.6" x14ac:dyDescent="0.3">
      <c r="C2796" s="70"/>
    </row>
    <row r="2797" spans="3:3" ht="15.6" x14ac:dyDescent="0.3">
      <c r="C2797" s="70"/>
    </row>
    <row r="2798" spans="3:3" ht="15.6" x14ac:dyDescent="0.3">
      <c r="C2798" s="70"/>
    </row>
    <row r="2799" spans="3:3" ht="15.6" x14ac:dyDescent="0.3">
      <c r="C2799" s="70"/>
    </row>
    <row r="2800" spans="3:3" ht="15.6" x14ac:dyDescent="0.3">
      <c r="C2800" s="70"/>
    </row>
    <row r="2801" spans="3:3" ht="15.6" x14ac:dyDescent="0.3">
      <c r="C2801" s="70"/>
    </row>
    <row r="2802" spans="3:3" ht="15.6" x14ac:dyDescent="0.3">
      <c r="C2802" s="70"/>
    </row>
    <row r="2803" spans="3:3" ht="15.6" x14ac:dyDescent="0.3">
      <c r="C2803" s="70"/>
    </row>
    <row r="2804" spans="3:3" ht="15.6" x14ac:dyDescent="0.3">
      <c r="C2804" s="70"/>
    </row>
    <row r="2805" spans="3:3" ht="15.6" x14ac:dyDescent="0.3">
      <c r="C2805" s="70"/>
    </row>
    <row r="2806" spans="3:3" ht="15.6" x14ac:dyDescent="0.3">
      <c r="C2806" s="70"/>
    </row>
    <row r="2807" spans="3:3" ht="15.6" x14ac:dyDescent="0.3">
      <c r="C2807" s="70"/>
    </row>
    <row r="2808" spans="3:3" ht="15.6" x14ac:dyDescent="0.3">
      <c r="C2808" s="70"/>
    </row>
    <row r="2809" spans="3:3" ht="15.6" x14ac:dyDescent="0.3">
      <c r="C2809" s="70"/>
    </row>
    <row r="2810" spans="3:3" ht="15.6" x14ac:dyDescent="0.3">
      <c r="C2810" s="70"/>
    </row>
    <row r="2811" spans="3:3" ht="15.6" x14ac:dyDescent="0.3">
      <c r="C2811" s="70"/>
    </row>
    <row r="2812" spans="3:3" ht="15.6" x14ac:dyDescent="0.3">
      <c r="C2812" s="70"/>
    </row>
    <row r="2813" spans="3:3" ht="15.6" x14ac:dyDescent="0.3">
      <c r="C2813" s="70"/>
    </row>
    <row r="2814" spans="3:3" ht="15.6" x14ac:dyDescent="0.3">
      <c r="C2814" s="70"/>
    </row>
    <row r="2815" spans="3:3" ht="15.6" x14ac:dyDescent="0.3">
      <c r="C2815" s="70"/>
    </row>
    <row r="2816" spans="3:3" ht="15.6" x14ac:dyDescent="0.3">
      <c r="C2816" s="70"/>
    </row>
    <row r="2817" spans="3:3" ht="15.6" x14ac:dyDescent="0.3">
      <c r="C2817" s="70"/>
    </row>
    <row r="2818" spans="3:3" ht="15.6" x14ac:dyDescent="0.3">
      <c r="C2818" s="70"/>
    </row>
    <row r="2819" spans="3:3" ht="15.6" x14ac:dyDescent="0.3">
      <c r="C2819" s="70"/>
    </row>
    <row r="2820" spans="3:3" ht="15.6" x14ac:dyDescent="0.3">
      <c r="C2820" s="70"/>
    </row>
    <row r="2821" spans="3:3" ht="15.6" x14ac:dyDescent="0.3">
      <c r="C2821" s="70"/>
    </row>
    <row r="2822" spans="3:3" ht="15.6" x14ac:dyDescent="0.3">
      <c r="C2822" s="70"/>
    </row>
    <row r="2823" spans="3:3" ht="15.6" x14ac:dyDescent="0.3">
      <c r="C2823" s="70"/>
    </row>
    <row r="2824" spans="3:3" ht="15.6" x14ac:dyDescent="0.3">
      <c r="C2824" s="70"/>
    </row>
    <row r="2825" spans="3:3" ht="15.6" x14ac:dyDescent="0.3">
      <c r="C2825" s="70"/>
    </row>
    <row r="2826" spans="3:3" ht="15.6" x14ac:dyDescent="0.3">
      <c r="C2826" s="70"/>
    </row>
    <row r="2827" spans="3:3" ht="15.6" x14ac:dyDescent="0.3">
      <c r="C2827" s="70"/>
    </row>
    <row r="2828" spans="3:3" ht="15.6" x14ac:dyDescent="0.3">
      <c r="C2828" s="70"/>
    </row>
    <row r="2829" spans="3:3" ht="15.6" x14ac:dyDescent="0.3">
      <c r="C2829" s="70"/>
    </row>
    <row r="2830" spans="3:3" ht="15.6" x14ac:dyDescent="0.3">
      <c r="C2830" s="70"/>
    </row>
    <row r="2831" spans="3:3" ht="15.6" x14ac:dyDescent="0.3">
      <c r="C2831" s="70"/>
    </row>
    <row r="2832" spans="3:3" ht="15.6" x14ac:dyDescent="0.3">
      <c r="C2832" s="70"/>
    </row>
    <row r="2833" spans="3:3" ht="15.6" x14ac:dyDescent="0.3">
      <c r="C2833" s="70"/>
    </row>
    <row r="2834" spans="3:3" ht="15.6" x14ac:dyDescent="0.3">
      <c r="C2834" s="70"/>
    </row>
    <row r="2835" spans="3:3" ht="15.6" x14ac:dyDescent="0.3">
      <c r="C2835" s="70"/>
    </row>
    <row r="2836" spans="3:3" ht="15.6" x14ac:dyDescent="0.3">
      <c r="C2836" s="70"/>
    </row>
    <row r="2837" spans="3:3" ht="15.6" x14ac:dyDescent="0.3">
      <c r="C2837" s="70"/>
    </row>
    <row r="2838" spans="3:3" ht="15.6" x14ac:dyDescent="0.3">
      <c r="C2838" s="70"/>
    </row>
    <row r="2839" spans="3:3" ht="15.6" x14ac:dyDescent="0.3">
      <c r="C2839" s="70"/>
    </row>
    <row r="2840" spans="3:3" ht="15.6" x14ac:dyDescent="0.3">
      <c r="C2840" s="70"/>
    </row>
    <row r="2841" spans="3:3" ht="15.6" x14ac:dyDescent="0.3">
      <c r="C2841" s="70"/>
    </row>
    <row r="2842" spans="3:3" ht="15.6" x14ac:dyDescent="0.3">
      <c r="C2842" s="70"/>
    </row>
    <row r="2843" spans="3:3" ht="15.6" x14ac:dyDescent="0.3">
      <c r="C2843" s="70"/>
    </row>
    <row r="2844" spans="3:3" ht="15.6" x14ac:dyDescent="0.3">
      <c r="C2844" s="70"/>
    </row>
    <row r="2845" spans="3:3" ht="15.6" x14ac:dyDescent="0.3">
      <c r="C2845" s="70"/>
    </row>
    <row r="2846" spans="3:3" ht="15.6" x14ac:dyDescent="0.3">
      <c r="C2846" s="70"/>
    </row>
    <row r="2847" spans="3:3" ht="15.6" x14ac:dyDescent="0.3">
      <c r="C2847" s="70"/>
    </row>
    <row r="2848" spans="3:3" ht="15.6" x14ac:dyDescent="0.3">
      <c r="C2848" s="70"/>
    </row>
    <row r="2849" spans="3:3" ht="15.6" x14ac:dyDescent="0.3">
      <c r="C2849" s="70"/>
    </row>
    <row r="2850" spans="3:3" ht="15.6" x14ac:dyDescent="0.3">
      <c r="C2850" s="70"/>
    </row>
    <row r="2851" spans="3:3" ht="15.6" x14ac:dyDescent="0.3">
      <c r="C2851" s="70"/>
    </row>
    <row r="2852" spans="3:3" ht="15.6" x14ac:dyDescent="0.3">
      <c r="C2852" s="70"/>
    </row>
    <row r="2853" spans="3:3" ht="15.6" x14ac:dyDescent="0.3">
      <c r="C2853" s="70"/>
    </row>
    <row r="2854" spans="3:3" ht="15.6" x14ac:dyDescent="0.3">
      <c r="C2854" s="70"/>
    </row>
    <row r="2855" spans="3:3" ht="15.6" x14ac:dyDescent="0.3">
      <c r="C2855" s="70"/>
    </row>
    <row r="2856" spans="3:3" ht="15.6" x14ac:dyDescent="0.3">
      <c r="C2856" s="70"/>
    </row>
    <row r="2857" spans="3:3" ht="15.6" x14ac:dyDescent="0.3">
      <c r="C2857" s="70"/>
    </row>
    <row r="2858" spans="3:3" ht="15.6" x14ac:dyDescent="0.3">
      <c r="C2858" s="70"/>
    </row>
    <row r="2859" spans="3:3" ht="15.6" x14ac:dyDescent="0.3">
      <c r="C2859" s="70"/>
    </row>
    <row r="2860" spans="3:3" ht="15.6" x14ac:dyDescent="0.3">
      <c r="C2860" s="70"/>
    </row>
    <row r="2861" spans="3:3" ht="15.6" x14ac:dyDescent="0.3">
      <c r="C2861" s="70"/>
    </row>
    <row r="2862" spans="3:3" ht="15.6" x14ac:dyDescent="0.3">
      <c r="C2862" s="70"/>
    </row>
    <row r="2863" spans="3:3" ht="15.6" x14ac:dyDescent="0.3">
      <c r="C2863" s="70"/>
    </row>
    <row r="2864" spans="3:3" ht="15.6" x14ac:dyDescent="0.3">
      <c r="C2864" s="70"/>
    </row>
    <row r="2865" spans="3:3" ht="15.6" x14ac:dyDescent="0.3">
      <c r="C2865" s="70"/>
    </row>
    <row r="2866" spans="3:3" ht="15.6" x14ac:dyDescent="0.3">
      <c r="C2866" s="70"/>
    </row>
    <row r="2867" spans="3:3" ht="15.6" x14ac:dyDescent="0.3">
      <c r="C2867" s="70"/>
    </row>
    <row r="2868" spans="3:3" ht="15.6" x14ac:dyDescent="0.3">
      <c r="C2868" s="70"/>
    </row>
    <row r="2869" spans="3:3" ht="15.6" x14ac:dyDescent="0.3">
      <c r="C2869" s="70"/>
    </row>
    <row r="2870" spans="3:3" ht="15.6" x14ac:dyDescent="0.3">
      <c r="C2870" s="70"/>
    </row>
    <row r="2871" spans="3:3" ht="15.6" x14ac:dyDescent="0.3">
      <c r="C2871" s="70"/>
    </row>
    <row r="2872" spans="3:3" ht="15.6" x14ac:dyDescent="0.3">
      <c r="C2872" s="70"/>
    </row>
    <row r="2873" spans="3:3" ht="15.6" x14ac:dyDescent="0.3">
      <c r="C2873" s="70"/>
    </row>
    <row r="2874" spans="3:3" ht="15.6" x14ac:dyDescent="0.3">
      <c r="C2874" s="70"/>
    </row>
    <row r="2875" spans="3:3" ht="15.6" x14ac:dyDescent="0.3">
      <c r="C2875" s="70"/>
    </row>
    <row r="2876" spans="3:3" ht="15.6" x14ac:dyDescent="0.3">
      <c r="C2876" s="70"/>
    </row>
    <row r="2877" spans="3:3" ht="15.6" x14ac:dyDescent="0.3">
      <c r="C2877" s="70"/>
    </row>
    <row r="2878" spans="3:3" ht="15.6" x14ac:dyDescent="0.3">
      <c r="C2878" s="70"/>
    </row>
    <row r="2879" spans="3:3" ht="15.6" x14ac:dyDescent="0.3">
      <c r="C2879" s="70"/>
    </row>
    <row r="2880" spans="3:3" ht="15.6" x14ac:dyDescent="0.3">
      <c r="C2880" s="70"/>
    </row>
    <row r="2881" spans="3:3" ht="15.6" x14ac:dyDescent="0.3">
      <c r="C2881" s="70"/>
    </row>
    <row r="2882" spans="3:3" ht="15.6" x14ac:dyDescent="0.3">
      <c r="C2882" s="70"/>
    </row>
    <row r="2883" spans="3:3" ht="15.6" x14ac:dyDescent="0.3">
      <c r="C2883" s="70"/>
    </row>
    <row r="2884" spans="3:3" ht="15.6" x14ac:dyDescent="0.3">
      <c r="C2884" s="70"/>
    </row>
    <row r="2885" spans="3:3" ht="15.6" x14ac:dyDescent="0.3">
      <c r="C2885" s="70"/>
    </row>
    <row r="2886" spans="3:3" ht="15.6" x14ac:dyDescent="0.3">
      <c r="C2886" s="70"/>
    </row>
    <row r="2887" spans="3:3" ht="15.6" x14ac:dyDescent="0.3">
      <c r="C2887" s="70"/>
    </row>
    <row r="2888" spans="3:3" ht="15.6" x14ac:dyDescent="0.3">
      <c r="C2888" s="70"/>
    </row>
    <row r="2889" spans="3:3" ht="15.6" x14ac:dyDescent="0.3">
      <c r="C2889" s="70"/>
    </row>
    <row r="2890" spans="3:3" ht="15.6" x14ac:dyDescent="0.3">
      <c r="C2890" s="70"/>
    </row>
    <row r="2891" spans="3:3" ht="15.6" x14ac:dyDescent="0.3">
      <c r="C2891" s="70"/>
    </row>
    <row r="2892" spans="3:3" ht="15.6" x14ac:dyDescent="0.3">
      <c r="C2892" s="70"/>
    </row>
    <row r="2893" spans="3:3" ht="15.6" x14ac:dyDescent="0.3">
      <c r="C2893" s="70"/>
    </row>
    <row r="2894" spans="3:3" ht="15.6" x14ac:dyDescent="0.3">
      <c r="C2894" s="70"/>
    </row>
    <row r="2895" spans="3:3" ht="15.6" x14ac:dyDescent="0.3">
      <c r="C2895" s="70"/>
    </row>
    <row r="2896" spans="3:3" ht="15.6" x14ac:dyDescent="0.3">
      <c r="C2896" s="70"/>
    </row>
    <row r="2897" spans="3:3" ht="15.6" x14ac:dyDescent="0.3">
      <c r="C2897" s="70"/>
    </row>
    <row r="2898" spans="3:3" ht="15.6" x14ac:dyDescent="0.3">
      <c r="C2898" s="70"/>
    </row>
    <row r="2899" spans="3:3" ht="15.6" x14ac:dyDescent="0.3">
      <c r="C2899" s="70"/>
    </row>
    <row r="2900" spans="3:3" ht="15.6" x14ac:dyDescent="0.3">
      <c r="C2900" s="70"/>
    </row>
    <row r="2901" spans="3:3" ht="15.6" x14ac:dyDescent="0.3">
      <c r="C2901" s="70"/>
    </row>
    <row r="2902" spans="3:3" ht="15.6" x14ac:dyDescent="0.3">
      <c r="C2902" s="70"/>
    </row>
    <row r="2903" spans="3:3" ht="15.6" x14ac:dyDescent="0.3">
      <c r="C2903" s="70"/>
    </row>
    <row r="2904" spans="3:3" ht="15.6" x14ac:dyDescent="0.3">
      <c r="C2904" s="70"/>
    </row>
    <row r="2905" spans="3:3" ht="15.6" x14ac:dyDescent="0.3">
      <c r="C2905" s="70"/>
    </row>
    <row r="2906" spans="3:3" ht="15.6" x14ac:dyDescent="0.3">
      <c r="C2906" s="70"/>
    </row>
    <row r="2907" spans="3:3" ht="15.6" x14ac:dyDescent="0.3">
      <c r="C2907" s="70"/>
    </row>
    <row r="2908" spans="3:3" ht="15.6" x14ac:dyDescent="0.3">
      <c r="C2908" s="70"/>
    </row>
    <row r="2909" spans="3:3" ht="15.6" x14ac:dyDescent="0.3">
      <c r="C2909" s="70"/>
    </row>
    <row r="2910" spans="3:3" ht="15.6" x14ac:dyDescent="0.3">
      <c r="C2910" s="70"/>
    </row>
    <row r="2911" spans="3:3" ht="15.6" x14ac:dyDescent="0.3">
      <c r="C2911" s="70"/>
    </row>
    <row r="2912" spans="3:3" ht="15.6" x14ac:dyDescent="0.3">
      <c r="C2912" s="70"/>
    </row>
    <row r="2913" spans="3:3" ht="15.6" x14ac:dyDescent="0.3">
      <c r="C2913" s="70"/>
    </row>
    <row r="2914" spans="3:3" ht="15.6" x14ac:dyDescent="0.3">
      <c r="C2914" s="70"/>
    </row>
    <row r="2915" spans="3:3" ht="15.6" x14ac:dyDescent="0.3">
      <c r="C2915" s="70"/>
    </row>
    <row r="2916" spans="3:3" ht="15.6" x14ac:dyDescent="0.3">
      <c r="C2916" s="70"/>
    </row>
    <row r="2917" spans="3:3" ht="15.6" x14ac:dyDescent="0.3">
      <c r="C2917" s="70"/>
    </row>
    <row r="2918" spans="3:3" ht="15.6" x14ac:dyDescent="0.3">
      <c r="C2918" s="70"/>
    </row>
    <row r="2919" spans="3:3" ht="15.6" x14ac:dyDescent="0.3">
      <c r="C2919" s="70"/>
    </row>
    <row r="2920" spans="3:3" ht="15.6" x14ac:dyDescent="0.3">
      <c r="C2920" s="70"/>
    </row>
    <row r="2921" spans="3:3" ht="15.6" x14ac:dyDescent="0.3">
      <c r="C2921" s="70"/>
    </row>
    <row r="2922" spans="3:3" ht="15.6" x14ac:dyDescent="0.3">
      <c r="C2922" s="70"/>
    </row>
    <row r="2923" spans="3:3" ht="15.6" x14ac:dyDescent="0.3">
      <c r="C2923" s="70"/>
    </row>
    <row r="2924" spans="3:3" ht="15.6" x14ac:dyDescent="0.3">
      <c r="C2924" s="70"/>
    </row>
    <row r="2925" spans="3:3" ht="15.6" x14ac:dyDescent="0.3">
      <c r="C2925" s="70"/>
    </row>
    <row r="2926" spans="3:3" ht="15.6" x14ac:dyDescent="0.3">
      <c r="C2926" s="70"/>
    </row>
    <row r="2927" spans="3:3" ht="15.6" x14ac:dyDescent="0.3">
      <c r="C2927" s="70"/>
    </row>
    <row r="2928" spans="3:3" ht="15.6" x14ac:dyDescent="0.3">
      <c r="C2928" s="70"/>
    </row>
    <row r="2929" spans="3:3" ht="15.6" x14ac:dyDescent="0.3">
      <c r="C2929" s="70"/>
    </row>
    <row r="2930" spans="3:3" ht="15.6" x14ac:dyDescent="0.3">
      <c r="C2930" s="70"/>
    </row>
    <row r="2931" spans="3:3" ht="15.6" x14ac:dyDescent="0.3">
      <c r="C2931" s="70"/>
    </row>
    <row r="2932" spans="3:3" ht="15.6" x14ac:dyDescent="0.3">
      <c r="C2932" s="70"/>
    </row>
    <row r="2933" spans="3:3" ht="15.6" x14ac:dyDescent="0.3">
      <c r="C2933" s="70"/>
    </row>
    <row r="2934" spans="3:3" ht="15.6" x14ac:dyDescent="0.3">
      <c r="C2934" s="70"/>
    </row>
    <row r="2935" spans="3:3" ht="15.6" x14ac:dyDescent="0.3">
      <c r="C2935" s="70"/>
    </row>
    <row r="2936" spans="3:3" ht="15.6" x14ac:dyDescent="0.3">
      <c r="C2936" s="70"/>
    </row>
    <row r="2937" spans="3:3" ht="15.6" x14ac:dyDescent="0.3">
      <c r="C2937" s="70"/>
    </row>
    <row r="2938" spans="3:3" ht="15.6" x14ac:dyDescent="0.3">
      <c r="C2938" s="70"/>
    </row>
    <row r="2939" spans="3:3" ht="15.6" x14ac:dyDescent="0.3">
      <c r="C2939" s="70"/>
    </row>
    <row r="2940" spans="3:3" ht="15.6" x14ac:dyDescent="0.3">
      <c r="C2940" s="70"/>
    </row>
    <row r="2941" spans="3:3" ht="15.6" x14ac:dyDescent="0.3">
      <c r="C2941" s="70"/>
    </row>
    <row r="2942" spans="3:3" ht="15.6" x14ac:dyDescent="0.3">
      <c r="C2942" s="70"/>
    </row>
    <row r="2943" spans="3:3" ht="15.6" x14ac:dyDescent="0.3">
      <c r="C2943" s="70"/>
    </row>
    <row r="2944" spans="3:3" ht="15.6" x14ac:dyDescent="0.3">
      <c r="C2944" s="70"/>
    </row>
    <row r="2945" spans="3:3" ht="15.6" x14ac:dyDescent="0.3">
      <c r="C2945" s="70"/>
    </row>
    <row r="2946" spans="3:3" ht="15.6" x14ac:dyDescent="0.3">
      <c r="C2946" s="70"/>
    </row>
    <row r="2947" spans="3:3" ht="15.6" x14ac:dyDescent="0.3">
      <c r="C2947" s="70"/>
    </row>
    <row r="2948" spans="3:3" ht="15.6" x14ac:dyDescent="0.3">
      <c r="C2948" s="70"/>
    </row>
    <row r="2949" spans="3:3" ht="15.6" x14ac:dyDescent="0.3">
      <c r="C2949" s="70"/>
    </row>
    <row r="2950" spans="3:3" ht="15.6" x14ac:dyDescent="0.3">
      <c r="C2950" s="70"/>
    </row>
    <row r="2951" spans="3:3" ht="15.6" x14ac:dyDescent="0.3">
      <c r="C2951" s="70"/>
    </row>
    <row r="2952" spans="3:3" ht="15.6" x14ac:dyDescent="0.3">
      <c r="C2952" s="70"/>
    </row>
    <row r="2953" spans="3:3" ht="15.6" x14ac:dyDescent="0.3">
      <c r="C2953" s="70"/>
    </row>
    <row r="2954" spans="3:3" ht="15.6" x14ac:dyDescent="0.3">
      <c r="C2954" s="70"/>
    </row>
    <row r="2955" spans="3:3" ht="15.6" x14ac:dyDescent="0.3">
      <c r="C2955" s="70"/>
    </row>
    <row r="2956" spans="3:3" ht="15.6" x14ac:dyDescent="0.3">
      <c r="C2956" s="70"/>
    </row>
    <row r="2957" spans="3:3" ht="15.6" x14ac:dyDescent="0.3">
      <c r="C2957" s="70"/>
    </row>
    <row r="2958" spans="3:3" ht="15.6" x14ac:dyDescent="0.3">
      <c r="C2958" s="70"/>
    </row>
    <row r="2959" spans="3:3" ht="15.6" x14ac:dyDescent="0.3">
      <c r="C2959" s="70"/>
    </row>
    <row r="2960" spans="3:3" ht="15.6" x14ac:dyDescent="0.3">
      <c r="C2960" s="70"/>
    </row>
    <row r="2961" spans="3:3" ht="15.6" x14ac:dyDescent="0.3">
      <c r="C2961" s="70"/>
    </row>
    <row r="2962" spans="3:3" ht="15.6" x14ac:dyDescent="0.3">
      <c r="C2962" s="70"/>
    </row>
    <row r="2963" spans="3:3" ht="15.6" x14ac:dyDescent="0.3">
      <c r="C2963" s="70"/>
    </row>
    <row r="2964" spans="3:3" ht="15.6" x14ac:dyDescent="0.3">
      <c r="C2964" s="70"/>
    </row>
    <row r="2965" spans="3:3" ht="15.6" x14ac:dyDescent="0.3">
      <c r="C2965" s="70"/>
    </row>
    <row r="2966" spans="3:3" ht="15.6" x14ac:dyDescent="0.3">
      <c r="C2966" s="70"/>
    </row>
    <row r="2967" spans="3:3" ht="15.6" x14ac:dyDescent="0.3">
      <c r="C2967" s="70"/>
    </row>
    <row r="2968" spans="3:3" ht="15.6" x14ac:dyDescent="0.3">
      <c r="C2968" s="70"/>
    </row>
    <row r="2969" spans="3:3" ht="15.6" x14ac:dyDescent="0.3">
      <c r="C2969" s="70"/>
    </row>
    <row r="2970" spans="3:3" ht="15.6" x14ac:dyDescent="0.3">
      <c r="C2970" s="70"/>
    </row>
    <row r="2971" spans="3:3" ht="15.6" x14ac:dyDescent="0.3">
      <c r="C2971" s="70"/>
    </row>
    <row r="2972" spans="3:3" ht="15.6" x14ac:dyDescent="0.3">
      <c r="C2972" s="70"/>
    </row>
    <row r="2973" spans="3:3" ht="15.6" x14ac:dyDescent="0.3">
      <c r="C2973" s="70"/>
    </row>
    <row r="2974" spans="3:3" ht="15.6" x14ac:dyDescent="0.3">
      <c r="C2974" s="70"/>
    </row>
    <row r="2975" spans="3:3" ht="15.6" x14ac:dyDescent="0.3">
      <c r="C2975" s="70"/>
    </row>
    <row r="2976" spans="3:3" ht="15.6" x14ac:dyDescent="0.3">
      <c r="C2976" s="70"/>
    </row>
    <row r="2977" spans="3:3" ht="15.6" x14ac:dyDescent="0.3">
      <c r="C2977" s="70"/>
    </row>
    <row r="2978" spans="3:3" ht="15.6" x14ac:dyDescent="0.3">
      <c r="C2978" s="70"/>
    </row>
    <row r="2979" spans="3:3" ht="15.6" x14ac:dyDescent="0.3">
      <c r="C2979" s="70"/>
    </row>
    <row r="2980" spans="3:3" ht="15.6" x14ac:dyDescent="0.3">
      <c r="C2980" s="70"/>
    </row>
    <row r="2981" spans="3:3" ht="15.6" x14ac:dyDescent="0.3">
      <c r="C2981" s="70"/>
    </row>
    <row r="2982" spans="3:3" ht="15.6" x14ac:dyDescent="0.3">
      <c r="C2982" s="70"/>
    </row>
    <row r="2983" spans="3:3" ht="15.6" x14ac:dyDescent="0.3">
      <c r="C2983" s="70"/>
    </row>
    <row r="2984" spans="3:3" ht="15.6" x14ac:dyDescent="0.3">
      <c r="C2984" s="70"/>
    </row>
    <row r="2985" spans="3:3" ht="15.6" x14ac:dyDescent="0.3">
      <c r="C2985" s="70"/>
    </row>
    <row r="2986" spans="3:3" ht="15.6" x14ac:dyDescent="0.3">
      <c r="C2986" s="70"/>
    </row>
    <row r="2987" spans="3:3" ht="15.6" x14ac:dyDescent="0.3">
      <c r="C2987" s="70"/>
    </row>
    <row r="2988" spans="3:3" ht="15.6" x14ac:dyDescent="0.3">
      <c r="C2988" s="70"/>
    </row>
    <row r="2989" spans="3:3" ht="15.6" x14ac:dyDescent="0.3">
      <c r="C2989" s="70"/>
    </row>
    <row r="2990" spans="3:3" ht="15.6" x14ac:dyDescent="0.3">
      <c r="C2990" s="70"/>
    </row>
    <row r="2991" spans="3:3" ht="15.6" x14ac:dyDescent="0.3">
      <c r="C2991" s="70"/>
    </row>
    <row r="2992" spans="3:3" ht="15.6" x14ac:dyDescent="0.3">
      <c r="C2992" s="70"/>
    </row>
    <row r="2993" spans="3:3" ht="15.6" x14ac:dyDescent="0.3">
      <c r="C2993" s="70"/>
    </row>
    <row r="2994" spans="3:3" ht="15.6" x14ac:dyDescent="0.3">
      <c r="C2994" s="70"/>
    </row>
    <row r="2995" spans="3:3" ht="15.6" x14ac:dyDescent="0.3">
      <c r="C2995" s="70"/>
    </row>
    <row r="2996" spans="3:3" ht="15.6" x14ac:dyDescent="0.3">
      <c r="C2996" s="70"/>
    </row>
    <row r="2997" spans="3:3" ht="15.6" x14ac:dyDescent="0.3">
      <c r="C2997" s="70"/>
    </row>
    <row r="2998" spans="3:3" ht="15.6" x14ac:dyDescent="0.3">
      <c r="C2998" s="70"/>
    </row>
    <row r="2999" spans="3:3" ht="15.6" x14ac:dyDescent="0.3">
      <c r="C2999" s="70"/>
    </row>
    <row r="3000" spans="3:3" ht="15.6" x14ac:dyDescent="0.3">
      <c r="C3000" s="70"/>
    </row>
    <row r="3001" spans="3:3" ht="15.6" x14ac:dyDescent="0.3">
      <c r="C3001" s="70"/>
    </row>
    <row r="3002" spans="3:3" ht="15.6" x14ac:dyDescent="0.3">
      <c r="C3002" s="70"/>
    </row>
    <row r="3003" spans="3:3" ht="15.6" x14ac:dyDescent="0.3">
      <c r="C3003" s="70"/>
    </row>
    <row r="3004" spans="3:3" ht="15.6" x14ac:dyDescent="0.3">
      <c r="C3004" s="70"/>
    </row>
    <row r="3005" spans="3:3" ht="15.6" x14ac:dyDescent="0.3">
      <c r="C3005" s="70"/>
    </row>
    <row r="3006" spans="3:3" ht="15.6" x14ac:dyDescent="0.3">
      <c r="C3006" s="70"/>
    </row>
    <row r="3007" spans="3:3" ht="15.6" x14ac:dyDescent="0.3">
      <c r="C3007" s="70"/>
    </row>
    <row r="3008" spans="3:3" ht="15.6" x14ac:dyDescent="0.3">
      <c r="C3008" s="70"/>
    </row>
    <row r="3009" spans="3:3" ht="15.6" x14ac:dyDescent="0.3">
      <c r="C3009" s="70"/>
    </row>
    <row r="3010" spans="3:3" ht="15.6" x14ac:dyDescent="0.3">
      <c r="C3010" s="70"/>
    </row>
    <row r="3011" spans="3:3" ht="15.6" x14ac:dyDescent="0.3">
      <c r="C3011" s="70"/>
    </row>
    <row r="3012" spans="3:3" ht="15.6" x14ac:dyDescent="0.3">
      <c r="C3012" s="70"/>
    </row>
    <row r="3013" spans="3:3" ht="15.6" x14ac:dyDescent="0.3">
      <c r="C3013" s="70"/>
    </row>
    <row r="3014" spans="3:3" ht="15.6" x14ac:dyDescent="0.3">
      <c r="C3014" s="70"/>
    </row>
    <row r="3015" spans="3:3" ht="15.6" x14ac:dyDescent="0.3">
      <c r="C3015" s="70"/>
    </row>
    <row r="3016" spans="3:3" ht="15.6" x14ac:dyDescent="0.3">
      <c r="C3016" s="70"/>
    </row>
    <row r="3017" spans="3:3" ht="15.6" x14ac:dyDescent="0.3">
      <c r="C3017" s="70"/>
    </row>
    <row r="3018" spans="3:3" ht="15.6" x14ac:dyDescent="0.3">
      <c r="C3018" s="70"/>
    </row>
    <row r="3019" spans="3:3" ht="15.6" x14ac:dyDescent="0.3">
      <c r="C3019" s="70"/>
    </row>
    <row r="3020" spans="3:3" ht="15.6" x14ac:dyDescent="0.3">
      <c r="C3020" s="70"/>
    </row>
    <row r="3021" spans="3:3" ht="15.6" x14ac:dyDescent="0.3">
      <c r="C3021" s="70"/>
    </row>
    <row r="3022" spans="3:3" ht="15.6" x14ac:dyDescent="0.3">
      <c r="C3022" s="70"/>
    </row>
    <row r="3023" spans="3:3" ht="15.6" x14ac:dyDescent="0.3">
      <c r="C3023" s="70"/>
    </row>
    <row r="3024" spans="3:3" ht="15.6" x14ac:dyDescent="0.3">
      <c r="C3024" s="70"/>
    </row>
    <row r="3025" spans="3:3" ht="15.6" x14ac:dyDescent="0.3">
      <c r="C3025" s="70"/>
    </row>
    <row r="3026" spans="3:3" ht="15.6" x14ac:dyDescent="0.3">
      <c r="C3026" s="70"/>
    </row>
    <row r="3027" spans="3:3" ht="15.6" x14ac:dyDescent="0.3">
      <c r="C3027" s="70"/>
    </row>
    <row r="3028" spans="3:3" ht="15.6" x14ac:dyDescent="0.3">
      <c r="C3028" s="70"/>
    </row>
    <row r="3029" spans="3:3" ht="15.6" x14ac:dyDescent="0.3">
      <c r="C3029" s="70"/>
    </row>
    <row r="3030" spans="3:3" ht="15.6" x14ac:dyDescent="0.3">
      <c r="C3030" s="70"/>
    </row>
    <row r="3031" spans="3:3" ht="15.6" x14ac:dyDescent="0.3">
      <c r="C3031" s="70"/>
    </row>
    <row r="3032" spans="3:3" ht="15.6" x14ac:dyDescent="0.3">
      <c r="C3032" s="70"/>
    </row>
    <row r="3033" spans="3:3" ht="15.6" x14ac:dyDescent="0.3">
      <c r="C3033" s="70"/>
    </row>
    <row r="3034" spans="3:3" ht="15.6" x14ac:dyDescent="0.3">
      <c r="C3034" s="70"/>
    </row>
    <row r="3035" spans="3:3" ht="15.6" x14ac:dyDescent="0.3">
      <c r="C3035" s="70"/>
    </row>
    <row r="3036" spans="3:3" ht="15.6" x14ac:dyDescent="0.3">
      <c r="C3036" s="70"/>
    </row>
    <row r="3037" spans="3:3" ht="15.6" x14ac:dyDescent="0.3">
      <c r="C3037" s="70"/>
    </row>
    <row r="3038" spans="3:3" ht="15.6" x14ac:dyDescent="0.3">
      <c r="C3038" s="70"/>
    </row>
    <row r="3039" spans="3:3" ht="15.6" x14ac:dyDescent="0.3">
      <c r="C3039" s="70"/>
    </row>
    <row r="3040" spans="3:3" ht="15.6" x14ac:dyDescent="0.3">
      <c r="C3040" s="70"/>
    </row>
    <row r="3041" spans="3:3" ht="15.6" x14ac:dyDescent="0.3">
      <c r="C3041" s="70"/>
    </row>
    <row r="3042" spans="3:3" ht="15.6" x14ac:dyDescent="0.3">
      <c r="C3042" s="70"/>
    </row>
    <row r="3043" spans="3:3" ht="15.6" x14ac:dyDescent="0.3">
      <c r="C3043" s="70"/>
    </row>
    <row r="3044" spans="3:3" ht="15.6" x14ac:dyDescent="0.3">
      <c r="C3044" s="70"/>
    </row>
    <row r="3045" spans="3:3" ht="15.6" x14ac:dyDescent="0.3">
      <c r="C3045" s="70"/>
    </row>
    <row r="3046" spans="3:3" ht="15.6" x14ac:dyDescent="0.3">
      <c r="C3046" s="70"/>
    </row>
    <row r="3047" spans="3:3" ht="15.6" x14ac:dyDescent="0.3">
      <c r="C3047" s="70"/>
    </row>
    <row r="3048" spans="3:3" ht="15.6" x14ac:dyDescent="0.3">
      <c r="C3048" s="70"/>
    </row>
    <row r="3049" spans="3:3" ht="15.6" x14ac:dyDescent="0.3">
      <c r="C3049" s="70"/>
    </row>
    <row r="3050" spans="3:3" ht="15.6" x14ac:dyDescent="0.3">
      <c r="C3050" s="70"/>
    </row>
    <row r="3051" spans="3:3" ht="15.6" x14ac:dyDescent="0.3">
      <c r="C3051" s="70"/>
    </row>
    <row r="3052" spans="3:3" ht="15.6" x14ac:dyDescent="0.3">
      <c r="C3052" s="70"/>
    </row>
    <row r="3053" spans="3:3" ht="15.6" x14ac:dyDescent="0.3">
      <c r="C3053" s="70"/>
    </row>
    <row r="3054" spans="3:3" ht="15.6" x14ac:dyDescent="0.3">
      <c r="C3054" s="70"/>
    </row>
    <row r="3055" spans="3:3" ht="15.6" x14ac:dyDescent="0.3">
      <c r="C3055" s="70"/>
    </row>
    <row r="3056" spans="3:3" ht="15.6" x14ac:dyDescent="0.3">
      <c r="C3056" s="70"/>
    </row>
    <row r="3057" spans="3:3" ht="15.6" x14ac:dyDescent="0.3">
      <c r="C3057" s="70"/>
    </row>
    <row r="3058" spans="3:3" ht="15.6" x14ac:dyDescent="0.3">
      <c r="C3058" s="70"/>
    </row>
    <row r="3059" spans="3:3" ht="15.6" x14ac:dyDescent="0.3">
      <c r="C3059" s="70"/>
    </row>
    <row r="3060" spans="3:3" ht="15.6" x14ac:dyDescent="0.3">
      <c r="C3060" s="70"/>
    </row>
    <row r="3061" spans="3:3" ht="15.6" x14ac:dyDescent="0.3">
      <c r="C3061" s="70"/>
    </row>
    <row r="3062" spans="3:3" ht="15.6" x14ac:dyDescent="0.3">
      <c r="C3062" s="70"/>
    </row>
    <row r="3063" spans="3:3" ht="15.6" x14ac:dyDescent="0.3">
      <c r="C3063" s="70"/>
    </row>
    <row r="3064" spans="3:3" ht="15.6" x14ac:dyDescent="0.3">
      <c r="C3064" s="70"/>
    </row>
    <row r="3065" spans="3:3" ht="15.6" x14ac:dyDescent="0.3">
      <c r="C3065" s="70"/>
    </row>
    <row r="3066" spans="3:3" ht="15.6" x14ac:dyDescent="0.3">
      <c r="C3066" s="70"/>
    </row>
    <row r="3067" spans="3:3" ht="15.6" x14ac:dyDescent="0.3">
      <c r="C3067" s="70"/>
    </row>
    <row r="3068" spans="3:3" ht="15.6" x14ac:dyDescent="0.3">
      <c r="C3068" s="70"/>
    </row>
    <row r="3069" spans="3:3" ht="15.6" x14ac:dyDescent="0.3">
      <c r="C3069" s="70"/>
    </row>
    <row r="3070" spans="3:3" ht="15.6" x14ac:dyDescent="0.3">
      <c r="C3070" s="70"/>
    </row>
    <row r="3071" spans="3:3" ht="15.6" x14ac:dyDescent="0.3">
      <c r="C3071" s="70"/>
    </row>
    <row r="3072" spans="3:3" ht="15.6" x14ac:dyDescent="0.3">
      <c r="C3072" s="70"/>
    </row>
    <row r="3073" spans="3:3" ht="15.6" x14ac:dyDescent="0.3">
      <c r="C3073" s="70"/>
    </row>
    <row r="3074" spans="3:3" ht="15.6" x14ac:dyDescent="0.3">
      <c r="C3074" s="70"/>
    </row>
    <row r="3075" spans="3:3" ht="15.6" x14ac:dyDescent="0.3">
      <c r="C3075" s="70"/>
    </row>
    <row r="3076" spans="3:3" ht="15.6" x14ac:dyDescent="0.3">
      <c r="C3076" s="70"/>
    </row>
    <row r="3077" spans="3:3" ht="15.6" x14ac:dyDescent="0.3">
      <c r="C3077" s="70"/>
    </row>
    <row r="3078" spans="3:3" ht="15.6" x14ac:dyDescent="0.3">
      <c r="C3078" s="70"/>
    </row>
    <row r="3079" spans="3:3" ht="15.6" x14ac:dyDescent="0.3">
      <c r="C3079" s="70"/>
    </row>
    <row r="3080" spans="3:3" ht="15.6" x14ac:dyDescent="0.3">
      <c r="C3080" s="70"/>
    </row>
    <row r="3081" spans="3:3" ht="15.6" x14ac:dyDescent="0.3">
      <c r="C3081" s="70"/>
    </row>
    <row r="3082" spans="3:3" ht="15.6" x14ac:dyDescent="0.3">
      <c r="C3082" s="70"/>
    </row>
    <row r="3083" spans="3:3" ht="15.6" x14ac:dyDescent="0.3">
      <c r="C3083" s="70"/>
    </row>
    <row r="3084" spans="3:3" ht="15.6" x14ac:dyDescent="0.3">
      <c r="C3084" s="70"/>
    </row>
    <row r="3085" spans="3:3" ht="15.6" x14ac:dyDescent="0.3">
      <c r="C3085" s="70"/>
    </row>
    <row r="3086" spans="3:3" ht="15.6" x14ac:dyDescent="0.3">
      <c r="C3086" s="70"/>
    </row>
    <row r="3087" spans="3:3" ht="15.6" x14ac:dyDescent="0.3">
      <c r="C3087" s="70"/>
    </row>
    <row r="3088" spans="3:3" ht="15.6" x14ac:dyDescent="0.3">
      <c r="C3088" s="70"/>
    </row>
    <row r="3089" spans="3:3" ht="15.6" x14ac:dyDescent="0.3">
      <c r="C3089" s="70"/>
    </row>
    <row r="3090" spans="3:3" ht="15.6" x14ac:dyDescent="0.3">
      <c r="C3090" s="70"/>
    </row>
    <row r="3091" spans="3:3" ht="15.6" x14ac:dyDescent="0.3">
      <c r="C3091" s="70"/>
    </row>
    <row r="3092" spans="3:3" ht="15.6" x14ac:dyDescent="0.3">
      <c r="C3092" s="70"/>
    </row>
    <row r="3093" spans="3:3" ht="15.6" x14ac:dyDescent="0.3">
      <c r="C3093" s="70"/>
    </row>
    <row r="3094" spans="3:3" ht="15.6" x14ac:dyDescent="0.3">
      <c r="C3094" s="70"/>
    </row>
    <row r="3095" spans="3:3" ht="15.6" x14ac:dyDescent="0.3">
      <c r="C3095" s="70"/>
    </row>
    <row r="3096" spans="3:3" ht="15.6" x14ac:dyDescent="0.3">
      <c r="C3096" s="70"/>
    </row>
    <row r="3097" spans="3:3" ht="15.6" x14ac:dyDescent="0.3">
      <c r="C3097" s="70"/>
    </row>
    <row r="3098" spans="3:3" ht="15.6" x14ac:dyDescent="0.3">
      <c r="C3098" s="70"/>
    </row>
    <row r="3099" spans="3:3" ht="15.6" x14ac:dyDescent="0.3">
      <c r="C3099" s="70"/>
    </row>
    <row r="3100" spans="3:3" ht="15.6" x14ac:dyDescent="0.3">
      <c r="C3100" s="70"/>
    </row>
    <row r="3101" spans="3:3" ht="15.6" x14ac:dyDescent="0.3">
      <c r="C3101" s="70"/>
    </row>
    <row r="3102" spans="3:3" ht="15.6" x14ac:dyDescent="0.3">
      <c r="C3102" s="70"/>
    </row>
    <row r="3103" spans="3:3" ht="15.6" x14ac:dyDescent="0.3">
      <c r="C3103" s="70"/>
    </row>
    <row r="3104" spans="3:3" ht="15.6" x14ac:dyDescent="0.3">
      <c r="C3104" s="70"/>
    </row>
    <row r="3105" spans="3:3" ht="15.6" x14ac:dyDescent="0.3">
      <c r="C3105" s="70"/>
    </row>
    <row r="3106" spans="3:3" ht="15.6" x14ac:dyDescent="0.3">
      <c r="C3106" s="70"/>
    </row>
    <row r="3107" spans="3:3" ht="15.6" x14ac:dyDescent="0.3">
      <c r="C3107" s="70"/>
    </row>
    <row r="3108" spans="3:3" ht="15.6" x14ac:dyDescent="0.3">
      <c r="C3108" s="70"/>
    </row>
    <row r="3109" spans="3:3" ht="15.6" x14ac:dyDescent="0.3">
      <c r="C3109" s="70"/>
    </row>
    <row r="3110" spans="3:3" ht="15.6" x14ac:dyDescent="0.3">
      <c r="C3110" s="70"/>
    </row>
    <row r="3111" spans="3:3" ht="15.6" x14ac:dyDescent="0.3">
      <c r="C3111" s="70"/>
    </row>
    <row r="3112" spans="3:3" ht="15.6" x14ac:dyDescent="0.3">
      <c r="C3112" s="70"/>
    </row>
    <row r="3113" spans="3:3" ht="15.6" x14ac:dyDescent="0.3">
      <c r="C3113" s="70"/>
    </row>
    <row r="3114" spans="3:3" ht="15.6" x14ac:dyDescent="0.3">
      <c r="C3114" s="70"/>
    </row>
    <row r="3115" spans="3:3" ht="15.6" x14ac:dyDescent="0.3">
      <c r="C3115" s="70"/>
    </row>
    <row r="3116" spans="3:3" ht="15.6" x14ac:dyDescent="0.3">
      <c r="C3116" s="70"/>
    </row>
    <row r="3117" spans="3:3" ht="15.6" x14ac:dyDescent="0.3">
      <c r="C3117" s="70"/>
    </row>
    <row r="3118" spans="3:3" ht="15.6" x14ac:dyDescent="0.3">
      <c r="C3118" s="70"/>
    </row>
    <row r="3119" spans="3:3" ht="15.6" x14ac:dyDescent="0.3">
      <c r="C3119" s="70"/>
    </row>
    <row r="3120" spans="3:3" ht="15.6" x14ac:dyDescent="0.3">
      <c r="C3120" s="70"/>
    </row>
    <row r="3121" spans="3:3" ht="15.6" x14ac:dyDescent="0.3">
      <c r="C3121" s="70"/>
    </row>
    <row r="3122" spans="3:3" ht="15.6" x14ac:dyDescent="0.3">
      <c r="C3122" s="70"/>
    </row>
    <row r="3123" spans="3:3" ht="15.6" x14ac:dyDescent="0.3">
      <c r="C3123" s="70"/>
    </row>
    <row r="3124" spans="3:3" ht="15.6" x14ac:dyDescent="0.3">
      <c r="C3124" s="70"/>
    </row>
    <row r="3125" spans="3:3" ht="15.6" x14ac:dyDescent="0.3">
      <c r="C3125" s="70"/>
    </row>
    <row r="3126" spans="3:3" ht="15.6" x14ac:dyDescent="0.3">
      <c r="C3126" s="70"/>
    </row>
    <row r="3127" spans="3:3" ht="15.6" x14ac:dyDescent="0.3">
      <c r="C3127" s="70"/>
    </row>
    <row r="3128" spans="3:3" ht="15.6" x14ac:dyDescent="0.3">
      <c r="C3128" s="70"/>
    </row>
    <row r="3129" spans="3:3" ht="15.6" x14ac:dyDescent="0.3">
      <c r="C3129" s="70"/>
    </row>
    <row r="3130" spans="3:3" ht="15.6" x14ac:dyDescent="0.3">
      <c r="C3130" s="70"/>
    </row>
    <row r="3131" spans="3:3" ht="15.6" x14ac:dyDescent="0.3">
      <c r="C3131" s="70"/>
    </row>
    <row r="3132" spans="3:3" ht="15.6" x14ac:dyDescent="0.3">
      <c r="C3132" s="70"/>
    </row>
    <row r="3133" spans="3:3" ht="15.6" x14ac:dyDescent="0.3">
      <c r="C3133" s="70"/>
    </row>
    <row r="3134" spans="3:3" ht="15.6" x14ac:dyDescent="0.3">
      <c r="C3134" s="70"/>
    </row>
    <row r="3135" spans="3:3" ht="15.6" x14ac:dyDescent="0.3">
      <c r="C3135" s="70"/>
    </row>
    <row r="3136" spans="3:3" ht="15.6" x14ac:dyDescent="0.3">
      <c r="C3136" s="70"/>
    </row>
    <row r="3137" spans="3:3" ht="15.6" x14ac:dyDescent="0.3">
      <c r="C3137" s="70"/>
    </row>
    <row r="3138" spans="3:3" ht="15.6" x14ac:dyDescent="0.3">
      <c r="C3138" s="70"/>
    </row>
    <row r="3139" spans="3:3" ht="15.6" x14ac:dyDescent="0.3">
      <c r="C3139" s="70"/>
    </row>
    <row r="3140" spans="3:3" ht="15.6" x14ac:dyDescent="0.3">
      <c r="C3140" s="70"/>
    </row>
    <row r="3141" spans="3:3" ht="15.6" x14ac:dyDescent="0.3">
      <c r="C3141" s="70"/>
    </row>
    <row r="3142" spans="3:3" ht="15.6" x14ac:dyDescent="0.3">
      <c r="C3142" s="70"/>
    </row>
    <row r="3143" spans="3:3" ht="15.6" x14ac:dyDescent="0.3">
      <c r="C3143" s="70"/>
    </row>
    <row r="3144" spans="3:3" ht="15.6" x14ac:dyDescent="0.3">
      <c r="C3144" s="70"/>
    </row>
    <row r="3145" spans="3:3" ht="15.6" x14ac:dyDescent="0.3">
      <c r="C3145" s="70"/>
    </row>
    <row r="3146" spans="3:3" ht="15.6" x14ac:dyDescent="0.3">
      <c r="C3146" s="70"/>
    </row>
    <row r="3147" spans="3:3" ht="15.6" x14ac:dyDescent="0.3">
      <c r="C3147" s="70"/>
    </row>
    <row r="3148" spans="3:3" ht="15.6" x14ac:dyDescent="0.3">
      <c r="C3148" s="70"/>
    </row>
    <row r="3149" spans="3:3" ht="15.6" x14ac:dyDescent="0.3">
      <c r="C3149" s="70"/>
    </row>
    <row r="3150" spans="3:3" ht="15.6" x14ac:dyDescent="0.3">
      <c r="C3150" s="70"/>
    </row>
    <row r="3151" spans="3:3" ht="15.6" x14ac:dyDescent="0.3">
      <c r="C3151" s="70"/>
    </row>
    <row r="3152" spans="3:3" ht="15.6" x14ac:dyDescent="0.3">
      <c r="C3152" s="70"/>
    </row>
    <row r="3153" spans="3:3" ht="15.6" x14ac:dyDescent="0.3">
      <c r="C3153" s="70"/>
    </row>
    <row r="3154" spans="3:3" ht="15.6" x14ac:dyDescent="0.3">
      <c r="C3154" s="70"/>
    </row>
    <row r="3155" spans="3:3" ht="15.6" x14ac:dyDescent="0.3">
      <c r="C3155" s="70"/>
    </row>
    <row r="3156" spans="3:3" ht="15.6" x14ac:dyDescent="0.3">
      <c r="C3156" s="70"/>
    </row>
    <row r="3157" spans="3:3" ht="15.6" x14ac:dyDescent="0.3">
      <c r="C3157" s="70"/>
    </row>
    <row r="3158" spans="3:3" ht="15.6" x14ac:dyDescent="0.3">
      <c r="C3158" s="70"/>
    </row>
    <row r="3159" spans="3:3" ht="15.6" x14ac:dyDescent="0.3">
      <c r="C3159" s="70"/>
    </row>
    <row r="3160" spans="3:3" ht="15.6" x14ac:dyDescent="0.3">
      <c r="C3160" s="70"/>
    </row>
    <row r="3161" spans="3:3" ht="15.6" x14ac:dyDescent="0.3">
      <c r="C3161" s="70"/>
    </row>
    <row r="3162" spans="3:3" ht="15.6" x14ac:dyDescent="0.3">
      <c r="C3162" s="70"/>
    </row>
    <row r="3163" spans="3:3" ht="15.6" x14ac:dyDescent="0.3">
      <c r="C3163" s="70"/>
    </row>
    <row r="3164" spans="3:3" ht="15.6" x14ac:dyDescent="0.3">
      <c r="C3164" s="70"/>
    </row>
    <row r="3165" spans="3:3" ht="15.6" x14ac:dyDescent="0.3">
      <c r="C3165" s="70"/>
    </row>
    <row r="3166" spans="3:3" ht="15.6" x14ac:dyDescent="0.3">
      <c r="C3166" s="70"/>
    </row>
    <row r="3167" spans="3:3" ht="15.6" x14ac:dyDescent="0.3">
      <c r="C3167" s="70"/>
    </row>
    <row r="3168" spans="3:3" ht="15.6" x14ac:dyDescent="0.3">
      <c r="C3168" s="70"/>
    </row>
    <row r="3169" spans="3:3" ht="15.6" x14ac:dyDescent="0.3">
      <c r="C3169" s="70"/>
    </row>
    <row r="3170" spans="3:3" ht="15.6" x14ac:dyDescent="0.3">
      <c r="C3170" s="70"/>
    </row>
    <row r="3171" spans="3:3" ht="15.6" x14ac:dyDescent="0.3">
      <c r="C3171" s="70"/>
    </row>
    <row r="3172" spans="3:3" ht="15.6" x14ac:dyDescent="0.3">
      <c r="C3172" s="70"/>
    </row>
    <row r="3173" spans="3:3" ht="15.6" x14ac:dyDescent="0.3">
      <c r="C3173" s="70"/>
    </row>
    <row r="3174" spans="3:3" ht="15.6" x14ac:dyDescent="0.3">
      <c r="C3174" s="70"/>
    </row>
    <row r="3175" spans="3:3" ht="15.6" x14ac:dyDescent="0.3">
      <c r="C3175" s="70"/>
    </row>
    <row r="3176" spans="3:3" ht="15.6" x14ac:dyDescent="0.3">
      <c r="C3176" s="70"/>
    </row>
    <row r="3177" spans="3:3" ht="15.6" x14ac:dyDescent="0.3">
      <c r="C3177" s="70"/>
    </row>
    <row r="3178" spans="3:3" ht="15.6" x14ac:dyDescent="0.3">
      <c r="C3178" s="70"/>
    </row>
    <row r="3179" spans="3:3" ht="15.6" x14ac:dyDescent="0.3">
      <c r="C3179" s="70"/>
    </row>
    <row r="3180" spans="3:3" ht="15.6" x14ac:dyDescent="0.3">
      <c r="C3180" s="70"/>
    </row>
    <row r="3181" spans="3:3" ht="15.6" x14ac:dyDescent="0.3">
      <c r="C3181" s="70"/>
    </row>
    <row r="3182" spans="3:3" ht="15.6" x14ac:dyDescent="0.3">
      <c r="C3182" s="70"/>
    </row>
    <row r="3183" spans="3:3" ht="15.6" x14ac:dyDescent="0.3">
      <c r="C3183" s="70"/>
    </row>
    <row r="3184" spans="3:3" ht="15.6" x14ac:dyDescent="0.3">
      <c r="C3184" s="70"/>
    </row>
    <row r="3185" spans="3:3" ht="15.6" x14ac:dyDescent="0.3">
      <c r="C3185" s="70"/>
    </row>
    <row r="3186" spans="3:3" ht="15.6" x14ac:dyDescent="0.3">
      <c r="C3186" s="70"/>
    </row>
    <row r="3187" spans="3:3" ht="15.6" x14ac:dyDescent="0.3">
      <c r="C3187" s="70"/>
    </row>
    <row r="3188" spans="3:3" ht="15.6" x14ac:dyDescent="0.3">
      <c r="C3188" s="70"/>
    </row>
    <row r="3189" spans="3:3" ht="15.6" x14ac:dyDescent="0.3">
      <c r="C3189" s="70"/>
    </row>
    <row r="3190" spans="3:3" ht="15.6" x14ac:dyDescent="0.3">
      <c r="C3190" s="70"/>
    </row>
    <row r="3191" spans="3:3" ht="15.6" x14ac:dyDescent="0.3">
      <c r="C3191" s="70"/>
    </row>
    <row r="3192" spans="3:3" ht="15.6" x14ac:dyDescent="0.3">
      <c r="C3192" s="70"/>
    </row>
    <row r="3193" spans="3:3" ht="15.6" x14ac:dyDescent="0.3">
      <c r="C3193" s="70"/>
    </row>
    <row r="3194" spans="3:3" ht="15.6" x14ac:dyDescent="0.3">
      <c r="C3194" s="70"/>
    </row>
    <row r="3195" spans="3:3" ht="15.6" x14ac:dyDescent="0.3">
      <c r="C3195" s="70"/>
    </row>
    <row r="3196" spans="3:3" ht="15.6" x14ac:dyDescent="0.3">
      <c r="C3196" s="70"/>
    </row>
    <row r="3197" spans="3:3" ht="15.6" x14ac:dyDescent="0.3">
      <c r="C3197" s="70"/>
    </row>
    <row r="3198" spans="3:3" ht="15.6" x14ac:dyDescent="0.3">
      <c r="C3198" s="70"/>
    </row>
    <row r="3199" spans="3:3" ht="15.6" x14ac:dyDescent="0.3">
      <c r="C3199" s="70"/>
    </row>
    <row r="3200" spans="3:3" ht="15.6" x14ac:dyDescent="0.3">
      <c r="C3200" s="70"/>
    </row>
    <row r="3201" spans="3:3" ht="15.6" x14ac:dyDescent="0.3">
      <c r="C3201" s="70"/>
    </row>
    <row r="3202" spans="3:3" ht="15.6" x14ac:dyDescent="0.3">
      <c r="C3202" s="70"/>
    </row>
    <row r="3203" spans="3:3" ht="15.6" x14ac:dyDescent="0.3">
      <c r="C3203" s="70"/>
    </row>
    <row r="3204" spans="3:3" ht="15.6" x14ac:dyDescent="0.3">
      <c r="C3204" s="70"/>
    </row>
    <row r="3205" spans="3:3" ht="15.6" x14ac:dyDescent="0.3">
      <c r="C3205" s="70"/>
    </row>
    <row r="3206" spans="3:3" ht="15.6" x14ac:dyDescent="0.3">
      <c r="C3206" s="70"/>
    </row>
    <row r="3207" spans="3:3" ht="15.6" x14ac:dyDescent="0.3">
      <c r="C3207" s="70"/>
    </row>
    <row r="3208" spans="3:3" ht="15.6" x14ac:dyDescent="0.3">
      <c r="C3208" s="70"/>
    </row>
    <row r="3209" spans="3:3" ht="15.6" x14ac:dyDescent="0.3">
      <c r="C3209" s="70"/>
    </row>
    <row r="3210" spans="3:3" ht="15.6" x14ac:dyDescent="0.3">
      <c r="C3210" s="70"/>
    </row>
    <row r="3211" spans="3:3" ht="15.6" x14ac:dyDescent="0.3">
      <c r="C3211" s="70"/>
    </row>
    <row r="3212" spans="3:3" ht="15.6" x14ac:dyDescent="0.3">
      <c r="C3212" s="70"/>
    </row>
    <row r="3213" spans="3:3" ht="15.6" x14ac:dyDescent="0.3">
      <c r="C3213" s="70"/>
    </row>
    <row r="3214" spans="3:3" ht="15.6" x14ac:dyDescent="0.3">
      <c r="C3214" s="70"/>
    </row>
    <row r="3215" spans="3:3" ht="15.6" x14ac:dyDescent="0.3">
      <c r="C3215" s="70"/>
    </row>
    <row r="3216" spans="3:3" ht="15.6" x14ac:dyDescent="0.3">
      <c r="C3216" s="70"/>
    </row>
    <row r="3217" spans="3:3" ht="15.6" x14ac:dyDescent="0.3">
      <c r="C3217" s="70"/>
    </row>
    <row r="3218" spans="3:3" ht="15.6" x14ac:dyDescent="0.3">
      <c r="C3218" s="70"/>
    </row>
    <row r="3219" spans="3:3" ht="15.6" x14ac:dyDescent="0.3">
      <c r="C3219" s="70"/>
    </row>
    <row r="3220" spans="3:3" ht="15.6" x14ac:dyDescent="0.3">
      <c r="C3220" s="70"/>
    </row>
    <row r="3221" spans="3:3" ht="15.6" x14ac:dyDescent="0.3">
      <c r="C3221" s="70"/>
    </row>
    <row r="3222" spans="3:3" ht="15.6" x14ac:dyDescent="0.3">
      <c r="C3222" s="70"/>
    </row>
    <row r="3223" spans="3:3" ht="15.6" x14ac:dyDescent="0.3">
      <c r="C3223" s="70"/>
    </row>
    <row r="3224" spans="3:3" ht="15.6" x14ac:dyDescent="0.3">
      <c r="C3224" s="70"/>
    </row>
    <row r="3225" spans="3:3" ht="15.6" x14ac:dyDescent="0.3">
      <c r="C3225" s="70"/>
    </row>
    <row r="3226" spans="3:3" ht="15.6" x14ac:dyDescent="0.3">
      <c r="C3226" s="70"/>
    </row>
    <row r="3227" spans="3:3" ht="15.6" x14ac:dyDescent="0.3">
      <c r="C3227" s="70"/>
    </row>
    <row r="3228" spans="3:3" ht="15.6" x14ac:dyDescent="0.3">
      <c r="C3228" s="70"/>
    </row>
    <row r="3229" spans="3:3" ht="15.6" x14ac:dyDescent="0.3">
      <c r="C3229" s="70"/>
    </row>
    <row r="3230" spans="3:3" ht="15.6" x14ac:dyDescent="0.3">
      <c r="C3230" s="70"/>
    </row>
    <row r="3231" spans="3:3" ht="15.6" x14ac:dyDescent="0.3">
      <c r="C3231" s="70"/>
    </row>
    <row r="3232" spans="3:3" ht="15.6" x14ac:dyDescent="0.3">
      <c r="C3232" s="70"/>
    </row>
    <row r="3233" spans="3:3" ht="15.6" x14ac:dyDescent="0.3">
      <c r="C3233" s="70"/>
    </row>
    <row r="3234" spans="3:3" ht="15.6" x14ac:dyDescent="0.3">
      <c r="C3234" s="70"/>
    </row>
    <row r="3235" spans="3:3" ht="15.6" x14ac:dyDescent="0.3">
      <c r="C3235" s="70"/>
    </row>
    <row r="3236" spans="3:3" ht="15.6" x14ac:dyDescent="0.3">
      <c r="C3236" s="70"/>
    </row>
    <row r="3237" spans="3:3" ht="15.6" x14ac:dyDescent="0.3">
      <c r="C3237" s="70"/>
    </row>
    <row r="3238" spans="3:3" ht="15.6" x14ac:dyDescent="0.3">
      <c r="C3238" s="70"/>
    </row>
    <row r="3239" spans="3:3" ht="15.6" x14ac:dyDescent="0.3">
      <c r="C3239" s="70"/>
    </row>
    <row r="3240" spans="3:3" ht="15.6" x14ac:dyDescent="0.3">
      <c r="C3240" s="70"/>
    </row>
    <row r="3241" spans="3:3" ht="15.6" x14ac:dyDescent="0.3">
      <c r="C3241" s="70"/>
    </row>
    <row r="3242" spans="3:3" ht="15.6" x14ac:dyDescent="0.3">
      <c r="C3242" s="70"/>
    </row>
    <row r="3243" spans="3:3" ht="15.6" x14ac:dyDescent="0.3">
      <c r="C3243" s="70"/>
    </row>
    <row r="3244" spans="3:3" ht="15.6" x14ac:dyDescent="0.3">
      <c r="C3244" s="70"/>
    </row>
    <row r="3245" spans="3:3" ht="15.6" x14ac:dyDescent="0.3">
      <c r="C3245" s="70"/>
    </row>
    <row r="3246" spans="3:3" ht="15.6" x14ac:dyDescent="0.3">
      <c r="C3246" s="70"/>
    </row>
    <row r="3247" spans="3:3" ht="15.6" x14ac:dyDescent="0.3">
      <c r="C3247" s="70"/>
    </row>
    <row r="3248" spans="3:3" ht="15.6" x14ac:dyDescent="0.3">
      <c r="C3248" s="70"/>
    </row>
    <row r="3249" spans="3:3" ht="15.6" x14ac:dyDescent="0.3">
      <c r="C3249" s="70"/>
    </row>
    <row r="3250" spans="3:3" ht="15.6" x14ac:dyDescent="0.3">
      <c r="C3250" s="70"/>
    </row>
    <row r="3251" spans="3:3" ht="15.6" x14ac:dyDescent="0.3">
      <c r="C3251" s="70"/>
    </row>
    <row r="3252" spans="3:3" ht="15.6" x14ac:dyDescent="0.3">
      <c r="C3252" s="70"/>
    </row>
    <row r="3253" spans="3:3" ht="15.6" x14ac:dyDescent="0.3">
      <c r="C3253" s="70"/>
    </row>
    <row r="3254" spans="3:3" ht="15.6" x14ac:dyDescent="0.3">
      <c r="C3254" s="70"/>
    </row>
    <row r="3255" spans="3:3" ht="15.6" x14ac:dyDescent="0.3">
      <c r="C3255" s="70"/>
    </row>
    <row r="3256" spans="3:3" ht="15.6" x14ac:dyDescent="0.3">
      <c r="C3256" s="70"/>
    </row>
    <row r="3257" spans="3:3" ht="15.6" x14ac:dyDescent="0.3">
      <c r="C3257" s="70"/>
    </row>
    <row r="3258" spans="3:3" ht="15.6" x14ac:dyDescent="0.3">
      <c r="C3258" s="70"/>
    </row>
    <row r="3259" spans="3:3" ht="15.6" x14ac:dyDescent="0.3">
      <c r="C3259" s="70"/>
    </row>
    <row r="3260" spans="3:3" ht="15.6" x14ac:dyDescent="0.3">
      <c r="C3260" s="70"/>
    </row>
    <row r="3261" spans="3:3" ht="15.6" x14ac:dyDescent="0.3">
      <c r="C3261" s="70"/>
    </row>
    <row r="3262" spans="3:3" ht="15.6" x14ac:dyDescent="0.3">
      <c r="C3262" s="70"/>
    </row>
    <row r="3263" spans="3:3" ht="15.6" x14ac:dyDescent="0.3">
      <c r="C3263" s="70"/>
    </row>
    <row r="3264" spans="3:3" ht="15.6" x14ac:dyDescent="0.3">
      <c r="C3264" s="70"/>
    </row>
    <row r="3265" spans="3:3" ht="15.6" x14ac:dyDescent="0.3">
      <c r="C3265" s="70"/>
    </row>
    <row r="3266" spans="3:3" ht="15.6" x14ac:dyDescent="0.3">
      <c r="C3266" s="70"/>
    </row>
    <row r="3267" spans="3:3" ht="15.6" x14ac:dyDescent="0.3">
      <c r="C3267" s="70"/>
    </row>
    <row r="3268" spans="3:3" ht="15.6" x14ac:dyDescent="0.3">
      <c r="C3268" s="70"/>
    </row>
    <row r="3269" spans="3:3" ht="15.6" x14ac:dyDescent="0.3">
      <c r="C3269" s="70"/>
    </row>
    <row r="3270" spans="3:3" ht="15.6" x14ac:dyDescent="0.3">
      <c r="C3270" s="70"/>
    </row>
    <row r="3271" spans="3:3" ht="15.6" x14ac:dyDescent="0.3">
      <c r="C3271" s="70"/>
    </row>
    <row r="3272" spans="3:3" ht="15.6" x14ac:dyDescent="0.3">
      <c r="C3272" s="70"/>
    </row>
    <row r="3273" spans="3:3" ht="15.6" x14ac:dyDescent="0.3">
      <c r="C3273" s="70"/>
    </row>
    <row r="3274" spans="3:3" ht="15.6" x14ac:dyDescent="0.3">
      <c r="C3274" s="70"/>
    </row>
    <row r="3275" spans="3:3" ht="15.6" x14ac:dyDescent="0.3">
      <c r="C3275" s="70"/>
    </row>
    <row r="3276" spans="3:3" ht="15.6" x14ac:dyDescent="0.3">
      <c r="C3276" s="70"/>
    </row>
    <row r="3277" spans="3:3" ht="15.6" x14ac:dyDescent="0.3">
      <c r="C3277" s="70"/>
    </row>
    <row r="3278" spans="3:3" ht="15.6" x14ac:dyDescent="0.3">
      <c r="C3278" s="70"/>
    </row>
    <row r="3279" spans="3:3" ht="15.6" x14ac:dyDescent="0.3">
      <c r="C3279" s="70"/>
    </row>
    <row r="3280" spans="3:3" ht="15.6" x14ac:dyDescent="0.3">
      <c r="C3280" s="70"/>
    </row>
    <row r="3281" spans="3:3" ht="15.6" x14ac:dyDescent="0.3">
      <c r="C3281" s="70"/>
    </row>
    <row r="3282" spans="3:3" ht="15.6" x14ac:dyDescent="0.3">
      <c r="C3282" s="70"/>
    </row>
    <row r="3283" spans="3:3" ht="15.6" x14ac:dyDescent="0.3">
      <c r="C3283" s="70"/>
    </row>
    <row r="3284" spans="3:3" ht="15.6" x14ac:dyDescent="0.3">
      <c r="C3284" s="70"/>
    </row>
    <row r="3285" spans="3:3" ht="15.6" x14ac:dyDescent="0.3">
      <c r="C3285" s="70"/>
    </row>
    <row r="3286" spans="3:3" ht="15.6" x14ac:dyDescent="0.3">
      <c r="C3286" s="70"/>
    </row>
    <row r="3287" spans="3:3" ht="15.6" x14ac:dyDescent="0.3">
      <c r="C3287" s="70"/>
    </row>
    <row r="3288" spans="3:3" ht="15.6" x14ac:dyDescent="0.3">
      <c r="C3288" s="70"/>
    </row>
    <row r="3289" spans="3:3" ht="15.6" x14ac:dyDescent="0.3">
      <c r="C3289" s="70"/>
    </row>
    <row r="3290" spans="3:3" ht="15.6" x14ac:dyDescent="0.3">
      <c r="C3290" s="70"/>
    </row>
    <row r="3291" spans="3:3" ht="15.6" x14ac:dyDescent="0.3">
      <c r="C3291" s="70"/>
    </row>
    <row r="3292" spans="3:3" ht="15.6" x14ac:dyDescent="0.3">
      <c r="C3292" s="70"/>
    </row>
    <row r="3293" spans="3:3" ht="15.6" x14ac:dyDescent="0.3">
      <c r="C3293" s="70"/>
    </row>
    <row r="3294" spans="3:3" ht="15.6" x14ac:dyDescent="0.3">
      <c r="C3294" s="70"/>
    </row>
    <row r="3295" spans="3:3" ht="15.6" x14ac:dyDescent="0.3">
      <c r="C3295" s="70"/>
    </row>
    <row r="3296" spans="3:3" ht="15.6" x14ac:dyDescent="0.3">
      <c r="C3296" s="70"/>
    </row>
    <row r="3297" spans="3:3" ht="15.6" x14ac:dyDescent="0.3">
      <c r="C3297" s="70"/>
    </row>
    <row r="3298" spans="3:3" ht="15.6" x14ac:dyDescent="0.3">
      <c r="C3298" s="70"/>
    </row>
    <row r="3299" spans="3:3" ht="15.6" x14ac:dyDescent="0.3">
      <c r="C3299" s="70"/>
    </row>
    <row r="3300" spans="3:3" ht="15.6" x14ac:dyDescent="0.3">
      <c r="C3300" s="70"/>
    </row>
    <row r="3301" spans="3:3" ht="15.6" x14ac:dyDescent="0.3">
      <c r="C3301" s="70"/>
    </row>
    <row r="3302" spans="3:3" ht="15.6" x14ac:dyDescent="0.3">
      <c r="C3302" s="70"/>
    </row>
    <row r="3303" spans="3:3" ht="15.6" x14ac:dyDescent="0.3">
      <c r="C3303" s="70"/>
    </row>
    <row r="3304" spans="3:3" ht="15.6" x14ac:dyDescent="0.3">
      <c r="C3304" s="70"/>
    </row>
    <row r="3305" spans="3:3" ht="15.6" x14ac:dyDescent="0.3">
      <c r="C3305" s="70"/>
    </row>
    <row r="3306" spans="3:3" ht="15.6" x14ac:dyDescent="0.3">
      <c r="C3306" s="70"/>
    </row>
    <row r="3307" spans="3:3" ht="15.6" x14ac:dyDescent="0.3">
      <c r="C3307" s="70"/>
    </row>
    <row r="3308" spans="3:3" ht="15.6" x14ac:dyDescent="0.3">
      <c r="C3308" s="70"/>
    </row>
    <row r="3309" spans="3:3" ht="15.6" x14ac:dyDescent="0.3">
      <c r="C3309" s="70"/>
    </row>
    <row r="3310" spans="3:3" ht="15.6" x14ac:dyDescent="0.3">
      <c r="C3310" s="70"/>
    </row>
    <row r="3311" spans="3:3" ht="15.6" x14ac:dyDescent="0.3">
      <c r="C3311" s="70"/>
    </row>
    <row r="3312" spans="3:3" ht="15.6" x14ac:dyDescent="0.3">
      <c r="C3312" s="70"/>
    </row>
    <row r="3313" spans="3:3" ht="15.6" x14ac:dyDescent="0.3">
      <c r="C3313" s="70"/>
    </row>
    <row r="3314" spans="3:3" ht="15.6" x14ac:dyDescent="0.3">
      <c r="C3314" s="70"/>
    </row>
    <row r="3315" spans="3:3" ht="15.6" x14ac:dyDescent="0.3">
      <c r="C3315" s="70"/>
    </row>
    <row r="3316" spans="3:3" ht="15.6" x14ac:dyDescent="0.3">
      <c r="C3316" s="70"/>
    </row>
    <row r="3317" spans="3:3" ht="15.6" x14ac:dyDescent="0.3">
      <c r="C3317" s="70"/>
    </row>
    <row r="3318" spans="3:3" ht="15.6" x14ac:dyDescent="0.3">
      <c r="C3318" s="70"/>
    </row>
    <row r="3319" spans="3:3" ht="15.6" x14ac:dyDescent="0.3">
      <c r="C3319" s="70"/>
    </row>
    <row r="3320" spans="3:3" ht="15.6" x14ac:dyDescent="0.3">
      <c r="C3320" s="70"/>
    </row>
    <row r="3321" spans="3:3" ht="15.6" x14ac:dyDescent="0.3">
      <c r="C3321" s="70"/>
    </row>
    <row r="3322" spans="3:3" ht="15.6" x14ac:dyDescent="0.3">
      <c r="C3322" s="70"/>
    </row>
    <row r="3323" spans="3:3" ht="15.6" x14ac:dyDescent="0.3">
      <c r="C3323" s="70"/>
    </row>
    <row r="3324" spans="3:3" ht="15.6" x14ac:dyDescent="0.3">
      <c r="C3324" s="70"/>
    </row>
    <row r="3325" spans="3:3" ht="15.6" x14ac:dyDescent="0.3">
      <c r="C3325" s="70"/>
    </row>
    <row r="3326" spans="3:3" ht="15.6" x14ac:dyDescent="0.3">
      <c r="C3326" s="70"/>
    </row>
    <row r="3327" spans="3:3" ht="15.6" x14ac:dyDescent="0.3">
      <c r="C3327" s="70"/>
    </row>
    <row r="3328" spans="3:3" ht="15.6" x14ac:dyDescent="0.3">
      <c r="C3328" s="70"/>
    </row>
    <row r="3329" spans="3:3" ht="15.6" x14ac:dyDescent="0.3">
      <c r="C3329" s="70"/>
    </row>
    <row r="3330" spans="3:3" ht="15.6" x14ac:dyDescent="0.3">
      <c r="C3330" s="70"/>
    </row>
    <row r="3331" spans="3:3" ht="15.6" x14ac:dyDescent="0.3">
      <c r="C3331" s="70"/>
    </row>
    <row r="3332" spans="3:3" ht="15.6" x14ac:dyDescent="0.3">
      <c r="C3332" s="70"/>
    </row>
    <row r="3333" spans="3:3" ht="15.6" x14ac:dyDescent="0.3">
      <c r="C3333" s="70"/>
    </row>
    <row r="3334" spans="3:3" ht="15.6" x14ac:dyDescent="0.3">
      <c r="C3334" s="70"/>
    </row>
    <row r="3335" spans="3:3" ht="15.6" x14ac:dyDescent="0.3">
      <c r="C3335" s="70"/>
    </row>
    <row r="3336" spans="3:3" ht="15.6" x14ac:dyDescent="0.3">
      <c r="C3336" s="70"/>
    </row>
    <row r="3337" spans="3:3" ht="15.6" x14ac:dyDescent="0.3">
      <c r="C3337" s="70"/>
    </row>
    <row r="3338" spans="3:3" ht="15.6" x14ac:dyDescent="0.3">
      <c r="C3338" s="70"/>
    </row>
    <row r="3339" spans="3:3" ht="15.6" x14ac:dyDescent="0.3">
      <c r="C3339" s="70"/>
    </row>
    <row r="3340" spans="3:3" ht="15.6" x14ac:dyDescent="0.3">
      <c r="C3340" s="70"/>
    </row>
    <row r="3341" spans="3:3" ht="15.6" x14ac:dyDescent="0.3">
      <c r="C3341" s="70"/>
    </row>
    <row r="3342" spans="3:3" ht="15.6" x14ac:dyDescent="0.3">
      <c r="C3342" s="70"/>
    </row>
    <row r="3343" spans="3:3" ht="15.6" x14ac:dyDescent="0.3">
      <c r="C3343" s="70"/>
    </row>
    <row r="3344" spans="3:3" ht="15.6" x14ac:dyDescent="0.3">
      <c r="C3344" s="70"/>
    </row>
    <row r="3345" spans="3:3" ht="15.6" x14ac:dyDescent="0.3">
      <c r="C3345" s="70"/>
    </row>
    <row r="3346" spans="3:3" ht="15.6" x14ac:dyDescent="0.3">
      <c r="C3346" s="70"/>
    </row>
    <row r="3347" spans="3:3" ht="15.6" x14ac:dyDescent="0.3">
      <c r="C3347" s="70"/>
    </row>
    <row r="3348" spans="3:3" ht="15.6" x14ac:dyDescent="0.3">
      <c r="C3348" s="70"/>
    </row>
    <row r="3349" spans="3:3" ht="15.6" x14ac:dyDescent="0.3">
      <c r="C3349" s="70"/>
    </row>
    <row r="3350" spans="3:3" ht="15.6" x14ac:dyDescent="0.3">
      <c r="C3350" s="70"/>
    </row>
    <row r="3351" spans="3:3" ht="15.6" x14ac:dyDescent="0.3">
      <c r="C3351" s="70"/>
    </row>
    <row r="3352" spans="3:3" ht="15.6" x14ac:dyDescent="0.3">
      <c r="C3352" s="70"/>
    </row>
    <row r="3353" spans="3:3" ht="15.6" x14ac:dyDescent="0.3">
      <c r="C3353" s="70"/>
    </row>
    <row r="3354" spans="3:3" ht="15.6" x14ac:dyDescent="0.3">
      <c r="C3354" s="70"/>
    </row>
    <row r="3355" spans="3:3" ht="15.6" x14ac:dyDescent="0.3">
      <c r="C3355" s="70"/>
    </row>
    <row r="3356" spans="3:3" ht="15.6" x14ac:dyDescent="0.3">
      <c r="C3356" s="70"/>
    </row>
    <row r="3357" spans="3:3" ht="15.6" x14ac:dyDescent="0.3">
      <c r="C3357" s="70"/>
    </row>
    <row r="3358" spans="3:3" ht="15.6" x14ac:dyDescent="0.3">
      <c r="C3358" s="70"/>
    </row>
    <row r="3359" spans="3:3" ht="15.6" x14ac:dyDescent="0.3">
      <c r="C3359" s="70"/>
    </row>
    <row r="3360" spans="3:3" ht="15.6" x14ac:dyDescent="0.3">
      <c r="C3360" s="70"/>
    </row>
    <row r="3361" spans="3:3" ht="15.6" x14ac:dyDescent="0.3">
      <c r="C3361" s="70"/>
    </row>
    <row r="3362" spans="3:3" ht="15.6" x14ac:dyDescent="0.3">
      <c r="C3362" s="70"/>
    </row>
    <row r="3363" spans="3:3" ht="15.6" x14ac:dyDescent="0.3">
      <c r="C3363" s="70"/>
    </row>
    <row r="3364" spans="3:3" ht="15.6" x14ac:dyDescent="0.3">
      <c r="C3364" s="70"/>
    </row>
    <row r="3365" spans="3:3" ht="15.6" x14ac:dyDescent="0.3">
      <c r="C3365" s="70"/>
    </row>
    <row r="3366" spans="3:3" ht="15.6" x14ac:dyDescent="0.3">
      <c r="C3366" s="70"/>
    </row>
    <row r="3367" spans="3:3" ht="15.6" x14ac:dyDescent="0.3">
      <c r="C3367" s="70"/>
    </row>
    <row r="3368" spans="3:3" ht="15.6" x14ac:dyDescent="0.3">
      <c r="C3368" s="70"/>
    </row>
    <row r="3369" spans="3:3" ht="15.6" x14ac:dyDescent="0.3">
      <c r="C3369" s="70"/>
    </row>
    <row r="3370" spans="3:3" ht="15.6" x14ac:dyDescent="0.3">
      <c r="C3370" s="70"/>
    </row>
    <row r="3371" spans="3:3" ht="15.6" x14ac:dyDescent="0.3">
      <c r="C3371" s="70"/>
    </row>
    <row r="3372" spans="3:3" ht="15.6" x14ac:dyDescent="0.3">
      <c r="C3372" s="70"/>
    </row>
    <row r="3373" spans="3:3" ht="15.6" x14ac:dyDescent="0.3">
      <c r="C3373" s="70"/>
    </row>
    <row r="3374" spans="3:3" ht="15.6" x14ac:dyDescent="0.3">
      <c r="C3374" s="70"/>
    </row>
    <row r="3375" spans="3:3" ht="15.6" x14ac:dyDescent="0.3">
      <c r="C3375" s="70"/>
    </row>
    <row r="3376" spans="3:3" ht="15.6" x14ac:dyDescent="0.3">
      <c r="C3376" s="70"/>
    </row>
    <row r="3377" spans="3:3" ht="15.6" x14ac:dyDescent="0.3">
      <c r="C3377" s="70"/>
    </row>
    <row r="3378" spans="3:3" ht="15.6" x14ac:dyDescent="0.3">
      <c r="C3378" s="70"/>
    </row>
    <row r="3379" spans="3:3" ht="15.6" x14ac:dyDescent="0.3">
      <c r="C3379" s="70"/>
    </row>
    <row r="3380" spans="3:3" ht="15.6" x14ac:dyDescent="0.3">
      <c r="C3380" s="70"/>
    </row>
    <row r="3381" spans="3:3" ht="15.6" x14ac:dyDescent="0.3">
      <c r="C3381" s="70"/>
    </row>
    <row r="3382" spans="3:3" ht="15.6" x14ac:dyDescent="0.3">
      <c r="C3382" s="70"/>
    </row>
    <row r="3383" spans="3:3" ht="15.6" x14ac:dyDescent="0.3">
      <c r="C3383" s="70"/>
    </row>
    <row r="3384" spans="3:3" ht="15.6" x14ac:dyDescent="0.3">
      <c r="C3384" s="70"/>
    </row>
    <row r="3385" spans="3:3" ht="15.6" x14ac:dyDescent="0.3">
      <c r="C3385" s="70"/>
    </row>
    <row r="3386" spans="3:3" ht="15.6" x14ac:dyDescent="0.3">
      <c r="C3386" s="70"/>
    </row>
    <row r="3387" spans="3:3" ht="15.6" x14ac:dyDescent="0.3">
      <c r="C3387" s="70"/>
    </row>
    <row r="3388" spans="3:3" ht="15.6" x14ac:dyDescent="0.3">
      <c r="C3388" s="70"/>
    </row>
    <row r="3389" spans="3:3" ht="15.6" x14ac:dyDescent="0.3">
      <c r="C3389" s="70"/>
    </row>
    <row r="3390" spans="3:3" ht="15.6" x14ac:dyDescent="0.3">
      <c r="C3390" s="70"/>
    </row>
    <row r="3391" spans="3:3" ht="15.6" x14ac:dyDescent="0.3">
      <c r="C3391" s="70"/>
    </row>
    <row r="3392" spans="3:3" ht="15.6" x14ac:dyDescent="0.3">
      <c r="C3392" s="70"/>
    </row>
    <row r="3393" spans="3:3" ht="15.6" x14ac:dyDescent="0.3">
      <c r="C3393" s="70"/>
    </row>
    <row r="3394" spans="3:3" ht="15.6" x14ac:dyDescent="0.3">
      <c r="C3394" s="70"/>
    </row>
    <row r="3395" spans="3:3" ht="15.6" x14ac:dyDescent="0.3">
      <c r="C3395" s="70"/>
    </row>
    <row r="3396" spans="3:3" ht="15.6" x14ac:dyDescent="0.3">
      <c r="C3396" s="70"/>
    </row>
    <row r="3397" spans="3:3" ht="15.6" x14ac:dyDescent="0.3">
      <c r="C3397" s="70"/>
    </row>
    <row r="3398" spans="3:3" ht="15.6" x14ac:dyDescent="0.3">
      <c r="C3398" s="70"/>
    </row>
    <row r="3399" spans="3:3" ht="15.6" x14ac:dyDescent="0.3">
      <c r="C3399" s="70"/>
    </row>
    <row r="3400" spans="3:3" ht="15.6" x14ac:dyDescent="0.3">
      <c r="C3400" s="70"/>
    </row>
    <row r="3401" spans="3:3" ht="15.6" x14ac:dyDescent="0.3">
      <c r="C3401" s="70"/>
    </row>
    <row r="3402" spans="3:3" ht="15.6" x14ac:dyDescent="0.3">
      <c r="C3402" s="70"/>
    </row>
    <row r="3403" spans="3:3" ht="15.6" x14ac:dyDescent="0.3">
      <c r="C3403" s="70"/>
    </row>
    <row r="3404" spans="3:3" ht="15.6" x14ac:dyDescent="0.3">
      <c r="C3404" s="70"/>
    </row>
    <row r="3405" spans="3:3" ht="15.6" x14ac:dyDescent="0.3">
      <c r="C3405" s="70"/>
    </row>
    <row r="3406" spans="3:3" ht="15.6" x14ac:dyDescent="0.3">
      <c r="C3406" s="70"/>
    </row>
    <row r="3407" spans="3:3" ht="15.6" x14ac:dyDescent="0.3">
      <c r="C3407" s="70"/>
    </row>
    <row r="3408" spans="3:3" ht="15.6" x14ac:dyDescent="0.3">
      <c r="C3408" s="70"/>
    </row>
    <row r="3409" spans="3:3" ht="15.6" x14ac:dyDescent="0.3">
      <c r="C3409" s="70"/>
    </row>
    <row r="3410" spans="3:3" ht="15.6" x14ac:dyDescent="0.3">
      <c r="C3410" s="70"/>
    </row>
    <row r="3411" spans="3:3" ht="15.6" x14ac:dyDescent="0.3">
      <c r="C3411" s="70"/>
    </row>
    <row r="3412" spans="3:3" ht="15.6" x14ac:dyDescent="0.3">
      <c r="C3412" s="70"/>
    </row>
    <row r="3413" spans="3:3" ht="15.6" x14ac:dyDescent="0.3">
      <c r="C3413" s="70"/>
    </row>
    <row r="3414" spans="3:3" ht="15.6" x14ac:dyDescent="0.3">
      <c r="C3414" s="70"/>
    </row>
    <row r="3415" spans="3:3" ht="15.6" x14ac:dyDescent="0.3">
      <c r="C3415" s="70"/>
    </row>
    <row r="3416" spans="3:3" ht="15.6" x14ac:dyDescent="0.3">
      <c r="C3416" s="70"/>
    </row>
    <row r="3417" spans="3:3" ht="15.6" x14ac:dyDescent="0.3">
      <c r="C3417" s="70"/>
    </row>
    <row r="3418" spans="3:3" ht="15.6" x14ac:dyDescent="0.3">
      <c r="C3418" s="70"/>
    </row>
    <row r="3419" spans="3:3" ht="15.6" x14ac:dyDescent="0.3">
      <c r="C3419" s="70"/>
    </row>
    <row r="3420" spans="3:3" ht="15.6" x14ac:dyDescent="0.3">
      <c r="C3420" s="70"/>
    </row>
    <row r="3421" spans="3:3" ht="15.6" x14ac:dyDescent="0.3">
      <c r="C3421" s="70"/>
    </row>
    <row r="3422" spans="3:3" ht="15.6" x14ac:dyDescent="0.3">
      <c r="C3422" s="70"/>
    </row>
    <row r="3423" spans="3:3" ht="15.6" x14ac:dyDescent="0.3">
      <c r="C3423" s="70"/>
    </row>
    <row r="3424" spans="3:3" ht="15.6" x14ac:dyDescent="0.3">
      <c r="C3424" s="70"/>
    </row>
    <row r="3425" spans="3:3" ht="15.6" x14ac:dyDescent="0.3">
      <c r="C3425" s="70"/>
    </row>
    <row r="3426" spans="3:3" ht="15.6" x14ac:dyDescent="0.3">
      <c r="C3426" s="70"/>
    </row>
    <row r="3427" spans="3:3" ht="15.6" x14ac:dyDescent="0.3">
      <c r="C3427" s="70"/>
    </row>
    <row r="3428" spans="3:3" ht="15.6" x14ac:dyDescent="0.3">
      <c r="C3428" s="70"/>
    </row>
    <row r="3429" spans="3:3" ht="15.6" x14ac:dyDescent="0.3">
      <c r="C3429" s="70"/>
    </row>
    <row r="3430" spans="3:3" ht="15.6" x14ac:dyDescent="0.3">
      <c r="C3430" s="70"/>
    </row>
    <row r="3431" spans="3:3" ht="15.6" x14ac:dyDescent="0.3">
      <c r="C3431" s="70"/>
    </row>
    <row r="3432" spans="3:3" ht="15.6" x14ac:dyDescent="0.3">
      <c r="C3432" s="70"/>
    </row>
    <row r="3433" spans="3:3" ht="15.6" x14ac:dyDescent="0.3">
      <c r="C3433" s="70"/>
    </row>
    <row r="3434" spans="3:3" ht="15.6" x14ac:dyDescent="0.3">
      <c r="C3434" s="70"/>
    </row>
    <row r="3435" spans="3:3" ht="15.6" x14ac:dyDescent="0.3">
      <c r="C3435" s="70"/>
    </row>
    <row r="3436" spans="3:3" ht="15.6" x14ac:dyDescent="0.3">
      <c r="C3436" s="70"/>
    </row>
    <row r="3437" spans="3:3" ht="15.6" x14ac:dyDescent="0.3">
      <c r="C3437" s="70"/>
    </row>
    <row r="3438" spans="3:3" ht="15.6" x14ac:dyDescent="0.3">
      <c r="C3438" s="70"/>
    </row>
    <row r="3439" spans="3:3" ht="15.6" x14ac:dyDescent="0.3">
      <c r="C3439" s="70"/>
    </row>
    <row r="3440" spans="3:3" ht="15.6" x14ac:dyDescent="0.3">
      <c r="C3440" s="70"/>
    </row>
    <row r="3441" spans="3:3" ht="15.6" x14ac:dyDescent="0.3">
      <c r="C3441" s="70"/>
    </row>
    <row r="3442" spans="3:3" ht="15.6" x14ac:dyDescent="0.3">
      <c r="C3442" s="70"/>
    </row>
    <row r="3443" spans="3:3" ht="15.6" x14ac:dyDescent="0.3">
      <c r="C3443" s="70"/>
    </row>
    <row r="3444" spans="3:3" ht="15.6" x14ac:dyDescent="0.3">
      <c r="C3444" s="70"/>
    </row>
    <row r="3445" spans="3:3" ht="15.6" x14ac:dyDescent="0.3">
      <c r="C3445" s="70"/>
    </row>
    <row r="3446" spans="3:3" ht="15.6" x14ac:dyDescent="0.3">
      <c r="C3446" s="70"/>
    </row>
    <row r="3447" spans="3:3" ht="15.6" x14ac:dyDescent="0.3">
      <c r="C3447" s="70"/>
    </row>
    <row r="3448" spans="3:3" ht="15.6" x14ac:dyDescent="0.3">
      <c r="C3448" s="70"/>
    </row>
    <row r="3449" spans="3:3" ht="15.6" x14ac:dyDescent="0.3">
      <c r="C3449" s="70"/>
    </row>
    <row r="3450" spans="3:3" ht="15.6" x14ac:dyDescent="0.3">
      <c r="C3450" s="70"/>
    </row>
    <row r="3451" spans="3:3" ht="15.6" x14ac:dyDescent="0.3">
      <c r="C3451" s="70"/>
    </row>
    <row r="3452" spans="3:3" ht="15.6" x14ac:dyDescent="0.3">
      <c r="C3452" s="70"/>
    </row>
    <row r="3453" spans="3:3" ht="15.6" x14ac:dyDescent="0.3">
      <c r="C3453" s="70"/>
    </row>
    <row r="3454" spans="3:3" ht="15.6" x14ac:dyDescent="0.3">
      <c r="C3454" s="70"/>
    </row>
    <row r="3455" spans="3:3" ht="15.6" x14ac:dyDescent="0.3">
      <c r="C3455" s="70"/>
    </row>
    <row r="3456" spans="3:3" ht="15.6" x14ac:dyDescent="0.3">
      <c r="C3456" s="70"/>
    </row>
    <row r="3457" spans="3:3" ht="15.6" x14ac:dyDescent="0.3">
      <c r="C3457" s="70"/>
    </row>
    <row r="3458" spans="3:3" ht="15.6" x14ac:dyDescent="0.3">
      <c r="C3458" s="70"/>
    </row>
    <row r="3459" spans="3:3" ht="15.6" x14ac:dyDescent="0.3">
      <c r="C3459" s="70"/>
    </row>
    <row r="3460" spans="3:3" ht="15.6" x14ac:dyDescent="0.3">
      <c r="C3460" s="70"/>
    </row>
    <row r="3461" spans="3:3" ht="15.6" x14ac:dyDescent="0.3">
      <c r="C3461" s="70"/>
    </row>
    <row r="3462" spans="3:3" ht="15.6" x14ac:dyDescent="0.3">
      <c r="C3462" s="70"/>
    </row>
    <row r="3463" spans="3:3" ht="15.6" x14ac:dyDescent="0.3">
      <c r="C3463" s="70"/>
    </row>
    <row r="3464" spans="3:3" ht="15.6" x14ac:dyDescent="0.3">
      <c r="C3464" s="70"/>
    </row>
    <row r="3465" spans="3:3" ht="15.6" x14ac:dyDescent="0.3">
      <c r="C3465" s="70"/>
    </row>
    <row r="3466" spans="3:3" ht="15.6" x14ac:dyDescent="0.3">
      <c r="C3466" s="70"/>
    </row>
    <row r="3467" spans="3:3" ht="15.6" x14ac:dyDescent="0.3">
      <c r="C3467" s="70"/>
    </row>
    <row r="3468" spans="3:3" ht="15.6" x14ac:dyDescent="0.3">
      <c r="C3468" s="70"/>
    </row>
    <row r="3469" spans="3:3" ht="15.6" x14ac:dyDescent="0.3">
      <c r="C3469" s="70"/>
    </row>
    <row r="3470" spans="3:3" ht="15.6" x14ac:dyDescent="0.3">
      <c r="C3470" s="70"/>
    </row>
    <row r="3471" spans="3:3" ht="15.6" x14ac:dyDescent="0.3">
      <c r="C3471" s="70"/>
    </row>
    <row r="3472" spans="3:3" ht="15.6" x14ac:dyDescent="0.3">
      <c r="C3472" s="70"/>
    </row>
    <row r="3473" spans="3:3" ht="15.6" x14ac:dyDescent="0.3">
      <c r="C3473" s="70"/>
    </row>
    <row r="3474" spans="3:3" ht="15.6" x14ac:dyDescent="0.3">
      <c r="C3474" s="70"/>
    </row>
    <row r="3475" spans="3:3" ht="15.6" x14ac:dyDescent="0.3">
      <c r="C3475" s="70"/>
    </row>
    <row r="3476" spans="3:3" ht="15.6" x14ac:dyDescent="0.3">
      <c r="C3476" s="70"/>
    </row>
    <row r="3477" spans="3:3" ht="15.6" x14ac:dyDescent="0.3">
      <c r="C3477" s="70"/>
    </row>
    <row r="3478" spans="3:3" ht="15.6" x14ac:dyDescent="0.3">
      <c r="C3478" s="70"/>
    </row>
    <row r="3479" spans="3:3" ht="15.6" x14ac:dyDescent="0.3">
      <c r="C3479" s="70"/>
    </row>
    <row r="3480" spans="3:3" ht="15.6" x14ac:dyDescent="0.3">
      <c r="C3480" s="70"/>
    </row>
    <row r="3481" spans="3:3" ht="15.6" x14ac:dyDescent="0.3">
      <c r="C3481" s="70"/>
    </row>
    <row r="3482" spans="3:3" ht="15.6" x14ac:dyDescent="0.3">
      <c r="C3482" s="70"/>
    </row>
    <row r="3483" spans="3:3" ht="15.6" x14ac:dyDescent="0.3">
      <c r="C3483" s="70"/>
    </row>
    <row r="3484" spans="3:3" ht="15.6" x14ac:dyDescent="0.3">
      <c r="C3484" s="70"/>
    </row>
    <row r="3485" spans="3:3" ht="15.6" x14ac:dyDescent="0.3">
      <c r="C3485" s="70"/>
    </row>
    <row r="3486" spans="3:3" ht="15.6" x14ac:dyDescent="0.3">
      <c r="C3486" s="70"/>
    </row>
    <row r="3487" spans="3:3" ht="15.6" x14ac:dyDescent="0.3">
      <c r="C3487" s="70"/>
    </row>
    <row r="3488" spans="3:3" ht="15.6" x14ac:dyDescent="0.3">
      <c r="C3488" s="70"/>
    </row>
    <row r="3489" spans="3:3" ht="15.6" x14ac:dyDescent="0.3">
      <c r="C3489" s="70"/>
    </row>
    <row r="3490" spans="3:3" ht="15.6" x14ac:dyDescent="0.3">
      <c r="C3490" s="70"/>
    </row>
    <row r="3491" spans="3:3" ht="15.6" x14ac:dyDescent="0.3">
      <c r="C3491" s="70"/>
    </row>
    <row r="3492" spans="3:3" ht="15.6" x14ac:dyDescent="0.3">
      <c r="C3492" s="70"/>
    </row>
    <row r="3493" spans="3:3" ht="15.6" x14ac:dyDescent="0.3">
      <c r="C3493" s="70"/>
    </row>
    <row r="3494" spans="3:3" ht="15.6" x14ac:dyDescent="0.3">
      <c r="C3494" s="70"/>
    </row>
    <row r="3495" spans="3:3" ht="15.6" x14ac:dyDescent="0.3">
      <c r="C3495" s="70"/>
    </row>
    <row r="3496" spans="3:3" ht="15.6" x14ac:dyDescent="0.3">
      <c r="C3496" s="70"/>
    </row>
    <row r="3497" spans="3:3" ht="15.6" x14ac:dyDescent="0.3">
      <c r="C3497" s="70"/>
    </row>
    <row r="3498" spans="3:3" ht="15.6" x14ac:dyDescent="0.3">
      <c r="C3498" s="70"/>
    </row>
    <row r="3499" spans="3:3" ht="15.6" x14ac:dyDescent="0.3">
      <c r="C3499" s="70"/>
    </row>
    <row r="3500" spans="3:3" ht="15.6" x14ac:dyDescent="0.3">
      <c r="C3500" s="70"/>
    </row>
    <row r="3501" spans="3:3" ht="15.6" x14ac:dyDescent="0.3">
      <c r="C3501" s="70"/>
    </row>
    <row r="3502" spans="3:3" ht="15.6" x14ac:dyDescent="0.3">
      <c r="C3502" s="70"/>
    </row>
    <row r="3503" spans="3:3" ht="15.6" x14ac:dyDescent="0.3">
      <c r="C3503" s="70"/>
    </row>
    <row r="3504" spans="3:3" ht="15.6" x14ac:dyDescent="0.3">
      <c r="C3504" s="70"/>
    </row>
    <row r="3505" spans="3:3" ht="15.6" x14ac:dyDescent="0.3">
      <c r="C3505" s="70"/>
    </row>
    <row r="3506" spans="3:3" ht="15.6" x14ac:dyDescent="0.3">
      <c r="C3506" s="70"/>
    </row>
    <row r="3507" spans="3:3" ht="15.6" x14ac:dyDescent="0.3">
      <c r="C3507" s="70"/>
    </row>
    <row r="3508" spans="3:3" ht="15.6" x14ac:dyDescent="0.3">
      <c r="C3508" s="70"/>
    </row>
    <row r="3509" spans="3:3" ht="15.6" x14ac:dyDescent="0.3">
      <c r="C3509" s="70"/>
    </row>
    <row r="3510" spans="3:3" ht="15.6" x14ac:dyDescent="0.3">
      <c r="C3510" s="70"/>
    </row>
    <row r="3511" spans="3:3" ht="15.6" x14ac:dyDescent="0.3">
      <c r="C3511" s="70"/>
    </row>
    <row r="3512" spans="3:3" ht="15.6" x14ac:dyDescent="0.3">
      <c r="C3512" s="70"/>
    </row>
    <row r="3513" spans="3:3" ht="15.6" x14ac:dyDescent="0.3">
      <c r="C3513" s="70"/>
    </row>
    <row r="3514" spans="3:3" ht="15.6" x14ac:dyDescent="0.3">
      <c r="C3514" s="70"/>
    </row>
    <row r="3515" spans="3:3" ht="15.6" x14ac:dyDescent="0.3">
      <c r="C3515" s="70"/>
    </row>
    <row r="3516" spans="3:3" ht="15.6" x14ac:dyDescent="0.3">
      <c r="C3516" s="70"/>
    </row>
    <row r="3517" spans="3:3" ht="15.6" x14ac:dyDescent="0.3">
      <c r="C3517" s="70"/>
    </row>
    <row r="3518" spans="3:3" ht="15.6" x14ac:dyDescent="0.3">
      <c r="C3518" s="70"/>
    </row>
    <row r="3519" spans="3:3" ht="15.6" x14ac:dyDescent="0.3">
      <c r="C3519" s="70"/>
    </row>
    <row r="3520" spans="3:3" ht="15.6" x14ac:dyDescent="0.3">
      <c r="C3520" s="70"/>
    </row>
    <row r="3521" spans="3:3" ht="15.6" x14ac:dyDescent="0.3">
      <c r="C3521" s="70"/>
    </row>
    <row r="3522" spans="3:3" ht="15.6" x14ac:dyDescent="0.3">
      <c r="C3522" s="70"/>
    </row>
    <row r="3523" spans="3:3" ht="15.6" x14ac:dyDescent="0.3">
      <c r="C3523" s="70"/>
    </row>
    <row r="3524" spans="3:3" ht="15.6" x14ac:dyDescent="0.3">
      <c r="C3524" s="70"/>
    </row>
    <row r="3525" spans="3:3" ht="15.6" x14ac:dyDescent="0.3">
      <c r="C3525" s="70"/>
    </row>
    <row r="3526" spans="3:3" ht="15.6" x14ac:dyDescent="0.3">
      <c r="C3526" s="70"/>
    </row>
    <row r="3527" spans="3:3" ht="15.6" x14ac:dyDescent="0.3">
      <c r="C3527" s="70"/>
    </row>
    <row r="3528" spans="3:3" ht="15.6" x14ac:dyDescent="0.3">
      <c r="C3528" s="70"/>
    </row>
    <row r="3529" spans="3:3" ht="15.6" x14ac:dyDescent="0.3">
      <c r="C3529" s="70"/>
    </row>
    <row r="3530" spans="3:3" ht="15.6" x14ac:dyDescent="0.3">
      <c r="C3530" s="70"/>
    </row>
    <row r="3531" spans="3:3" ht="15.6" x14ac:dyDescent="0.3">
      <c r="C3531" s="70"/>
    </row>
    <row r="3532" spans="3:3" ht="15.6" x14ac:dyDescent="0.3">
      <c r="C3532" s="70"/>
    </row>
    <row r="3533" spans="3:3" ht="15.6" x14ac:dyDescent="0.3">
      <c r="C3533" s="70"/>
    </row>
    <row r="3534" spans="3:3" ht="15.6" x14ac:dyDescent="0.3">
      <c r="C3534" s="70"/>
    </row>
    <row r="3535" spans="3:3" ht="15.6" x14ac:dyDescent="0.3">
      <c r="C3535" s="70"/>
    </row>
    <row r="3536" spans="3:3" ht="15.6" x14ac:dyDescent="0.3">
      <c r="C3536" s="70"/>
    </row>
    <row r="3537" spans="3:3" ht="15.6" x14ac:dyDescent="0.3">
      <c r="C3537" s="70"/>
    </row>
    <row r="3538" spans="3:3" ht="15.6" x14ac:dyDescent="0.3">
      <c r="C3538" s="70"/>
    </row>
    <row r="3539" spans="3:3" ht="15.6" x14ac:dyDescent="0.3">
      <c r="C3539" s="70"/>
    </row>
    <row r="3540" spans="3:3" ht="15.6" x14ac:dyDescent="0.3">
      <c r="C3540" s="70"/>
    </row>
    <row r="3541" spans="3:3" ht="15.6" x14ac:dyDescent="0.3">
      <c r="C3541" s="70"/>
    </row>
    <row r="3542" spans="3:3" ht="15.6" x14ac:dyDescent="0.3">
      <c r="C3542" s="70"/>
    </row>
    <row r="3543" spans="3:3" ht="15.6" x14ac:dyDescent="0.3">
      <c r="C3543" s="70"/>
    </row>
    <row r="3544" spans="3:3" ht="15.6" x14ac:dyDescent="0.3">
      <c r="C3544" s="70"/>
    </row>
    <row r="3545" spans="3:3" ht="15.6" x14ac:dyDescent="0.3">
      <c r="C3545" s="70"/>
    </row>
    <row r="3546" spans="3:3" ht="15.6" x14ac:dyDescent="0.3">
      <c r="C3546" s="70"/>
    </row>
    <row r="3547" spans="3:3" ht="15.6" x14ac:dyDescent="0.3">
      <c r="C3547" s="70"/>
    </row>
    <row r="3548" spans="3:3" ht="15.6" x14ac:dyDescent="0.3">
      <c r="C3548" s="70"/>
    </row>
    <row r="3549" spans="3:3" ht="15.6" x14ac:dyDescent="0.3">
      <c r="C3549" s="70"/>
    </row>
    <row r="3550" spans="3:3" ht="15.6" x14ac:dyDescent="0.3">
      <c r="C3550" s="70"/>
    </row>
    <row r="3551" spans="3:3" ht="15.6" x14ac:dyDescent="0.3">
      <c r="C3551" s="70"/>
    </row>
    <row r="3552" spans="3:3" ht="15.6" x14ac:dyDescent="0.3">
      <c r="C3552" s="70"/>
    </row>
    <row r="3553" spans="3:3" ht="15.6" x14ac:dyDescent="0.3">
      <c r="C3553" s="70"/>
    </row>
    <row r="3554" spans="3:3" ht="15.6" x14ac:dyDescent="0.3">
      <c r="C3554" s="70"/>
    </row>
    <row r="3555" spans="3:3" ht="15.6" x14ac:dyDescent="0.3">
      <c r="C3555" s="70"/>
    </row>
    <row r="3556" spans="3:3" ht="15.6" x14ac:dyDescent="0.3">
      <c r="C3556" s="70"/>
    </row>
    <row r="3557" spans="3:3" ht="15.6" x14ac:dyDescent="0.3">
      <c r="C3557" s="70"/>
    </row>
    <row r="3558" spans="3:3" ht="15.6" x14ac:dyDescent="0.3">
      <c r="C3558" s="70"/>
    </row>
    <row r="3559" spans="3:3" ht="15.6" x14ac:dyDescent="0.3">
      <c r="C3559" s="70"/>
    </row>
    <row r="3560" spans="3:3" ht="15.6" x14ac:dyDescent="0.3">
      <c r="C3560" s="70"/>
    </row>
    <row r="3561" spans="3:3" ht="15.6" x14ac:dyDescent="0.3">
      <c r="C3561" s="70"/>
    </row>
    <row r="3562" spans="3:3" ht="15.6" x14ac:dyDescent="0.3">
      <c r="C3562" s="70"/>
    </row>
    <row r="3563" spans="3:3" ht="15.6" x14ac:dyDescent="0.3">
      <c r="C3563" s="70"/>
    </row>
    <row r="3564" spans="3:3" ht="15.6" x14ac:dyDescent="0.3">
      <c r="C3564" s="70"/>
    </row>
    <row r="3565" spans="3:3" ht="15.6" x14ac:dyDescent="0.3">
      <c r="C3565" s="70"/>
    </row>
    <row r="3566" spans="3:3" ht="15.6" x14ac:dyDescent="0.3">
      <c r="C3566" s="70"/>
    </row>
    <row r="3567" spans="3:3" ht="15.6" x14ac:dyDescent="0.3">
      <c r="C3567" s="70"/>
    </row>
    <row r="3568" spans="3:3" ht="15.6" x14ac:dyDescent="0.3">
      <c r="C3568" s="70"/>
    </row>
    <row r="3569" spans="3:3" ht="15.6" x14ac:dyDescent="0.3">
      <c r="C3569" s="70"/>
    </row>
    <row r="3570" spans="3:3" ht="15.6" x14ac:dyDescent="0.3">
      <c r="C3570" s="70"/>
    </row>
    <row r="3571" spans="3:3" ht="15.6" x14ac:dyDescent="0.3">
      <c r="C3571" s="70"/>
    </row>
    <row r="3572" spans="3:3" ht="15.6" x14ac:dyDescent="0.3">
      <c r="C3572" s="70"/>
    </row>
    <row r="3573" spans="3:3" ht="15.6" x14ac:dyDescent="0.3">
      <c r="C3573" s="70"/>
    </row>
    <row r="3574" spans="3:3" ht="15.6" x14ac:dyDescent="0.3">
      <c r="C3574" s="70"/>
    </row>
    <row r="3575" spans="3:3" ht="15.6" x14ac:dyDescent="0.3">
      <c r="C3575" s="70"/>
    </row>
    <row r="3576" spans="3:3" ht="15.6" x14ac:dyDescent="0.3">
      <c r="C3576" s="70"/>
    </row>
    <row r="3577" spans="3:3" ht="15.6" x14ac:dyDescent="0.3">
      <c r="C3577" s="70"/>
    </row>
    <row r="3578" spans="3:3" ht="15.6" x14ac:dyDescent="0.3">
      <c r="C3578" s="70"/>
    </row>
    <row r="3579" spans="3:3" ht="15.6" x14ac:dyDescent="0.3">
      <c r="C3579" s="70"/>
    </row>
    <row r="3580" spans="3:3" ht="15.6" x14ac:dyDescent="0.3">
      <c r="C3580" s="70"/>
    </row>
    <row r="3581" spans="3:3" ht="15.6" x14ac:dyDescent="0.3">
      <c r="C3581" s="70"/>
    </row>
    <row r="3582" spans="3:3" ht="15.6" x14ac:dyDescent="0.3">
      <c r="C3582" s="70"/>
    </row>
    <row r="3583" spans="3:3" ht="15.6" x14ac:dyDescent="0.3">
      <c r="C3583" s="70"/>
    </row>
    <row r="3584" spans="3:3" ht="15.6" x14ac:dyDescent="0.3">
      <c r="C3584" s="70"/>
    </row>
    <row r="3585" spans="3:3" ht="15.6" x14ac:dyDescent="0.3">
      <c r="C3585" s="70"/>
    </row>
    <row r="3586" spans="3:3" ht="15.6" x14ac:dyDescent="0.3">
      <c r="C3586" s="70"/>
    </row>
    <row r="3587" spans="3:3" ht="15.6" x14ac:dyDescent="0.3">
      <c r="C3587" s="70"/>
    </row>
    <row r="3588" spans="3:3" ht="15.6" x14ac:dyDescent="0.3">
      <c r="C3588" s="70"/>
    </row>
    <row r="3589" spans="3:3" ht="15.6" x14ac:dyDescent="0.3">
      <c r="C3589" s="70"/>
    </row>
    <row r="3590" spans="3:3" ht="15.6" x14ac:dyDescent="0.3">
      <c r="C3590" s="70"/>
    </row>
    <row r="3591" spans="3:3" ht="15.6" x14ac:dyDescent="0.3">
      <c r="C3591" s="70"/>
    </row>
    <row r="3592" spans="3:3" ht="15.6" x14ac:dyDescent="0.3">
      <c r="C3592" s="70"/>
    </row>
    <row r="3593" spans="3:3" ht="15.6" x14ac:dyDescent="0.3">
      <c r="C3593" s="70"/>
    </row>
    <row r="3594" spans="3:3" ht="15.6" x14ac:dyDescent="0.3">
      <c r="C3594" s="70"/>
    </row>
    <row r="3595" spans="3:3" ht="15.6" x14ac:dyDescent="0.3">
      <c r="C3595" s="70"/>
    </row>
    <row r="3596" spans="3:3" ht="15.6" x14ac:dyDescent="0.3">
      <c r="C3596" s="70"/>
    </row>
    <row r="3597" spans="3:3" ht="15.6" x14ac:dyDescent="0.3">
      <c r="C3597" s="70"/>
    </row>
    <row r="3598" spans="3:3" ht="15.6" x14ac:dyDescent="0.3">
      <c r="C3598" s="70"/>
    </row>
    <row r="3599" spans="3:3" ht="15.6" x14ac:dyDescent="0.3">
      <c r="C3599" s="70"/>
    </row>
    <row r="3600" spans="3:3" ht="15.6" x14ac:dyDescent="0.3">
      <c r="C3600" s="70"/>
    </row>
    <row r="3601" spans="3:3" ht="15.6" x14ac:dyDescent="0.3">
      <c r="C3601" s="70"/>
    </row>
    <row r="3602" spans="3:3" ht="15.6" x14ac:dyDescent="0.3">
      <c r="C3602" s="70"/>
    </row>
    <row r="3603" spans="3:3" ht="15.6" x14ac:dyDescent="0.3">
      <c r="C3603" s="70"/>
    </row>
    <row r="3604" spans="3:3" ht="15.6" x14ac:dyDescent="0.3">
      <c r="C3604" s="70"/>
    </row>
    <row r="3605" spans="3:3" ht="15.6" x14ac:dyDescent="0.3">
      <c r="C3605" s="70"/>
    </row>
    <row r="3606" spans="3:3" ht="15.6" x14ac:dyDescent="0.3">
      <c r="C3606" s="70"/>
    </row>
    <row r="3607" spans="3:3" ht="15.6" x14ac:dyDescent="0.3">
      <c r="C3607" s="70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926"/>
  <sheetViews>
    <sheetView rightToLeft="1" zoomScaleNormal="100" workbookViewId="0">
      <selection activeCell="E1" sqref="E1"/>
    </sheetView>
  </sheetViews>
  <sheetFormatPr defaultRowHeight="14.4" x14ac:dyDescent="0.3"/>
  <cols>
    <col min="2" max="2" width="10.88671875" style="52" bestFit="1" customWidth="1"/>
    <col min="3" max="3" width="21.88671875" customWidth="1"/>
    <col min="4" max="5" width="17.88671875" customWidth="1"/>
    <col min="6" max="6" width="14.109375" bestFit="1" customWidth="1"/>
    <col min="7" max="7" width="17.33203125" bestFit="1" customWidth="1"/>
    <col min="8" max="8" width="14.109375" style="7" bestFit="1" customWidth="1"/>
    <col min="9" max="9" width="16.109375" bestFit="1" customWidth="1"/>
    <col min="10" max="10" width="17.21875" bestFit="1" customWidth="1"/>
    <col min="11" max="11" width="19.88671875" bestFit="1" customWidth="1"/>
    <col min="12" max="13" width="20.77734375" customWidth="1"/>
    <col min="14" max="14" width="18.6640625" customWidth="1"/>
    <col min="15" max="23" width="9.109375" customWidth="1"/>
  </cols>
  <sheetData>
    <row r="1" spans="2:23" ht="27" customHeight="1" x14ac:dyDescent="0.3">
      <c r="D1" s="54" t="s">
        <v>212</v>
      </c>
      <c r="E1" s="54" t="s">
        <v>249</v>
      </c>
      <c r="F1" s="54" t="s">
        <v>250</v>
      </c>
      <c r="G1" s="54" t="s">
        <v>252</v>
      </c>
      <c r="H1" s="54" t="s">
        <v>6</v>
      </c>
      <c r="I1" s="54" t="s">
        <v>247</v>
      </c>
      <c r="J1" s="54" t="s">
        <v>243</v>
      </c>
      <c r="K1" s="54" t="s">
        <v>253</v>
      </c>
      <c r="L1" s="54" t="s">
        <v>254</v>
      </c>
    </row>
    <row r="2" spans="2:23" ht="30.75" customHeight="1" x14ac:dyDescent="0.4">
      <c r="D2" s="55" t="s">
        <v>0</v>
      </c>
      <c r="E2" s="56">
        <v>156050</v>
      </c>
      <c r="F2" s="56">
        <v>180050</v>
      </c>
      <c r="G2" s="56">
        <f>E2+F2</f>
        <v>336100</v>
      </c>
      <c r="H2" s="56">
        <v>237291.5</v>
      </c>
      <c r="I2" s="56">
        <f>G2-H2</f>
        <v>98808.5</v>
      </c>
      <c r="J2" s="57">
        <f>I2/G2</f>
        <v>0.29398542100565306</v>
      </c>
    </row>
    <row r="3" spans="2:23" ht="30.75" customHeight="1" x14ac:dyDescent="0.4">
      <c r="D3" s="55" t="s">
        <v>1</v>
      </c>
      <c r="E3" s="56">
        <v>60800</v>
      </c>
      <c r="F3" s="56">
        <v>7850</v>
      </c>
      <c r="G3" s="56">
        <f t="shared" ref="G3:G4" si="0">E3+F3</f>
        <v>68650</v>
      </c>
      <c r="H3" s="56">
        <v>57775</v>
      </c>
      <c r="I3" s="56">
        <f t="shared" ref="I3:I4" si="1">G3-H3</f>
        <v>10875</v>
      </c>
      <c r="J3" s="57">
        <f t="shared" ref="J3:J5" si="2">I3/G3</f>
        <v>0.15841223597960671</v>
      </c>
    </row>
    <row r="4" spans="2:23" ht="30.75" customHeight="1" x14ac:dyDescent="0.4">
      <c r="D4" s="55" t="s">
        <v>204</v>
      </c>
      <c r="E4" s="56">
        <v>152105</v>
      </c>
      <c r="F4" s="56">
        <v>0</v>
      </c>
      <c r="G4" s="56">
        <f t="shared" si="0"/>
        <v>152105</v>
      </c>
      <c r="H4" s="56">
        <v>93375.8</v>
      </c>
      <c r="I4" s="56">
        <f t="shared" si="1"/>
        <v>58729.2</v>
      </c>
      <c r="J4" s="57">
        <f t="shared" si="2"/>
        <v>0.38610959534532063</v>
      </c>
    </row>
    <row r="5" spans="2:23" ht="23.4" x14ac:dyDescent="0.3">
      <c r="C5" s="5"/>
      <c r="D5" s="54" t="s">
        <v>5</v>
      </c>
      <c r="E5" s="58">
        <f>SUBTOTAL(9,E2:E4)</f>
        <v>368955</v>
      </c>
      <c r="F5" s="58">
        <f t="shared" ref="F5:I5" si="3">SUBTOTAL(9,F2:F4)</f>
        <v>187900</v>
      </c>
      <c r="G5" s="58">
        <f t="shared" si="3"/>
        <v>556855</v>
      </c>
      <c r="H5" s="58">
        <f t="shared" si="3"/>
        <v>388442.3</v>
      </c>
      <c r="I5" s="58">
        <f t="shared" si="3"/>
        <v>168412.7</v>
      </c>
      <c r="J5" s="59">
        <f t="shared" si="2"/>
        <v>0.30243546345098815</v>
      </c>
      <c r="K5" s="58">
        <v>38050</v>
      </c>
      <c r="L5" s="58">
        <f>I5-K5</f>
        <v>130362.70000000001</v>
      </c>
      <c r="M5" s="40">
        <f>K5/I5</f>
        <v>0.22593307986867972</v>
      </c>
    </row>
    <row r="6" spans="2:23" ht="15.6" x14ac:dyDescent="0.3">
      <c r="C6" s="2"/>
      <c r="D6" s="2"/>
      <c r="E6" s="2"/>
      <c r="F6" s="5"/>
      <c r="G6" s="2"/>
      <c r="I6" s="5"/>
      <c r="J6" s="6"/>
      <c r="K6" s="5"/>
      <c r="L6" s="6"/>
      <c r="M6" s="6"/>
    </row>
    <row r="7" spans="2:23" ht="15.6" x14ac:dyDescent="0.3">
      <c r="F7" s="5" t="s">
        <v>204</v>
      </c>
    </row>
    <row r="8" spans="2:23" ht="17.399999999999999" x14ac:dyDescent="0.45">
      <c r="C8" s="4"/>
      <c r="D8" s="4"/>
      <c r="E8" s="4"/>
      <c r="F8" s="4"/>
      <c r="G8" s="4"/>
      <c r="H8" s="48">
        <f t="shared" ref="H8:M8" si="4">SUBTOTAL(9,H10:H425)</f>
        <v>637</v>
      </c>
      <c r="I8" s="48">
        <f t="shared" si="4"/>
        <v>66870</v>
      </c>
      <c r="J8" s="48">
        <f t="shared" si="4"/>
        <v>99508</v>
      </c>
      <c r="K8" s="48">
        <f t="shared" si="4"/>
        <v>321791.875</v>
      </c>
      <c r="L8" s="48">
        <f t="shared" si="4"/>
        <v>559030</v>
      </c>
      <c r="M8" s="48">
        <f t="shared" si="4"/>
        <v>459522</v>
      </c>
      <c r="N8" s="51">
        <f>M8/L8</f>
        <v>0.82199881938357511</v>
      </c>
    </row>
    <row r="9" spans="2:23" ht="22.8" customHeight="1" x14ac:dyDescent="0.3">
      <c r="B9" s="61" t="s">
        <v>4</v>
      </c>
      <c r="C9" s="46" t="s">
        <v>228</v>
      </c>
      <c r="D9" s="46" t="s">
        <v>9</v>
      </c>
      <c r="E9" s="46" t="s">
        <v>251</v>
      </c>
      <c r="F9" s="46" t="s">
        <v>232</v>
      </c>
      <c r="G9" s="46" t="s">
        <v>202</v>
      </c>
      <c r="H9" s="46" t="s">
        <v>3</v>
      </c>
      <c r="I9" s="46" t="s">
        <v>237</v>
      </c>
      <c r="J9" s="46" t="s">
        <v>238</v>
      </c>
      <c r="K9" s="46" t="s">
        <v>265</v>
      </c>
      <c r="L9" s="46" t="s">
        <v>246</v>
      </c>
      <c r="M9" s="46" t="s">
        <v>247</v>
      </c>
      <c r="N9" s="62" t="s">
        <v>248</v>
      </c>
      <c r="W9" t="s">
        <v>244</v>
      </c>
    </row>
    <row r="10" spans="2:23" ht="15.6" x14ac:dyDescent="0.3">
      <c r="B10" s="53">
        <v>45840</v>
      </c>
      <c r="C10" s="43" t="s">
        <v>10</v>
      </c>
      <c r="D10" s="43"/>
      <c r="E10" s="43" t="s">
        <v>518</v>
      </c>
      <c r="F10" s="43" t="s">
        <v>1</v>
      </c>
      <c r="G10" s="43" t="s">
        <v>20</v>
      </c>
      <c r="H10" s="45">
        <v>1</v>
      </c>
      <c r="I10" s="43">
        <f>INDEX('حركة المخزن'!O:O,MATCH('تحليل مبيعات'!C10,'حركة المخزن'!B:B,0))</f>
        <v>335</v>
      </c>
      <c r="J10" s="43">
        <f>H10*I10</f>
        <v>335</v>
      </c>
      <c r="K10" s="43">
        <v>1750</v>
      </c>
      <c r="L10" s="43">
        <f>H10*K10</f>
        <v>1750</v>
      </c>
      <c r="M10" s="43">
        <f>L10-J10</f>
        <v>1415</v>
      </c>
      <c r="W10" s="7" t="str">
        <f>IF(B10="","",TEXT(B10,"mmm"))</f>
        <v>Jul</v>
      </c>
    </row>
    <row r="11" spans="2:23" ht="18" x14ac:dyDescent="0.35">
      <c r="B11" s="53">
        <v>45834</v>
      </c>
      <c r="C11" s="43" t="s">
        <v>7</v>
      </c>
      <c r="D11" s="43"/>
      <c r="E11" s="3" t="s">
        <v>520</v>
      </c>
      <c r="F11" s="43" t="s">
        <v>0</v>
      </c>
      <c r="G11" s="43" t="s">
        <v>20</v>
      </c>
      <c r="H11" s="45">
        <v>1</v>
      </c>
      <c r="I11" s="43">
        <f>INDEX('حركة المخزن'!O:O,MATCH('تحليل مبيعات'!C11,'حركة المخزن'!B:B,0))</f>
        <v>100</v>
      </c>
      <c r="J11" s="43">
        <f t="shared" ref="J11:J74" si="5">H11*I11</f>
        <v>100</v>
      </c>
      <c r="K11" s="43">
        <v>1750</v>
      </c>
      <c r="L11" s="43">
        <f t="shared" ref="L11:L74" si="6">H11*K11</f>
        <v>1750</v>
      </c>
      <c r="M11" s="43">
        <f t="shared" ref="M11:M74" si="7">L11-J11</f>
        <v>1650</v>
      </c>
      <c r="W11" s="7" t="str">
        <f t="shared" ref="W11:W74" si="8">IF(B11="","",TEXT(B11,"mmm"))</f>
        <v>Jun</v>
      </c>
    </row>
    <row r="12" spans="2:23" ht="18" x14ac:dyDescent="0.35">
      <c r="B12" s="53">
        <v>45842</v>
      </c>
      <c r="C12" s="43" t="s">
        <v>94</v>
      </c>
      <c r="D12" s="43"/>
      <c r="E12" s="3" t="s">
        <v>519</v>
      </c>
      <c r="F12" s="43" t="s">
        <v>204</v>
      </c>
      <c r="G12" s="43" t="s">
        <v>20</v>
      </c>
      <c r="H12" s="45">
        <v>5</v>
      </c>
      <c r="I12" s="43">
        <f>INDEX('حركة المخزن'!O:O,MATCH('تحليل مبيعات'!C12,'حركة المخزن'!B:B,0))</f>
        <v>100</v>
      </c>
      <c r="J12" s="43">
        <f t="shared" si="5"/>
        <v>500</v>
      </c>
      <c r="K12" s="43">
        <v>190</v>
      </c>
      <c r="L12" s="43">
        <f t="shared" si="6"/>
        <v>950</v>
      </c>
      <c r="M12" s="43">
        <f t="shared" si="7"/>
        <v>450</v>
      </c>
      <c r="W12" s="7" t="str">
        <f t="shared" si="8"/>
        <v>Jul</v>
      </c>
    </row>
    <row r="13" spans="2:23" ht="18" x14ac:dyDescent="0.35">
      <c r="B13" s="53">
        <v>45842</v>
      </c>
      <c r="C13" s="43" t="s">
        <v>129</v>
      </c>
      <c r="D13" s="43"/>
      <c r="E13" s="3" t="s">
        <v>519</v>
      </c>
      <c r="F13" s="43" t="s">
        <v>204</v>
      </c>
      <c r="G13" s="43" t="s">
        <v>20</v>
      </c>
      <c r="H13" s="45">
        <v>5</v>
      </c>
      <c r="I13" s="43">
        <f>INDEX('حركة المخزن'!O:O,MATCH('تحليل مبيعات'!C13,'حركة المخزن'!B:B,0))</f>
        <v>100</v>
      </c>
      <c r="J13" s="43">
        <f t="shared" si="5"/>
        <v>500</v>
      </c>
      <c r="K13" s="43">
        <v>220</v>
      </c>
      <c r="L13" s="43">
        <f t="shared" si="6"/>
        <v>1100</v>
      </c>
      <c r="M13" s="43">
        <f t="shared" si="7"/>
        <v>600</v>
      </c>
      <c r="W13" s="7" t="str">
        <f t="shared" si="8"/>
        <v>Jul</v>
      </c>
    </row>
    <row r="14" spans="2:23" ht="18" x14ac:dyDescent="0.35">
      <c r="B14" s="53">
        <v>45842</v>
      </c>
      <c r="C14" s="43" t="s">
        <v>11</v>
      </c>
      <c r="D14" s="43"/>
      <c r="E14" s="3" t="s">
        <v>519</v>
      </c>
      <c r="F14" s="43" t="s">
        <v>204</v>
      </c>
      <c r="G14" s="43" t="s">
        <v>20</v>
      </c>
      <c r="H14" s="45">
        <v>5</v>
      </c>
      <c r="I14" s="43">
        <f>INDEX('حركة المخزن'!O:O,MATCH('تحليل مبيعات'!C14,'حركة المخزن'!B:B,0))</f>
        <v>100</v>
      </c>
      <c r="J14" s="43">
        <f t="shared" si="5"/>
        <v>500</v>
      </c>
      <c r="K14" s="43">
        <v>220</v>
      </c>
      <c r="L14" s="43">
        <f t="shared" si="6"/>
        <v>1100</v>
      </c>
      <c r="M14" s="43">
        <f t="shared" si="7"/>
        <v>600</v>
      </c>
      <c r="W14" s="7" t="str">
        <f t="shared" si="8"/>
        <v>Jul</v>
      </c>
    </row>
    <row r="15" spans="2:23" ht="18" x14ac:dyDescent="0.35">
      <c r="B15" s="53">
        <v>45842</v>
      </c>
      <c r="C15" s="43" t="s">
        <v>159</v>
      </c>
      <c r="D15" s="43"/>
      <c r="E15" s="3" t="s">
        <v>519</v>
      </c>
      <c r="F15" s="43" t="s">
        <v>204</v>
      </c>
      <c r="G15" s="43" t="s">
        <v>20</v>
      </c>
      <c r="H15" s="45">
        <v>1</v>
      </c>
      <c r="I15" s="43">
        <f>INDEX('حركة المخزن'!O:O,MATCH('تحليل مبيعات'!C15,'حركة المخزن'!B:B,0))</f>
        <v>100</v>
      </c>
      <c r="J15" s="43">
        <f t="shared" si="5"/>
        <v>100</v>
      </c>
      <c r="K15" s="43">
        <v>400</v>
      </c>
      <c r="L15" s="43">
        <f t="shared" si="6"/>
        <v>400</v>
      </c>
      <c r="M15" s="43">
        <f t="shared" si="7"/>
        <v>300</v>
      </c>
      <c r="W15" s="7" t="str">
        <f t="shared" si="8"/>
        <v>Jul</v>
      </c>
    </row>
    <row r="16" spans="2:23" ht="18" x14ac:dyDescent="0.35">
      <c r="B16" s="53">
        <v>45841</v>
      </c>
      <c r="C16" s="43" t="s">
        <v>12</v>
      </c>
      <c r="D16" s="43"/>
      <c r="E16" s="3" t="s">
        <v>520</v>
      </c>
      <c r="F16" s="43" t="s">
        <v>204</v>
      </c>
      <c r="G16" s="43" t="s">
        <v>20</v>
      </c>
      <c r="H16" s="45">
        <v>1</v>
      </c>
      <c r="I16" s="43">
        <f>INDEX('حركة المخزن'!O:O,MATCH('تحليل مبيعات'!C16,'حركة المخزن'!B:B,0))</f>
        <v>100</v>
      </c>
      <c r="J16" s="43">
        <f t="shared" si="5"/>
        <v>100</v>
      </c>
      <c r="K16" s="43">
        <v>200</v>
      </c>
      <c r="L16" s="47">
        <f t="shared" si="6"/>
        <v>200</v>
      </c>
      <c r="M16" s="47">
        <f t="shared" si="7"/>
        <v>100</v>
      </c>
      <c r="W16" s="7" t="str">
        <f t="shared" si="8"/>
        <v>Jul</v>
      </c>
    </row>
    <row r="17" spans="2:23" ht="15.6" x14ac:dyDescent="0.3">
      <c r="B17" s="53">
        <v>45843</v>
      </c>
      <c r="C17" s="43" t="s">
        <v>12</v>
      </c>
      <c r="D17" s="43"/>
      <c r="E17" s="43" t="s">
        <v>518</v>
      </c>
      <c r="F17" s="43" t="s">
        <v>204</v>
      </c>
      <c r="G17" s="43" t="s">
        <v>20</v>
      </c>
      <c r="H17" s="45">
        <v>1</v>
      </c>
      <c r="I17" s="43">
        <f>INDEX('حركة المخزن'!O:O,MATCH('تحليل مبيعات'!C17,'حركة المخزن'!B:B,0))</f>
        <v>100</v>
      </c>
      <c r="J17" s="43">
        <f t="shared" si="5"/>
        <v>100</v>
      </c>
      <c r="K17" s="43">
        <v>325</v>
      </c>
      <c r="L17" s="43">
        <f t="shared" si="6"/>
        <v>325</v>
      </c>
      <c r="M17" s="43">
        <f t="shared" si="7"/>
        <v>225</v>
      </c>
      <c r="W17" s="7" t="str">
        <f t="shared" si="8"/>
        <v>Jul</v>
      </c>
    </row>
    <row r="18" spans="2:23" ht="15.6" x14ac:dyDescent="0.3">
      <c r="B18" s="53">
        <v>45843</v>
      </c>
      <c r="C18" s="43" t="s">
        <v>17</v>
      </c>
      <c r="D18" s="43"/>
      <c r="E18" s="43" t="s">
        <v>518</v>
      </c>
      <c r="F18" s="43" t="s">
        <v>204</v>
      </c>
      <c r="G18" s="43" t="s">
        <v>20</v>
      </c>
      <c r="H18" s="45">
        <v>1</v>
      </c>
      <c r="I18" s="43">
        <f>INDEX('حركة المخزن'!O:O,MATCH('تحليل مبيعات'!C18,'حركة المخزن'!B:B,0))</f>
        <v>150</v>
      </c>
      <c r="J18" s="43">
        <f t="shared" si="5"/>
        <v>150</v>
      </c>
      <c r="K18" s="43">
        <v>70</v>
      </c>
      <c r="L18" s="43">
        <f t="shared" si="6"/>
        <v>70</v>
      </c>
      <c r="M18" s="43">
        <f t="shared" si="7"/>
        <v>-80</v>
      </c>
      <c r="W18" s="7" t="str">
        <f t="shared" si="8"/>
        <v>Jul</v>
      </c>
    </row>
    <row r="19" spans="2:23" ht="18" x14ac:dyDescent="0.35">
      <c r="B19" s="53">
        <v>45843</v>
      </c>
      <c r="C19" s="43" t="s">
        <v>12</v>
      </c>
      <c r="D19" s="43"/>
      <c r="E19" s="3" t="s">
        <v>471</v>
      </c>
      <c r="F19" s="43" t="s">
        <v>204</v>
      </c>
      <c r="G19" s="43" t="s">
        <v>20</v>
      </c>
      <c r="H19" s="45">
        <v>1</v>
      </c>
      <c r="I19" s="43">
        <f>INDEX('حركة المخزن'!O:O,MATCH('تحليل مبيعات'!C19,'حركة المخزن'!B:B,0))</f>
        <v>100</v>
      </c>
      <c r="J19" s="43">
        <f t="shared" si="5"/>
        <v>100</v>
      </c>
      <c r="K19" s="43">
        <v>325</v>
      </c>
      <c r="L19" s="43">
        <f t="shared" si="6"/>
        <v>325</v>
      </c>
      <c r="M19" s="43">
        <f t="shared" si="7"/>
        <v>225</v>
      </c>
      <c r="W19" s="7" t="str">
        <f t="shared" si="8"/>
        <v>Jul</v>
      </c>
    </row>
    <row r="20" spans="2:23" ht="18" x14ac:dyDescent="0.35">
      <c r="B20" s="53">
        <v>45843</v>
      </c>
      <c r="C20" s="43" t="s">
        <v>35</v>
      </c>
      <c r="D20" s="43"/>
      <c r="E20" s="3" t="s">
        <v>471</v>
      </c>
      <c r="F20" s="43" t="s">
        <v>204</v>
      </c>
      <c r="G20" s="43" t="s">
        <v>20</v>
      </c>
      <c r="H20" s="45">
        <v>2</v>
      </c>
      <c r="I20" s="43">
        <f>INDEX('حركة المخزن'!O:O,MATCH('تحليل مبيعات'!C20,'حركة المخزن'!B:B,0))</f>
        <v>70</v>
      </c>
      <c r="J20" s="43">
        <f t="shared" si="5"/>
        <v>140</v>
      </c>
      <c r="K20" s="43">
        <v>175</v>
      </c>
      <c r="L20" s="43">
        <f t="shared" si="6"/>
        <v>350</v>
      </c>
      <c r="M20" s="43">
        <f t="shared" si="7"/>
        <v>210</v>
      </c>
      <c r="W20" s="7" t="str">
        <f t="shared" si="8"/>
        <v>Jul</v>
      </c>
    </row>
    <row r="21" spans="2:23" ht="15.6" x14ac:dyDescent="0.3">
      <c r="B21" s="53">
        <v>45843</v>
      </c>
      <c r="C21" s="10" t="s">
        <v>12</v>
      </c>
      <c r="D21" s="10"/>
      <c r="E21" s="43" t="s">
        <v>518</v>
      </c>
      <c r="F21" s="43" t="s">
        <v>204</v>
      </c>
      <c r="G21" s="43" t="s">
        <v>20</v>
      </c>
      <c r="H21" s="45">
        <v>1</v>
      </c>
      <c r="I21" s="43">
        <f>INDEX('حركة المخزن'!O:O,MATCH('تحليل مبيعات'!C21,'حركة المخزن'!B:B,0))</f>
        <v>100</v>
      </c>
      <c r="J21" s="43">
        <f t="shared" si="5"/>
        <v>100</v>
      </c>
      <c r="K21" s="10">
        <v>325</v>
      </c>
      <c r="L21" s="43">
        <f t="shared" si="6"/>
        <v>325</v>
      </c>
      <c r="M21" s="43">
        <f t="shared" si="7"/>
        <v>225</v>
      </c>
      <c r="W21" s="7" t="str">
        <f t="shared" si="8"/>
        <v>Jul</v>
      </c>
    </row>
    <row r="22" spans="2:23" ht="18" x14ac:dyDescent="0.35">
      <c r="B22" s="53">
        <v>45843</v>
      </c>
      <c r="C22" s="10" t="s">
        <v>12</v>
      </c>
      <c r="D22" s="10"/>
      <c r="E22" s="3" t="s">
        <v>520</v>
      </c>
      <c r="F22" s="43" t="s">
        <v>204</v>
      </c>
      <c r="G22" s="43" t="s">
        <v>20</v>
      </c>
      <c r="H22" s="45">
        <v>1</v>
      </c>
      <c r="I22" s="43">
        <f>INDEX('حركة المخزن'!O:O,MATCH('تحليل مبيعات'!C22,'حركة المخزن'!B:B,0))</f>
        <v>100</v>
      </c>
      <c r="J22" s="43">
        <f t="shared" si="5"/>
        <v>100</v>
      </c>
      <c r="K22" s="10">
        <v>200</v>
      </c>
      <c r="L22" s="47">
        <f t="shared" si="6"/>
        <v>200</v>
      </c>
      <c r="M22" s="47">
        <f t="shared" si="7"/>
        <v>100</v>
      </c>
      <c r="W22" s="7" t="str">
        <f t="shared" si="8"/>
        <v>Jul</v>
      </c>
    </row>
    <row r="23" spans="2:23" ht="18" x14ac:dyDescent="0.35">
      <c r="B23" s="53">
        <v>45843</v>
      </c>
      <c r="C23" s="10" t="s">
        <v>12</v>
      </c>
      <c r="D23" s="10"/>
      <c r="E23" s="3" t="s">
        <v>519</v>
      </c>
      <c r="F23" s="43" t="s">
        <v>204</v>
      </c>
      <c r="G23" s="43" t="s">
        <v>20</v>
      </c>
      <c r="H23" s="45">
        <v>1</v>
      </c>
      <c r="I23" s="43">
        <f>INDEX('حركة المخزن'!O:O,MATCH('تحليل مبيعات'!C23,'حركة المخزن'!B:B,0))</f>
        <v>100</v>
      </c>
      <c r="J23" s="43">
        <f t="shared" si="5"/>
        <v>100</v>
      </c>
      <c r="K23" s="10">
        <v>325</v>
      </c>
      <c r="L23" s="43">
        <f t="shared" si="6"/>
        <v>325</v>
      </c>
      <c r="M23" s="43">
        <f t="shared" si="7"/>
        <v>225</v>
      </c>
      <c r="W23" s="7" t="str">
        <f t="shared" si="8"/>
        <v>Jul</v>
      </c>
    </row>
    <row r="24" spans="2:23" ht="18" x14ac:dyDescent="0.35">
      <c r="B24" s="53">
        <v>45843</v>
      </c>
      <c r="C24" s="10" t="s">
        <v>12</v>
      </c>
      <c r="D24" s="10"/>
      <c r="E24" s="3" t="s">
        <v>471</v>
      </c>
      <c r="F24" s="43" t="s">
        <v>204</v>
      </c>
      <c r="G24" s="43" t="s">
        <v>20</v>
      </c>
      <c r="H24" s="45">
        <v>1</v>
      </c>
      <c r="I24" s="43">
        <f>INDEX('حركة المخزن'!O:O,MATCH('تحليل مبيعات'!C24,'حركة المخزن'!B:B,0))</f>
        <v>100</v>
      </c>
      <c r="J24" s="43">
        <f t="shared" si="5"/>
        <v>100</v>
      </c>
      <c r="K24" s="10">
        <v>325</v>
      </c>
      <c r="L24" s="43">
        <f t="shared" si="6"/>
        <v>325</v>
      </c>
      <c r="M24" s="43">
        <f t="shared" si="7"/>
        <v>225</v>
      </c>
      <c r="W24" s="7" t="str">
        <f t="shared" si="8"/>
        <v>Jul</v>
      </c>
    </row>
    <row r="25" spans="2:23" ht="18" x14ac:dyDescent="0.35">
      <c r="B25" s="53">
        <v>45843</v>
      </c>
      <c r="C25" s="10" t="s">
        <v>12</v>
      </c>
      <c r="D25" s="10"/>
      <c r="E25" s="3" t="s">
        <v>476</v>
      </c>
      <c r="F25" s="43" t="s">
        <v>204</v>
      </c>
      <c r="G25" s="43" t="s">
        <v>20</v>
      </c>
      <c r="H25" s="45">
        <v>1</v>
      </c>
      <c r="I25" s="43">
        <f>INDEX('حركة المخزن'!O:O,MATCH('تحليل مبيعات'!C25,'حركة المخزن'!B:B,0))</f>
        <v>100</v>
      </c>
      <c r="J25" s="43">
        <f t="shared" si="5"/>
        <v>100</v>
      </c>
      <c r="K25" s="10">
        <v>325</v>
      </c>
      <c r="L25" s="43">
        <f t="shared" si="6"/>
        <v>325</v>
      </c>
      <c r="M25" s="43">
        <f t="shared" si="7"/>
        <v>225</v>
      </c>
      <c r="W25" s="7" t="str">
        <f t="shared" si="8"/>
        <v>Jul</v>
      </c>
    </row>
    <row r="26" spans="2:23" ht="18" x14ac:dyDescent="0.35">
      <c r="B26" s="53">
        <v>45843</v>
      </c>
      <c r="C26" s="10" t="s">
        <v>102</v>
      </c>
      <c r="D26" s="10"/>
      <c r="E26" s="3" t="s">
        <v>476</v>
      </c>
      <c r="F26" s="43" t="s">
        <v>204</v>
      </c>
      <c r="G26" s="43" t="s">
        <v>20</v>
      </c>
      <c r="H26" s="45">
        <v>1</v>
      </c>
      <c r="I26" s="43">
        <f>INDEX('حركة المخزن'!O:O,MATCH('تحليل مبيعات'!C26,'حركة المخزن'!B:B,0))</f>
        <v>80</v>
      </c>
      <c r="J26" s="43">
        <f t="shared" si="5"/>
        <v>80</v>
      </c>
      <c r="K26" s="10">
        <v>920</v>
      </c>
      <c r="L26" s="43">
        <f t="shared" si="6"/>
        <v>920</v>
      </c>
      <c r="M26" s="43">
        <f t="shared" si="7"/>
        <v>840</v>
      </c>
      <c r="W26" s="7" t="str">
        <f t="shared" si="8"/>
        <v>Jul</v>
      </c>
    </row>
    <row r="27" spans="2:23" ht="18" x14ac:dyDescent="0.35">
      <c r="B27" s="53">
        <v>45843</v>
      </c>
      <c r="C27" s="10" t="s">
        <v>18</v>
      </c>
      <c r="D27" s="10"/>
      <c r="E27" s="3" t="s">
        <v>471</v>
      </c>
      <c r="F27" s="10" t="s">
        <v>1</v>
      </c>
      <c r="G27" s="43" t="s">
        <v>20</v>
      </c>
      <c r="H27" s="45">
        <v>1</v>
      </c>
      <c r="I27" s="43">
        <f>INDEX('حركة المخزن'!O:O,MATCH('تحليل مبيعات'!C27,'حركة المخزن'!B:B,0))</f>
        <v>340</v>
      </c>
      <c r="J27" s="43">
        <f t="shared" si="5"/>
        <v>340</v>
      </c>
      <c r="K27" s="10">
        <v>1350</v>
      </c>
      <c r="L27" s="43">
        <f t="shared" si="6"/>
        <v>1350</v>
      </c>
      <c r="M27" s="43">
        <f t="shared" si="7"/>
        <v>1010</v>
      </c>
      <c r="W27" s="7" t="str">
        <f t="shared" si="8"/>
        <v>Jul</v>
      </c>
    </row>
    <row r="28" spans="2:23" ht="18" x14ac:dyDescent="0.35">
      <c r="B28" s="53">
        <v>45843</v>
      </c>
      <c r="C28" s="10" t="s">
        <v>79</v>
      </c>
      <c r="D28" s="10"/>
      <c r="E28" s="3" t="s">
        <v>517</v>
      </c>
      <c r="F28" s="43" t="s">
        <v>204</v>
      </c>
      <c r="G28" s="43" t="s">
        <v>20</v>
      </c>
      <c r="H28" s="45">
        <v>1</v>
      </c>
      <c r="I28" s="43">
        <f>INDEX('حركة المخزن'!O:O,MATCH('تحليل مبيعات'!C28,'حركة المخزن'!B:B,0))</f>
        <v>50</v>
      </c>
      <c r="J28" s="43">
        <f t="shared" si="5"/>
        <v>50</v>
      </c>
      <c r="K28" s="10">
        <v>630</v>
      </c>
      <c r="L28" s="43">
        <f t="shared" si="6"/>
        <v>630</v>
      </c>
      <c r="M28" s="43">
        <f t="shared" si="7"/>
        <v>580</v>
      </c>
      <c r="W28" s="7" t="str">
        <f t="shared" si="8"/>
        <v>Jul</v>
      </c>
    </row>
    <row r="29" spans="2:23" ht="18" x14ac:dyDescent="0.35">
      <c r="B29" s="53">
        <v>45844</v>
      </c>
      <c r="C29" s="10" t="s">
        <v>21</v>
      </c>
      <c r="D29" s="10"/>
      <c r="E29" s="3" t="s">
        <v>520</v>
      </c>
      <c r="F29" s="10" t="s">
        <v>1</v>
      </c>
      <c r="G29" s="43" t="s">
        <v>20</v>
      </c>
      <c r="H29" s="45">
        <v>1</v>
      </c>
      <c r="I29" s="43">
        <f>INDEX('حركة المخزن'!O:O,MATCH('تحليل مبيعات'!C29,'حركة المخزن'!B:B,0))</f>
        <v>345</v>
      </c>
      <c r="J29" s="43">
        <f t="shared" si="5"/>
        <v>345</v>
      </c>
      <c r="K29" s="10">
        <v>1750</v>
      </c>
      <c r="L29" s="43">
        <f t="shared" si="6"/>
        <v>1750</v>
      </c>
      <c r="M29" s="43">
        <f t="shared" si="7"/>
        <v>1405</v>
      </c>
      <c r="W29" s="7" t="str">
        <f t="shared" si="8"/>
        <v>Jul</v>
      </c>
    </row>
    <row r="30" spans="2:23" ht="15.6" x14ac:dyDescent="0.3">
      <c r="B30" s="53">
        <v>45844</v>
      </c>
      <c r="C30" s="10" t="s">
        <v>7</v>
      </c>
      <c r="D30" s="10"/>
      <c r="E30" s="43" t="s">
        <v>518</v>
      </c>
      <c r="F30" s="10" t="s">
        <v>0</v>
      </c>
      <c r="G30" s="43" t="s">
        <v>20</v>
      </c>
      <c r="H30" s="45">
        <v>2</v>
      </c>
      <c r="I30" s="43">
        <f>INDEX('حركة المخزن'!O:O,MATCH('تحليل مبيعات'!C30,'حركة المخزن'!B:B,0))</f>
        <v>100</v>
      </c>
      <c r="J30" s="43">
        <f t="shared" si="5"/>
        <v>200</v>
      </c>
      <c r="K30" s="10">
        <v>1750</v>
      </c>
      <c r="L30" s="43">
        <f t="shared" si="6"/>
        <v>3500</v>
      </c>
      <c r="M30" s="43">
        <f t="shared" si="7"/>
        <v>3300</v>
      </c>
      <c r="W30" s="7" t="str">
        <f t="shared" si="8"/>
        <v>Jul</v>
      </c>
    </row>
    <row r="31" spans="2:23" ht="15.6" x14ac:dyDescent="0.3">
      <c r="B31" s="53">
        <v>45844</v>
      </c>
      <c r="C31" s="10" t="s">
        <v>23</v>
      </c>
      <c r="D31" s="10"/>
      <c r="E31" s="43" t="s">
        <v>518</v>
      </c>
      <c r="F31" s="43" t="s">
        <v>204</v>
      </c>
      <c r="G31" s="43" t="s">
        <v>20</v>
      </c>
      <c r="H31" s="45">
        <v>1</v>
      </c>
      <c r="I31" s="43">
        <f>INDEX('حركة المخزن'!O:O,MATCH('تحليل مبيعات'!C31,'حركة المخزن'!B:B,0))</f>
        <v>80</v>
      </c>
      <c r="J31" s="43">
        <f t="shared" si="5"/>
        <v>80</v>
      </c>
      <c r="K31" s="10">
        <v>250</v>
      </c>
      <c r="L31" s="43">
        <f t="shared" si="6"/>
        <v>250</v>
      </c>
      <c r="M31" s="43">
        <f t="shared" si="7"/>
        <v>170</v>
      </c>
      <c r="W31" s="7" t="str">
        <f t="shared" si="8"/>
        <v>Jul</v>
      </c>
    </row>
    <row r="32" spans="2:23" ht="15.6" x14ac:dyDescent="0.3">
      <c r="B32" s="53">
        <v>45844</v>
      </c>
      <c r="C32" s="10" t="s">
        <v>24</v>
      </c>
      <c r="D32" s="10"/>
      <c r="E32" s="43" t="s">
        <v>518</v>
      </c>
      <c r="F32" s="43" t="s">
        <v>204</v>
      </c>
      <c r="G32" s="43" t="s">
        <v>20</v>
      </c>
      <c r="H32" s="45">
        <v>1</v>
      </c>
      <c r="I32" s="43">
        <f>INDEX('حركة المخزن'!O:O,MATCH('تحليل مبيعات'!C32,'حركة المخزن'!B:B,0))</f>
        <v>100</v>
      </c>
      <c r="J32" s="43">
        <f t="shared" si="5"/>
        <v>100</v>
      </c>
      <c r="K32" s="10">
        <v>100</v>
      </c>
      <c r="L32" s="43">
        <f t="shared" si="6"/>
        <v>100</v>
      </c>
      <c r="M32" s="43">
        <f t="shared" si="7"/>
        <v>0</v>
      </c>
      <c r="W32" s="7" t="str">
        <f t="shared" si="8"/>
        <v>Jul</v>
      </c>
    </row>
    <row r="33" spans="2:23" ht="15.6" x14ac:dyDescent="0.3">
      <c r="B33" s="53">
        <v>45844</v>
      </c>
      <c r="C33" s="10" t="s">
        <v>25</v>
      </c>
      <c r="D33" s="10"/>
      <c r="E33" s="43" t="s">
        <v>518</v>
      </c>
      <c r="F33" s="43" t="s">
        <v>204</v>
      </c>
      <c r="G33" s="43" t="s">
        <v>20</v>
      </c>
      <c r="H33" s="45">
        <v>1</v>
      </c>
      <c r="I33" s="43">
        <f>INDEX('حركة المخزن'!O:O,MATCH('تحليل مبيعات'!C33,'حركة المخزن'!B:B,0))</f>
        <v>60</v>
      </c>
      <c r="J33" s="43">
        <f t="shared" si="5"/>
        <v>60</v>
      </c>
      <c r="K33" s="10">
        <v>325</v>
      </c>
      <c r="L33" s="43">
        <f t="shared" si="6"/>
        <v>325</v>
      </c>
      <c r="M33" s="43">
        <f t="shared" si="7"/>
        <v>265</v>
      </c>
      <c r="W33" s="7" t="str">
        <f t="shared" si="8"/>
        <v>Jul</v>
      </c>
    </row>
    <row r="34" spans="2:23" ht="15.6" x14ac:dyDescent="0.3">
      <c r="B34" s="53">
        <v>45844</v>
      </c>
      <c r="C34" s="10" t="s">
        <v>25</v>
      </c>
      <c r="D34" s="10"/>
      <c r="E34" s="43" t="s">
        <v>518</v>
      </c>
      <c r="F34" s="43" t="s">
        <v>204</v>
      </c>
      <c r="G34" s="43" t="s">
        <v>20</v>
      </c>
      <c r="H34" s="45">
        <v>1</v>
      </c>
      <c r="I34" s="43">
        <f>INDEX('حركة المخزن'!O:O,MATCH('تحليل مبيعات'!C34,'حركة المخزن'!B:B,0))</f>
        <v>60</v>
      </c>
      <c r="J34" s="43">
        <f t="shared" si="5"/>
        <v>60</v>
      </c>
      <c r="K34" s="10">
        <v>325</v>
      </c>
      <c r="L34" s="43">
        <f t="shared" si="6"/>
        <v>325</v>
      </c>
      <c r="M34" s="43">
        <f t="shared" si="7"/>
        <v>265</v>
      </c>
      <c r="W34" s="7" t="str">
        <f t="shared" si="8"/>
        <v>Jul</v>
      </c>
    </row>
    <row r="35" spans="2:23" ht="15.6" x14ac:dyDescent="0.3">
      <c r="B35" s="53">
        <v>45844</v>
      </c>
      <c r="C35" s="10" t="s">
        <v>22</v>
      </c>
      <c r="D35" s="10"/>
      <c r="E35" s="43" t="s">
        <v>518</v>
      </c>
      <c r="F35" s="43" t="s">
        <v>204</v>
      </c>
      <c r="G35" s="43" t="s">
        <v>20</v>
      </c>
      <c r="H35" s="45">
        <v>1</v>
      </c>
      <c r="I35" s="43">
        <f>INDEX('حركة المخزن'!O:O,MATCH('تحليل مبيعات'!C35,'حركة المخزن'!B:B,0))</f>
        <v>75</v>
      </c>
      <c r="J35" s="43">
        <f t="shared" si="5"/>
        <v>75</v>
      </c>
      <c r="K35" s="10">
        <v>2650</v>
      </c>
      <c r="L35" s="43">
        <f t="shared" si="6"/>
        <v>2650</v>
      </c>
      <c r="M35" s="43">
        <f t="shared" si="7"/>
        <v>2575</v>
      </c>
      <c r="W35" s="7" t="str">
        <f t="shared" si="8"/>
        <v>Jul</v>
      </c>
    </row>
    <row r="36" spans="2:23" ht="18" x14ac:dyDescent="0.35">
      <c r="B36" s="53">
        <v>45844</v>
      </c>
      <c r="C36" s="10" t="s">
        <v>49</v>
      </c>
      <c r="D36" s="10"/>
      <c r="E36" s="3" t="s">
        <v>476</v>
      </c>
      <c r="F36" s="10" t="s">
        <v>1</v>
      </c>
      <c r="G36" s="43" t="s">
        <v>20</v>
      </c>
      <c r="H36" s="45">
        <v>1</v>
      </c>
      <c r="I36" s="43">
        <f>INDEX('حركة المخزن'!O:O,MATCH('تحليل مبيعات'!C36,'حركة المخزن'!B:B,0))</f>
        <v>350</v>
      </c>
      <c r="J36" s="43">
        <f t="shared" si="5"/>
        <v>350</v>
      </c>
      <c r="K36" s="10">
        <v>2500</v>
      </c>
      <c r="L36" s="43">
        <f t="shared" si="6"/>
        <v>2500</v>
      </c>
      <c r="M36" s="43">
        <f t="shared" si="7"/>
        <v>2150</v>
      </c>
      <c r="W36" s="7" t="str">
        <f t="shared" si="8"/>
        <v>Jul</v>
      </c>
    </row>
    <row r="37" spans="2:23" ht="18" x14ac:dyDescent="0.35">
      <c r="B37" s="53">
        <v>45845</v>
      </c>
      <c r="C37" s="10" t="s">
        <v>49</v>
      </c>
      <c r="D37" s="10"/>
      <c r="E37" s="3" t="s">
        <v>517</v>
      </c>
      <c r="F37" s="10" t="s">
        <v>1</v>
      </c>
      <c r="G37" s="43" t="s">
        <v>20</v>
      </c>
      <c r="H37" s="45">
        <v>1</v>
      </c>
      <c r="I37" s="43">
        <f>INDEX('حركة المخزن'!O:O,MATCH('تحليل مبيعات'!C37,'حركة المخزن'!B:B,0))</f>
        <v>350</v>
      </c>
      <c r="J37" s="43">
        <f t="shared" si="5"/>
        <v>350</v>
      </c>
      <c r="K37" s="10">
        <v>2500</v>
      </c>
      <c r="L37" s="43">
        <f t="shared" si="6"/>
        <v>2500</v>
      </c>
      <c r="M37" s="43">
        <f t="shared" si="7"/>
        <v>2150</v>
      </c>
      <c r="W37" s="7" t="str">
        <f t="shared" si="8"/>
        <v>Jul</v>
      </c>
    </row>
    <row r="38" spans="2:23" ht="18" x14ac:dyDescent="0.35">
      <c r="B38" s="53">
        <v>45845</v>
      </c>
      <c r="C38" s="10" t="s">
        <v>21</v>
      </c>
      <c r="D38" s="10"/>
      <c r="E38" s="3" t="s">
        <v>478</v>
      </c>
      <c r="F38" s="10" t="s">
        <v>1</v>
      </c>
      <c r="G38" s="43" t="s">
        <v>20</v>
      </c>
      <c r="H38" s="45">
        <v>1</v>
      </c>
      <c r="I38" s="43">
        <f>INDEX('حركة المخزن'!O:O,MATCH('تحليل مبيعات'!C38,'حركة المخزن'!B:B,0))</f>
        <v>345</v>
      </c>
      <c r="J38" s="43">
        <f t="shared" si="5"/>
        <v>345</v>
      </c>
      <c r="K38" s="10">
        <v>1750</v>
      </c>
      <c r="L38" s="43">
        <f t="shared" si="6"/>
        <v>1750</v>
      </c>
      <c r="M38" s="43">
        <f t="shared" si="7"/>
        <v>1405</v>
      </c>
      <c r="W38" s="7" t="str">
        <f t="shared" si="8"/>
        <v>Jul</v>
      </c>
    </row>
    <row r="39" spans="2:23" ht="15.6" x14ac:dyDescent="0.3">
      <c r="B39" s="53">
        <v>45845</v>
      </c>
      <c r="C39" s="10" t="s">
        <v>26</v>
      </c>
      <c r="D39" s="10"/>
      <c r="E39" s="43" t="s">
        <v>518</v>
      </c>
      <c r="F39" s="43" t="s">
        <v>204</v>
      </c>
      <c r="G39" s="43" t="s">
        <v>20</v>
      </c>
      <c r="H39" s="45">
        <v>1</v>
      </c>
      <c r="I39" s="43">
        <f>INDEX('حركة المخزن'!O:O,MATCH('تحليل مبيعات'!C39,'حركة المخزن'!B:B,0))</f>
        <v>80</v>
      </c>
      <c r="J39" s="43">
        <f t="shared" si="5"/>
        <v>80</v>
      </c>
      <c r="K39" s="10">
        <v>630</v>
      </c>
      <c r="L39" s="43">
        <f t="shared" si="6"/>
        <v>630</v>
      </c>
      <c r="M39" s="43">
        <f t="shared" si="7"/>
        <v>550</v>
      </c>
      <c r="W39" s="7" t="str">
        <f t="shared" si="8"/>
        <v>Jul</v>
      </c>
    </row>
    <row r="40" spans="2:23" ht="15.6" x14ac:dyDescent="0.3">
      <c r="B40" s="53">
        <v>45845</v>
      </c>
      <c r="C40" s="10" t="s">
        <v>27</v>
      </c>
      <c r="D40" s="10"/>
      <c r="E40" s="43" t="s">
        <v>518</v>
      </c>
      <c r="F40" s="43" t="s">
        <v>204</v>
      </c>
      <c r="G40" s="43" t="s">
        <v>20</v>
      </c>
      <c r="H40" s="45">
        <v>1</v>
      </c>
      <c r="I40" s="43">
        <f>INDEX('حركة المخزن'!O:O,MATCH('تحليل مبيعات'!C40,'حركة المخزن'!B:B,0))</f>
        <v>85</v>
      </c>
      <c r="J40" s="43">
        <f t="shared" si="5"/>
        <v>85</v>
      </c>
      <c r="K40" s="10">
        <v>60</v>
      </c>
      <c r="L40" s="43">
        <f t="shared" si="6"/>
        <v>60</v>
      </c>
      <c r="M40" s="43">
        <f t="shared" si="7"/>
        <v>-25</v>
      </c>
      <c r="W40" s="7" t="str">
        <f t="shared" si="8"/>
        <v>Jul</v>
      </c>
    </row>
    <row r="41" spans="2:23" ht="15.6" x14ac:dyDescent="0.3">
      <c r="B41" s="53">
        <v>45845</v>
      </c>
      <c r="C41" s="10" t="s">
        <v>23</v>
      </c>
      <c r="D41" s="10"/>
      <c r="E41" s="43" t="s">
        <v>518</v>
      </c>
      <c r="F41" s="43" t="s">
        <v>204</v>
      </c>
      <c r="G41" s="43" t="s">
        <v>20</v>
      </c>
      <c r="H41" s="45">
        <v>1</v>
      </c>
      <c r="I41" s="43">
        <f>INDEX('حركة المخزن'!O:O,MATCH('تحليل مبيعات'!C41,'حركة المخزن'!B:B,0))</f>
        <v>80</v>
      </c>
      <c r="J41" s="43">
        <f t="shared" si="5"/>
        <v>80</v>
      </c>
      <c r="K41" s="10">
        <v>250</v>
      </c>
      <c r="L41" s="43">
        <f t="shared" si="6"/>
        <v>250</v>
      </c>
      <c r="M41" s="43">
        <f t="shared" si="7"/>
        <v>170</v>
      </c>
      <c r="W41" s="7" t="str">
        <f t="shared" si="8"/>
        <v>Jul</v>
      </c>
    </row>
    <row r="42" spans="2:23" ht="15.6" x14ac:dyDescent="0.3">
      <c r="B42" s="53">
        <v>45844</v>
      </c>
      <c r="C42" s="10" t="s">
        <v>28</v>
      </c>
      <c r="D42" s="10"/>
      <c r="E42" s="43" t="s">
        <v>518</v>
      </c>
      <c r="F42" s="43" t="s">
        <v>204</v>
      </c>
      <c r="G42" s="43" t="s">
        <v>20</v>
      </c>
      <c r="H42" s="45">
        <v>1</v>
      </c>
      <c r="I42" s="43">
        <f>INDEX('حركة المخزن'!O:O,MATCH('تحليل مبيعات'!C42,'حركة المخزن'!B:B,0))</f>
        <v>90</v>
      </c>
      <c r="J42" s="43">
        <f t="shared" si="5"/>
        <v>90</v>
      </c>
      <c r="K42" s="10">
        <v>1600</v>
      </c>
      <c r="L42" s="43">
        <f t="shared" si="6"/>
        <v>1600</v>
      </c>
      <c r="M42" s="43">
        <f t="shared" si="7"/>
        <v>1510</v>
      </c>
      <c r="W42" s="7" t="str">
        <f t="shared" si="8"/>
        <v>Jul</v>
      </c>
    </row>
    <row r="43" spans="2:23" ht="15.6" x14ac:dyDescent="0.3">
      <c r="B43" s="53">
        <v>45844</v>
      </c>
      <c r="C43" s="10" t="s">
        <v>29</v>
      </c>
      <c r="D43" s="10"/>
      <c r="E43" s="43" t="s">
        <v>518</v>
      </c>
      <c r="F43" s="43" t="s">
        <v>204</v>
      </c>
      <c r="G43" s="43" t="s">
        <v>20</v>
      </c>
      <c r="H43" s="45">
        <v>1</v>
      </c>
      <c r="I43" s="43">
        <f>INDEX('حركة المخزن'!O:O,MATCH('تحليل مبيعات'!C43,'حركة المخزن'!B:B,0))</f>
        <v>100</v>
      </c>
      <c r="J43" s="43">
        <f t="shared" si="5"/>
        <v>100</v>
      </c>
      <c r="K43" s="10">
        <v>0</v>
      </c>
      <c r="L43" s="47">
        <f t="shared" si="6"/>
        <v>0</v>
      </c>
      <c r="M43" s="47">
        <f t="shared" si="7"/>
        <v>-100</v>
      </c>
      <c r="W43" s="7" t="str">
        <f t="shared" si="8"/>
        <v>Jul</v>
      </c>
    </row>
    <row r="44" spans="2:23" ht="15.6" x14ac:dyDescent="0.3">
      <c r="B44" s="53">
        <v>45844</v>
      </c>
      <c r="C44" s="10" t="s">
        <v>30</v>
      </c>
      <c r="D44" s="10"/>
      <c r="E44" s="43" t="s">
        <v>518</v>
      </c>
      <c r="F44" s="43" t="s">
        <v>204</v>
      </c>
      <c r="G44" s="43" t="s">
        <v>20</v>
      </c>
      <c r="H44" s="45">
        <v>1</v>
      </c>
      <c r="I44" s="43">
        <f>INDEX('حركة المخزن'!O:O,MATCH('تحليل مبيعات'!C44,'حركة المخزن'!B:B,0))</f>
        <v>120</v>
      </c>
      <c r="J44" s="43">
        <f t="shared" si="5"/>
        <v>120</v>
      </c>
      <c r="K44" s="10">
        <v>0</v>
      </c>
      <c r="L44" s="47">
        <f t="shared" si="6"/>
        <v>0</v>
      </c>
      <c r="M44" s="47">
        <f t="shared" si="7"/>
        <v>-120</v>
      </c>
      <c r="W44" s="7" t="str">
        <f t="shared" si="8"/>
        <v>Jul</v>
      </c>
    </row>
    <row r="45" spans="2:23" ht="18" x14ac:dyDescent="0.35">
      <c r="B45" s="53">
        <v>45846</v>
      </c>
      <c r="C45" s="10" t="s">
        <v>120</v>
      </c>
      <c r="D45" s="10"/>
      <c r="E45" s="3" t="s">
        <v>520</v>
      </c>
      <c r="F45" s="10" t="s">
        <v>1</v>
      </c>
      <c r="G45" s="43" t="s">
        <v>20</v>
      </c>
      <c r="H45" s="45">
        <v>1</v>
      </c>
      <c r="I45" s="43">
        <f>INDEX('حركة المخزن'!O:O,MATCH('تحليل مبيعات'!C45,'حركة المخزن'!B:B,0))</f>
        <v>355</v>
      </c>
      <c r="J45" s="43">
        <f t="shared" si="5"/>
        <v>355</v>
      </c>
      <c r="K45" s="10">
        <v>2450</v>
      </c>
      <c r="L45" s="43">
        <f t="shared" si="6"/>
        <v>2450</v>
      </c>
      <c r="M45" s="43">
        <f t="shared" si="7"/>
        <v>2095</v>
      </c>
      <c r="W45" s="7" t="str">
        <f t="shared" si="8"/>
        <v>Jul</v>
      </c>
    </row>
    <row r="46" spans="2:23" ht="18" x14ac:dyDescent="0.35">
      <c r="B46" s="53">
        <v>45846</v>
      </c>
      <c r="C46" s="10" t="s">
        <v>33</v>
      </c>
      <c r="D46" s="10"/>
      <c r="E46" s="3" t="s">
        <v>476</v>
      </c>
      <c r="F46" s="10" t="s">
        <v>1</v>
      </c>
      <c r="G46" s="43" t="s">
        <v>20</v>
      </c>
      <c r="H46" s="45">
        <v>1</v>
      </c>
      <c r="I46" s="43">
        <f>INDEX('حركة المخزن'!O:O,MATCH('تحليل مبيعات'!C46,'حركة المخزن'!B:B,0))</f>
        <v>360</v>
      </c>
      <c r="J46" s="43">
        <f t="shared" si="5"/>
        <v>360</v>
      </c>
      <c r="K46" s="10">
        <v>1350</v>
      </c>
      <c r="L46" s="43">
        <f t="shared" si="6"/>
        <v>1350</v>
      </c>
      <c r="M46" s="43">
        <f t="shared" si="7"/>
        <v>990</v>
      </c>
      <c r="W46" s="7" t="str">
        <f t="shared" si="8"/>
        <v>Jul</v>
      </c>
    </row>
    <row r="47" spans="2:23" ht="18" x14ac:dyDescent="0.35">
      <c r="B47" s="53">
        <v>45846</v>
      </c>
      <c r="C47" s="10" t="s">
        <v>34</v>
      </c>
      <c r="D47" s="10"/>
      <c r="E47" s="3" t="s">
        <v>520</v>
      </c>
      <c r="F47" s="10" t="s">
        <v>0</v>
      </c>
      <c r="G47" s="43" t="s">
        <v>20</v>
      </c>
      <c r="H47" s="45">
        <v>2</v>
      </c>
      <c r="I47" s="43">
        <f>INDEX('حركة المخزن'!O:O,MATCH('تحليل مبيعات'!C47,'حركة المخزن'!B:B,0))</f>
        <v>200</v>
      </c>
      <c r="J47" s="43">
        <f t="shared" si="5"/>
        <v>400</v>
      </c>
      <c r="K47" s="10">
        <v>2250</v>
      </c>
      <c r="L47" s="43">
        <f t="shared" si="6"/>
        <v>4500</v>
      </c>
      <c r="M47" s="43">
        <f t="shared" si="7"/>
        <v>4100</v>
      </c>
      <c r="W47" s="7" t="str">
        <f t="shared" si="8"/>
        <v>Jul</v>
      </c>
    </row>
    <row r="48" spans="2:23" ht="18" x14ac:dyDescent="0.35">
      <c r="B48" s="53">
        <v>45846</v>
      </c>
      <c r="C48" s="10" t="s">
        <v>35</v>
      </c>
      <c r="D48" s="10"/>
      <c r="E48" s="3" t="s">
        <v>519</v>
      </c>
      <c r="F48" s="43" t="s">
        <v>204</v>
      </c>
      <c r="G48" s="43" t="s">
        <v>20</v>
      </c>
      <c r="H48" s="45">
        <v>1</v>
      </c>
      <c r="I48" s="43">
        <f>INDEX('حركة المخزن'!O:O,MATCH('تحليل مبيعات'!C48,'حركة المخزن'!B:B,0))</f>
        <v>70</v>
      </c>
      <c r="J48" s="43">
        <f t="shared" si="5"/>
        <v>70</v>
      </c>
      <c r="K48" s="10">
        <v>250</v>
      </c>
      <c r="L48" s="43">
        <f t="shared" si="6"/>
        <v>250</v>
      </c>
      <c r="M48" s="43">
        <f t="shared" si="7"/>
        <v>180</v>
      </c>
      <c r="W48" s="7" t="str">
        <f t="shared" si="8"/>
        <v>Jul</v>
      </c>
    </row>
    <row r="49" spans="2:23" ht="18" x14ac:dyDescent="0.35">
      <c r="B49" s="53">
        <v>45846</v>
      </c>
      <c r="C49" s="10" t="s">
        <v>37</v>
      </c>
      <c r="D49" s="10"/>
      <c r="E49" s="3" t="s">
        <v>475</v>
      </c>
      <c r="F49" s="43" t="s">
        <v>204</v>
      </c>
      <c r="G49" s="43" t="s">
        <v>20</v>
      </c>
      <c r="H49" s="45">
        <v>1</v>
      </c>
      <c r="I49" s="43">
        <f>INDEX('حركة المخزن'!O:O,MATCH('تحليل مبيعات'!C49,'حركة المخزن'!B:B,0))</f>
        <v>95</v>
      </c>
      <c r="J49" s="43">
        <f t="shared" si="5"/>
        <v>95</v>
      </c>
      <c r="K49" s="10">
        <v>250</v>
      </c>
      <c r="L49" s="43">
        <f t="shared" si="6"/>
        <v>250</v>
      </c>
      <c r="M49" s="43">
        <f t="shared" si="7"/>
        <v>155</v>
      </c>
      <c r="W49" s="7" t="str">
        <f t="shared" si="8"/>
        <v>Jul</v>
      </c>
    </row>
    <row r="50" spans="2:23" ht="18" x14ac:dyDescent="0.35">
      <c r="B50" s="53">
        <v>45847</v>
      </c>
      <c r="C50" s="10" t="s">
        <v>28</v>
      </c>
      <c r="D50" s="10"/>
      <c r="E50" s="3" t="s">
        <v>520</v>
      </c>
      <c r="F50" s="43" t="s">
        <v>204</v>
      </c>
      <c r="G50" s="43" t="s">
        <v>20</v>
      </c>
      <c r="H50" s="45">
        <v>1</v>
      </c>
      <c r="I50" s="43">
        <f>INDEX('حركة المخزن'!O:O,MATCH('تحليل مبيعات'!C50,'حركة المخزن'!B:B,0))</f>
        <v>90</v>
      </c>
      <c r="J50" s="43">
        <f t="shared" si="5"/>
        <v>90</v>
      </c>
      <c r="K50" s="10">
        <v>280</v>
      </c>
      <c r="L50" s="43">
        <f t="shared" si="6"/>
        <v>280</v>
      </c>
      <c r="M50" s="43">
        <f t="shared" si="7"/>
        <v>190</v>
      </c>
      <c r="W50" s="7" t="str">
        <f t="shared" si="8"/>
        <v>Jul</v>
      </c>
    </row>
    <row r="51" spans="2:23" ht="18" x14ac:dyDescent="0.35">
      <c r="B51" s="53">
        <v>45847</v>
      </c>
      <c r="C51" s="10" t="s">
        <v>39</v>
      </c>
      <c r="D51" s="10"/>
      <c r="E51" s="3" t="s">
        <v>519</v>
      </c>
      <c r="F51" s="43" t="s">
        <v>204</v>
      </c>
      <c r="G51" s="43" t="s">
        <v>20</v>
      </c>
      <c r="H51" s="45">
        <v>2</v>
      </c>
      <c r="I51" s="43">
        <f>INDEX('حركة المخزن'!O:O,MATCH('تحليل مبيعات'!C51,'حركة المخزن'!B:B,0))</f>
        <v>100</v>
      </c>
      <c r="J51" s="43">
        <f t="shared" si="5"/>
        <v>200</v>
      </c>
      <c r="K51" s="10">
        <v>230</v>
      </c>
      <c r="L51" s="43">
        <f t="shared" si="6"/>
        <v>460</v>
      </c>
      <c r="M51" s="43">
        <f t="shared" si="7"/>
        <v>260</v>
      </c>
      <c r="W51" s="7" t="str">
        <f t="shared" si="8"/>
        <v>Jul</v>
      </c>
    </row>
    <row r="52" spans="2:23" ht="18" x14ac:dyDescent="0.35">
      <c r="B52" s="53">
        <v>45847</v>
      </c>
      <c r="C52" s="10" t="s">
        <v>25</v>
      </c>
      <c r="D52" s="10"/>
      <c r="E52" s="3" t="s">
        <v>476</v>
      </c>
      <c r="F52" s="43" t="s">
        <v>204</v>
      </c>
      <c r="G52" s="43" t="s">
        <v>20</v>
      </c>
      <c r="H52" s="45">
        <v>1</v>
      </c>
      <c r="I52" s="43">
        <f>INDEX('حركة المخزن'!O:O,MATCH('تحليل مبيعات'!C52,'حركة المخزن'!B:B,0))</f>
        <v>60</v>
      </c>
      <c r="J52" s="43">
        <f t="shared" si="5"/>
        <v>60</v>
      </c>
      <c r="K52" s="10">
        <v>325</v>
      </c>
      <c r="L52" s="43">
        <f t="shared" si="6"/>
        <v>325</v>
      </c>
      <c r="M52" s="43">
        <f t="shared" si="7"/>
        <v>265</v>
      </c>
      <c r="W52" s="7" t="str">
        <f t="shared" si="8"/>
        <v>Jul</v>
      </c>
    </row>
    <row r="53" spans="2:23" ht="15.6" x14ac:dyDescent="0.3">
      <c r="B53" s="53">
        <v>45848</v>
      </c>
      <c r="C53" s="10" t="s">
        <v>44</v>
      </c>
      <c r="D53" s="10"/>
      <c r="E53" s="43" t="s">
        <v>518</v>
      </c>
      <c r="F53" s="43" t="s">
        <v>204</v>
      </c>
      <c r="G53" s="43" t="s">
        <v>20</v>
      </c>
      <c r="H53" s="45">
        <v>1</v>
      </c>
      <c r="I53" s="43">
        <f>INDEX('حركة المخزن'!O:O,MATCH('تحليل مبيعات'!C53,'حركة المخزن'!B:B,0))</f>
        <v>105</v>
      </c>
      <c r="J53" s="43">
        <f t="shared" si="5"/>
        <v>105</v>
      </c>
      <c r="K53" s="10">
        <v>350</v>
      </c>
      <c r="L53" s="43">
        <f t="shared" si="6"/>
        <v>350</v>
      </c>
      <c r="M53" s="43">
        <f t="shared" si="7"/>
        <v>245</v>
      </c>
      <c r="W53" s="7" t="str">
        <f t="shared" si="8"/>
        <v>Jul</v>
      </c>
    </row>
    <row r="54" spans="2:23" ht="18" x14ac:dyDescent="0.35">
      <c r="B54" s="60">
        <v>45848</v>
      </c>
      <c r="C54" s="10" t="s">
        <v>159</v>
      </c>
      <c r="D54" s="10"/>
      <c r="E54" s="3" t="s">
        <v>476</v>
      </c>
      <c r="F54" s="43" t="s">
        <v>204</v>
      </c>
      <c r="G54" s="43" t="s">
        <v>20</v>
      </c>
      <c r="H54" s="45"/>
      <c r="I54" s="43">
        <f>INDEX('حركة المخزن'!O:O,MATCH('تحليل مبيعات'!C54,'حركة المخزن'!B:B,0))</f>
        <v>100</v>
      </c>
      <c r="J54" s="43">
        <f t="shared" si="5"/>
        <v>0</v>
      </c>
      <c r="K54" s="10">
        <v>0</v>
      </c>
      <c r="L54" s="47">
        <f t="shared" si="6"/>
        <v>0</v>
      </c>
      <c r="M54" s="47">
        <f t="shared" si="7"/>
        <v>0</v>
      </c>
      <c r="W54" s="7" t="str">
        <f t="shared" si="8"/>
        <v>Jul</v>
      </c>
    </row>
    <row r="55" spans="2:23" ht="15.6" x14ac:dyDescent="0.3">
      <c r="B55" s="53">
        <v>45848</v>
      </c>
      <c r="C55" s="10" t="s">
        <v>43</v>
      </c>
      <c r="D55" s="10"/>
      <c r="E55" s="43" t="s">
        <v>518</v>
      </c>
      <c r="F55" s="43" t="s">
        <v>204</v>
      </c>
      <c r="G55" s="43" t="s">
        <v>20</v>
      </c>
      <c r="H55" s="45">
        <v>1</v>
      </c>
      <c r="I55" s="43">
        <f>INDEX('حركة المخزن'!O:O,MATCH('تحليل مبيعات'!C55,'حركة المخزن'!B:B,0))</f>
        <v>110</v>
      </c>
      <c r="J55" s="43">
        <f t="shared" si="5"/>
        <v>110</v>
      </c>
      <c r="K55" s="10">
        <v>220</v>
      </c>
      <c r="L55" s="43">
        <f t="shared" si="6"/>
        <v>220</v>
      </c>
      <c r="M55" s="43">
        <f t="shared" si="7"/>
        <v>110</v>
      </c>
      <c r="W55" s="7" t="str">
        <f t="shared" si="8"/>
        <v>Jul</v>
      </c>
    </row>
    <row r="56" spans="2:23" ht="15.6" x14ac:dyDescent="0.3">
      <c r="B56" s="53">
        <v>45848</v>
      </c>
      <c r="C56" s="10" t="s">
        <v>25</v>
      </c>
      <c r="D56" s="10"/>
      <c r="E56" s="43" t="s">
        <v>518</v>
      </c>
      <c r="F56" s="43" t="s">
        <v>204</v>
      </c>
      <c r="G56" s="43" t="s">
        <v>20</v>
      </c>
      <c r="H56" s="45">
        <v>1</v>
      </c>
      <c r="I56" s="43">
        <f>INDEX('حركة المخزن'!O:O,MATCH('تحليل مبيعات'!C56,'حركة المخزن'!B:B,0))</f>
        <v>60</v>
      </c>
      <c r="J56" s="43">
        <f t="shared" si="5"/>
        <v>60</v>
      </c>
      <c r="K56" s="10">
        <v>325</v>
      </c>
      <c r="L56" s="43">
        <f t="shared" si="6"/>
        <v>325</v>
      </c>
      <c r="M56" s="43">
        <f t="shared" si="7"/>
        <v>265</v>
      </c>
      <c r="W56" s="7" t="str">
        <f t="shared" si="8"/>
        <v>Jul</v>
      </c>
    </row>
    <row r="57" spans="2:23" ht="15.6" x14ac:dyDescent="0.3">
      <c r="B57" s="53">
        <v>45849</v>
      </c>
      <c r="C57" s="10" t="s">
        <v>25</v>
      </c>
      <c r="D57" s="10"/>
      <c r="E57" s="43" t="s">
        <v>518</v>
      </c>
      <c r="F57" s="43" t="s">
        <v>204</v>
      </c>
      <c r="G57" s="43" t="s">
        <v>20</v>
      </c>
      <c r="H57" s="45">
        <v>1</v>
      </c>
      <c r="I57" s="43">
        <f>INDEX('حركة المخزن'!O:O,MATCH('تحليل مبيعات'!C57,'حركة المخزن'!B:B,0))</f>
        <v>60</v>
      </c>
      <c r="J57" s="43">
        <f t="shared" si="5"/>
        <v>60</v>
      </c>
      <c r="K57" s="10">
        <v>325</v>
      </c>
      <c r="L57" s="43">
        <f t="shared" si="6"/>
        <v>325</v>
      </c>
      <c r="M57" s="43">
        <f t="shared" si="7"/>
        <v>265</v>
      </c>
      <c r="W57" s="7" t="str">
        <f t="shared" si="8"/>
        <v>Jul</v>
      </c>
    </row>
    <row r="58" spans="2:23" ht="15.6" x14ac:dyDescent="0.3">
      <c r="B58" s="53">
        <v>45849</v>
      </c>
      <c r="C58" s="10" t="s">
        <v>22</v>
      </c>
      <c r="D58" s="10"/>
      <c r="E58" s="43" t="s">
        <v>518</v>
      </c>
      <c r="F58" s="43" t="s">
        <v>204</v>
      </c>
      <c r="G58" s="43" t="s">
        <v>20</v>
      </c>
      <c r="H58" s="45">
        <v>1</v>
      </c>
      <c r="I58" s="43">
        <f>INDEX('حركة المخزن'!O:O,MATCH('تحليل مبيعات'!C58,'حركة المخزن'!B:B,0))</f>
        <v>75</v>
      </c>
      <c r="J58" s="43">
        <f t="shared" si="5"/>
        <v>75</v>
      </c>
      <c r="K58" s="10">
        <v>2600</v>
      </c>
      <c r="L58" s="43">
        <f t="shared" si="6"/>
        <v>2600</v>
      </c>
      <c r="M58" s="43">
        <f t="shared" si="7"/>
        <v>2525</v>
      </c>
      <c r="W58" s="7" t="str">
        <f t="shared" si="8"/>
        <v>Jul</v>
      </c>
    </row>
    <row r="59" spans="2:23" ht="15.6" x14ac:dyDescent="0.3">
      <c r="B59" s="53">
        <v>45849</v>
      </c>
      <c r="C59" s="10" t="s">
        <v>45</v>
      </c>
      <c r="D59" s="10"/>
      <c r="E59" s="43" t="s">
        <v>518</v>
      </c>
      <c r="F59" s="43" t="s">
        <v>204</v>
      </c>
      <c r="G59" s="43" t="s">
        <v>20</v>
      </c>
      <c r="H59" s="45">
        <v>1</v>
      </c>
      <c r="I59" s="43">
        <f>INDEX('حركة المخزن'!O:O,MATCH('تحليل مبيعات'!C59,'حركة المخزن'!B:B,0))</f>
        <v>115</v>
      </c>
      <c r="J59" s="43">
        <f t="shared" si="5"/>
        <v>115</v>
      </c>
      <c r="K59" s="10">
        <v>750</v>
      </c>
      <c r="L59" s="43">
        <f t="shared" si="6"/>
        <v>750</v>
      </c>
      <c r="M59" s="43">
        <f t="shared" si="7"/>
        <v>635</v>
      </c>
      <c r="W59" s="7" t="str">
        <f t="shared" si="8"/>
        <v>Jul</v>
      </c>
    </row>
    <row r="60" spans="2:23" ht="15.6" x14ac:dyDescent="0.3">
      <c r="B60" s="53">
        <v>45849</v>
      </c>
      <c r="C60" s="10" t="s">
        <v>46</v>
      </c>
      <c r="D60" s="10"/>
      <c r="E60" s="43" t="s">
        <v>518</v>
      </c>
      <c r="F60" s="43" t="s">
        <v>204</v>
      </c>
      <c r="G60" s="43" t="s">
        <v>20</v>
      </c>
      <c r="H60" s="45">
        <v>1</v>
      </c>
      <c r="I60" s="43">
        <f>INDEX('حركة المخزن'!O:O,MATCH('تحليل مبيعات'!C60,'حركة المخزن'!B:B,0))</f>
        <v>120</v>
      </c>
      <c r="J60" s="43">
        <f t="shared" si="5"/>
        <v>120</v>
      </c>
      <c r="K60" s="10">
        <v>200</v>
      </c>
      <c r="L60" s="43">
        <f t="shared" si="6"/>
        <v>200</v>
      </c>
      <c r="M60" s="43">
        <f t="shared" si="7"/>
        <v>80</v>
      </c>
      <c r="W60" s="7" t="str">
        <f t="shared" si="8"/>
        <v>Jul</v>
      </c>
    </row>
    <row r="61" spans="2:23" ht="15.6" x14ac:dyDescent="0.3">
      <c r="B61" s="53">
        <v>45849</v>
      </c>
      <c r="C61" s="10" t="s">
        <v>28</v>
      </c>
      <c r="D61" s="10"/>
      <c r="E61" s="43" t="s">
        <v>518</v>
      </c>
      <c r="F61" s="43" t="s">
        <v>204</v>
      </c>
      <c r="G61" s="43" t="s">
        <v>20</v>
      </c>
      <c r="H61" s="45">
        <v>1</v>
      </c>
      <c r="I61" s="43">
        <f>INDEX('حركة المخزن'!O:O,MATCH('تحليل مبيعات'!C61,'حركة المخزن'!B:B,0))</f>
        <v>90</v>
      </c>
      <c r="J61" s="43">
        <f t="shared" si="5"/>
        <v>90</v>
      </c>
      <c r="K61" s="10">
        <v>300</v>
      </c>
      <c r="L61" s="43">
        <f t="shared" si="6"/>
        <v>300</v>
      </c>
      <c r="M61" s="43">
        <f t="shared" si="7"/>
        <v>210</v>
      </c>
      <c r="W61" s="7" t="str">
        <f t="shared" si="8"/>
        <v>Jul</v>
      </c>
    </row>
    <row r="62" spans="2:23" ht="15.6" x14ac:dyDescent="0.3">
      <c r="B62" s="53">
        <v>45849</v>
      </c>
      <c r="C62" s="10" t="s">
        <v>25</v>
      </c>
      <c r="D62" s="10"/>
      <c r="E62" s="43" t="s">
        <v>518</v>
      </c>
      <c r="F62" s="43" t="s">
        <v>204</v>
      </c>
      <c r="G62" s="43" t="s">
        <v>20</v>
      </c>
      <c r="H62" s="45">
        <v>1</v>
      </c>
      <c r="I62" s="43">
        <f>INDEX('حركة المخزن'!O:O,MATCH('تحليل مبيعات'!C62,'حركة المخزن'!B:B,0))</f>
        <v>60</v>
      </c>
      <c r="J62" s="43">
        <f t="shared" si="5"/>
        <v>60</v>
      </c>
      <c r="K62" s="10">
        <v>325</v>
      </c>
      <c r="L62" s="43">
        <f t="shared" si="6"/>
        <v>325</v>
      </c>
      <c r="M62" s="43">
        <f t="shared" si="7"/>
        <v>265</v>
      </c>
      <c r="W62" s="7" t="str">
        <f t="shared" si="8"/>
        <v>Jul</v>
      </c>
    </row>
    <row r="63" spans="2:23" ht="18" x14ac:dyDescent="0.35">
      <c r="B63" s="53">
        <v>45849</v>
      </c>
      <c r="C63" s="10" t="s">
        <v>48</v>
      </c>
      <c r="D63" s="10"/>
      <c r="E63" s="3" t="s">
        <v>478</v>
      </c>
      <c r="F63" s="43" t="s">
        <v>204</v>
      </c>
      <c r="G63" s="43" t="s">
        <v>20</v>
      </c>
      <c r="H63" s="45">
        <v>4</v>
      </c>
      <c r="I63" s="43">
        <f>INDEX('حركة المخزن'!O:O,MATCH('تحليل مبيعات'!C63,'حركة المخزن'!B:B,0))</f>
        <v>125</v>
      </c>
      <c r="J63" s="43">
        <f t="shared" si="5"/>
        <v>500</v>
      </c>
      <c r="K63" s="10">
        <v>32.5</v>
      </c>
      <c r="L63" s="43">
        <f t="shared" si="6"/>
        <v>130</v>
      </c>
      <c r="M63" s="43">
        <f t="shared" si="7"/>
        <v>-370</v>
      </c>
      <c r="W63" s="7" t="str">
        <f t="shared" si="8"/>
        <v>Jul</v>
      </c>
    </row>
    <row r="64" spans="2:23" ht="18" x14ac:dyDescent="0.35">
      <c r="B64" s="53">
        <v>45849</v>
      </c>
      <c r="C64" s="10" t="s">
        <v>47</v>
      </c>
      <c r="D64" s="10"/>
      <c r="E64" s="3" t="s">
        <v>478</v>
      </c>
      <c r="F64" s="43" t="s">
        <v>204</v>
      </c>
      <c r="G64" s="43" t="s">
        <v>20</v>
      </c>
      <c r="H64" s="45">
        <v>4</v>
      </c>
      <c r="I64" s="43">
        <f>INDEX('حركة المخزن'!O:O,MATCH('تحليل مبيعات'!C64,'حركة المخزن'!B:B,0))</f>
        <v>130</v>
      </c>
      <c r="J64" s="43">
        <f t="shared" si="5"/>
        <v>520</v>
      </c>
      <c r="K64" s="10">
        <v>67.5</v>
      </c>
      <c r="L64" s="43">
        <f t="shared" si="6"/>
        <v>270</v>
      </c>
      <c r="M64" s="43">
        <f t="shared" si="7"/>
        <v>-250</v>
      </c>
      <c r="W64" s="7" t="str">
        <f t="shared" si="8"/>
        <v>Jul</v>
      </c>
    </row>
    <row r="65" spans="2:23" ht="15.6" x14ac:dyDescent="0.3">
      <c r="B65" s="53">
        <v>45849</v>
      </c>
      <c r="C65" s="10" t="s">
        <v>25</v>
      </c>
      <c r="D65" s="10"/>
      <c r="E65" s="43" t="s">
        <v>518</v>
      </c>
      <c r="F65" s="43" t="s">
        <v>204</v>
      </c>
      <c r="G65" s="43" t="s">
        <v>20</v>
      </c>
      <c r="H65" s="45">
        <v>1</v>
      </c>
      <c r="I65" s="43">
        <f>INDEX('حركة المخزن'!O:O,MATCH('تحليل مبيعات'!C65,'حركة المخزن'!B:B,0))</f>
        <v>60</v>
      </c>
      <c r="J65" s="43">
        <f t="shared" si="5"/>
        <v>60</v>
      </c>
      <c r="K65" s="10">
        <v>325</v>
      </c>
      <c r="L65" s="43">
        <f t="shared" si="6"/>
        <v>325</v>
      </c>
      <c r="M65" s="43">
        <f t="shared" si="7"/>
        <v>265</v>
      </c>
      <c r="W65" s="7" t="str">
        <f t="shared" si="8"/>
        <v>Jul</v>
      </c>
    </row>
    <row r="66" spans="2:23" ht="18" x14ac:dyDescent="0.35">
      <c r="B66" s="53">
        <v>45849</v>
      </c>
      <c r="C66" s="10" t="s">
        <v>49</v>
      </c>
      <c r="D66" s="10"/>
      <c r="E66" s="3" t="s">
        <v>519</v>
      </c>
      <c r="F66" s="10" t="s">
        <v>1</v>
      </c>
      <c r="G66" s="43" t="s">
        <v>20</v>
      </c>
      <c r="H66" s="45">
        <v>1</v>
      </c>
      <c r="I66" s="43">
        <f>INDEX('حركة المخزن'!O:O,MATCH('تحليل مبيعات'!C66,'حركة المخزن'!B:B,0))</f>
        <v>350</v>
      </c>
      <c r="J66" s="43">
        <f t="shared" si="5"/>
        <v>350</v>
      </c>
      <c r="K66" s="10">
        <v>2750</v>
      </c>
      <c r="L66" s="43">
        <f t="shared" si="6"/>
        <v>2750</v>
      </c>
      <c r="M66" s="43">
        <f t="shared" si="7"/>
        <v>2400</v>
      </c>
      <c r="W66" s="7" t="str">
        <f t="shared" si="8"/>
        <v>Jul</v>
      </c>
    </row>
    <row r="67" spans="2:23" ht="18" x14ac:dyDescent="0.35">
      <c r="B67" s="53">
        <v>45849</v>
      </c>
      <c r="C67" s="10" t="s">
        <v>50</v>
      </c>
      <c r="D67" s="10"/>
      <c r="E67" s="3" t="s">
        <v>478</v>
      </c>
      <c r="F67" s="10" t="s">
        <v>0</v>
      </c>
      <c r="G67" s="43" t="s">
        <v>20</v>
      </c>
      <c r="H67" s="45">
        <v>2</v>
      </c>
      <c r="I67" s="43">
        <f>INDEX('حركة المخزن'!O:O,MATCH('تحليل مبيعات'!C67,'حركة المخزن'!B:B,0))</f>
        <v>100</v>
      </c>
      <c r="J67" s="43">
        <f t="shared" si="5"/>
        <v>200</v>
      </c>
      <c r="K67" s="10">
        <v>1850</v>
      </c>
      <c r="L67" s="43">
        <f t="shared" si="6"/>
        <v>3700</v>
      </c>
      <c r="M67" s="43">
        <f t="shared" si="7"/>
        <v>3500</v>
      </c>
      <c r="W67" s="7" t="str">
        <f t="shared" si="8"/>
        <v>Jul</v>
      </c>
    </row>
    <row r="68" spans="2:23" ht="18" x14ac:dyDescent="0.35">
      <c r="B68" s="53">
        <v>45849</v>
      </c>
      <c r="C68" s="10" t="s">
        <v>56</v>
      </c>
      <c r="D68" s="10"/>
      <c r="E68" s="3" t="s">
        <v>476</v>
      </c>
      <c r="F68" s="10" t="s">
        <v>0</v>
      </c>
      <c r="G68" s="43" t="s">
        <v>20</v>
      </c>
      <c r="H68" s="45">
        <v>4</v>
      </c>
      <c r="I68" s="43">
        <f>INDEX('حركة المخزن'!O:O,MATCH('تحليل مبيعات'!C68,'حركة المخزن'!B:B,0))</f>
        <v>50</v>
      </c>
      <c r="J68" s="43">
        <f t="shared" si="5"/>
        <v>200</v>
      </c>
      <c r="K68" s="10">
        <v>3800</v>
      </c>
      <c r="L68" s="43">
        <f t="shared" si="6"/>
        <v>15200</v>
      </c>
      <c r="M68" s="43">
        <f t="shared" si="7"/>
        <v>15000</v>
      </c>
      <c r="W68" s="7" t="str">
        <f t="shared" si="8"/>
        <v>Jul</v>
      </c>
    </row>
    <row r="69" spans="2:23" ht="18" x14ac:dyDescent="0.35">
      <c r="B69" s="53">
        <v>45849</v>
      </c>
      <c r="C69" s="10" t="s">
        <v>99</v>
      </c>
      <c r="D69" s="10"/>
      <c r="E69" s="3" t="s">
        <v>520</v>
      </c>
      <c r="F69" s="43" t="s">
        <v>204</v>
      </c>
      <c r="G69" s="43" t="s">
        <v>20</v>
      </c>
      <c r="H69" s="45">
        <v>1</v>
      </c>
      <c r="I69" s="43">
        <f>INDEX('حركة المخزن'!O:O,MATCH('تحليل مبيعات'!C69,'حركة المخزن'!B:B,0))</f>
        <v>135</v>
      </c>
      <c r="J69" s="43">
        <f t="shared" si="5"/>
        <v>135</v>
      </c>
      <c r="K69" s="10">
        <v>820</v>
      </c>
      <c r="L69" s="43">
        <f t="shared" si="6"/>
        <v>820</v>
      </c>
      <c r="M69" s="43">
        <f t="shared" si="7"/>
        <v>685</v>
      </c>
      <c r="W69" s="7" t="str">
        <f t="shared" si="8"/>
        <v>Jul</v>
      </c>
    </row>
    <row r="70" spans="2:23" ht="15.6" x14ac:dyDescent="0.3">
      <c r="B70" s="53">
        <v>45849</v>
      </c>
      <c r="C70" s="10" t="s">
        <v>23</v>
      </c>
      <c r="D70" s="10"/>
      <c r="E70" s="43" t="s">
        <v>518</v>
      </c>
      <c r="F70" s="43" t="s">
        <v>204</v>
      </c>
      <c r="G70" s="43" t="s">
        <v>20</v>
      </c>
      <c r="H70" s="45">
        <v>1</v>
      </c>
      <c r="I70" s="43">
        <f>INDEX('حركة المخزن'!O:O,MATCH('تحليل مبيعات'!C70,'حركة المخزن'!B:B,0))</f>
        <v>80</v>
      </c>
      <c r="J70" s="43">
        <f t="shared" si="5"/>
        <v>80</v>
      </c>
      <c r="K70" s="10">
        <v>230</v>
      </c>
      <c r="L70" s="43">
        <f t="shared" si="6"/>
        <v>230</v>
      </c>
      <c r="M70" s="43">
        <f t="shared" si="7"/>
        <v>150</v>
      </c>
      <c r="W70" s="7" t="str">
        <f t="shared" si="8"/>
        <v>Jul</v>
      </c>
    </row>
    <row r="71" spans="2:23" ht="15.6" x14ac:dyDescent="0.3">
      <c r="B71" s="53">
        <v>45849</v>
      </c>
      <c r="C71" s="10" t="s">
        <v>54</v>
      </c>
      <c r="D71" s="10"/>
      <c r="E71" s="43" t="s">
        <v>518</v>
      </c>
      <c r="F71" s="43" t="s">
        <v>204</v>
      </c>
      <c r="G71" s="43" t="s">
        <v>20</v>
      </c>
      <c r="H71" s="45">
        <v>1</v>
      </c>
      <c r="I71" s="43">
        <f>INDEX('حركة المخزن'!O:O,MATCH('تحليل مبيعات'!C71,'حركة المخزن'!B:B,0))</f>
        <v>140</v>
      </c>
      <c r="J71" s="43">
        <f t="shared" si="5"/>
        <v>140</v>
      </c>
      <c r="K71" s="10">
        <v>150</v>
      </c>
      <c r="L71" s="43">
        <f t="shared" si="6"/>
        <v>150</v>
      </c>
      <c r="M71" s="43">
        <f t="shared" si="7"/>
        <v>10</v>
      </c>
      <c r="W71" s="7" t="str">
        <f t="shared" si="8"/>
        <v>Jul</v>
      </c>
    </row>
    <row r="72" spans="2:23" ht="15.6" x14ac:dyDescent="0.3">
      <c r="B72" s="53">
        <v>45849</v>
      </c>
      <c r="C72" s="10" t="s">
        <v>45</v>
      </c>
      <c r="D72" s="10"/>
      <c r="E72" s="43" t="s">
        <v>518</v>
      </c>
      <c r="F72" s="43" t="s">
        <v>204</v>
      </c>
      <c r="G72" s="43" t="s">
        <v>20</v>
      </c>
      <c r="H72" s="45">
        <v>1</v>
      </c>
      <c r="I72" s="43">
        <f>INDEX('حركة المخزن'!O:O,MATCH('تحليل مبيعات'!C72,'حركة المخزن'!B:B,0))</f>
        <v>115</v>
      </c>
      <c r="J72" s="43">
        <f t="shared" si="5"/>
        <v>115</v>
      </c>
      <c r="K72" s="10">
        <v>750</v>
      </c>
      <c r="L72" s="43">
        <f t="shared" si="6"/>
        <v>750</v>
      </c>
      <c r="M72" s="43">
        <f t="shared" si="7"/>
        <v>635</v>
      </c>
      <c r="W72" s="7" t="str">
        <f t="shared" si="8"/>
        <v>Jul</v>
      </c>
    </row>
    <row r="73" spans="2:23" ht="15.6" x14ac:dyDescent="0.3">
      <c r="B73" s="53">
        <v>45849</v>
      </c>
      <c r="C73" s="10" t="s">
        <v>59</v>
      </c>
      <c r="D73" s="10"/>
      <c r="E73" s="43" t="s">
        <v>518</v>
      </c>
      <c r="F73" s="43" t="s">
        <v>204</v>
      </c>
      <c r="G73" s="43" t="s">
        <v>20</v>
      </c>
      <c r="H73" s="45">
        <v>1</v>
      </c>
      <c r="I73" s="43">
        <f>INDEX('حركة المخزن'!O:O,MATCH('تحليل مبيعات'!C73,'حركة المخزن'!B:B,0))</f>
        <v>145</v>
      </c>
      <c r="J73" s="43">
        <f t="shared" si="5"/>
        <v>145</v>
      </c>
      <c r="K73" s="10">
        <v>150</v>
      </c>
      <c r="L73" s="43">
        <f t="shared" si="6"/>
        <v>150</v>
      </c>
      <c r="M73" s="43">
        <f t="shared" si="7"/>
        <v>5</v>
      </c>
      <c r="W73" s="7" t="str">
        <f t="shared" si="8"/>
        <v>Jul</v>
      </c>
    </row>
    <row r="74" spans="2:23" ht="18" x14ac:dyDescent="0.35">
      <c r="B74" s="53">
        <v>45850</v>
      </c>
      <c r="C74" s="10" t="s">
        <v>47</v>
      </c>
      <c r="D74" s="10"/>
      <c r="E74" s="3" t="s">
        <v>516</v>
      </c>
      <c r="F74" s="43" t="s">
        <v>204</v>
      </c>
      <c r="G74" s="43" t="s">
        <v>20</v>
      </c>
      <c r="H74" s="45">
        <v>4</v>
      </c>
      <c r="I74" s="43">
        <f>INDEX('حركة المخزن'!O:O,MATCH('تحليل مبيعات'!C74,'حركة المخزن'!B:B,0))</f>
        <v>130</v>
      </c>
      <c r="J74" s="43">
        <f t="shared" si="5"/>
        <v>520</v>
      </c>
      <c r="K74" s="10">
        <v>67.5</v>
      </c>
      <c r="L74" s="43">
        <f t="shared" si="6"/>
        <v>270</v>
      </c>
      <c r="M74" s="43">
        <f t="shared" si="7"/>
        <v>-250</v>
      </c>
      <c r="W74" s="7" t="str">
        <f t="shared" si="8"/>
        <v>Jul</v>
      </c>
    </row>
    <row r="75" spans="2:23" ht="18" x14ac:dyDescent="0.35">
      <c r="B75" s="53">
        <v>45850</v>
      </c>
      <c r="C75" s="10" t="s">
        <v>25</v>
      </c>
      <c r="D75" s="10"/>
      <c r="E75" s="3" t="s">
        <v>520</v>
      </c>
      <c r="F75" s="43" t="s">
        <v>204</v>
      </c>
      <c r="G75" s="43" t="s">
        <v>20</v>
      </c>
      <c r="H75" s="45">
        <v>1</v>
      </c>
      <c r="I75" s="43">
        <f>INDEX('حركة المخزن'!O:O,MATCH('تحليل مبيعات'!C75,'حركة المخزن'!B:B,0))</f>
        <v>60</v>
      </c>
      <c r="J75" s="43">
        <f t="shared" ref="J75:J138" si="9">H75*I75</f>
        <v>60</v>
      </c>
      <c r="K75" s="10">
        <v>325</v>
      </c>
      <c r="L75" s="43">
        <f t="shared" ref="L75:L138" si="10">H75*K75</f>
        <v>325</v>
      </c>
      <c r="M75" s="43">
        <f t="shared" ref="M75:M138" si="11">L75-J75</f>
        <v>265</v>
      </c>
      <c r="W75" s="7" t="str">
        <f t="shared" ref="W75:W138" si="12">IF(B75="","",TEXT(B75,"mmm"))</f>
        <v>Jul</v>
      </c>
    </row>
    <row r="76" spans="2:23" ht="18" x14ac:dyDescent="0.35">
      <c r="B76" s="53">
        <v>45850</v>
      </c>
      <c r="C76" s="10" t="s">
        <v>25</v>
      </c>
      <c r="D76" s="10"/>
      <c r="E76" s="3" t="s">
        <v>476</v>
      </c>
      <c r="F76" s="43" t="s">
        <v>204</v>
      </c>
      <c r="G76" s="43" t="s">
        <v>20</v>
      </c>
      <c r="H76" s="45">
        <v>1</v>
      </c>
      <c r="I76" s="43">
        <f>INDEX('حركة المخزن'!O:O,MATCH('تحليل مبيعات'!C76,'حركة المخزن'!B:B,0))</f>
        <v>60</v>
      </c>
      <c r="J76" s="43">
        <f t="shared" si="9"/>
        <v>60</v>
      </c>
      <c r="K76" s="10">
        <v>325</v>
      </c>
      <c r="L76" s="43">
        <f t="shared" si="10"/>
        <v>325</v>
      </c>
      <c r="M76" s="43">
        <f t="shared" si="11"/>
        <v>265</v>
      </c>
      <c r="W76" s="7" t="str">
        <f t="shared" si="12"/>
        <v>Jul</v>
      </c>
    </row>
    <row r="77" spans="2:23" ht="18" x14ac:dyDescent="0.35">
      <c r="B77" s="53">
        <v>45850</v>
      </c>
      <c r="C77" s="10" t="s">
        <v>47</v>
      </c>
      <c r="D77" s="10"/>
      <c r="E77" s="3" t="s">
        <v>520</v>
      </c>
      <c r="F77" s="43" t="s">
        <v>204</v>
      </c>
      <c r="G77" s="43" t="s">
        <v>20</v>
      </c>
      <c r="H77" s="45">
        <v>4</v>
      </c>
      <c r="I77" s="43">
        <f>INDEX('حركة المخزن'!O:O,MATCH('تحليل مبيعات'!C77,'حركة المخزن'!B:B,0))</f>
        <v>130</v>
      </c>
      <c r="J77" s="43">
        <f t="shared" si="9"/>
        <v>520</v>
      </c>
      <c r="K77" s="10">
        <v>67.5</v>
      </c>
      <c r="L77" s="43">
        <f t="shared" si="10"/>
        <v>270</v>
      </c>
      <c r="M77" s="43">
        <f t="shared" si="11"/>
        <v>-250</v>
      </c>
      <c r="W77" s="7" t="str">
        <f t="shared" si="12"/>
        <v>Jul</v>
      </c>
    </row>
    <row r="78" spans="2:23" ht="18" x14ac:dyDescent="0.35">
      <c r="B78" s="53">
        <v>45850</v>
      </c>
      <c r="C78" s="10" t="s">
        <v>60</v>
      </c>
      <c r="D78" s="10"/>
      <c r="E78" s="3" t="s">
        <v>478</v>
      </c>
      <c r="F78" s="10" t="s">
        <v>1</v>
      </c>
      <c r="G78" s="43" t="s">
        <v>20</v>
      </c>
      <c r="H78" s="45">
        <v>1</v>
      </c>
      <c r="I78" s="43">
        <f>INDEX('حركة المخزن'!O:O,MATCH('تحليل مبيعات'!C78,'حركة المخزن'!B:B,0))</f>
        <v>365</v>
      </c>
      <c r="J78" s="43">
        <f t="shared" si="9"/>
        <v>365</v>
      </c>
      <c r="K78" s="10">
        <v>1800</v>
      </c>
      <c r="L78" s="43">
        <f t="shared" si="10"/>
        <v>1800</v>
      </c>
      <c r="M78" s="43">
        <f t="shared" si="11"/>
        <v>1435</v>
      </c>
      <c r="W78" s="7" t="str">
        <f t="shared" si="12"/>
        <v>Jul</v>
      </c>
    </row>
    <row r="79" spans="2:23" ht="18" x14ac:dyDescent="0.35">
      <c r="B79" s="53">
        <v>45850</v>
      </c>
      <c r="C79" s="10" t="s">
        <v>21</v>
      </c>
      <c r="D79" s="10"/>
      <c r="E79" s="3" t="s">
        <v>517</v>
      </c>
      <c r="F79" s="10" t="s">
        <v>1</v>
      </c>
      <c r="G79" s="43" t="s">
        <v>20</v>
      </c>
      <c r="H79" s="45">
        <v>1</v>
      </c>
      <c r="I79" s="43">
        <f>INDEX('حركة المخزن'!O:O,MATCH('تحليل مبيعات'!C79,'حركة المخزن'!B:B,0))</f>
        <v>345</v>
      </c>
      <c r="J79" s="43">
        <f t="shared" si="9"/>
        <v>345</v>
      </c>
      <c r="K79" s="10">
        <v>1700</v>
      </c>
      <c r="L79" s="43">
        <f t="shared" si="10"/>
        <v>1700</v>
      </c>
      <c r="M79" s="43">
        <f t="shared" si="11"/>
        <v>1355</v>
      </c>
      <c r="W79" s="7" t="str">
        <f t="shared" si="12"/>
        <v>Jul</v>
      </c>
    </row>
    <row r="80" spans="2:23" ht="18" x14ac:dyDescent="0.35">
      <c r="B80" s="53">
        <v>45851</v>
      </c>
      <c r="C80" s="10" t="s">
        <v>56</v>
      </c>
      <c r="D80" s="10"/>
      <c r="E80" s="3" t="s">
        <v>520</v>
      </c>
      <c r="F80" s="10" t="s">
        <v>0</v>
      </c>
      <c r="G80" s="43" t="s">
        <v>20</v>
      </c>
      <c r="H80" s="45">
        <v>4</v>
      </c>
      <c r="I80" s="43">
        <f>INDEX('حركة المخزن'!O:O,MATCH('تحليل مبيعات'!C80,'حركة المخزن'!B:B,0))</f>
        <v>50</v>
      </c>
      <c r="J80" s="43">
        <f t="shared" si="9"/>
        <v>200</v>
      </c>
      <c r="K80" s="10">
        <v>3750</v>
      </c>
      <c r="L80" s="43">
        <f t="shared" si="10"/>
        <v>15000</v>
      </c>
      <c r="M80" s="43">
        <f t="shared" si="11"/>
        <v>14800</v>
      </c>
      <c r="W80" s="7" t="str">
        <f t="shared" si="12"/>
        <v>Jul</v>
      </c>
    </row>
    <row r="81" spans="2:23" ht="18" x14ac:dyDescent="0.35">
      <c r="B81" s="53">
        <v>45851</v>
      </c>
      <c r="C81" s="10" t="s">
        <v>62</v>
      </c>
      <c r="D81" s="10"/>
      <c r="E81" s="3" t="s">
        <v>520</v>
      </c>
      <c r="F81" s="10" t="s">
        <v>0</v>
      </c>
      <c r="G81" s="43" t="s">
        <v>20</v>
      </c>
      <c r="H81" s="45">
        <v>4</v>
      </c>
      <c r="I81" s="43">
        <f>INDEX('حركة المخزن'!O:O,MATCH('تحليل مبيعات'!C81,'حركة المخزن'!B:B,0))</f>
        <v>50</v>
      </c>
      <c r="J81" s="43">
        <f t="shared" si="9"/>
        <v>200</v>
      </c>
      <c r="K81" s="10">
        <v>7675</v>
      </c>
      <c r="L81" s="43">
        <f t="shared" si="10"/>
        <v>30700</v>
      </c>
      <c r="M81" s="43">
        <f t="shared" si="11"/>
        <v>30500</v>
      </c>
      <c r="W81" s="7" t="str">
        <f t="shared" si="12"/>
        <v>Jul</v>
      </c>
    </row>
    <row r="82" spans="2:23" ht="15.6" x14ac:dyDescent="0.3">
      <c r="B82" s="53">
        <v>45851</v>
      </c>
      <c r="C82" s="10" t="s">
        <v>63</v>
      </c>
      <c r="D82" s="10"/>
      <c r="E82" s="43" t="s">
        <v>518</v>
      </c>
      <c r="F82" s="43" t="s">
        <v>204</v>
      </c>
      <c r="G82" s="43" t="s">
        <v>20</v>
      </c>
      <c r="H82" s="45">
        <v>1</v>
      </c>
      <c r="I82" s="43">
        <f>INDEX('حركة المخزن'!O:O,MATCH('تحليل مبيعات'!C82,'حركة المخزن'!B:B,0))</f>
        <v>150</v>
      </c>
      <c r="J82" s="43">
        <f t="shared" si="9"/>
        <v>150</v>
      </c>
      <c r="K82" s="10">
        <v>70</v>
      </c>
      <c r="L82" s="43">
        <f t="shared" si="10"/>
        <v>70</v>
      </c>
      <c r="M82" s="43">
        <f t="shared" si="11"/>
        <v>-80</v>
      </c>
      <c r="W82" s="7" t="str">
        <f t="shared" si="12"/>
        <v>Jul</v>
      </c>
    </row>
    <row r="83" spans="2:23" ht="15.6" x14ac:dyDescent="0.3">
      <c r="B83" s="53">
        <v>45851</v>
      </c>
      <c r="C83" s="10" t="s">
        <v>65</v>
      </c>
      <c r="D83" s="10"/>
      <c r="E83" s="43" t="s">
        <v>518</v>
      </c>
      <c r="F83" s="43" t="s">
        <v>204</v>
      </c>
      <c r="G83" s="43" t="s">
        <v>20</v>
      </c>
      <c r="H83" s="45">
        <v>1</v>
      </c>
      <c r="I83" s="43">
        <f>INDEX('حركة المخزن'!O:O,MATCH('تحليل مبيعات'!C83,'حركة المخزن'!B:B,0))</f>
        <v>155</v>
      </c>
      <c r="J83" s="43">
        <f t="shared" si="9"/>
        <v>155</v>
      </c>
      <c r="K83" s="10">
        <v>80</v>
      </c>
      <c r="L83" s="43">
        <f t="shared" si="10"/>
        <v>80</v>
      </c>
      <c r="M83" s="43">
        <f t="shared" si="11"/>
        <v>-75</v>
      </c>
      <c r="W83" s="7" t="str">
        <f t="shared" si="12"/>
        <v>Jul</v>
      </c>
    </row>
    <row r="84" spans="2:23" ht="15.6" x14ac:dyDescent="0.3">
      <c r="B84" s="53">
        <v>45851</v>
      </c>
      <c r="C84" s="10" t="s">
        <v>66</v>
      </c>
      <c r="D84" s="10"/>
      <c r="E84" s="43" t="s">
        <v>518</v>
      </c>
      <c r="F84" s="43" t="s">
        <v>204</v>
      </c>
      <c r="G84" s="43" t="s">
        <v>20</v>
      </c>
      <c r="H84" s="45">
        <v>5</v>
      </c>
      <c r="I84" s="43">
        <f>INDEX('حركة المخزن'!O:O,MATCH('تحليل مبيعات'!C84,'حركة المخزن'!B:B,0))</f>
        <v>160</v>
      </c>
      <c r="J84" s="43">
        <f t="shared" si="9"/>
        <v>800</v>
      </c>
      <c r="K84" s="10">
        <v>40</v>
      </c>
      <c r="L84" s="43">
        <f t="shared" si="10"/>
        <v>200</v>
      </c>
      <c r="M84" s="43">
        <f t="shared" si="11"/>
        <v>-600</v>
      </c>
      <c r="W84" s="7" t="str">
        <f t="shared" si="12"/>
        <v>Jul</v>
      </c>
    </row>
    <row r="85" spans="2:23" ht="15.6" x14ac:dyDescent="0.3">
      <c r="B85" s="53">
        <v>45851</v>
      </c>
      <c r="C85" s="10" t="s">
        <v>23</v>
      </c>
      <c r="D85" s="10"/>
      <c r="E85" s="43" t="s">
        <v>518</v>
      </c>
      <c r="F85" s="43" t="s">
        <v>204</v>
      </c>
      <c r="G85" s="43" t="s">
        <v>20</v>
      </c>
      <c r="H85" s="45">
        <v>1</v>
      </c>
      <c r="I85" s="43">
        <f>INDEX('حركة المخزن'!O:O,MATCH('تحليل مبيعات'!C85,'حركة المخزن'!B:B,0))</f>
        <v>80</v>
      </c>
      <c r="J85" s="43">
        <f t="shared" si="9"/>
        <v>80</v>
      </c>
      <c r="K85" s="10">
        <v>200</v>
      </c>
      <c r="L85" s="43">
        <f t="shared" si="10"/>
        <v>200</v>
      </c>
      <c r="M85" s="43">
        <f t="shared" si="11"/>
        <v>120</v>
      </c>
      <c r="W85" s="7" t="str">
        <f t="shared" si="12"/>
        <v>Jul</v>
      </c>
    </row>
    <row r="86" spans="2:23" ht="15.6" x14ac:dyDescent="0.3">
      <c r="B86" s="53">
        <v>45851</v>
      </c>
      <c r="C86" s="10" t="s">
        <v>64</v>
      </c>
      <c r="D86" s="10"/>
      <c r="E86" s="43" t="s">
        <v>518</v>
      </c>
      <c r="F86" s="43" t="s">
        <v>204</v>
      </c>
      <c r="G86" s="43" t="s">
        <v>20</v>
      </c>
      <c r="H86" s="45">
        <v>1</v>
      </c>
      <c r="I86" s="43">
        <f>INDEX('حركة المخزن'!O:O,MATCH('تحليل مبيعات'!C86,'حركة المخزن'!B:B,0))</f>
        <v>165</v>
      </c>
      <c r="J86" s="43">
        <f t="shared" si="9"/>
        <v>165</v>
      </c>
      <c r="K86" s="10">
        <v>90</v>
      </c>
      <c r="L86" s="43">
        <f t="shared" si="10"/>
        <v>90</v>
      </c>
      <c r="M86" s="43">
        <f t="shared" si="11"/>
        <v>-75</v>
      </c>
      <c r="W86" s="7" t="str">
        <f t="shared" si="12"/>
        <v>Jul</v>
      </c>
    </row>
    <row r="87" spans="2:23" ht="15.6" x14ac:dyDescent="0.3">
      <c r="B87" s="53">
        <v>45851</v>
      </c>
      <c r="C87" s="10" t="s">
        <v>66</v>
      </c>
      <c r="D87" s="10"/>
      <c r="E87" s="43" t="s">
        <v>518</v>
      </c>
      <c r="F87" s="43" t="s">
        <v>204</v>
      </c>
      <c r="G87" s="43" t="s">
        <v>20</v>
      </c>
      <c r="H87" s="45">
        <v>20</v>
      </c>
      <c r="I87" s="43">
        <f>INDEX('حركة المخزن'!O:O,MATCH('تحليل مبيعات'!C87,'حركة المخزن'!B:B,0))</f>
        <v>160</v>
      </c>
      <c r="J87" s="43">
        <f t="shared" si="9"/>
        <v>3200</v>
      </c>
      <c r="K87" s="10">
        <v>30</v>
      </c>
      <c r="L87" s="43">
        <f t="shared" si="10"/>
        <v>600</v>
      </c>
      <c r="M87" s="43">
        <f t="shared" si="11"/>
        <v>-2600</v>
      </c>
      <c r="W87" s="7" t="str">
        <f t="shared" si="12"/>
        <v>Jul</v>
      </c>
    </row>
    <row r="88" spans="2:23" ht="15.6" x14ac:dyDescent="0.3">
      <c r="B88" s="53">
        <v>45851</v>
      </c>
      <c r="C88" s="10" t="s">
        <v>43</v>
      </c>
      <c r="D88" s="10"/>
      <c r="E88" s="43" t="s">
        <v>518</v>
      </c>
      <c r="F88" s="43" t="s">
        <v>204</v>
      </c>
      <c r="G88" s="43" t="s">
        <v>20</v>
      </c>
      <c r="H88" s="45">
        <v>1</v>
      </c>
      <c r="I88" s="43">
        <f>INDEX('حركة المخزن'!O:O,MATCH('تحليل مبيعات'!C88,'حركة المخزن'!B:B,0))</f>
        <v>110</v>
      </c>
      <c r="J88" s="43">
        <f t="shared" si="9"/>
        <v>110</v>
      </c>
      <c r="K88" s="10">
        <v>200</v>
      </c>
      <c r="L88" s="43">
        <f t="shared" si="10"/>
        <v>200</v>
      </c>
      <c r="M88" s="43">
        <f t="shared" si="11"/>
        <v>90</v>
      </c>
      <c r="W88" s="7" t="str">
        <f t="shared" si="12"/>
        <v>Jul</v>
      </c>
    </row>
    <row r="89" spans="2:23" ht="18" x14ac:dyDescent="0.35">
      <c r="B89" s="53">
        <v>45851</v>
      </c>
      <c r="C89" s="10" t="s">
        <v>67</v>
      </c>
      <c r="D89" s="10"/>
      <c r="E89" s="3" t="s">
        <v>517</v>
      </c>
      <c r="F89" s="43" t="s">
        <v>204</v>
      </c>
      <c r="G89" s="43" t="s">
        <v>20</v>
      </c>
      <c r="H89" s="45">
        <v>1</v>
      </c>
      <c r="I89" s="43">
        <f>INDEX('حركة المخزن'!O:O,MATCH('تحليل مبيعات'!C89,'حركة المخزن'!B:B,0))</f>
        <v>170</v>
      </c>
      <c r="J89" s="43">
        <f t="shared" si="9"/>
        <v>170</v>
      </c>
      <c r="K89" s="10">
        <v>700</v>
      </c>
      <c r="L89" s="43">
        <f t="shared" si="10"/>
        <v>700</v>
      </c>
      <c r="M89" s="43">
        <f t="shared" si="11"/>
        <v>530</v>
      </c>
      <c r="W89" s="7" t="str">
        <f t="shared" si="12"/>
        <v>Jul</v>
      </c>
    </row>
    <row r="90" spans="2:23" ht="18" x14ac:dyDescent="0.35">
      <c r="B90" s="53">
        <v>45851</v>
      </c>
      <c r="C90" s="10" t="s">
        <v>68</v>
      </c>
      <c r="D90" s="10"/>
      <c r="E90" s="3" t="s">
        <v>517</v>
      </c>
      <c r="F90" s="43" t="s">
        <v>204</v>
      </c>
      <c r="G90" s="43" t="s">
        <v>20</v>
      </c>
      <c r="H90" s="45">
        <v>1</v>
      </c>
      <c r="I90" s="43">
        <f>INDEX('حركة المخزن'!O:O,MATCH('تحليل مبيعات'!C90,'حركة المخزن'!B:B,0))</f>
        <v>175</v>
      </c>
      <c r="J90" s="43">
        <f t="shared" si="9"/>
        <v>175</v>
      </c>
      <c r="K90" s="10">
        <v>85</v>
      </c>
      <c r="L90" s="43">
        <f t="shared" si="10"/>
        <v>85</v>
      </c>
      <c r="M90" s="43">
        <f t="shared" si="11"/>
        <v>-90</v>
      </c>
      <c r="W90" s="7" t="str">
        <f t="shared" si="12"/>
        <v>Jul</v>
      </c>
    </row>
    <row r="91" spans="2:23" ht="15.6" x14ac:dyDescent="0.3">
      <c r="B91" s="53">
        <v>45852</v>
      </c>
      <c r="C91" s="10" t="s">
        <v>76</v>
      </c>
      <c r="D91" s="10"/>
      <c r="E91" s="43" t="s">
        <v>518</v>
      </c>
      <c r="F91" s="10" t="s">
        <v>1</v>
      </c>
      <c r="G91" s="43" t="s">
        <v>20</v>
      </c>
      <c r="H91" s="45">
        <v>1</v>
      </c>
      <c r="I91" s="43">
        <f>INDEX('حركة المخزن'!O:O,MATCH('تحليل مبيعات'!C91,'حركة المخزن'!B:B,0))</f>
        <v>370</v>
      </c>
      <c r="J91" s="43">
        <f t="shared" si="9"/>
        <v>370</v>
      </c>
      <c r="K91" s="10">
        <v>1700</v>
      </c>
      <c r="L91" s="43">
        <f t="shared" si="10"/>
        <v>1700</v>
      </c>
      <c r="M91" s="43">
        <f t="shared" si="11"/>
        <v>1330</v>
      </c>
      <c r="W91" s="7" t="str">
        <f t="shared" si="12"/>
        <v>Jul</v>
      </c>
    </row>
    <row r="92" spans="2:23" ht="15.6" x14ac:dyDescent="0.3">
      <c r="B92" s="53">
        <v>45852</v>
      </c>
      <c r="C92" s="10" t="s">
        <v>76</v>
      </c>
      <c r="D92" s="10"/>
      <c r="E92" s="43" t="s">
        <v>518</v>
      </c>
      <c r="F92" s="10" t="s">
        <v>1</v>
      </c>
      <c r="G92" s="43" t="s">
        <v>20</v>
      </c>
      <c r="H92" s="45">
        <v>1</v>
      </c>
      <c r="I92" s="43">
        <f>INDEX('حركة المخزن'!O:O,MATCH('تحليل مبيعات'!C92,'حركة المخزن'!B:B,0))</f>
        <v>370</v>
      </c>
      <c r="J92" s="43">
        <f t="shared" si="9"/>
        <v>370</v>
      </c>
      <c r="K92" s="10">
        <v>1700</v>
      </c>
      <c r="L92" s="43">
        <f t="shared" si="10"/>
        <v>1700</v>
      </c>
      <c r="M92" s="43">
        <f t="shared" si="11"/>
        <v>1330</v>
      </c>
      <c r="W92" s="7" t="str">
        <f t="shared" si="12"/>
        <v>Jul</v>
      </c>
    </row>
    <row r="93" spans="2:23" ht="18" x14ac:dyDescent="0.35">
      <c r="B93" s="53">
        <v>45852</v>
      </c>
      <c r="C93" s="10" t="s">
        <v>49</v>
      </c>
      <c r="D93" s="10"/>
      <c r="E93" s="3" t="s">
        <v>520</v>
      </c>
      <c r="F93" s="10" t="s">
        <v>1</v>
      </c>
      <c r="G93" s="43" t="s">
        <v>20</v>
      </c>
      <c r="H93" s="45">
        <v>1</v>
      </c>
      <c r="I93" s="43">
        <f>INDEX('حركة المخزن'!O:O,MATCH('تحليل مبيعات'!C93,'حركة المخزن'!B:B,0))</f>
        <v>350</v>
      </c>
      <c r="J93" s="43">
        <f t="shared" si="9"/>
        <v>350</v>
      </c>
      <c r="K93" s="10">
        <v>3250</v>
      </c>
      <c r="L93" s="43">
        <f t="shared" si="10"/>
        <v>3250</v>
      </c>
      <c r="M93" s="43">
        <f t="shared" si="11"/>
        <v>2900</v>
      </c>
      <c r="W93" s="7" t="str">
        <f t="shared" si="12"/>
        <v>Jul</v>
      </c>
    </row>
    <row r="94" spans="2:23" ht="15.6" x14ac:dyDescent="0.3">
      <c r="B94" s="53">
        <v>45852</v>
      </c>
      <c r="C94" s="10" t="s">
        <v>77</v>
      </c>
      <c r="D94" s="10"/>
      <c r="E94" s="43" t="s">
        <v>518</v>
      </c>
      <c r="F94" s="43" t="s">
        <v>204</v>
      </c>
      <c r="G94" s="43" t="s">
        <v>20</v>
      </c>
      <c r="H94" s="45">
        <v>1</v>
      </c>
      <c r="I94" s="43">
        <f>INDEX('حركة المخزن'!O:O,MATCH('تحليل مبيعات'!C94,'حركة المخزن'!B:B,0))</f>
        <v>180</v>
      </c>
      <c r="J94" s="43">
        <f t="shared" si="9"/>
        <v>180</v>
      </c>
      <c r="K94" s="10">
        <v>70</v>
      </c>
      <c r="L94" s="43">
        <f t="shared" si="10"/>
        <v>70</v>
      </c>
      <c r="M94" s="43">
        <f t="shared" si="11"/>
        <v>-110</v>
      </c>
      <c r="W94" s="7" t="str">
        <f t="shared" si="12"/>
        <v>Jul</v>
      </c>
    </row>
    <row r="95" spans="2:23" ht="15.6" x14ac:dyDescent="0.3">
      <c r="B95" s="53">
        <v>45852</v>
      </c>
      <c r="C95" s="10" t="s">
        <v>69</v>
      </c>
      <c r="D95" s="10"/>
      <c r="E95" s="43" t="s">
        <v>518</v>
      </c>
      <c r="F95" s="43" t="s">
        <v>204</v>
      </c>
      <c r="G95" s="43" t="s">
        <v>20</v>
      </c>
      <c r="H95" s="45">
        <v>1</v>
      </c>
      <c r="I95" s="43">
        <f>INDEX('حركة المخزن'!O:O,MATCH('تحليل مبيعات'!C95,'حركة المخزن'!B:B,0))</f>
        <v>185</v>
      </c>
      <c r="J95" s="43">
        <f t="shared" si="9"/>
        <v>185</v>
      </c>
      <c r="K95" s="10">
        <v>350</v>
      </c>
      <c r="L95" s="43">
        <f t="shared" si="10"/>
        <v>350</v>
      </c>
      <c r="M95" s="43">
        <f t="shared" si="11"/>
        <v>165</v>
      </c>
      <c r="W95" s="7" t="str">
        <f t="shared" si="12"/>
        <v>Jul</v>
      </c>
    </row>
    <row r="96" spans="2:23" ht="15.6" x14ac:dyDescent="0.3">
      <c r="B96" s="53">
        <v>45852</v>
      </c>
      <c r="C96" s="10" t="s">
        <v>70</v>
      </c>
      <c r="D96" s="10"/>
      <c r="E96" s="43" t="s">
        <v>518</v>
      </c>
      <c r="F96" s="43" t="s">
        <v>204</v>
      </c>
      <c r="G96" s="43" t="s">
        <v>20</v>
      </c>
      <c r="H96" s="45">
        <v>1</v>
      </c>
      <c r="I96" s="43">
        <f>INDEX('حركة المخزن'!O:O,MATCH('تحليل مبيعات'!C96,'حركة المخزن'!B:B,0))</f>
        <v>190</v>
      </c>
      <c r="J96" s="43">
        <f t="shared" si="9"/>
        <v>190</v>
      </c>
      <c r="K96" s="10">
        <v>250</v>
      </c>
      <c r="L96" s="43">
        <f t="shared" si="10"/>
        <v>250</v>
      </c>
      <c r="M96" s="43">
        <f t="shared" si="11"/>
        <v>60</v>
      </c>
      <c r="W96" s="7" t="str">
        <f t="shared" si="12"/>
        <v>Jul</v>
      </c>
    </row>
    <row r="97" spans="2:23" ht="15.6" x14ac:dyDescent="0.3">
      <c r="B97" s="53">
        <v>45852</v>
      </c>
      <c r="C97" s="10" t="s">
        <v>71</v>
      </c>
      <c r="D97" s="10"/>
      <c r="E97" s="43" t="s">
        <v>518</v>
      </c>
      <c r="F97" s="43" t="s">
        <v>204</v>
      </c>
      <c r="G97" s="43" t="s">
        <v>20</v>
      </c>
      <c r="H97" s="45">
        <v>1</v>
      </c>
      <c r="I97" s="43">
        <f>INDEX('حركة المخزن'!O:O,MATCH('تحليل مبيعات'!C97,'حركة المخزن'!B:B,0))</f>
        <v>195</v>
      </c>
      <c r="J97" s="43">
        <f t="shared" si="9"/>
        <v>195</v>
      </c>
      <c r="K97" s="10">
        <v>150</v>
      </c>
      <c r="L97" s="43">
        <f t="shared" si="10"/>
        <v>150</v>
      </c>
      <c r="M97" s="43">
        <f t="shared" si="11"/>
        <v>-45</v>
      </c>
      <c r="W97" s="7" t="str">
        <f t="shared" si="12"/>
        <v>Jul</v>
      </c>
    </row>
    <row r="98" spans="2:23" ht="18" x14ac:dyDescent="0.35">
      <c r="B98" s="53">
        <v>45853</v>
      </c>
      <c r="C98" s="10" t="s">
        <v>59</v>
      </c>
      <c r="D98" s="10"/>
      <c r="E98" s="3" t="s">
        <v>520</v>
      </c>
      <c r="F98" s="43" t="s">
        <v>204</v>
      </c>
      <c r="G98" s="43" t="s">
        <v>20</v>
      </c>
      <c r="H98" s="45">
        <v>1</v>
      </c>
      <c r="I98" s="43">
        <f>INDEX('حركة المخزن'!O:O,MATCH('تحليل مبيعات'!C98,'حركة المخزن'!B:B,0))</f>
        <v>145</v>
      </c>
      <c r="J98" s="43">
        <f t="shared" si="9"/>
        <v>145</v>
      </c>
      <c r="K98" s="10">
        <v>150</v>
      </c>
      <c r="L98" s="43">
        <f t="shared" si="10"/>
        <v>150</v>
      </c>
      <c r="M98" s="43">
        <f t="shared" si="11"/>
        <v>5</v>
      </c>
      <c r="W98" s="7" t="str">
        <f t="shared" si="12"/>
        <v>Jul</v>
      </c>
    </row>
    <row r="99" spans="2:23" ht="15.6" x14ac:dyDescent="0.3">
      <c r="B99" s="53">
        <v>45853</v>
      </c>
      <c r="C99" s="10" t="s">
        <v>75</v>
      </c>
      <c r="D99" s="10"/>
      <c r="E99" s="43" t="s">
        <v>518</v>
      </c>
      <c r="F99" s="43" t="s">
        <v>204</v>
      </c>
      <c r="G99" s="43" t="s">
        <v>20</v>
      </c>
      <c r="H99" s="45">
        <v>1</v>
      </c>
      <c r="I99" s="43">
        <f>INDEX('حركة المخزن'!O:O,MATCH('تحليل مبيعات'!C99,'حركة المخزن'!B:B,0))</f>
        <v>200</v>
      </c>
      <c r="J99" s="43">
        <f t="shared" si="9"/>
        <v>200</v>
      </c>
      <c r="K99" s="10">
        <v>30</v>
      </c>
      <c r="L99" s="43">
        <f t="shared" si="10"/>
        <v>30</v>
      </c>
      <c r="M99" s="43">
        <f t="shared" si="11"/>
        <v>-170</v>
      </c>
      <c r="W99" s="7" t="str">
        <f t="shared" si="12"/>
        <v>Jul</v>
      </c>
    </row>
    <row r="100" spans="2:23" ht="15.6" x14ac:dyDescent="0.3">
      <c r="B100" s="53">
        <v>45853</v>
      </c>
      <c r="C100" s="10" t="s">
        <v>77</v>
      </c>
      <c r="D100" s="10"/>
      <c r="E100" s="43" t="s">
        <v>518</v>
      </c>
      <c r="F100" s="43" t="s">
        <v>204</v>
      </c>
      <c r="G100" s="43" t="s">
        <v>20</v>
      </c>
      <c r="H100" s="45">
        <v>1</v>
      </c>
      <c r="I100" s="43">
        <f>INDEX('حركة المخزن'!O:O,MATCH('تحليل مبيعات'!C100,'حركة المخزن'!B:B,0))</f>
        <v>180</v>
      </c>
      <c r="J100" s="43">
        <f t="shared" si="9"/>
        <v>180</v>
      </c>
      <c r="K100" s="10">
        <v>70</v>
      </c>
      <c r="L100" s="43">
        <f t="shared" si="10"/>
        <v>70</v>
      </c>
      <c r="M100" s="43">
        <f t="shared" si="11"/>
        <v>-110</v>
      </c>
      <c r="W100" s="7" t="str">
        <f t="shared" si="12"/>
        <v>Jul</v>
      </c>
    </row>
    <row r="101" spans="2:23" ht="18" x14ac:dyDescent="0.35">
      <c r="B101" s="53">
        <v>45853</v>
      </c>
      <c r="C101" s="10" t="s">
        <v>119</v>
      </c>
      <c r="D101" s="10"/>
      <c r="E101" s="3" t="s">
        <v>478</v>
      </c>
      <c r="F101" s="43" t="s">
        <v>204</v>
      </c>
      <c r="G101" s="43" t="s">
        <v>20</v>
      </c>
      <c r="H101" s="45">
        <v>1</v>
      </c>
      <c r="I101" s="43">
        <f>INDEX('حركة المخزن'!O:O,MATCH('تحليل مبيعات'!C101,'حركة المخزن'!B:B,0))</f>
        <v>251</v>
      </c>
      <c r="J101" s="43">
        <f t="shared" si="9"/>
        <v>251</v>
      </c>
      <c r="K101" s="10">
        <v>260</v>
      </c>
      <c r="L101" s="43">
        <f t="shared" si="10"/>
        <v>260</v>
      </c>
      <c r="M101" s="43">
        <f t="shared" si="11"/>
        <v>9</v>
      </c>
      <c r="W101" s="7" t="str">
        <f t="shared" si="12"/>
        <v>Jul</v>
      </c>
    </row>
    <row r="102" spans="2:23" ht="18" x14ac:dyDescent="0.35">
      <c r="B102" s="53">
        <v>45853</v>
      </c>
      <c r="C102" s="10" t="s">
        <v>25</v>
      </c>
      <c r="D102" s="10"/>
      <c r="E102" s="3" t="s">
        <v>520</v>
      </c>
      <c r="F102" s="43" t="s">
        <v>204</v>
      </c>
      <c r="G102" s="43" t="s">
        <v>20</v>
      </c>
      <c r="H102" s="45">
        <v>1</v>
      </c>
      <c r="I102" s="43">
        <f>INDEX('حركة المخزن'!O:O,MATCH('تحليل مبيعات'!C102,'حركة المخزن'!B:B,0))</f>
        <v>60</v>
      </c>
      <c r="J102" s="43">
        <f t="shared" si="9"/>
        <v>60</v>
      </c>
      <c r="K102" s="10">
        <v>350</v>
      </c>
      <c r="L102" s="43">
        <f t="shared" si="10"/>
        <v>350</v>
      </c>
      <c r="M102" s="43">
        <f t="shared" si="11"/>
        <v>290</v>
      </c>
      <c r="W102" s="7" t="str">
        <f t="shared" si="12"/>
        <v>Jul</v>
      </c>
    </row>
    <row r="103" spans="2:23" ht="18" x14ac:dyDescent="0.35">
      <c r="B103" s="53">
        <v>45853</v>
      </c>
      <c r="C103" s="10" t="s">
        <v>35</v>
      </c>
      <c r="D103" s="10"/>
      <c r="E103" s="3" t="s">
        <v>520</v>
      </c>
      <c r="F103" s="43" t="s">
        <v>204</v>
      </c>
      <c r="G103" s="43" t="s">
        <v>20</v>
      </c>
      <c r="H103" s="45">
        <v>1</v>
      </c>
      <c r="I103" s="43">
        <f>INDEX('حركة المخزن'!O:O,MATCH('تحليل مبيعات'!C103,'حركة المخزن'!B:B,0))</f>
        <v>70</v>
      </c>
      <c r="J103" s="43">
        <f t="shared" si="9"/>
        <v>70</v>
      </c>
      <c r="K103" s="10">
        <v>230</v>
      </c>
      <c r="L103" s="43">
        <f t="shared" si="10"/>
        <v>230</v>
      </c>
      <c r="M103" s="43">
        <f t="shared" si="11"/>
        <v>160</v>
      </c>
      <c r="W103" s="7" t="str">
        <f t="shared" si="12"/>
        <v>Jul</v>
      </c>
    </row>
    <row r="104" spans="2:23" ht="15.6" x14ac:dyDescent="0.3">
      <c r="B104" s="53">
        <v>45853</v>
      </c>
      <c r="C104" s="10" t="s">
        <v>78</v>
      </c>
      <c r="D104" s="10"/>
      <c r="E104" s="43" t="s">
        <v>518</v>
      </c>
      <c r="F104" s="43" t="s">
        <v>204</v>
      </c>
      <c r="G104" s="43" t="s">
        <v>20</v>
      </c>
      <c r="H104" s="45">
        <v>1</v>
      </c>
      <c r="I104" s="43">
        <f>INDEX('حركة المخزن'!O:O,MATCH('تحليل مبيعات'!C104,'حركة المخزن'!B:B,0))</f>
        <v>55</v>
      </c>
      <c r="J104" s="43">
        <f t="shared" si="9"/>
        <v>55</v>
      </c>
      <c r="K104" s="10">
        <v>200</v>
      </c>
      <c r="L104" s="43">
        <f t="shared" si="10"/>
        <v>200</v>
      </c>
      <c r="M104" s="43">
        <f t="shared" si="11"/>
        <v>145</v>
      </c>
      <c r="W104" s="7" t="str">
        <f t="shared" si="12"/>
        <v>Jul</v>
      </c>
    </row>
    <row r="105" spans="2:23" ht="18" x14ac:dyDescent="0.35">
      <c r="B105" s="53">
        <v>45853</v>
      </c>
      <c r="C105" s="10" t="s">
        <v>66</v>
      </c>
      <c r="D105" s="10"/>
      <c r="E105" s="3" t="s">
        <v>476</v>
      </c>
      <c r="F105" s="43" t="s">
        <v>204</v>
      </c>
      <c r="G105" s="43" t="s">
        <v>20</v>
      </c>
      <c r="H105" s="45">
        <v>20</v>
      </c>
      <c r="I105" s="43">
        <f>INDEX('حركة المخزن'!O:O,MATCH('تحليل مبيعات'!C105,'حركة المخزن'!B:B,0))</f>
        <v>160</v>
      </c>
      <c r="J105" s="43">
        <f t="shared" si="9"/>
        <v>3200</v>
      </c>
      <c r="K105" s="10">
        <v>35</v>
      </c>
      <c r="L105" s="43">
        <f t="shared" si="10"/>
        <v>700</v>
      </c>
      <c r="M105" s="43">
        <f t="shared" si="11"/>
        <v>-2500</v>
      </c>
      <c r="W105" s="7" t="str">
        <f t="shared" si="12"/>
        <v>Jul</v>
      </c>
    </row>
    <row r="106" spans="2:23" ht="18" x14ac:dyDescent="0.35">
      <c r="B106" s="53">
        <v>45853</v>
      </c>
      <c r="C106" s="10" t="s">
        <v>29</v>
      </c>
      <c r="D106" s="10"/>
      <c r="E106" s="3" t="s">
        <v>516</v>
      </c>
      <c r="F106" s="43" t="s">
        <v>204</v>
      </c>
      <c r="G106" s="43" t="s">
        <v>20</v>
      </c>
      <c r="H106" s="45">
        <v>1</v>
      </c>
      <c r="I106" s="43">
        <f>INDEX('حركة المخزن'!O:O,MATCH('تحليل مبيعات'!C106,'حركة المخزن'!B:B,0))</f>
        <v>100</v>
      </c>
      <c r="J106" s="43">
        <f t="shared" si="9"/>
        <v>100</v>
      </c>
      <c r="K106" s="10">
        <v>0</v>
      </c>
      <c r="L106" s="47">
        <f t="shared" si="10"/>
        <v>0</v>
      </c>
      <c r="M106" s="47">
        <f t="shared" si="11"/>
        <v>-100</v>
      </c>
      <c r="W106" s="7" t="str">
        <f t="shared" si="12"/>
        <v>Jul</v>
      </c>
    </row>
    <row r="107" spans="2:23" ht="18" x14ac:dyDescent="0.35">
      <c r="B107" s="53">
        <v>45853</v>
      </c>
      <c r="C107" s="10" t="s">
        <v>79</v>
      </c>
      <c r="D107" s="10"/>
      <c r="E107" s="3" t="s">
        <v>516</v>
      </c>
      <c r="F107" s="43" t="s">
        <v>204</v>
      </c>
      <c r="G107" s="43" t="s">
        <v>20</v>
      </c>
      <c r="H107" s="45">
        <v>1</v>
      </c>
      <c r="I107" s="43">
        <f>INDEX('حركة المخزن'!O:O,MATCH('تحليل مبيعات'!C107,'حركة المخزن'!B:B,0))</f>
        <v>50</v>
      </c>
      <c r="J107" s="43">
        <f t="shared" si="9"/>
        <v>50</v>
      </c>
      <c r="K107" s="10">
        <v>1200</v>
      </c>
      <c r="L107" s="43">
        <f t="shared" si="10"/>
        <v>1200</v>
      </c>
      <c r="M107" s="43">
        <f t="shared" si="11"/>
        <v>1150</v>
      </c>
      <c r="W107" s="7" t="str">
        <f t="shared" si="12"/>
        <v>Jul</v>
      </c>
    </row>
    <row r="108" spans="2:23" ht="18" x14ac:dyDescent="0.35">
      <c r="B108" s="53">
        <v>45853</v>
      </c>
      <c r="C108" s="10" t="s">
        <v>77</v>
      </c>
      <c r="D108" s="10"/>
      <c r="E108" s="3" t="s">
        <v>478</v>
      </c>
      <c r="F108" s="43" t="s">
        <v>204</v>
      </c>
      <c r="G108" s="43" t="s">
        <v>20</v>
      </c>
      <c r="H108" s="45">
        <v>1</v>
      </c>
      <c r="I108" s="43">
        <f>INDEX('حركة المخزن'!O:O,MATCH('تحليل مبيعات'!C108,'حركة المخزن'!B:B,0))</f>
        <v>180</v>
      </c>
      <c r="J108" s="43">
        <f t="shared" si="9"/>
        <v>180</v>
      </c>
      <c r="K108" s="10">
        <v>0</v>
      </c>
      <c r="L108" s="47">
        <f t="shared" si="10"/>
        <v>0</v>
      </c>
      <c r="M108" s="47">
        <f t="shared" si="11"/>
        <v>-180</v>
      </c>
      <c r="W108" s="7" t="str">
        <f t="shared" si="12"/>
        <v>Jul</v>
      </c>
    </row>
    <row r="109" spans="2:23" ht="15.6" x14ac:dyDescent="0.3">
      <c r="B109" s="53">
        <v>45853</v>
      </c>
      <c r="C109" s="10" t="s">
        <v>35</v>
      </c>
      <c r="D109" s="10"/>
      <c r="E109" s="43" t="s">
        <v>518</v>
      </c>
      <c r="F109" s="43" t="s">
        <v>204</v>
      </c>
      <c r="G109" s="43" t="s">
        <v>20</v>
      </c>
      <c r="H109" s="45">
        <v>1</v>
      </c>
      <c r="I109" s="43">
        <f>INDEX('حركة المخزن'!O:O,MATCH('تحليل مبيعات'!C109,'حركة المخزن'!B:B,0))</f>
        <v>70</v>
      </c>
      <c r="J109" s="43">
        <f t="shared" si="9"/>
        <v>70</v>
      </c>
      <c r="K109" s="10">
        <v>230</v>
      </c>
      <c r="L109" s="43">
        <f t="shared" si="10"/>
        <v>230</v>
      </c>
      <c r="M109" s="43">
        <f t="shared" si="11"/>
        <v>160</v>
      </c>
      <c r="W109" s="7" t="str">
        <f t="shared" si="12"/>
        <v>Jul</v>
      </c>
    </row>
    <row r="110" spans="2:23" ht="15.6" x14ac:dyDescent="0.3">
      <c r="B110" s="53">
        <v>45853</v>
      </c>
      <c r="C110" s="10" t="s">
        <v>25</v>
      </c>
      <c r="D110" s="10"/>
      <c r="E110" s="43" t="s">
        <v>518</v>
      </c>
      <c r="F110" s="43" t="s">
        <v>204</v>
      </c>
      <c r="G110" s="43" t="s">
        <v>20</v>
      </c>
      <c r="H110" s="45">
        <v>1</v>
      </c>
      <c r="I110" s="43">
        <f>INDEX('حركة المخزن'!O:O,MATCH('تحليل مبيعات'!C110,'حركة المخزن'!B:B,0))</f>
        <v>60</v>
      </c>
      <c r="J110" s="43">
        <f t="shared" si="9"/>
        <v>60</v>
      </c>
      <c r="K110" s="10">
        <v>350</v>
      </c>
      <c r="L110" s="43">
        <f t="shared" si="10"/>
        <v>350</v>
      </c>
      <c r="M110" s="43">
        <f t="shared" si="11"/>
        <v>290</v>
      </c>
      <c r="W110" s="7" t="str">
        <f t="shared" si="12"/>
        <v>Jul</v>
      </c>
    </row>
    <row r="111" spans="2:23" ht="15.6" x14ac:dyDescent="0.3">
      <c r="B111" s="53">
        <v>45853</v>
      </c>
      <c r="C111" s="10" t="s">
        <v>47</v>
      </c>
      <c r="D111" s="10"/>
      <c r="E111" s="43" t="s">
        <v>518</v>
      </c>
      <c r="F111" s="43" t="s">
        <v>204</v>
      </c>
      <c r="G111" s="43" t="s">
        <v>20</v>
      </c>
      <c r="H111" s="45">
        <v>4</v>
      </c>
      <c r="I111" s="43">
        <f>INDEX('حركة المخزن'!O:O,MATCH('تحليل مبيعات'!C111,'حركة المخزن'!B:B,0))</f>
        <v>130</v>
      </c>
      <c r="J111" s="43">
        <f t="shared" si="9"/>
        <v>520</v>
      </c>
      <c r="K111" s="10">
        <v>67.5</v>
      </c>
      <c r="L111" s="43">
        <f t="shared" si="10"/>
        <v>270</v>
      </c>
      <c r="M111" s="43">
        <f t="shared" si="11"/>
        <v>-250</v>
      </c>
      <c r="W111" s="7" t="str">
        <f t="shared" si="12"/>
        <v>Jul</v>
      </c>
    </row>
    <row r="112" spans="2:23" ht="15.6" x14ac:dyDescent="0.3">
      <c r="B112" s="53">
        <v>45854</v>
      </c>
      <c r="C112" s="10" t="s">
        <v>84</v>
      </c>
      <c r="D112" s="10"/>
      <c r="E112" s="43" t="s">
        <v>518</v>
      </c>
      <c r="F112" s="10" t="s">
        <v>0</v>
      </c>
      <c r="G112" s="43" t="s">
        <v>20</v>
      </c>
      <c r="H112" s="45">
        <v>4</v>
      </c>
      <c r="I112" s="43">
        <f>INDEX('حركة المخزن'!O:O,MATCH('تحليل مبيعات'!C112,'حركة المخزن'!B:B,0))</f>
        <v>40</v>
      </c>
      <c r="J112" s="43">
        <f t="shared" si="9"/>
        <v>160</v>
      </c>
      <c r="K112" s="10">
        <v>3875</v>
      </c>
      <c r="L112" s="43">
        <f t="shared" si="10"/>
        <v>15500</v>
      </c>
      <c r="M112" s="43">
        <f t="shared" si="11"/>
        <v>15340</v>
      </c>
      <c r="W112" s="7" t="str">
        <f t="shared" si="12"/>
        <v>Jul</v>
      </c>
    </row>
    <row r="113" spans="2:23" ht="18" x14ac:dyDescent="0.35">
      <c r="B113" s="53">
        <v>45854</v>
      </c>
      <c r="C113" s="10" t="s">
        <v>85</v>
      </c>
      <c r="D113" s="10"/>
      <c r="E113" s="3" t="s">
        <v>520</v>
      </c>
      <c r="F113" s="43" t="s">
        <v>204</v>
      </c>
      <c r="G113" s="43" t="s">
        <v>20</v>
      </c>
      <c r="H113" s="45">
        <v>1</v>
      </c>
      <c r="I113" s="43">
        <f>INDEX('حركة المخزن'!O:O,MATCH('تحليل مبيعات'!C113,'حركة المخزن'!B:B,0))</f>
        <v>5</v>
      </c>
      <c r="J113" s="43">
        <f t="shared" si="9"/>
        <v>5</v>
      </c>
      <c r="K113" s="10">
        <v>2450</v>
      </c>
      <c r="L113" s="43">
        <f t="shared" si="10"/>
        <v>2450</v>
      </c>
      <c r="M113" s="43">
        <f t="shared" si="11"/>
        <v>2445</v>
      </c>
      <c r="W113" s="7" t="str">
        <f t="shared" si="12"/>
        <v>Jul</v>
      </c>
    </row>
    <row r="114" spans="2:23" ht="18" x14ac:dyDescent="0.35">
      <c r="B114" s="53">
        <v>45854</v>
      </c>
      <c r="C114" s="10" t="s">
        <v>91</v>
      </c>
      <c r="D114" s="10"/>
      <c r="E114" s="3" t="s">
        <v>476</v>
      </c>
      <c r="F114" s="43" t="s">
        <v>204</v>
      </c>
      <c r="G114" s="43" t="s">
        <v>20</v>
      </c>
      <c r="H114" s="45"/>
      <c r="I114" s="43">
        <f>INDEX('حركة المخزن'!O:O,MATCH('تحليل مبيعات'!C114,'حركة المخزن'!B:B,0))</f>
        <v>195</v>
      </c>
      <c r="J114" s="43">
        <f t="shared" si="9"/>
        <v>0</v>
      </c>
      <c r="K114" s="10">
        <v>0</v>
      </c>
      <c r="L114" s="47">
        <f t="shared" si="10"/>
        <v>0</v>
      </c>
      <c r="M114" s="47">
        <f t="shared" si="11"/>
        <v>0</v>
      </c>
      <c r="W114" s="7" t="str">
        <f t="shared" si="12"/>
        <v>Jul</v>
      </c>
    </row>
    <row r="115" spans="2:23" ht="18" x14ac:dyDescent="0.35">
      <c r="B115" s="53">
        <v>45854</v>
      </c>
      <c r="C115" s="10" t="s">
        <v>59</v>
      </c>
      <c r="D115" s="10"/>
      <c r="E115" s="3" t="s">
        <v>520</v>
      </c>
      <c r="F115" s="43" t="s">
        <v>204</v>
      </c>
      <c r="G115" s="43" t="s">
        <v>20</v>
      </c>
      <c r="H115" s="45">
        <v>1</v>
      </c>
      <c r="I115" s="43">
        <f>INDEX('حركة المخزن'!O:O,MATCH('تحليل مبيعات'!C115,'حركة المخزن'!B:B,0))</f>
        <v>145</v>
      </c>
      <c r="J115" s="43">
        <f t="shared" si="9"/>
        <v>145</v>
      </c>
      <c r="K115" s="10">
        <v>150</v>
      </c>
      <c r="L115" s="43">
        <f t="shared" si="10"/>
        <v>150</v>
      </c>
      <c r="M115" s="43">
        <f t="shared" si="11"/>
        <v>5</v>
      </c>
      <c r="W115" s="7" t="str">
        <f t="shared" si="12"/>
        <v>Jul</v>
      </c>
    </row>
    <row r="116" spans="2:23" ht="18" x14ac:dyDescent="0.35">
      <c r="B116" s="53">
        <v>45854</v>
      </c>
      <c r="C116" s="10" t="s">
        <v>86</v>
      </c>
      <c r="D116" s="10"/>
      <c r="E116" s="3" t="s">
        <v>520</v>
      </c>
      <c r="F116" s="43" t="s">
        <v>204</v>
      </c>
      <c r="G116" s="43" t="s">
        <v>20</v>
      </c>
      <c r="H116" s="45">
        <v>1</v>
      </c>
      <c r="I116" s="43">
        <f>INDEX('حركة المخزن'!O:O,MATCH('تحليل مبيعات'!C116,'حركة المخزن'!B:B,0))</f>
        <v>455</v>
      </c>
      <c r="J116" s="43">
        <f t="shared" si="9"/>
        <v>455</v>
      </c>
      <c r="K116" s="10">
        <v>150</v>
      </c>
      <c r="L116" s="43">
        <f t="shared" si="10"/>
        <v>150</v>
      </c>
      <c r="M116" s="43">
        <f t="shared" si="11"/>
        <v>-305</v>
      </c>
      <c r="W116" s="7" t="str">
        <f t="shared" si="12"/>
        <v>Jul</v>
      </c>
    </row>
    <row r="117" spans="2:23" ht="18" x14ac:dyDescent="0.35">
      <c r="B117" s="53">
        <v>45854</v>
      </c>
      <c r="C117" s="10" t="s">
        <v>87</v>
      </c>
      <c r="D117" s="10"/>
      <c r="E117" s="3" t="s">
        <v>520</v>
      </c>
      <c r="F117" s="43" t="s">
        <v>204</v>
      </c>
      <c r="G117" s="43" t="s">
        <v>20</v>
      </c>
      <c r="H117" s="45">
        <v>1</v>
      </c>
      <c r="I117" s="43">
        <f>INDEX('حركة المخزن'!O:O,MATCH('تحليل مبيعات'!C117,'حركة المخزن'!B:B,0))</f>
        <v>54</v>
      </c>
      <c r="J117" s="43">
        <f t="shared" si="9"/>
        <v>54</v>
      </c>
      <c r="K117" s="10">
        <v>250</v>
      </c>
      <c r="L117" s="43">
        <f t="shared" si="10"/>
        <v>250</v>
      </c>
      <c r="M117" s="43">
        <f t="shared" si="11"/>
        <v>196</v>
      </c>
      <c r="W117" s="7" t="str">
        <f t="shared" si="12"/>
        <v>Jul</v>
      </c>
    </row>
    <row r="118" spans="2:23" ht="18" x14ac:dyDescent="0.35">
      <c r="B118" s="53">
        <v>45854</v>
      </c>
      <c r="C118" s="10" t="s">
        <v>11</v>
      </c>
      <c r="D118" s="10"/>
      <c r="E118" s="3" t="s">
        <v>478</v>
      </c>
      <c r="F118" s="43" t="s">
        <v>204</v>
      </c>
      <c r="G118" s="43" t="s">
        <v>20</v>
      </c>
      <c r="H118" s="45">
        <v>1</v>
      </c>
      <c r="I118" s="43">
        <f>INDEX('حركة المخزن'!O:O,MATCH('تحليل مبيعات'!C118,'حركة المخزن'!B:B,0))</f>
        <v>100</v>
      </c>
      <c r="J118" s="43">
        <f t="shared" si="9"/>
        <v>100</v>
      </c>
      <c r="K118" s="10">
        <v>0</v>
      </c>
      <c r="L118" s="47">
        <f t="shared" si="10"/>
        <v>0</v>
      </c>
      <c r="M118" s="47">
        <f t="shared" si="11"/>
        <v>-100</v>
      </c>
      <c r="W118" s="7" t="str">
        <f t="shared" si="12"/>
        <v>Jul</v>
      </c>
    </row>
    <row r="119" spans="2:23" ht="18" x14ac:dyDescent="0.35">
      <c r="B119" s="53">
        <v>45855</v>
      </c>
      <c r="C119" s="10" t="s">
        <v>76</v>
      </c>
      <c r="D119" s="10"/>
      <c r="E119" s="3" t="s">
        <v>520</v>
      </c>
      <c r="F119" s="10" t="s">
        <v>1</v>
      </c>
      <c r="G119" s="43" t="s">
        <v>20</v>
      </c>
      <c r="H119" s="45">
        <v>1</v>
      </c>
      <c r="I119" s="43">
        <f>INDEX('حركة المخزن'!O:O,MATCH('تحليل مبيعات'!C119,'حركة المخزن'!B:B,0))</f>
        <v>370</v>
      </c>
      <c r="J119" s="43">
        <f t="shared" si="9"/>
        <v>370</v>
      </c>
      <c r="K119" s="10">
        <v>1750</v>
      </c>
      <c r="L119" s="43">
        <f t="shared" si="10"/>
        <v>1750</v>
      </c>
      <c r="M119" s="43">
        <f t="shared" si="11"/>
        <v>1380</v>
      </c>
      <c r="W119" s="7" t="str">
        <f t="shared" si="12"/>
        <v>Jul</v>
      </c>
    </row>
    <row r="120" spans="2:23" ht="18" x14ac:dyDescent="0.35">
      <c r="B120" s="53">
        <v>45855</v>
      </c>
      <c r="C120" s="10" t="s">
        <v>76</v>
      </c>
      <c r="D120" s="10"/>
      <c r="E120" s="3" t="s">
        <v>475</v>
      </c>
      <c r="F120" s="10" t="s">
        <v>1</v>
      </c>
      <c r="G120" s="43" t="s">
        <v>20</v>
      </c>
      <c r="H120" s="45">
        <v>1</v>
      </c>
      <c r="I120" s="43">
        <f>INDEX('حركة المخزن'!O:O,MATCH('تحليل مبيعات'!C120,'حركة المخزن'!B:B,0))</f>
        <v>370</v>
      </c>
      <c r="J120" s="43">
        <f t="shared" si="9"/>
        <v>370</v>
      </c>
      <c r="K120" s="10">
        <v>1700</v>
      </c>
      <c r="L120" s="43">
        <f t="shared" si="10"/>
        <v>1700</v>
      </c>
      <c r="M120" s="43">
        <f t="shared" si="11"/>
        <v>1330</v>
      </c>
      <c r="W120" s="7" t="str">
        <f t="shared" si="12"/>
        <v>Jul</v>
      </c>
    </row>
    <row r="121" spans="2:23" ht="15.6" x14ac:dyDescent="0.3">
      <c r="B121" s="53">
        <v>45855</v>
      </c>
      <c r="C121" s="10" t="s">
        <v>75</v>
      </c>
      <c r="D121" s="10"/>
      <c r="E121" s="43" t="s">
        <v>518</v>
      </c>
      <c r="F121" s="43" t="s">
        <v>204</v>
      </c>
      <c r="G121" s="43" t="s">
        <v>20</v>
      </c>
      <c r="H121" s="45">
        <v>1</v>
      </c>
      <c r="I121" s="43">
        <f>INDEX('حركة المخزن'!O:O,MATCH('تحليل مبيعات'!C121,'حركة المخزن'!B:B,0))</f>
        <v>200</v>
      </c>
      <c r="J121" s="43">
        <f t="shared" si="9"/>
        <v>200</v>
      </c>
      <c r="K121" s="10">
        <v>30</v>
      </c>
      <c r="L121" s="43">
        <f t="shared" si="10"/>
        <v>30</v>
      </c>
      <c r="M121" s="43">
        <f t="shared" si="11"/>
        <v>-170</v>
      </c>
      <c r="W121" s="7" t="str">
        <f t="shared" si="12"/>
        <v>Jul</v>
      </c>
    </row>
    <row r="122" spans="2:23" ht="15.6" x14ac:dyDescent="0.3">
      <c r="B122" s="53">
        <v>45855</v>
      </c>
      <c r="C122" s="10" t="s">
        <v>75</v>
      </c>
      <c r="D122" s="10"/>
      <c r="E122" s="43" t="s">
        <v>518</v>
      </c>
      <c r="F122" s="43" t="s">
        <v>204</v>
      </c>
      <c r="G122" s="43" t="s">
        <v>20</v>
      </c>
      <c r="H122" s="45">
        <v>1</v>
      </c>
      <c r="I122" s="43">
        <f>INDEX('حركة المخزن'!O:O,MATCH('تحليل مبيعات'!C122,'حركة المخزن'!B:B,0))</f>
        <v>200</v>
      </c>
      <c r="J122" s="43">
        <f t="shared" si="9"/>
        <v>200</v>
      </c>
      <c r="K122" s="10">
        <v>30</v>
      </c>
      <c r="L122" s="43">
        <f t="shared" si="10"/>
        <v>30</v>
      </c>
      <c r="M122" s="43">
        <f t="shared" si="11"/>
        <v>-170</v>
      </c>
      <c r="W122" s="7" t="str">
        <f t="shared" si="12"/>
        <v>Jul</v>
      </c>
    </row>
    <row r="123" spans="2:23" ht="15.6" x14ac:dyDescent="0.3">
      <c r="B123" s="53">
        <v>45855</v>
      </c>
      <c r="C123" s="10" t="s">
        <v>148</v>
      </c>
      <c r="D123" s="10"/>
      <c r="E123" s="43" t="s">
        <v>518</v>
      </c>
      <c r="F123" s="43" t="s">
        <v>204</v>
      </c>
      <c r="G123" s="43" t="s">
        <v>20</v>
      </c>
      <c r="H123" s="45">
        <v>2</v>
      </c>
      <c r="I123" s="43">
        <f>INDEX('حركة المخزن'!O:O,MATCH('تحليل مبيعات'!C123,'حركة المخزن'!B:B,0))</f>
        <v>5</v>
      </c>
      <c r="J123" s="43">
        <f t="shared" si="9"/>
        <v>10</v>
      </c>
      <c r="K123" s="10">
        <v>280</v>
      </c>
      <c r="L123" s="43">
        <f t="shared" si="10"/>
        <v>560</v>
      </c>
      <c r="M123" s="43">
        <f t="shared" si="11"/>
        <v>550</v>
      </c>
      <c r="W123" s="7" t="str">
        <f t="shared" si="12"/>
        <v>Jul</v>
      </c>
    </row>
    <row r="124" spans="2:23" ht="15.6" x14ac:dyDescent="0.3">
      <c r="B124" s="53">
        <v>45855</v>
      </c>
      <c r="C124" s="10" t="s">
        <v>93</v>
      </c>
      <c r="D124" s="10"/>
      <c r="E124" s="43" t="s">
        <v>518</v>
      </c>
      <c r="F124" s="43" t="s">
        <v>204</v>
      </c>
      <c r="G124" s="43" t="s">
        <v>20</v>
      </c>
      <c r="H124" s="45">
        <v>2</v>
      </c>
      <c r="I124" s="43">
        <f>INDEX('حركة المخزن'!O:O,MATCH('تحليل مبيعات'!C124,'حركة المخزن'!B:B,0))</f>
        <v>5</v>
      </c>
      <c r="J124" s="43">
        <f t="shared" si="9"/>
        <v>10</v>
      </c>
      <c r="K124" s="10">
        <v>900</v>
      </c>
      <c r="L124" s="43">
        <f t="shared" si="10"/>
        <v>1800</v>
      </c>
      <c r="M124" s="43">
        <f t="shared" si="11"/>
        <v>1790</v>
      </c>
      <c r="W124" s="7" t="str">
        <f t="shared" si="12"/>
        <v>Jul</v>
      </c>
    </row>
    <row r="125" spans="2:23" ht="15.6" x14ac:dyDescent="0.3">
      <c r="B125" s="53">
        <v>45855</v>
      </c>
      <c r="C125" s="10" t="s">
        <v>88</v>
      </c>
      <c r="D125" s="10"/>
      <c r="E125" s="43" t="s">
        <v>518</v>
      </c>
      <c r="F125" s="43" t="s">
        <v>204</v>
      </c>
      <c r="G125" s="43" t="s">
        <v>20</v>
      </c>
      <c r="H125" s="45">
        <v>1</v>
      </c>
      <c r="I125" s="43">
        <f>INDEX('حركة المخزن'!O:O,MATCH('تحليل مبيعات'!C125,'حركة المخزن'!B:B,0))</f>
        <v>8</v>
      </c>
      <c r="J125" s="43">
        <f t="shared" si="9"/>
        <v>8</v>
      </c>
      <c r="K125" s="10">
        <v>200</v>
      </c>
      <c r="L125" s="43">
        <f t="shared" si="10"/>
        <v>200</v>
      </c>
      <c r="M125" s="43">
        <f t="shared" si="11"/>
        <v>192</v>
      </c>
      <c r="W125" s="7" t="str">
        <f t="shared" si="12"/>
        <v>Jul</v>
      </c>
    </row>
    <row r="126" spans="2:23" ht="15.6" x14ac:dyDescent="0.3">
      <c r="B126" s="53">
        <v>45855</v>
      </c>
      <c r="C126" s="10" t="s">
        <v>132</v>
      </c>
      <c r="D126" s="10"/>
      <c r="E126" s="43" t="s">
        <v>518</v>
      </c>
      <c r="F126" s="43" t="s">
        <v>204</v>
      </c>
      <c r="G126" s="43" t="s">
        <v>20</v>
      </c>
      <c r="H126" s="45">
        <v>1</v>
      </c>
      <c r="I126" s="43">
        <f>INDEX('حركة المخزن'!O:O,MATCH('تحليل مبيعات'!C126,'حركة المخزن'!B:B,0))</f>
        <v>50</v>
      </c>
      <c r="J126" s="43">
        <f t="shared" si="9"/>
        <v>50</v>
      </c>
      <c r="K126" s="10">
        <v>550</v>
      </c>
      <c r="L126" s="43">
        <f t="shared" si="10"/>
        <v>550</v>
      </c>
      <c r="M126" s="43">
        <f t="shared" si="11"/>
        <v>500</v>
      </c>
      <c r="W126" s="7" t="str">
        <f t="shared" si="12"/>
        <v>Jul</v>
      </c>
    </row>
    <row r="127" spans="2:23" ht="15.6" x14ac:dyDescent="0.3">
      <c r="B127" s="53">
        <v>45855</v>
      </c>
      <c r="C127" s="10" t="s">
        <v>89</v>
      </c>
      <c r="D127" s="10"/>
      <c r="E127" s="43" t="s">
        <v>518</v>
      </c>
      <c r="F127" s="43" t="s">
        <v>204</v>
      </c>
      <c r="G127" s="43" t="s">
        <v>20</v>
      </c>
      <c r="H127" s="45">
        <v>2</v>
      </c>
      <c r="I127" s="43">
        <f>INDEX('حركة المخزن'!O:O,MATCH('تحليل مبيعات'!C127,'حركة المخزن'!B:B,0))</f>
        <v>50</v>
      </c>
      <c r="J127" s="43">
        <f t="shared" si="9"/>
        <v>100</v>
      </c>
      <c r="K127" s="10">
        <v>270</v>
      </c>
      <c r="L127" s="43">
        <f t="shared" si="10"/>
        <v>540</v>
      </c>
      <c r="M127" s="43">
        <f t="shared" si="11"/>
        <v>440</v>
      </c>
      <c r="W127" s="7" t="str">
        <f t="shared" si="12"/>
        <v>Jul</v>
      </c>
    </row>
    <row r="128" spans="2:23" ht="18" x14ac:dyDescent="0.35">
      <c r="B128" s="53">
        <v>45855</v>
      </c>
      <c r="C128" s="10" t="s">
        <v>90</v>
      </c>
      <c r="D128" s="10"/>
      <c r="E128" s="3" t="s">
        <v>475</v>
      </c>
      <c r="F128" s="43" t="s">
        <v>204</v>
      </c>
      <c r="G128" s="43" t="s">
        <v>20</v>
      </c>
      <c r="H128" s="45">
        <v>1</v>
      </c>
      <c r="I128" s="43">
        <f>INDEX('حركة المخزن'!O:O,MATCH('تحليل مبيعات'!C128,'حركة المخزن'!B:B,0))</f>
        <v>40</v>
      </c>
      <c r="J128" s="43">
        <f t="shared" si="9"/>
        <v>40</v>
      </c>
      <c r="K128" s="10">
        <v>350</v>
      </c>
      <c r="L128" s="43">
        <f t="shared" si="10"/>
        <v>350</v>
      </c>
      <c r="M128" s="43">
        <f t="shared" si="11"/>
        <v>310</v>
      </c>
      <c r="W128" s="7" t="str">
        <f t="shared" si="12"/>
        <v>Jul</v>
      </c>
    </row>
    <row r="129" spans="2:23" ht="15.6" x14ac:dyDescent="0.3">
      <c r="B129" s="53">
        <v>45855</v>
      </c>
      <c r="C129" s="10" t="s">
        <v>69</v>
      </c>
      <c r="D129" s="10"/>
      <c r="E129" s="43" t="s">
        <v>518</v>
      </c>
      <c r="F129" s="43" t="s">
        <v>204</v>
      </c>
      <c r="G129" s="43" t="s">
        <v>20</v>
      </c>
      <c r="H129" s="45">
        <v>1</v>
      </c>
      <c r="I129" s="43">
        <f>INDEX('حركة المخزن'!O:O,MATCH('تحليل مبيعات'!C129,'حركة المخزن'!B:B,0))</f>
        <v>185</v>
      </c>
      <c r="J129" s="43">
        <f t="shared" si="9"/>
        <v>185</v>
      </c>
      <c r="K129" s="10">
        <v>350</v>
      </c>
      <c r="L129" s="43">
        <f t="shared" si="10"/>
        <v>350</v>
      </c>
      <c r="M129" s="43">
        <f t="shared" si="11"/>
        <v>165</v>
      </c>
      <c r="W129" s="7" t="str">
        <f t="shared" si="12"/>
        <v>Jul</v>
      </c>
    </row>
    <row r="130" spans="2:23" ht="15.6" x14ac:dyDescent="0.3">
      <c r="B130" s="53">
        <v>45855</v>
      </c>
      <c r="C130" s="10" t="s">
        <v>43</v>
      </c>
      <c r="D130" s="10"/>
      <c r="E130" s="43" t="s">
        <v>518</v>
      </c>
      <c r="F130" s="43" t="s">
        <v>204</v>
      </c>
      <c r="G130" s="43" t="s">
        <v>20</v>
      </c>
      <c r="H130" s="45">
        <v>5</v>
      </c>
      <c r="I130" s="43">
        <f>INDEX('حركة المخزن'!O:O,MATCH('تحليل مبيعات'!C130,'حركة المخزن'!B:B,0))</f>
        <v>110</v>
      </c>
      <c r="J130" s="43">
        <f t="shared" si="9"/>
        <v>550</v>
      </c>
      <c r="K130" s="10">
        <v>130</v>
      </c>
      <c r="L130" s="43">
        <f t="shared" si="10"/>
        <v>650</v>
      </c>
      <c r="M130" s="43">
        <f t="shared" si="11"/>
        <v>100</v>
      </c>
      <c r="W130" s="7" t="str">
        <f t="shared" si="12"/>
        <v>Jul</v>
      </c>
    </row>
    <row r="131" spans="2:23" ht="15.6" x14ac:dyDescent="0.3">
      <c r="B131" s="53">
        <v>45855</v>
      </c>
      <c r="C131" s="10" t="s">
        <v>92</v>
      </c>
      <c r="D131" s="10"/>
      <c r="E131" s="43" t="s">
        <v>518</v>
      </c>
      <c r="F131" s="43" t="s">
        <v>204</v>
      </c>
      <c r="G131" s="43" t="s">
        <v>20</v>
      </c>
      <c r="H131" s="45">
        <v>4</v>
      </c>
      <c r="I131" s="43">
        <f>INDEX('حركة المخزن'!O:O,MATCH('تحليل مبيعات'!C131,'حركة المخزن'!B:B,0))</f>
        <v>100</v>
      </c>
      <c r="J131" s="43">
        <f t="shared" si="9"/>
        <v>400</v>
      </c>
      <c r="K131" s="10">
        <v>70</v>
      </c>
      <c r="L131" s="43">
        <f t="shared" si="10"/>
        <v>280</v>
      </c>
      <c r="M131" s="43">
        <f t="shared" si="11"/>
        <v>-120</v>
      </c>
      <c r="W131" s="7" t="str">
        <f t="shared" si="12"/>
        <v>Jul</v>
      </c>
    </row>
    <row r="132" spans="2:23" ht="15.6" x14ac:dyDescent="0.3">
      <c r="B132" s="53">
        <v>45855</v>
      </c>
      <c r="C132" s="10" t="s">
        <v>59</v>
      </c>
      <c r="D132" s="10"/>
      <c r="E132" s="43" t="s">
        <v>518</v>
      </c>
      <c r="F132" s="43" t="s">
        <v>204</v>
      </c>
      <c r="G132" s="43" t="s">
        <v>20</v>
      </c>
      <c r="H132" s="45">
        <v>1</v>
      </c>
      <c r="I132" s="43">
        <f>INDEX('حركة المخزن'!O:O,MATCH('تحليل مبيعات'!C132,'حركة المخزن'!B:B,0))</f>
        <v>145</v>
      </c>
      <c r="J132" s="43">
        <f t="shared" si="9"/>
        <v>145</v>
      </c>
      <c r="K132" s="10">
        <v>150</v>
      </c>
      <c r="L132" s="43">
        <f t="shared" si="10"/>
        <v>150</v>
      </c>
      <c r="M132" s="43">
        <f t="shared" si="11"/>
        <v>5</v>
      </c>
      <c r="W132" s="7" t="str">
        <f t="shared" si="12"/>
        <v>Jul</v>
      </c>
    </row>
    <row r="133" spans="2:23" ht="18" x14ac:dyDescent="0.35">
      <c r="B133" s="53">
        <v>45856</v>
      </c>
      <c r="C133" s="10" t="s">
        <v>88</v>
      </c>
      <c r="D133" s="10"/>
      <c r="E133" s="3" t="s">
        <v>476</v>
      </c>
      <c r="F133" s="43" t="s">
        <v>204</v>
      </c>
      <c r="G133" s="43" t="s">
        <v>20</v>
      </c>
      <c r="H133" s="45">
        <v>2</v>
      </c>
      <c r="I133" s="43">
        <f>INDEX('حركة المخزن'!O:O,MATCH('تحليل مبيعات'!C133,'حركة المخزن'!B:B,0))</f>
        <v>8</v>
      </c>
      <c r="J133" s="43">
        <f t="shared" si="9"/>
        <v>16</v>
      </c>
      <c r="K133" s="10">
        <v>1445</v>
      </c>
      <c r="L133" s="43">
        <f t="shared" si="10"/>
        <v>2890</v>
      </c>
      <c r="M133" s="43">
        <f t="shared" si="11"/>
        <v>2874</v>
      </c>
      <c r="W133" s="7" t="str">
        <f t="shared" si="12"/>
        <v>Jul</v>
      </c>
    </row>
    <row r="134" spans="2:23" ht="18" x14ac:dyDescent="0.35">
      <c r="B134" s="53">
        <v>45856</v>
      </c>
      <c r="C134" s="10" t="s">
        <v>132</v>
      </c>
      <c r="D134" s="10"/>
      <c r="E134" s="3" t="s">
        <v>476</v>
      </c>
      <c r="F134" s="43" t="s">
        <v>204</v>
      </c>
      <c r="G134" s="43" t="s">
        <v>20</v>
      </c>
      <c r="H134" s="45">
        <v>1</v>
      </c>
      <c r="I134" s="43">
        <f>INDEX('حركة المخزن'!O:O,MATCH('تحليل مبيعات'!C134,'حركة المخزن'!B:B,0))</f>
        <v>50</v>
      </c>
      <c r="J134" s="43">
        <f t="shared" si="9"/>
        <v>50</v>
      </c>
      <c r="K134" s="10">
        <v>1950</v>
      </c>
      <c r="L134" s="43">
        <f t="shared" si="10"/>
        <v>1950</v>
      </c>
      <c r="M134" s="43">
        <f t="shared" si="11"/>
        <v>1900</v>
      </c>
      <c r="W134" s="7" t="str">
        <f t="shared" si="12"/>
        <v>Jul</v>
      </c>
    </row>
    <row r="135" spans="2:23" ht="18" x14ac:dyDescent="0.35">
      <c r="B135" s="53">
        <v>45856</v>
      </c>
      <c r="C135" s="10" t="s">
        <v>93</v>
      </c>
      <c r="D135" s="10"/>
      <c r="E135" s="3" t="s">
        <v>476</v>
      </c>
      <c r="F135" s="43" t="s">
        <v>204</v>
      </c>
      <c r="G135" s="43" t="s">
        <v>20</v>
      </c>
      <c r="H135" s="45">
        <v>2</v>
      </c>
      <c r="I135" s="43">
        <f>INDEX('حركة المخزن'!O:O,MATCH('تحليل مبيعات'!C135,'حركة المخزن'!B:B,0))</f>
        <v>5</v>
      </c>
      <c r="J135" s="43">
        <f t="shared" si="9"/>
        <v>10</v>
      </c>
      <c r="K135" s="10">
        <v>0</v>
      </c>
      <c r="L135" s="47">
        <f t="shared" si="10"/>
        <v>0</v>
      </c>
      <c r="M135" s="47">
        <f t="shared" si="11"/>
        <v>-10</v>
      </c>
      <c r="W135" s="7" t="str">
        <f t="shared" si="12"/>
        <v>Jul</v>
      </c>
    </row>
    <row r="136" spans="2:23" ht="18" x14ac:dyDescent="0.35">
      <c r="B136" s="53">
        <v>45856</v>
      </c>
      <c r="C136" s="10" t="s">
        <v>148</v>
      </c>
      <c r="D136" s="10"/>
      <c r="E136" s="3" t="s">
        <v>476</v>
      </c>
      <c r="F136" s="43" t="s">
        <v>204</v>
      </c>
      <c r="G136" s="43" t="s">
        <v>20</v>
      </c>
      <c r="H136" s="45">
        <v>2</v>
      </c>
      <c r="I136" s="43">
        <f>INDEX('حركة المخزن'!O:O,MATCH('تحليل مبيعات'!C136,'حركة المخزن'!B:B,0))</f>
        <v>5</v>
      </c>
      <c r="J136" s="43">
        <f t="shared" si="9"/>
        <v>10</v>
      </c>
      <c r="K136" s="10">
        <v>0</v>
      </c>
      <c r="L136" s="47">
        <f t="shared" si="10"/>
        <v>0</v>
      </c>
      <c r="M136" s="47">
        <f t="shared" si="11"/>
        <v>-10</v>
      </c>
      <c r="W136" s="7" t="str">
        <f t="shared" si="12"/>
        <v>Jul</v>
      </c>
    </row>
    <row r="137" spans="2:23" ht="18" x14ac:dyDescent="0.35">
      <c r="B137" s="53">
        <v>45856</v>
      </c>
      <c r="C137" s="10" t="s">
        <v>93</v>
      </c>
      <c r="D137" s="10"/>
      <c r="E137" s="3" t="s">
        <v>476</v>
      </c>
      <c r="F137" s="43" t="s">
        <v>204</v>
      </c>
      <c r="G137" s="43" t="s">
        <v>20</v>
      </c>
      <c r="H137" s="45">
        <v>2</v>
      </c>
      <c r="I137" s="43">
        <f>INDEX('حركة المخزن'!O:O,MATCH('تحليل مبيعات'!C137,'حركة المخزن'!B:B,0))</f>
        <v>5</v>
      </c>
      <c r="J137" s="43">
        <f t="shared" si="9"/>
        <v>10</v>
      </c>
      <c r="K137" s="10">
        <v>0</v>
      </c>
      <c r="L137" s="47">
        <f t="shared" si="10"/>
        <v>0</v>
      </c>
      <c r="M137" s="47">
        <f t="shared" si="11"/>
        <v>-10</v>
      </c>
      <c r="W137" s="7" t="str">
        <f t="shared" si="12"/>
        <v>Jul</v>
      </c>
    </row>
    <row r="138" spans="2:23" ht="18" x14ac:dyDescent="0.35">
      <c r="B138" s="53">
        <v>45856</v>
      </c>
      <c r="C138" s="10" t="s">
        <v>88</v>
      </c>
      <c r="D138" s="10"/>
      <c r="E138" s="3" t="s">
        <v>520</v>
      </c>
      <c r="F138" s="43" t="s">
        <v>204</v>
      </c>
      <c r="G138" s="43" t="s">
        <v>20</v>
      </c>
      <c r="H138" s="45">
        <v>1</v>
      </c>
      <c r="I138" s="43">
        <f>INDEX('حركة المخزن'!O:O,MATCH('تحليل مبيعات'!C138,'حركة المخزن'!B:B,0))</f>
        <v>8</v>
      </c>
      <c r="J138" s="43">
        <f t="shared" si="9"/>
        <v>8</v>
      </c>
      <c r="K138" s="10">
        <v>175</v>
      </c>
      <c r="L138" s="43">
        <f t="shared" si="10"/>
        <v>175</v>
      </c>
      <c r="M138" s="43">
        <f t="shared" si="11"/>
        <v>167</v>
      </c>
      <c r="W138" s="7" t="str">
        <f t="shared" si="12"/>
        <v>Jul</v>
      </c>
    </row>
    <row r="139" spans="2:23" ht="18" x14ac:dyDescent="0.35">
      <c r="B139" s="53">
        <v>45856</v>
      </c>
      <c r="C139" s="10" t="s">
        <v>25</v>
      </c>
      <c r="D139" s="10"/>
      <c r="E139" s="3" t="s">
        <v>519</v>
      </c>
      <c r="F139" s="43" t="s">
        <v>204</v>
      </c>
      <c r="G139" s="43" t="s">
        <v>20</v>
      </c>
      <c r="H139" s="45">
        <v>1</v>
      </c>
      <c r="I139" s="43">
        <f>INDEX('حركة المخزن'!O:O,MATCH('تحليل مبيعات'!C139,'حركة المخزن'!B:B,0))</f>
        <v>60</v>
      </c>
      <c r="J139" s="43">
        <f t="shared" ref="J139:J202" si="13">H139*I139</f>
        <v>60</v>
      </c>
      <c r="K139" s="10">
        <v>300</v>
      </c>
      <c r="L139" s="43">
        <f t="shared" ref="L139:L202" si="14">H139*K139</f>
        <v>300</v>
      </c>
      <c r="M139" s="43">
        <f t="shared" ref="M139:M202" si="15">L139-J139</f>
        <v>240</v>
      </c>
      <c r="W139" s="7" t="str">
        <f t="shared" ref="W139:W202" si="16">IF(B139="","",TEXT(B139,"mmm"))</f>
        <v>Jul</v>
      </c>
    </row>
    <row r="140" spans="2:23" ht="18" x14ac:dyDescent="0.35">
      <c r="B140" s="53">
        <v>45856</v>
      </c>
      <c r="C140" s="10" t="s">
        <v>63</v>
      </c>
      <c r="D140" s="10"/>
      <c r="E140" s="3" t="s">
        <v>471</v>
      </c>
      <c r="F140" s="43" t="s">
        <v>204</v>
      </c>
      <c r="G140" s="43" t="s">
        <v>20</v>
      </c>
      <c r="H140" s="45">
        <v>1</v>
      </c>
      <c r="I140" s="43">
        <f>INDEX('حركة المخزن'!O:O,MATCH('تحليل مبيعات'!C140,'حركة المخزن'!B:B,0))</f>
        <v>150</v>
      </c>
      <c r="J140" s="43">
        <f t="shared" si="13"/>
        <v>150</v>
      </c>
      <c r="K140" s="10">
        <v>60</v>
      </c>
      <c r="L140" s="43">
        <f t="shared" si="14"/>
        <v>60</v>
      </c>
      <c r="M140" s="43">
        <f t="shared" si="15"/>
        <v>-90</v>
      </c>
      <c r="W140" s="7" t="str">
        <f t="shared" si="16"/>
        <v>Jul</v>
      </c>
    </row>
    <row r="141" spans="2:23" ht="18" x14ac:dyDescent="0.35">
      <c r="B141" s="53">
        <v>45856</v>
      </c>
      <c r="C141" s="10" t="s">
        <v>100</v>
      </c>
      <c r="D141" s="10"/>
      <c r="E141" s="3" t="s">
        <v>516</v>
      </c>
      <c r="F141" s="43" t="s">
        <v>204</v>
      </c>
      <c r="G141" s="43" t="s">
        <v>20</v>
      </c>
      <c r="H141" s="45">
        <v>1</v>
      </c>
      <c r="I141" s="43">
        <f>INDEX('حركة المخزن'!O:O,MATCH('تحليل مبيعات'!C141,'حركة المخزن'!B:B,0))</f>
        <v>25</v>
      </c>
      <c r="J141" s="43">
        <f t="shared" si="13"/>
        <v>25</v>
      </c>
      <c r="K141" s="10">
        <v>800</v>
      </c>
      <c r="L141" s="43">
        <f t="shared" si="14"/>
        <v>800</v>
      </c>
      <c r="M141" s="43">
        <f t="shared" si="15"/>
        <v>775</v>
      </c>
      <c r="W141" s="7" t="str">
        <f t="shared" si="16"/>
        <v>Jul</v>
      </c>
    </row>
    <row r="142" spans="2:23" ht="18" x14ac:dyDescent="0.35">
      <c r="B142" s="53">
        <v>45856</v>
      </c>
      <c r="C142" s="10" t="s">
        <v>94</v>
      </c>
      <c r="D142" s="10"/>
      <c r="E142" s="3" t="s">
        <v>516</v>
      </c>
      <c r="F142" s="43" t="s">
        <v>204</v>
      </c>
      <c r="G142" s="43" t="s">
        <v>20</v>
      </c>
      <c r="H142" s="45">
        <v>1</v>
      </c>
      <c r="I142" s="43">
        <f>INDEX('حركة المخزن'!O:O,MATCH('تحليل مبيعات'!C142,'حركة المخزن'!B:B,0))</f>
        <v>100</v>
      </c>
      <c r="J142" s="43">
        <f t="shared" si="13"/>
        <v>100</v>
      </c>
      <c r="K142" s="10">
        <v>230</v>
      </c>
      <c r="L142" s="43">
        <f t="shared" si="14"/>
        <v>230</v>
      </c>
      <c r="M142" s="43">
        <f t="shared" si="15"/>
        <v>130</v>
      </c>
      <c r="W142" s="7" t="str">
        <f t="shared" si="16"/>
        <v>Jul</v>
      </c>
    </row>
    <row r="143" spans="2:23" ht="18" x14ac:dyDescent="0.35">
      <c r="B143" s="53">
        <v>45856</v>
      </c>
      <c r="C143" s="10" t="s">
        <v>183</v>
      </c>
      <c r="D143" s="10"/>
      <c r="E143" s="3" t="s">
        <v>516</v>
      </c>
      <c r="F143" s="43" t="s">
        <v>204</v>
      </c>
      <c r="G143" s="43" t="s">
        <v>20</v>
      </c>
      <c r="H143" s="45">
        <v>1</v>
      </c>
      <c r="I143" s="43">
        <f>INDEX('حركة المخزن'!O:O,MATCH('تحليل مبيعات'!C143,'حركة المخزن'!B:B,0))</f>
        <v>550</v>
      </c>
      <c r="J143" s="43">
        <f t="shared" si="13"/>
        <v>550</v>
      </c>
      <c r="K143" s="10">
        <v>320</v>
      </c>
      <c r="L143" s="43">
        <f t="shared" si="14"/>
        <v>320</v>
      </c>
      <c r="M143" s="43">
        <f t="shared" si="15"/>
        <v>-230</v>
      </c>
      <c r="W143" s="7" t="str">
        <f t="shared" si="16"/>
        <v>Jul</v>
      </c>
    </row>
    <row r="144" spans="2:23" ht="18" x14ac:dyDescent="0.35">
      <c r="B144" s="53">
        <v>45856</v>
      </c>
      <c r="C144" s="10" t="s">
        <v>96</v>
      </c>
      <c r="D144" s="10"/>
      <c r="E144" s="3" t="s">
        <v>516</v>
      </c>
      <c r="F144" s="43" t="s">
        <v>204</v>
      </c>
      <c r="G144" s="43" t="s">
        <v>20</v>
      </c>
      <c r="H144" s="45">
        <v>1</v>
      </c>
      <c r="I144" s="43">
        <f>INDEX('حركة المخزن'!O:O,MATCH('تحليل مبيعات'!C144,'حركة المخزن'!B:B,0))</f>
        <v>50</v>
      </c>
      <c r="J144" s="43">
        <f t="shared" si="13"/>
        <v>50</v>
      </c>
      <c r="K144" s="10">
        <v>620</v>
      </c>
      <c r="L144" s="43">
        <f t="shared" si="14"/>
        <v>620</v>
      </c>
      <c r="M144" s="43">
        <f t="shared" si="15"/>
        <v>570</v>
      </c>
      <c r="W144" s="7" t="str">
        <f t="shared" si="16"/>
        <v>Jul</v>
      </c>
    </row>
    <row r="145" spans="2:23" ht="18" x14ac:dyDescent="0.35">
      <c r="B145" s="53">
        <v>45856</v>
      </c>
      <c r="C145" s="10" t="s">
        <v>97</v>
      </c>
      <c r="D145" s="10"/>
      <c r="E145" s="3" t="s">
        <v>516</v>
      </c>
      <c r="F145" s="43" t="s">
        <v>204</v>
      </c>
      <c r="G145" s="43" t="s">
        <v>20</v>
      </c>
      <c r="H145" s="45">
        <v>1</v>
      </c>
      <c r="I145" s="43">
        <f>INDEX('حركة المخزن'!O:O,MATCH('تحليل مبيعات'!C145,'حركة المخزن'!B:B,0))</f>
        <v>50</v>
      </c>
      <c r="J145" s="43">
        <f t="shared" si="13"/>
        <v>50</v>
      </c>
      <c r="K145" s="10">
        <v>150</v>
      </c>
      <c r="L145" s="43">
        <f t="shared" si="14"/>
        <v>150</v>
      </c>
      <c r="M145" s="43">
        <f t="shared" si="15"/>
        <v>100</v>
      </c>
      <c r="W145" s="7" t="str">
        <f t="shared" si="16"/>
        <v>Jul</v>
      </c>
    </row>
    <row r="146" spans="2:23" ht="18" x14ac:dyDescent="0.35">
      <c r="B146" s="53">
        <v>45856</v>
      </c>
      <c r="C146" s="10" t="s">
        <v>98</v>
      </c>
      <c r="D146" s="10"/>
      <c r="E146" s="3" t="s">
        <v>516</v>
      </c>
      <c r="F146" s="43" t="s">
        <v>204</v>
      </c>
      <c r="G146" s="43" t="s">
        <v>20</v>
      </c>
      <c r="H146" s="45">
        <v>1</v>
      </c>
      <c r="I146" s="43">
        <f>INDEX('حركة المخزن'!O:O,MATCH('تحليل مبيعات'!C146,'حركة المخزن'!B:B,0))</f>
        <v>50</v>
      </c>
      <c r="J146" s="43">
        <f t="shared" si="13"/>
        <v>50</v>
      </c>
      <c r="K146" s="10">
        <v>30</v>
      </c>
      <c r="L146" s="43">
        <f t="shared" si="14"/>
        <v>30</v>
      </c>
      <c r="M146" s="43">
        <f t="shared" si="15"/>
        <v>-20</v>
      </c>
      <c r="W146" s="7" t="str">
        <f t="shared" si="16"/>
        <v>Jul</v>
      </c>
    </row>
    <row r="147" spans="2:23" ht="18" x14ac:dyDescent="0.35">
      <c r="B147" s="53">
        <v>45856</v>
      </c>
      <c r="C147" s="10" t="s">
        <v>23</v>
      </c>
      <c r="D147" s="10"/>
      <c r="E147" s="3" t="s">
        <v>516</v>
      </c>
      <c r="F147" s="43" t="s">
        <v>204</v>
      </c>
      <c r="G147" s="43" t="s">
        <v>20</v>
      </c>
      <c r="H147" s="45">
        <v>1</v>
      </c>
      <c r="I147" s="43">
        <f>INDEX('حركة المخزن'!O:O,MATCH('تحليل مبيعات'!C147,'حركة المخزن'!B:B,0))</f>
        <v>80</v>
      </c>
      <c r="J147" s="43">
        <f t="shared" si="13"/>
        <v>80</v>
      </c>
      <c r="K147" s="10">
        <v>250</v>
      </c>
      <c r="L147" s="43">
        <f t="shared" si="14"/>
        <v>250</v>
      </c>
      <c r="M147" s="43">
        <f t="shared" si="15"/>
        <v>170</v>
      </c>
      <c r="W147" s="7" t="str">
        <f t="shared" si="16"/>
        <v>Jul</v>
      </c>
    </row>
    <row r="148" spans="2:23" ht="18" x14ac:dyDescent="0.35">
      <c r="B148" s="53">
        <v>45856</v>
      </c>
      <c r="C148" s="10" t="s">
        <v>101</v>
      </c>
      <c r="D148" s="10"/>
      <c r="E148" s="3" t="s">
        <v>476</v>
      </c>
      <c r="F148" s="43" t="s">
        <v>204</v>
      </c>
      <c r="G148" s="43" t="s">
        <v>20</v>
      </c>
      <c r="H148" s="45">
        <v>1</v>
      </c>
      <c r="I148" s="43">
        <f>INDEX('حركة المخزن'!O:O,MATCH('تحليل مبيعات'!C148,'حركة المخزن'!B:B,0))</f>
        <v>55</v>
      </c>
      <c r="J148" s="43">
        <f t="shared" si="13"/>
        <v>55</v>
      </c>
      <c r="K148" s="10">
        <v>2300</v>
      </c>
      <c r="L148" s="43">
        <f t="shared" si="14"/>
        <v>2300</v>
      </c>
      <c r="M148" s="43">
        <f t="shared" si="15"/>
        <v>2245</v>
      </c>
      <c r="W148" s="7" t="str">
        <f t="shared" si="16"/>
        <v>Jul</v>
      </c>
    </row>
    <row r="149" spans="2:23" ht="18" x14ac:dyDescent="0.35">
      <c r="B149" s="53">
        <v>45856</v>
      </c>
      <c r="C149" s="10" t="s">
        <v>102</v>
      </c>
      <c r="D149" s="10"/>
      <c r="E149" s="3" t="s">
        <v>520</v>
      </c>
      <c r="F149" s="43" t="s">
        <v>204</v>
      </c>
      <c r="G149" s="43" t="s">
        <v>20</v>
      </c>
      <c r="H149" s="45">
        <v>1</v>
      </c>
      <c r="I149" s="43">
        <f>INDEX('حركة المخزن'!O:O,MATCH('تحليل مبيعات'!C149,'حركة المخزن'!B:B,0))</f>
        <v>80</v>
      </c>
      <c r="J149" s="43">
        <f t="shared" si="13"/>
        <v>80</v>
      </c>
      <c r="K149" s="10">
        <v>850</v>
      </c>
      <c r="L149" s="43">
        <f t="shared" si="14"/>
        <v>850</v>
      </c>
      <c r="M149" s="43">
        <f t="shared" si="15"/>
        <v>770</v>
      </c>
      <c r="W149" s="7" t="str">
        <f t="shared" si="16"/>
        <v>Jul</v>
      </c>
    </row>
    <row r="150" spans="2:23" ht="18" x14ac:dyDescent="0.35">
      <c r="B150" s="53">
        <v>45856</v>
      </c>
      <c r="C150" s="10" t="s">
        <v>25</v>
      </c>
      <c r="D150" s="10"/>
      <c r="E150" s="3" t="s">
        <v>520</v>
      </c>
      <c r="F150" s="43" t="s">
        <v>204</v>
      </c>
      <c r="G150" s="43" t="s">
        <v>20</v>
      </c>
      <c r="H150" s="45">
        <v>1</v>
      </c>
      <c r="I150" s="43">
        <f>INDEX('حركة المخزن'!O:O,MATCH('تحليل مبيعات'!C150,'حركة المخزن'!B:B,0))</f>
        <v>60</v>
      </c>
      <c r="J150" s="43">
        <f t="shared" si="13"/>
        <v>60</v>
      </c>
      <c r="K150" s="10">
        <v>325</v>
      </c>
      <c r="L150" s="43">
        <f t="shared" si="14"/>
        <v>325</v>
      </c>
      <c r="M150" s="43">
        <f t="shared" si="15"/>
        <v>265</v>
      </c>
      <c r="W150" s="7" t="str">
        <f t="shared" si="16"/>
        <v>Jul</v>
      </c>
    </row>
    <row r="151" spans="2:23" ht="15.6" x14ac:dyDescent="0.3">
      <c r="B151" s="53">
        <v>45856</v>
      </c>
      <c r="C151" s="10" t="s">
        <v>183</v>
      </c>
      <c r="D151" s="10"/>
      <c r="E151" s="43" t="s">
        <v>518</v>
      </c>
      <c r="F151" s="43" t="s">
        <v>204</v>
      </c>
      <c r="G151" s="43" t="s">
        <v>20</v>
      </c>
      <c r="H151" s="45">
        <v>1</v>
      </c>
      <c r="I151" s="43">
        <f>INDEX('حركة المخزن'!O:O,MATCH('تحليل مبيعات'!C151,'حركة المخزن'!B:B,0))</f>
        <v>550</v>
      </c>
      <c r="J151" s="43">
        <f t="shared" si="13"/>
        <v>550</v>
      </c>
      <c r="K151" s="10">
        <v>320</v>
      </c>
      <c r="L151" s="43">
        <f t="shared" si="14"/>
        <v>320</v>
      </c>
      <c r="M151" s="43">
        <f t="shared" si="15"/>
        <v>-230</v>
      </c>
      <c r="W151" s="7" t="str">
        <f t="shared" si="16"/>
        <v>Jul</v>
      </c>
    </row>
    <row r="152" spans="2:23" ht="15.6" x14ac:dyDescent="0.3">
      <c r="B152" s="53">
        <v>45856</v>
      </c>
      <c r="C152" s="10" t="s">
        <v>98</v>
      </c>
      <c r="D152" s="10"/>
      <c r="E152" s="43" t="s">
        <v>518</v>
      </c>
      <c r="F152" s="43" t="s">
        <v>204</v>
      </c>
      <c r="G152" s="43" t="s">
        <v>20</v>
      </c>
      <c r="H152" s="45">
        <v>1</v>
      </c>
      <c r="I152" s="43">
        <f>INDEX('حركة المخزن'!O:O,MATCH('تحليل مبيعات'!C152,'حركة المخزن'!B:B,0))</f>
        <v>50</v>
      </c>
      <c r="J152" s="43">
        <f t="shared" si="13"/>
        <v>50</v>
      </c>
      <c r="K152" s="10">
        <v>30</v>
      </c>
      <c r="L152" s="43">
        <f t="shared" si="14"/>
        <v>30</v>
      </c>
      <c r="M152" s="43">
        <f t="shared" si="15"/>
        <v>-20</v>
      </c>
      <c r="W152" s="7" t="str">
        <f t="shared" si="16"/>
        <v>Jul</v>
      </c>
    </row>
    <row r="153" spans="2:23" ht="18" x14ac:dyDescent="0.35">
      <c r="B153" s="53">
        <v>45856</v>
      </c>
      <c r="C153" s="10" t="s">
        <v>59</v>
      </c>
      <c r="D153" s="10"/>
      <c r="E153" s="3" t="s">
        <v>478</v>
      </c>
      <c r="F153" s="43" t="s">
        <v>204</v>
      </c>
      <c r="G153" s="43" t="s">
        <v>20</v>
      </c>
      <c r="H153" s="45">
        <v>1</v>
      </c>
      <c r="I153" s="43">
        <f>INDEX('حركة المخزن'!O:O,MATCH('تحليل مبيعات'!C153,'حركة المخزن'!B:B,0))</f>
        <v>145</v>
      </c>
      <c r="J153" s="43">
        <f t="shared" si="13"/>
        <v>145</v>
      </c>
      <c r="K153" s="10">
        <v>150</v>
      </c>
      <c r="L153" s="43">
        <f t="shared" si="14"/>
        <v>150</v>
      </c>
      <c r="M153" s="43">
        <f t="shared" si="15"/>
        <v>5</v>
      </c>
      <c r="W153" s="7" t="str">
        <f t="shared" si="16"/>
        <v>Jul</v>
      </c>
    </row>
    <row r="154" spans="2:23" ht="15.6" x14ac:dyDescent="0.3">
      <c r="B154" s="53">
        <v>45856</v>
      </c>
      <c r="C154" s="10" t="s">
        <v>103</v>
      </c>
      <c r="D154" s="10"/>
      <c r="E154" s="43" t="s">
        <v>518</v>
      </c>
      <c r="F154" s="43" t="s">
        <v>204</v>
      </c>
      <c r="G154" s="43" t="s">
        <v>20</v>
      </c>
      <c r="H154" s="45">
        <v>1</v>
      </c>
      <c r="I154" s="43">
        <f>INDEX('حركة المخزن'!O:O,MATCH('تحليل مبيعات'!C154,'حركة المخزن'!B:B,0))</f>
        <v>60</v>
      </c>
      <c r="J154" s="43">
        <f t="shared" si="13"/>
        <v>60</v>
      </c>
      <c r="K154" s="10">
        <v>150</v>
      </c>
      <c r="L154" s="43">
        <f t="shared" si="14"/>
        <v>150</v>
      </c>
      <c r="M154" s="43">
        <f t="shared" si="15"/>
        <v>90</v>
      </c>
      <c r="W154" s="7" t="str">
        <f t="shared" si="16"/>
        <v>Jul</v>
      </c>
    </row>
    <row r="155" spans="2:23" ht="18" x14ac:dyDescent="0.35">
      <c r="B155" s="53">
        <v>45856</v>
      </c>
      <c r="C155" s="10" t="s">
        <v>104</v>
      </c>
      <c r="D155" s="10"/>
      <c r="E155" s="3" t="s">
        <v>516</v>
      </c>
      <c r="F155" s="43" t="s">
        <v>204</v>
      </c>
      <c r="G155" s="43" t="s">
        <v>20</v>
      </c>
      <c r="H155" s="45">
        <v>1</v>
      </c>
      <c r="I155" s="43">
        <f>INDEX('حركة المخزن'!O:O,MATCH('تحليل مبيعات'!C155,'حركة المخزن'!B:B,0))</f>
        <v>65</v>
      </c>
      <c r="J155" s="43">
        <f t="shared" si="13"/>
        <v>65</v>
      </c>
      <c r="K155" s="10">
        <v>150</v>
      </c>
      <c r="L155" s="43">
        <f t="shared" si="14"/>
        <v>150</v>
      </c>
      <c r="M155" s="43">
        <f t="shared" si="15"/>
        <v>85</v>
      </c>
      <c r="W155" s="7" t="str">
        <f t="shared" si="16"/>
        <v>Jul</v>
      </c>
    </row>
    <row r="156" spans="2:23" ht="15.6" x14ac:dyDescent="0.3">
      <c r="B156" s="53">
        <v>45856</v>
      </c>
      <c r="C156" s="10" t="s">
        <v>105</v>
      </c>
      <c r="D156" s="10"/>
      <c r="E156" s="43" t="s">
        <v>518</v>
      </c>
      <c r="F156" s="43" t="s">
        <v>204</v>
      </c>
      <c r="G156" s="43" t="s">
        <v>20</v>
      </c>
      <c r="H156" s="45">
        <v>2</v>
      </c>
      <c r="I156" s="43">
        <f>INDEX('حركة المخزن'!O:O,MATCH('تحليل مبيعات'!C156,'حركة المخزن'!B:B,0))</f>
        <v>160</v>
      </c>
      <c r="J156" s="43">
        <f t="shared" si="13"/>
        <v>320</v>
      </c>
      <c r="K156" s="10">
        <v>0</v>
      </c>
      <c r="L156" s="47">
        <f t="shared" si="14"/>
        <v>0</v>
      </c>
      <c r="M156" s="47">
        <f t="shared" si="15"/>
        <v>-320</v>
      </c>
      <c r="W156" s="7" t="str">
        <f t="shared" si="16"/>
        <v>Jul</v>
      </c>
    </row>
    <row r="157" spans="2:23" ht="18" x14ac:dyDescent="0.35">
      <c r="B157" s="53">
        <v>45856</v>
      </c>
      <c r="C157" s="10" t="s">
        <v>159</v>
      </c>
      <c r="D157" s="10"/>
      <c r="E157" s="3" t="s">
        <v>476</v>
      </c>
      <c r="F157" s="43" t="s">
        <v>204</v>
      </c>
      <c r="G157" s="43" t="s">
        <v>20</v>
      </c>
      <c r="H157" s="45"/>
      <c r="I157" s="43">
        <f>INDEX('حركة المخزن'!O:O,MATCH('تحليل مبيعات'!C157,'حركة المخزن'!B:B,0))</f>
        <v>100</v>
      </c>
      <c r="J157" s="43">
        <f t="shared" si="13"/>
        <v>0</v>
      </c>
      <c r="K157" s="10">
        <v>0</v>
      </c>
      <c r="L157" s="47">
        <f t="shared" si="14"/>
        <v>0</v>
      </c>
      <c r="M157" s="47">
        <f t="shared" si="15"/>
        <v>0</v>
      </c>
      <c r="W157" s="7" t="str">
        <f t="shared" si="16"/>
        <v>Jul</v>
      </c>
    </row>
    <row r="158" spans="2:23" ht="18" x14ac:dyDescent="0.35">
      <c r="B158" s="53">
        <v>45856</v>
      </c>
      <c r="C158" s="10" t="s">
        <v>59</v>
      </c>
      <c r="D158" s="10"/>
      <c r="E158" s="3" t="s">
        <v>516</v>
      </c>
      <c r="F158" s="43" t="s">
        <v>204</v>
      </c>
      <c r="G158" s="43" t="s">
        <v>20</v>
      </c>
      <c r="H158" s="45">
        <v>1</v>
      </c>
      <c r="I158" s="43">
        <f>INDEX('حركة المخزن'!O:O,MATCH('تحليل مبيعات'!C158,'حركة المخزن'!B:B,0))</f>
        <v>145</v>
      </c>
      <c r="J158" s="43">
        <f t="shared" si="13"/>
        <v>145</v>
      </c>
      <c r="K158" s="10">
        <v>150</v>
      </c>
      <c r="L158" s="43">
        <f t="shared" si="14"/>
        <v>150</v>
      </c>
      <c r="M158" s="43">
        <f t="shared" si="15"/>
        <v>5</v>
      </c>
      <c r="W158" s="7" t="str">
        <f t="shared" si="16"/>
        <v>Jul</v>
      </c>
    </row>
    <row r="159" spans="2:23" ht="15.6" x14ac:dyDescent="0.3">
      <c r="B159" s="53">
        <v>45856</v>
      </c>
      <c r="C159" s="10" t="s">
        <v>87</v>
      </c>
      <c r="D159" s="10"/>
      <c r="E159" s="43" t="s">
        <v>518</v>
      </c>
      <c r="F159" s="43" t="s">
        <v>204</v>
      </c>
      <c r="G159" s="43" t="s">
        <v>20</v>
      </c>
      <c r="H159" s="45">
        <v>1</v>
      </c>
      <c r="I159" s="43">
        <f>INDEX('حركة المخزن'!O:O,MATCH('تحليل مبيعات'!C159,'حركة المخزن'!B:B,0))</f>
        <v>54</v>
      </c>
      <c r="J159" s="43">
        <f t="shared" si="13"/>
        <v>54</v>
      </c>
      <c r="K159" s="10">
        <v>270</v>
      </c>
      <c r="L159" s="43">
        <f t="shared" si="14"/>
        <v>270</v>
      </c>
      <c r="M159" s="43">
        <f t="shared" si="15"/>
        <v>216</v>
      </c>
      <c r="W159" s="7" t="str">
        <f t="shared" si="16"/>
        <v>Jul</v>
      </c>
    </row>
    <row r="160" spans="2:23" ht="18" x14ac:dyDescent="0.35">
      <c r="B160" s="53">
        <v>45856</v>
      </c>
      <c r="C160" s="10" t="s">
        <v>50</v>
      </c>
      <c r="D160" s="10"/>
      <c r="E160" s="3" t="s">
        <v>519</v>
      </c>
      <c r="F160" s="10" t="s">
        <v>0</v>
      </c>
      <c r="G160" s="43" t="s">
        <v>20</v>
      </c>
      <c r="H160" s="45">
        <v>4</v>
      </c>
      <c r="I160" s="43">
        <f>INDEX('حركة المخزن'!O:O,MATCH('تحليل مبيعات'!C160,'حركة المخزن'!B:B,0))</f>
        <v>100</v>
      </c>
      <c r="J160" s="43">
        <f t="shared" si="13"/>
        <v>400</v>
      </c>
      <c r="K160" s="10">
        <v>1850</v>
      </c>
      <c r="L160" s="43">
        <f t="shared" si="14"/>
        <v>7400</v>
      </c>
      <c r="M160" s="43">
        <f t="shared" si="15"/>
        <v>7000</v>
      </c>
      <c r="W160" s="7" t="str">
        <f t="shared" si="16"/>
        <v>Jul</v>
      </c>
    </row>
    <row r="161" spans="2:23" ht="18" x14ac:dyDescent="0.35">
      <c r="B161" s="53">
        <v>45856</v>
      </c>
      <c r="C161" s="10" t="s">
        <v>76</v>
      </c>
      <c r="D161" s="10"/>
      <c r="E161" s="3" t="s">
        <v>520</v>
      </c>
      <c r="F161" s="10" t="s">
        <v>1</v>
      </c>
      <c r="G161" s="43" t="s">
        <v>20</v>
      </c>
      <c r="H161" s="45">
        <v>1</v>
      </c>
      <c r="I161" s="43">
        <f>INDEX('حركة المخزن'!O:O,MATCH('تحليل مبيعات'!C161,'حركة المخزن'!B:B,0))</f>
        <v>370</v>
      </c>
      <c r="J161" s="43">
        <f t="shared" si="13"/>
        <v>370</v>
      </c>
      <c r="K161" s="10">
        <v>1600</v>
      </c>
      <c r="L161" s="43">
        <f t="shared" si="14"/>
        <v>1600</v>
      </c>
      <c r="M161" s="43">
        <f t="shared" si="15"/>
        <v>1230</v>
      </c>
      <c r="W161" s="7" t="str">
        <f t="shared" si="16"/>
        <v>Jul</v>
      </c>
    </row>
    <row r="162" spans="2:23" ht="18" x14ac:dyDescent="0.35">
      <c r="B162" s="53">
        <v>45856</v>
      </c>
      <c r="C162" s="10" t="s">
        <v>76</v>
      </c>
      <c r="D162" s="10"/>
      <c r="E162" s="3" t="s">
        <v>520</v>
      </c>
      <c r="F162" s="10" t="s">
        <v>1</v>
      </c>
      <c r="G162" s="43" t="s">
        <v>20</v>
      </c>
      <c r="H162" s="45">
        <v>1</v>
      </c>
      <c r="I162" s="43">
        <f>INDEX('حركة المخزن'!O:O,MATCH('تحليل مبيعات'!C162,'حركة المخزن'!B:B,0))</f>
        <v>370</v>
      </c>
      <c r="J162" s="43">
        <f t="shared" si="13"/>
        <v>370</v>
      </c>
      <c r="K162" s="10">
        <v>1750</v>
      </c>
      <c r="L162" s="43">
        <f t="shared" si="14"/>
        <v>1750</v>
      </c>
      <c r="M162" s="43">
        <f t="shared" si="15"/>
        <v>1380</v>
      </c>
      <c r="W162" s="7" t="str">
        <f t="shared" si="16"/>
        <v>Jul</v>
      </c>
    </row>
    <row r="163" spans="2:23" ht="15.6" x14ac:dyDescent="0.3">
      <c r="B163" s="53">
        <v>45857</v>
      </c>
      <c r="C163" s="10" t="s">
        <v>109</v>
      </c>
      <c r="D163" s="10"/>
      <c r="E163" s="43" t="s">
        <v>518</v>
      </c>
      <c r="F163" s="43" t="s">
        <v>204</v>
      </c>
      <c r="G163" s="43" t="s">
        <v>20</v>
      </c>
      <c r="H163" s="45">
        <v>1</v>
      </c>
      <c r="I163" s="43">
        <f>INDEX('حركة المخزن'!O:O,MATCH('تحليل مبيعات'!C163,'حركة المخزن'!B:B,0))</f>
        <v>70</v>
      </c>
      <c r="J163" s="43">
        <f t="shared" si="13"/>
        <v>70</v>
      </c>
      <c r="K163" s="10">
        <v>830</v>
      </c>
      <c r="L163" s="43">
        <f t="shared" si="14"/>
        <v>830</v>
      </c>
      <c r="M163" s="43">
        <f t="shared" si="15"/>
        <v>760</v>
      </c>
      <c r="W163" s="7" t="str">
        <f t="shared" si="16"/>
        <v>Jul</v>
      </c>
    </row>
    <row r="164" spans="2:23" ht="15.6" x14ac:dyDescent="0.3">
      <c r="B164" s="53">
        <v>45857</v>
      </c>
      <c r="C164" s="10" t="s">
        <v>110</v>
      </c>
      <c r="D164" s="10"/>
      <c r="E164" s="43" t="s">
        <v>518</v>
      </c>
      <c r="F164" s="43" t="s">
        <v>204</v>
      </c>
      <c r="G164" s="43" t="s">
        <v>20</v>
      </c>
      <c r="H164" s="45">
        <v>1</v>
      </c>
      <c r="I164" s="43">
        <f>INDEX('حركة المخزن'!O:O,MATCH('تحليل مبيعات'!C164,'حركة المخزن'!B:B,0))</f>
        <v>75</v>
      </c>
      <c r="J164" s="43">
        <f t="shared" si="13"/>
        <v>75</v>
      </c>
      <c r="K164" s="10">
        <v>30</v>
      </c>
      <c r="L164" s="43">
        <f t="shared" si="14"/>
        <v>30</v>
      </c>
      <c r="M164" s="43">
        <f t="shared" si="15"/>
        <v>-45</v>
      </c>
      <c r="W164" s="7" t="str">
        <f t="shared" si="16"/>
        <v>Jul</v>
      </c>
    </row>
    <row r="165" spans="2:23" ht="15.6" x14ac:dyDescent="0.3">
      <c r="B165" s="53">
        <v>45857</v>
      </c>
      <c r="C165" s="10" t="s">
        <v>109</v>
      </c>
      <c r="D165" s="10"/>
      <c r="E165" s="43" t="s">
        <v>518</v>
      </c>
      <c r="F165" s="43" t="s">
        <v>204</v>
      </c>
      <c r="G165" s="43" t="s">
        <v>20</v>
      </c>
      <c r="H165" s="45">
        <v>1</v>
      </c>
      <c r="I165" s="43">
        <f>INDEX('حركة المخزن'!O:O,MATCH('تحليل مبيعات'!C165,'حركة المخزن'!B:B,0))</f>
        <v>70</v>
      </c>
      <c r="J165" s="43">
        <f t="shared" si="13"/>
        <v>70</v>
      </c>
      <c r="K165" s="10">
        <v>850</v>
      </c>
      <c r="L165" s="43">
        <f t="shared" si="14"/>
        <v>850</v>
      </c>
      <c r="M165" s="43">
        <f t="shared" si="15"/>
        <v>780</v>
      </c>
      <c r="W165" s="7" t="str">
        <f t="shared" si="16"/>
        <v>Jul</v>
      </c>
    </row>
    <row r="166" spans="2:23" ht="15.6" x14ac:dyDescent="0.3">
      <c r="B166" s="53">
        <v>45857</v>
      </c>
      <c r="C166" s="10" t="s">
        <v>117</v>
      </c>
      <c r="D166" s="10"/>
      <c r="E166" s="43" t="s">
        <v>518</v>
      </c>
      <c r="F166" s="43" t="s">
        <v>204</v>
      </c>
      <c r="G166" s="43" t="s">
        <v>20</v>
      </c>
      <c r="H166" s="45">
        <v>1</v>
      </c>
      <c r="I166" s="43">
        <f>INDEX('حركة المخزن'!O:O,MATCH('تحليل مبيعات'!C166,'حركة المخزن'!B:B,0))</f>
        <v>80</v>
      </c>
      <c r="J166" s="43">
        <f t="shared" si="13"/>
        <v>80</v>
      </c>
      <c r="K166" s="10">
        <v>2000</v>
      </c>
      <c r="L166" s="43">
        <f t="shared" si="14"/>
        <v>2000</v>
      </c>
      <c r="M166" s="43">
        <f t="shared" si="15"/>
        <v>1920</v>
      </c>
      <c r="W166" s="7" t="str">
        <f t="shared" si="16"/>
        <v>Jul</v>
      </c>
    </row>
    <row r="167" spans="2:23" ht="18" x14ac:dyDescent="0.35">
      <c r="B167" s="53">
        <v>45857</v>
      </c>
      <c r="C167" s="10" t="s">
        <v>111</v>
      </c>
      <c r="D167" s="10"/>
      <c r="E167" s="3" t="s">
        <v>519</v>
      </c>
      <c r="F167" s="43" t="s">
        <v>204</v>
      </c>
      <c r="G167" s="43" t="s">
        <v>20</v>
      </c>
      <c r="H167" s="45">
        <v>1</v>
      </c>
      <c r="I167" s="43">
        <f>INDEX('حركة المخزن'!O:O,MATCH('تحليل مبيعات'!C167,'حركة المخزن'!B:B,0))</f>
        <v>85</v>
      </c>
      <c r="J167" s="43">
        <f t="shared" si="13"/>
        <v>85</v>
      </c>
      <c r="K167" s="10">
        <v>300</v>
      </c>
      <c r="L167" s="43">
        <f t="shared" si="14"/>
        <v>300</v>
      </c>
      <c r="M167" s="43">
        <f t="shared" si="15"/>
        <v>215</v>
      </c>
      <c r="W167" s="7" t="str">
        <f t="shared" si="16"/>
        <v>Jul</v>
      </c>
    </row>
    <row r="168" spans="2:23" ht="18" x14ac:dyDescent="0.35">
      <c r="B168" s="53">
        <v>45857</v>
      </c>
      <c r="C168" s="10" t="s">
        <v>112</v>
      </c>
      <c r="D168" s="10"/>
      <c r="E168" s="3" t="s">
        <v>519</v>
      </c>
      <c r="F168" s="43" t="s">
        <v>204</v>
      </c>
      <c r="G168" s="43" t="s">
        <v>20</v>
      </c>
      <c r="H168" s="45">
        <v>1</v>
      </c>
      <c r="I168" s="43">
        <f>INDEX('حركة المخزن'!O:O,MATCH('تحليل مبيعات'!C168,'حركة المخزن'!B:B,0))</f>
        <v>90</v>
      </c>
      <c r="J168" s="43">
        <f t="shared" si="13"/>
        <v>90</v>
      </c>
      <c r="K168" s="10">
        <v>1700</v>
      </c>
      <c r="L168" s="43">
        <f t="shared" si="14"/>
        <v>1700</v>
      </c>
      <c r="M168" s="43">
        <f t="shared" si="15"/>
        <v>1610</v>
      </c>
      <c r="W168" s="7" t="str">
        <f t="shared" si="16"/>
        <v>Jul</v>
      </c>
    </row>
    <row r="169" spans="2:23" ht="18" x14ac:dyDescent="0.35">
      <c r="B169" s="53">
        <v>45857</v>
      </c>
      <c r="C169" s="10" t="s">
        <v>159</v>
      </c>
      <c r="D169" s="10"/>
      <c r="E169" s="3" t="s">
        <v>519</v>
      </c>
      <c r="F169" s="43" t="s">
        <v>204</v>
      </c>
      <c r="G169" s="43" t="s">
        <v>20</v>
      </c>
      <c r="H169" s="45">
        <v>1</v>
      </c>
      <c r="I169" s="43">
        <f>INDEX('حركة المخزن'!O:O,MATCH('تحليل مبيعات'!C169,'حركة المخزن'!B:B,0))</f>
        <v>100</v>
      </c>
      <c r="J169" s="43">
        <f t="shared" si="13"/>
        <v>100</v>
      </c>
      <c r="K169" s="10">
        <v>450</v>
      </c>
      <c r="L169" s="43">
        <f t="shared" si="14"/>
        <v>450</v>
      </c>
      <c r="M169" s="43">
        <f t="shared" si="15"/>
        <v>350</v>
      </c>
      <c r="W169" s="7" t="str">
        <f t="shared" si="16"/>
        <v>Jul</v>
      </c>
    </row>
    <row r="170" spans="2:23" ht="18" x14ac:dyDescent="0.35">
      <c r="B170" s="53">
        <v>45857</v>
      </c>
      <c r="C170" s="10" t="s">
        <v>100</v>
      </c>
      <c r="D170" s="10"/>
      <c r="E170" s="3" t="s">
        <v>519</v>
      </c>
      <c r="F170" s="43" t="s">
        <v>204</v>
      </c>
      <c r="G170" s="43" t="s">
        <v>20</v>
      </c>
      <c r="H170" s="45">
        <v>1</v>
      </c>
      <c r="I170" s="43">
        <f>INDEX('حركة المخزن'!O:O,MATCH('تحليل مبيعات'!C170,'حركة المخزن'!B:B,0))</f>
        <v>25</v>
      </c>
      <c r="J170" s="43">
        <f t="shared" si="13"/>
        <v>25</v>
      </c>
      <c r="K170" s="10">
        <v>700</v>
      </c>
      <c r="L170" s="43">
        <f t="shared" si="14"/>
        <v>700</v>
      </c>
      <c r="M170" s="43">
        <f t="shared" si="15"/>
        <v>675</v>
      </c>
      <c r="W170" s="7" t="str">
        <f t="shared" si="16"/>
        <v>Jul</v>
      </c>
    </row>
    <row r="171" spans="2:23" ht="18" x14ac:dyDescent="0.35">
      <c r="B171" s="53">
        <v>45857</v>
      </c>
      <c r="C171" s="10" t="s">
        <v>24</v>
      </c>
      <c r="D171" s="10"/>
      <c r="E171" s="3" t="s">
        <v>516</v>
      </c>
      <c r="F171" s="43" t="s">
        <v>204</v>
      </c>
      <c r="G171" s="43" t="s">
        <v>20</v>
      </c>
      <c r="H171" s="45">
        <v>1</v>
      </c>
      <c r="I171" s="43">
        <f>INDEX('حركة المخزن'!O:O,MATCH('تحليل مبيعات'!C171,'حركة المخزن'!B:B,0))</f>
        <v>100</v>
      </c>
      <c r="J171" s="43">
        <f t="shared" si="13"/>
        <v>100</v>
      </c>
      <c r="K171" s="10">
        <v>150</v>
      </c>
      <c r="L171" s="43">
        <f t="shared" si="14"/>
        <v>150</v>
      </c>
      <c r="M171" s="43">
        <f t="shared" si="15"/>
        <v>50</v>
      </c>
      <c r="W171" s="7" t="str">
        <f t="shared" si="16"/>
        <v>Jul</v>
      </c>
    </row>
    <row r="172" spans="2:23" ht="18" x14ac:dyDescent="0.35">
      <c r="B172" s="53">
        <v>45857</v>
      </c>
      <c r="C172" s="10" t="s">
        <v>113</v>
      </c>
      <c r="D172" s="10"/>
      <c r="E172" s="3" t="s">
        <v>478</v>
      </c>
      <c r="F172" s="43" t="s">
        <v>204</v>
      </c>
      <c r="G172" s="43" t="s">
        <v>20</v>
      </c>
      <c r="H172" s="45">
        <v>1</v>
      </c>
      <c r="I172" s="43">
        <f>INDEX('حركة المخزن'!O:O,MATCH('تحليل مبيعات'!C172,'حركة المخزن'!B:B,0))</f>
        <v>180</v>
      </c>
      <c r="J172" s="43">
        <f t="shared" si="13"/>
        <v>180</v>
      </c>
      <c r="K172" s="10">
        <v>0</v>
      </c>
      <c r="L172" s="47">
        <f t="shared" si="14"/>
        <v>0</v>
      </c>
      <c r="M172" s="47">
        <f t="shared" si="15"/>
        <v>-180</v>
      </c>
      <c r="W172" s="7" t="str">
        <f t="shared" si="16"/>
        <v>Jul</v>
      </c>
    </row>
    <row r="173" spans="2:23" ht="18" x14ac:dyDescent="0.35">
      <c r="B173" s="53">
        <v>45857</v>
      </c>
      <c r="C173" s="10" t="s">
        <v>93</v>
      </c>
      <c r="D173" s="10"/>
      <c r="E173" s="3" t="s">
        <v>478</v>
      </c>
      <c r="F173" s="43" t="s">
        <v>204</v>
      </c>
      <c r="G173" s="43" t="s">
        <v>20</v>
      </c>
      <c r="H173" s="45">
        <v>2</v>
      </c>
      <c r="I173" s="43">
        <f>INDEX('حركة المخزن'!O:O,MATCH('تحليل مبيعات'!C173,'حركة المخزن'!B:B,0))</f>
        <v>5</v>
      </c>
      <c r="J173" s="43">
        <f t="shared" si="13"/>
        <v>10</v>
      </c>
      <c r="K173" s="10">
        <v>0</v>
      </c>
      <c r="L173" s="47">
        <f t="shared" si="14"/>
        <v>0</v>
      </c>
      <c r="M173" s="47">
        <f t="shared" si="15"/>
        <v>-10</v>
      </c>
      <c r="W173" s="7" t="str">
        <f t="shared" si="16"/>
        <v>Jul</v>
      </c>
    </row>
    <row r="174" spans="2:23" ht="18" x14ac:dyDescent="0.35">
      <c r="B174" s="53">
        <v>45857</v>
      </c>
      <c r="C174" s="10" t="s">
        <v>148</v>
      </c>
      <c r="D174" s="10"/>
      <c r="E174" s="3" t="s">
        <v>478</v>
      </c>
      <c r="F174" s="43" t="s">
        <v>204</v>
      </c>
      <c r="G174" s="43" t="s">
        <v>20</v>
      </c>
      <c r="H174" s="45">
        <v>2</v>
      </c>
      <c r="I174" s="43">
        <f>INDEX('حركة المخزن'!O:O,MATCH('تحليل مبيعات'!C174,'حركة المخزن'!B:B,0))</f>
        <v>5</v>
      </c>
      <c r="J174" s="43">
        <f t="shared" si="13"/>
        <v>10</v>
      </c>
      <c r="K174" s="10">
        <v>0</v>
      </c>
      <c r="L174" s="47">
        <f t="shared" si="14"/>
        <v>0</v>
      </c>
      <c r="M174" s="47">
        <f t="shared" si="15"/>
        <v>-10</v>
      </c>
      <c r="W174" s="7" t="str">
        <f t="shared" si="16"/>
        <v>Jul</v>
      </c>
    </row>
    <row r="175" spans="2:23" ht="18" x14ac:dyDescent="0.35">
      <c r="B175" s="53">
        <v>45857</v>
      </c>
      <c r="C175" s="10" t="s">
        <v>114</v>
      </c>
      <c r="D175" s="10"/>
      <c r="E175" s="3" t="s">
        <v>478</v>
      </c>
      <c r="F175" s="43" t="s">
        <v>204</v>
      </c>
      <c r="G175" s="43" t="s">
        <v>20</v>
      </c>
      <c r="H175" s="45">
        <v>1</v>
      </c>
      <c r="I175" s="43">
        <f>INDEX('حركة المخزن'!O:O,MATCH('تحليل مبيعات'!C175,'حركة المخزن'!B:B,0))</f>
        <v>200</v>
      </c>
      <c r="J175" s="43">
        <f t="shared" si="13"/>
        <v>200</v>
      </c>
      <c r="K175" s="10">
        <v>0</v>
      </c>
      <c r="L175" s="47">
        <f t="shared" si="14"/>
        <v>0</v>
      </c>
      <c r="M175" s="47">
        <f t="shared" si="15"/>
        <v>-200</v>
      </c>
      <c r="W175" s="7" t="str">
        <f t="shared" si="16"/>
        <v>Jul</v>
      </c>
    </row>
    <row r="176" spans="2:23" ht="18" x14ac:dyDescent="0.35">
      <c r="B176" s="53">
        <v>45857</v>
      </c>
      <c r="C176" s="10" t="s">
        <v>115</v>
      </c>
      <c r="D176" s="10"/>
      <c r="E176" s="3" t="s">
        <v>478</v>
      </c>
      <c r="F176" s="43" t="s">
        <v>204</v>
      </c>
      <c r="G176" s="43" t="s">
        <v>20</v>
      </c>
      <c r="H176" s="45">
        <v>1</v>
      </c>
      <c r="I176" s="43">
        <f>INDEX('حركة المخزن'!O:O,MATCH('تحليل مبيعات'!C176,'حركة المخزن'!B:B,0))</f>
        <v>220</v>
      </c>
      <c r="J176" s="43">
        <f t="shared" si="13"/>
        <v>220</v>
      </c>
      <c r="K176" s="10">
        <v>0</v>
      </c>
      <c r="L176" s="47">
        <f t="shared" si="14"/>
        <v>0</v>
      </c>
      <c r="M176" s="47">
        <f t="shared" si="15"/>
        <v>-220</v>
      </c>
      <c r="W176" s="7" t="str">
        <f t="shared" si="16"/>
        <v>Jul</v>
      </c>
    </row>
    <row r="177" spans="2:23" ht="18" x14ac:dyDescent="0.35">
      <c r="B177" s="53">
        <v>45857</v>
      </c>
      <c r="C177" s="10" t="s">
        <v>89</v>
      </c>
      <c r="D177" s="10"/>
      <c r="E177" s="3" t="s">
        <v>478</v>
      </c>
      <c r="F177" s="43" t="s">
        <v>204</v>
      </c>
      <c r="G177" s="43" t="s">
        <v>20</v>
      </c>
      <c r="H177" s="45">
        <v>2</v>
      </c>
      <c r="I177" s="43">
        <f>INDEX('حركة المخزن'!O:O,MATCH('تحليل مبيعات'!C177,'حركة المخزن'!B:B,0))</f>
        <v>50</v>
      </c>
      <c r="J177" s="43">
        <f t="shared" si="13"/>
        <v>100</v>
      </c>
      <c r="K177" s="10">
        <v>0</v>
      </c>
      <c r="L177" s="47">
        <f t="shared" si="14"/>
        <v>0</v>
      </c>
      <c r="M177" s="47">
        <f t="shared" si="15"/>
        <v>-100</v>
      </c>
      <c r="W177" s="7" t="str">
        <f t="shared" si="16"/>
        <v>Jul</v>
      </c>
    </row>
    <row r="178" spans="2:23" ht="18" x14ac:dyDescent="0.35">
      <c r="B178" s="53">
        <v>45857</v>
      </c>
      <c r="C178" s="10" t="s">
        <v>116</v>
      </c>
      <c r="D178" s="10"/>
      <c r="E178" s="3" t="s">
        <v>478</v>
      </c>
      <c r="F178" s="43" t="s">
        <v>204</v>
      </c>
      <c r="G178" s="43" t="s">
        <v>20</v>
      </c>
      <c r="H178" s="45">
        <v>2</v>
      </c>
      <c r="I178" s="43">
        <f>INDEX('حركة المخزن'!O:O,MATCH('تحليل مبيعات'!C178,'حركة المخزن'!B:B,0))</f>
        <v>95</v>
      </c>
      <c r="J178" s="43">
        <f t="shared" si="13"/>
        <v>190</v>
      </c>
      <c r="K178" s="10">
        <v>2500</v>
      </c>
      <c r="L178" s="43">
        <f t="shared" si="14"/>
        <v>5000</v>
      </c>
      <c r="M178" s="43">
        <f t="shared" si="15"/>
        <v>4810</v>
      </c>
      <c r="W178" s="7" t="str">
        <f t="shared" si="16"/>
        <v>Jul</v>
      </c>
    </row>
    <row r="179" spans="2:23" ht="18" x14ac:dyDescent="0.35">
      <c r="B179" s="53">
        <v>45857</v>
      </c>
      <c r="C179" s="10" t="s">
        <v>131</v>
      </c>
      <c r="D179" s="10"/>
      <c r="E179" s="3" t="s">
        <v>478</v>
      </c>
      <c r="F179" s="43" t="s">
        <v>204</v>
      </c>
      <c r="G179" s="43" t="s">
        <v>20</v>
      </c>
      <c r="H179" s="45">
        <v>1</v>
      </c>
      <c r="I179" s="43">
        <f>INDEX('حركة المخزن'!O:O,MATCH('تحليل مبيعات'!C179,'حركة المخزن'!B:B,0))</f>
        <v>100</v>
      </c>
      <c r="J179" s="43">
        <f t="shared" si="13"/>
        <v>100</v>
      </c>
      <c r="K179" s="10">
        <v>2500</v>
      </c>
      <c r="L179" s="43">
        <f t="shared" si="14"/>
        <v>2500</v>
      </c>
      <c r="M179" s="43">
        <f t="shared" si="15"/>
        <v>2400</v>
      </c>
      <c r="W179" s="7" t="str">
        <f t="shared" si="16"/>
        <v>Jul</v>
      </c>
    </row>
    <row r="180" spans="2:23" ht="18" x14ac:dyDescent="0.35">
      <c r="B180" s="53">
        <v>45857</v>
      </c>
      <c r="C180" s="10" t="s">
        <v>132</v>
      </c>
      <c r="D180" s="10"/>
      <c r="E180" s="3" t="s">
        <v>478</v>
      </c>
      <c r="F180" s="43" t="s">
        <v>204</v>
      </c>
      <c r="G180" s="43" t="s">
        <v>20</v>
      </c>
      <c r="H180" s="45">
        <v>1</v>
      </c>
      <c r="I180" s="43">
        <f>INDEX('حركة المخزن'!O:O,MATCH('تحليل مبيعات'!C180,'حركة المخزن'!B:B,0))</f>
        <v>50</v>
      </c>
      <c r="J180" s="43">
        <f t="shared" si="13"/>
        <v>50</v>
      </c>
      <c r="K180" s="10">
        <v>2690</v>
      </c>
      <c r="L180" s="43">
        <f t="shared" si="14"/>
        <v>2690</v>
      </c>
      <c r="M180" s="43">
        <f t="shared" si="15"/>
        <v>2640</v>
      </c>
      <c r="W180" s="7" t="str">
        <f t="shared" si="16"/>
        <v>Jul</v>
      </c>
    </row>
    <row r="181" spans="2:23" ht="18" x14ac:dyDescent="0.35">
      <c r="B181" s="53">
        <v>45857</v>
      </c>
      <c r="C181" s="10" t="s">
        <v>117</v>
      </c>
      <c r="D181" s="10"/>
      <c r="E181" s="3" t="s">
        <v>519</v>
      </c>
      <c r="F181" s="43" t="s">
        <v>204</v>
      </c>
      <c r="G181" s="43" t="s">
        <v>20</v>
      </c>
      <c r="H181" s="45">
        <v>1</v>
      </c>
      <c r="I181" s="43">
        <f>INDEX('حركة المخزن'!O:O,MATCH('تحليل مبيعات'!C181,'حركة المخزن'!B:B,0))</f>
        <v>80</v>
      </c>
      <c r="J181" s="43">
        <f t="shared" si="13"/>
        <v>80</v>
      </c>
      <c r="K181" s="10">
        <v>4690</v>
      </c>
      <c r="L181" s="43">
        <f t="shared" si="14"/>
        <v>4690</v>
      </c>
      <c r="M181" s="43">
        <f t="shared" si="15"/>
        <v>4610</v>
      </c>
      <c r="W181" s="7" t="str">
        <f t="shared" si="16"/>
        <v>Jul</v>
      </c>
    </row>
    <row r="182" spans="2:23" ht="18" x14ac:dyDescent="0.35">
      <c r="B182" s="53">
        <v>45857</v>
      </c>
      <c r="C182" s="10" t="s">
        <v>94</v>
      </c>
      <c r="D182" s="10"/>
      <c r="E182" s="3" t="s">
        <v>519</v>
      </c>
      <c r="F182" s="43" t="s">
        <v>204</v>
      </c>
      <c r="G182" s="43" t="s">
        <v>20</v>
      </c>
      <c r="H182" s="45">
        <v>5</v>
      </c>
      <c r="I182" s="43">
        <f>INDEX('حركة المخزن'!O:O,MATCH('تحليل مبيعات'!C182,'حركة المخزن'!B:B,0))</f>
        <v>100</v>
      </c>
      <c r="J182" s="43">
        <f t="shared" si="13"/>
        <v>500</v>
      </c>
      <c r="K182" s="10">
        <v>175</v>
      </c>
      <c r="L182" s="43">
        <f t="shared" si="14"/>
        <v>875</v>
      </c>
      <c r="M182" s="43">
        <f t="shared" si="15"/>
        <v>375</v>
      </c>
      <c r="W182" s="7" t="str">
        <f t="shared" si="16"/>
        <v>Jul</v>
      </c>
    </row>
    <row r="183" spans="2:23" ht="18" x14ac:dyDescent="0.35">
      <c r="B183" s="53">
        <v>45857</v>
      </c>
      <c r="C183" s="10" t="s">
        <v>87</v>
      </c>
      <c r="D183" s="10"/>
      <c r="E183" s="3" t="s">
        <v>520</v>
      </c>
      <c r="F183" s="43" t="s">
        <v>204</v>
      </c>
      <c r="G183" s="43" t="s">
        <v>20</v>
      </c>
      <c r="H183" s="45">
        <v>1</v>
      </c>
      <c r="I183" s="43">
        <f>INDEX('حركة المخزن'!O:O,MATCH('تحليل مبيعات'!C183,'حركة المخزن'!B:B,0))</f>
        <v>54</v>
      </c>
      <c r="J183" s="43">
        <f t="shared" si="13"/>
        <v>54</v>
      </c>
      <c r="K183" s="10">
        <v>250</v>
      </c>
      <c r="L183" s="43">
        <f t="shared" si="14"/>
        <v>250</v>
      </c>
      <c r="M183" s="43">
        <f t="shared" si="15"/>
        <v>196</v>
      </c>
      <c r="W183" s="7" t="str">
        <f t="shared" si="16"/>
        <v>Jul</v>
      </c>
    </row>
    <row r="184" spans="2:23" ht="18" x14ac:dyDescent="0.35">
      <c r="B184" s="53">
        <v>45857</v>
      </c>
      <c r="C184" s="10" t="s">
        <v>79</v>
      </c>
      <c r="D184" s="10"/>
      <c r="E184" s="3" t="s">
        <v>516</v>
      </c>
      <c r="F184" s="43" t="s">
        <v>204</v>
      </c>
      <c r="G184" s="43" t="s">
        <v>20</v>
      </c>
      <c r="H184" s="45">
        <v>1</v>
      </c>
      <c r="I184" s="43">
        <f>INDEX('حركة المخزن'!O:O,MATCH('تحليل مبيعات'!C184,'حركة المخزن'!B:B,0))</f>
        <v>50</v>
      </c>
      <c r="J184" s="43">
        <f t="shared" si="13"/>
        <v>50</v>
      </c>
      <c r="K184" s="10">
        <v>620</v>
      </c>
      <c r="L184" s="43">
        <f t="shared" si="14"/>
        <v>620</v>
      </c>
      <c r="M184" s="43">
        <f t="shared" si="15"/>
        <v>570</v>
      </c>
      <c r="W184" s="7" t="str">
        <f t="shared" si="16"/>
        <v>Jul</v>
      </c>
    </row>
    <row r="185" spans="2:23" ht="18" x14ac:dyDescent="0.35">
      <c r="B185" s="53">
        <v>45857</v>
      </c>
      <c r="C185" s="10" t="s">
        <v>118</v>
      </c>
      <c r="D185" s="10"/>
      <c r="E185" s="3" t="s">
        <v>516</v>
      </c>
      <c r="F185" s="43" t="s">
        <v>204</v>
      </c>
      <c r="G185" s="43" t="s">
        <v>20</v>
      </c>
      <c r="H185" s="45">
        <v>1</v>
      </c>
      <c r="I185" s="43">
        <f>INDEX('حركة المخزن'!O:O,MATCH('تحليل مبيعات'!C185,'حركة المخزن'!B:B,0))</f>
        <v>105</v>
      </c>
      <c r="J185" s="43">
        <f t="shared" si="13"/>
        <v>105</v>
      </c>
      <c r="K185" s="10">
        <v>250</v>
      </c>
      <c r="L185" s="43">
        <f t="shared" si="14"/>
        <v>250</v>
      </c>
      <c r="M185" s="43">
        <f t="shared" si="15"/>
        <v>145</v>
      </c>
      <c r="W185" s="7" t="str">
        <f t="shared" si="16"/>
        <v>Jul</v>
      </c>
    </row>
    <row r="186" spans="2:23" ht="18" x14ac:dyDescent="0.35">
      <c r="B186" s="53">
        <v>45857</v>
      </c>
      <c r="C186" s="10" t="s">
        <v>120</v>
      </c>
      <c r="D186" s="10"/>
      <c r="E186" s="3" t="s">
        <v>517</v>
      </c>
      <c r="F186" s="10" t="s">
        <v>1</v>
      </c>
      <c r="G186" s="43" t="s">
        <v>20</v>
      </c>
      <c r="H186" s="45">
        <v>1</v>
      </c>
      <c r="I186" s="43">
        <f>INDEX('حركة المخزن'!O:O,MATCH('تحليل مبيعات'!C186,'حركة المخزن'!B:B,0))</f>
        <v>355</v>
      </c>
      <c r="J186" s="43">
        <f t="shared" si="13"/>
        <v>355</v>
      </c>
      <c r="K186" s="10">
        <v>2500</v>
      </c>
      <c r="L186" s="43">
        <f t="shared" si="14"/>
        <v>2500</v>
      </c>
      <c r="M186" s="43">
        <f t="shared" si="15"/>
        <v>2145</v>
      </c>
      <c r="W186" s="7" t="str">
        <f t="shared" si="16"/>
        <v>Jul</v>
      </c>
    </row>
    <row r="187" spans="2:23" ht="15.6" x14ac:dyDescent="0.3">
      <c r="B187" s="53">
        <v>45858</v>
      </c>
      <c r="C187" s="10" t="s">
        <v>76</v>
      </c>
      <c r="D187" s="10"/>
      <c r="E187" s="43" t="s">
        <v>518</v>
      </c>
      <c r="F187" s="10" t="s">
        <v>1</v>
      </c>
      <c r="G187" s="43" t="s">
        <v>20</v>
      </c>
      <c r="H187" s="45">
        <v>1</v>
      </c>
      <c r="I187" s="43">
        <f>INDEX('حركة المخزن'!O:O,MATCH('تحليل مبيعات'!C187,'حركة المخزن'!B:B,0))</f>
        <v>370</v>
      </c>
      <c r="J187" s="43">
        <f t="shared" si="13"/>
        <v>370</v>
      </c>
      <c r="K187" s="10">
        <v>1650</v>
      </c>
      <c r="L187" s="43">
        <f t="shared" si="14"/>
        <v>1650</v>
      </c>
      <c r="M187" s="43">
        <f t="shared" si="15"/>
        <v>1280</v>
      </c>
      <c r="W187" s="7" t="str">
        <f t="shared" si="16"/>
        <v>Jul</v>
      </c>
    </row>
    <row r="188" spans="2:23" ht="18" x14ac:dyDescent="0.35">
      <c r="B188" s="53">
        <v>45858</v>
      </c>
      <c r="C188" s="10" t="s">
        <v>103</v>
      </c>
      <c r="D188" s="10"/>
      <c r="E188" s="3" t="s">
        <v>478</v>
      </c>
      <c r="F188" s="43" t="s">
        <v>204</v>
      </c>
      <c r="G188" s="43" t="s">
        <v>20</v>
      </c>
      <c r="H188" s="45">
        <v>1</v>
      </c>
      <c r="I188" s="43">
        <f>INDEX('حركة المخزن'!O:O,MATCH('تحليل مبيعات'!C188,'حركة المخزن'!B:B,0))</f>
        <v>60</v>
      </c>
      <c r="J188" s="43">
        <f t="shared" si="13"/>
        <v>60</v>
      </c>
      <c r="K188" s="10">
        <v>150</v>
      </c>
      <c r="L188" s="43">
        <f t="shared" si="14"/>
        <v>150</v>
      </c>
      <c r="M188" s="43">
        <f t="shared" si="15"/>
        <v>90</v>
      </c>
      <c r="W188" s="7" t="str">
        <f t="shared" si="16"/>
        <v>Jul</v>
      </c>
    </row>
    <row r="189" spans="2:23" ht="15.6" x14ac:dyDescent="0.3">
      <c r="B189" s="53">
        <v>45858</v>
      </c>
      <c r="C189" s="10" t="s">
        <v>43</v>
      </c>
      <c r="D189" s="10"/>
      <c r="E189" s="43" t="s">
        <v>518</v>
      </c>
      <c r="F189" s="43" t="s">
        <v>204</v>
      </c>
      <c r="G189" s="43" t="s">
        <v>20</v>
      </c>
      <c r="H189" s="45">
        <v>1</v>
      </c>
      <c r="I189" s="43">
        <f>INDEX('حركة المخزن'!O:O,MATCH('تحليل مبيعات'!C189,'حركة المخزن'!B:B,0))</f>
        <v>110</v>
      </c>
      <c r="J189" s="43">
        <f t="shared" si="13"/>
        <v>110</v>
      </c>
      <c r="K189" s="10">
        <v>220</v>
      </c>
      <c r="L189" s="43">
        <f t="shared" si="14"/>
        <v>220</v>
      </c>
      <c r="M189" s="43">
        <f t="shared" si="15"/>
        <v>110</v>
      </c>
      <c r="W189" s="7" t="str">
        <f t="shared" si="16"/>
        <v>Jul</v>
      </c>
    </row>
    <row r="190" spans="2:23" ht="18" x14ac:dyDescent="0.35">
      <c r="B190" s="53">
        <v>45858</v>
      </c>
      <c r="C190" s="10" t="s">
        <v>25</v>
      </c>
      <c r="D190" s="10"/>
      <c r="E190" s="3" t="s">
        <v>476</v>
      </c>
      <c r="F190" s="43" t="s">
        <v>204</v>
      </c>
      <c r="G190" s="43" t="s">
        <v>20</v>
      </c>
      <c r="H190" s="45">
        <v>1</v>
      </c>
      <c r="I190" s="43">
        <f>INDEX('حركة المخزن'!O:O,MATCH('تحليل مبيعات'!C190,'حركة المخزن'!B:B,0))</f>
        <v>60</v>
      </c>
      <c r="J190" s="43">
        <f t="shared" si="13"/>
        <v>60</v>
      </c>
      <c r="K190" s="10">
        <v>350</v>
      </c>
      <c r="L190" s="43">
        <f t="shared" si="14"/>
        <v>350</v>
      </c>
      <c r="M190" s="43">
        <f t="shared" si="15"/>
        <v>290</v>
      </c>
      <c r="W190" s="7" t="str">
        <f t="shared" si="16"/>
        <v>Jul</v>
      </c>
    </row>
    <row r="191" spans="2:23" ht="18" x14ac:dyDescent="0.35">
      <c r="B191" s="53">
        <v>45858</v>
      </c>
      <c r="C191" s="10" t="s">
        <v>63</v>
      </c>
      <c r="D191" s="10"/>
      <c r="E191" s="3" t="s">
        <v>520</v>
      </c>
      <c r="F191" s="43" t="s">
        <v>204</v>
      </c>
      <c r="G191" s="43" t="s">
        <v>20</v>
      </c>
      <c r="H191" s="45">
        <v>4</v>
      </c>
      <c r="I191" s="43">
        <f>INDEX('حركة المخزن'!O:O,MATCH('تحليل مبيعات'!C191,'حركة المخزن'!B:B,0))</f>
        <v>150</v>
      </c>
      <c r="J191" s="43">
        <f t="shared" si="13"/>
        <v>600</v>
      </c>
      <c r="K191" s="10">
        <v>60</v>
      </c>
      <c r="L191" s="43">
        <f t="shared" si="14"/>
        <v>240</v>
      </c>
      <c r="M191" s="43">
        <f t="shared" si="15"/>
        <v>-360</v>
      </c>
      <c r="W191" s="7" t="str">
        <f t="shared" si="16"/>
        <v>Jul</v>
      </c>
    </row>
    <row r="192" spans="2:23" ht="15.6" x14ac:dyDescent="0.3">
      <c r="B192" s="53">
        <v>45858</v>
      </c>
      <c r="C192" s="10" t="s">
        <v>68</v>
      </c>
      <c r="D192" s="10"/>
      <c r="E192" s="43" t="s">
        <v>518</v>
      </c>
      <c r="F192" s="43" t="s">
        <v>204</v>
      </c>
      <c r="G192" s="43" t="s">
        <v>20</v>
      </c>
      <c r="H192" s="45">
        <v>1</v>
      </c>
      <c r="I192" s="43">
        <f>INDEX('حركة المخزن'!O:O,MATCH('تحليل مبيعات'!C192,'حركة المخزن'!B:B,0))</f>
        <v>175</v>
      </c>
      <c r="J192" s="43">
        <f t="shared" si="13"/>
        <v>175</v>
      </c>
      <c r="K192" s="10">
        <v>100</v>
      </c>
      <c r="L192" s="43">
        <f t="shared" si="14"/>
        <v>100</v>
      </c>
      <c r="M192" s="43">
        <f t="shared" si="15"/>
        <v>-75</v>
      </c>
      <c r="W192" s="7" t="str">
        <f t="shared" si="16"/>
        <v>Jul</v>
      </c>
    </row>
    <row r="193" spans="2:23" ht="18" x14ac:dyDescent="0.35">
      <c r="B193" s="53">
        <v>45858</v>
      </c>
      <c r="C193" s="10" t="s">
        <v>103</v>
      </c>
      <c r="D193" s="10"/>
      <c r="E193" s="3" t="s">
        <v>478</v>
      </c>
      <c r="F193" s="43" t="s">
        <v>204</v>
      </c>
      <c r="G193" s="43" t="s">
        <v>20</v>
      </c>
      <c r="H193" s="45">
        <v>1</v>
      </c>
      <c r="I193" s="43">
        <f>INDEX('حركة المخزن'!O:O,MATCH('تحليل مبيعات'!C193,'حركة المخزن'!B:B,0))</f>
        <v>60</v>
      </c>
      <c r="J193" s="43">
        <f t="shared" si="13"/>
        <v>60</v>
      </c>
      <c r="K193" s="10">
        <v>150</v>
      </c>
      <c r="L193" s="43">
        <f t="shared" si="14"/>
        <v>150</v>
      </c>
      <c r="M193" s="43">
        <f t="shared" si="15"/>
        <v>90</v>
      </c>
      <c r="W193" s="7" t="str">
        <f t="shared" si="16"/>
        <v>Jul</v>
      </c>
    </row>
    <row r="194" spans="2:23" ht="18" x14ac:dyDescent="0.35">
      <c r="B194" s="53">
        <v>45858</v>
      </c>
      <c r="C194" s="10" t="s">
        <v>122</v>
      </c>
      <c r="D194" s="10"/>
      <c r="E194" s="3" t="s">
        <v>476</v>
      </c>
      <c r="F194" s="43" t="s">
        <v>204</v>
      </c>
      <c r="G194" s="43" t="s">
        <v>20</v>
      </c>
      <c r="H194" s="45">
        <v>1</v>
      </c>
      <c r="I194" s="43">
        <f>INDEX('حركة المخزن'!O:O,MATCH('تحليل مبيعات'!C194,'حركة المخزن'!B:B,0))</f>
        <v>110</v>
      </c>
      <c r="J194" s="43">
        <f t="shared" si="13"/>
        <v>110</v>
      </c>
      <c r="K194" s="10">
        <v>220</v>
      </c>
      <c r="L194" s="43">
        <f t="shared" si="14"/>
        <v>220</v>
      </c>
      <c r="M194" s="43">
        <f t="shared" si="15"/>
        <v>110</v>
      </c>
      <c r="W194" s="7" t="str">
        <f t="shared" si="16"/>
        <v>Jul</v>
      </c>
    </row>
    <row r="195" spans="2:23" ht="18" x14ac:dyDescent="0.35">
      <c r="B195" s="53">
        <v>45858</v>
      </c>
      <c r="C195" s="10" t="s">
        <v>11</v>
      </c>
      <c r="D195" s="10"/>
      <c r="E195" s="3" t="s">
        <v>476</v>
      </c>
      <c r="F195" s="43" t="s">
        <v>204</v>
      </c>
      <c r="G195" s="43" t="s">
        <v>20</v>
      </c>
      <c r="H195" s="45">
        <v>1</v>
      </c>
      <c r="I195" s="43">
        <f>INDEX('حركة المخزن'!O:O,MATCH('تحليل مبيعات'!C195,'حركة المخزن'!B:B,0))</f>
        <v>100</v>
      </c>
      <c r="J195" s="43">
        <f t="shared" si="13"/>
        <v>100</v>
      </c>
      <c r="K195" s="10">
        <v>300</v>
      </c>
      <c r="L195" s="43">
        <f t="shared" si="14"/>
        <v>300</v>
      </c>
      <c r="M195" s="43">
        <f t="shared" si="15"/>
        <v>200</v>
      </c>
      <c r="W195" s="7" t="str">
        <f t="shared" si="16"/>
        <v>Jul</v>
      </c>
    </row>
    <row r="196" spans="2:23" ht="15.6" x14ac:dyDescent="0.3">
      <c r="B196" s="53">
        <v>45858</v>
      </c>
      <c r="C196" s="10" t="s">
        <v>63</v>
      </c>
      <c r="D196" s="10"/>
      <c r="E196" s="43" t="s">
        <v>518</v>
      </c>
      <c r="F196" s="43" t="s">
        <v>204</v>
      </c>
      <c r="G196" s="43" t="s">
        <v>20</v>
      </c>
      <c r="H196" s="45">
        <v>1</v>
      </c>
      <c r="I196" s="43">
        <f>INDEX('حركة المخزن'!O:O,MATCH('تحليل مبيعات'!C196,'حركة المخزن'!B:B,0))</f>
        <v>150</v>
      </c>
      <c r="J196" s="43">
        <f t="shared" si="13"/>
        <v>150</v>
      </c>
      <c r="K196" s="10">
        <v>60</v>
      </c>
      <c r="L196" s="43">
        <f t="shared" si="14"/>
        <v>60</v>
      </c>
      <c r="M196" s="43">
        <f t="shared" si="15"/>
        <v>-90</v>
      </c>
      <c r="W196" s="7" t="str">
        <f t="shared" si="16"/>
        <v>Jul</v>
      </c>
    </row>
    <row r="197" spans="2:23" ht="15.6" x14ac:dyDescent="0.3">
      <c r="B197" s="53">
        <v>45858</v>
      </c>
      <c r="C197" s="10" t="s">
        <v>75</v>
      </c>
      <c r="D197" s="10"/>
      <c r="E197" s="43" t="s">
        <v>518</v>
      </c>
      <c r="F197" s="43" t="s">
        <v>204</v>
      </c>
      <c r="G197" s="43" t="s">
        <v>20</v>
      </c>
      <c r="H197" s="45">
        <v>1</v>
      </c>
      <c r="I197" s="43">
        <f>INDEX('حركة المخزن'!O:O,MATCH('تحليل مبيعات'!C197,'حركة المخزن'!B:B,0))</f>
        <v>200</v>
      </c>
      <c r="J197" s="43">
        <f t="shared" si="13"/>
        <v>200</v>
      </c>
      <c r="K197" s="10">
        <v>30</v>
      </c>
      <c r="L197" s="43">
        <f t="shared" si="14"/>
        <v>30</v>
      </c>
      <c r="M197" s="43">
        <f t="shared" si="15"/>
        <v>-170</v>
      </c>
      <c r="W197" s="7" t="str">
        <f t="shared" si="16"/>
        <v>Jul</v>
      </c>
    </row>
    <row r="198" spans="2:23" ht="15.6" x14ac:dyDescent="0.3">
      <c r="B198" s="53">
        <v>45858</v>
      </c>
      <c r="C198" s="10" t="s">
        <v>123</v>
      </c>
      <c r="D198" s="10"/>
      <c r="E198" s="43" t="s">
        <v>518</v>
      </c>
      <c r="F198" s="43" t="s">
        <v>204</v>
      </c>
      <c r="G198" s="43" t="s">
        <v>20</v>
      </c>
      <c r="H198" s="45">
        <v>1</v>
      </c>
      <c r="I198" s="43">
        <f>INDEX('حركة المخزن'!O:O,MATCH('تحليل مبيعات'!C198,'حركة المخزن'!B:B,0))</f>
        <v>115</v>
      </c>
      <c r="J198" s="43">
        <f t="shared" si="13"/>
        <v>115</v>
      </c>
      <c r="K198" s="10">
        <v>70</v>
      </c>
      <c r="L198" s="43">
        <f t="shared" si="14"/>
        <v>70</v>
      </c>
      <c r="M198" s="43">
        <f t="shared" si="15"/>
        <v>-45</v>
      </c>
      <c r="W198" s="7" t="str">
        <f t="shared" si="16"/>
        <v>Jul</v>
      </c>
    </row>
    <row r="199" spans="2:23" ht="18" x14ac:dyDescent="0.35">
      <c r="B199" s="53">
        <v>45858</v>
      </c>
      <c r="C199" s="10" t="s">
        <v>124</v>
      </c>
      <c r="D199" s="10"/>
      <c r="E199" s="3" t="s">
        <v>516</v>
      </c>
      <c r="F199" s="43" t="s">
        <v>204</v>
      </c>
      <c r="G199" s="43" t="s">
        <v>20</v>
      </c>
      <c r="H199" s="45">
        <v>1</v>
      </c>
      <c r="I199" s="43">
        <f>INDEX('حركة المخزن'!O:O,MATCH('تحليل مبيعات'!C199,'حركة المخزن'!B:B,0))</f>
        <v>120</v>
      </c>
      <c r="J199" s="43">
        <f t="shared" si="13"/>
        <v>120</v>
      </c>
      <c r="K199" s="10">
        <v>800</v>
      </c>
      <c r="L199" s="43">
        <f t="shared" si="14"/>
        <v>800</v>
      </c>
      <c r="M199" s="43">
        <f t="shared" si="15"/>
        <v>680</v>
      </c>
      <c r="W199" s="7" t="str">
        <f t="shared" si="16"/>
        <v>Jul</v>
      </c>
    </row>
    <row r="200" spans="2:23" ht="18" x14ac:dyDescent="0.35">
      <c r="B200" s="53">
        <v>45858</v>
      </c>
      <c r="C200" s="10" t="s">
        <v>125</v>
      </c>
      <c r="D200" s="10"/>
      <c r="E200" s="3" t="s">
        <v>516</v>
      </c>
      <c r="F200" s="43" t="s">
        <v>204</v>
      </c>
      <c r="G200" s="43" t="s">
        <v>20</v>
      </c>
      <c r="H200" s="45">
        <v>1</v>
      </c>
      <c r="I200" s="43">
        <f>INDEX('حركة المخزن'!O:O,MATCH('تحليل مبيعات'!C200,'حركة المخزن'!B:B,0))</f>
        <v>125</v>
      </c>
      <c r="J200" s="43">
        <f t="shared" si="13"/>
        <v>125</v>
      </c>
      <c r="K200" s="10">
        <v>100</v>
      </c>
      <c r="L200" s="43">
        <f t="shared" si="14"/>
        <v>100</v>
      </c>
      <c r="M200" s="43">
        <f t="shared" si="15"/>
        <v>-25</v>
      </c>
      <c r="W200" s="7" t="str">
        <f t="shared" si="16"/>
        <v>Jul</v>
      </c>
    </row>
    <row r="201" spans="2:23" ht="15.6" x14ac:dyDescent="0.3">
      <c r="B201" s="53">
        <v>45858</v>
      </c>
      <c r="C201" s="10" t="s">
        <v>45</v>
      </c>
      <c r="D201" s="10"/>
      <c r="E201" s="43" t="s">
        <v>518</v>
      </c>
      <c r="F201" s="43" t="s">
        <v>204</v>
      </c>
      <c r="G201" s="43" t="s">
        <v>20</v>
      </c>
      <c r="H201" s="45">
        <v>1</v>
      </c>
      <c r="I201" s="43">
        <f>INDEX('حركة المخزن'!O:O,MATCH('تحليل مبيعات'!C201,'حركة المخزن'!B:B,0))</f>
        <v>115</v>
      </c>
      <c r="J201" s="43">
        <f t="shared" si="13"/>
        <v>115</v>
      </c>
      <c r="K201" s="10">
        <v>675</v>
      </c>
      <c r="L201" s="47">
        <f t="shared" si="14"/>
        <v>675</v>
      </c>
      <c r="M201" s="47">
        <f t="shared" si="15"/>
        <v>560</v>
      </c>
      <c r="W201" s="7" t="str">
        <f t="shared" si="16"/>
        <v>Jul</v>
      </c>
    </row>
    <row r="202" spans="2:23" ht="15.6" x14ac:dyDescent="0.3">
      <c r="B202" s="53">
        <v>45858</v>
      </c>
      <c r="C202" s="10" t="s">
        <v>127</v>
      </c>
      <c r="D202" s="10"/>
      <c r="E202" s="43" t="s">
        <v>518</v>
      </c>
      <c r="F202" s="43" t="s">
        <v>204</v>
      </c>
      <c r="G202" s="43" t="s">
        <v>20</v>
      </c>
      <c r="H202" s="45">
        <v>1</v>
      </c>
      <c r="I202" s="43">
        <f>INDEX('حركة المخزن'!O:O,MATCH('تحليل مبيعات'!C202,'حركة المخزن'!B:B,0))</f>
        <v>130</v>
      </c>
      <c r="J202" s="43">
        <f t="shared" si="13"/>
        <v>130</v>
      </c>
      <c r="K202" s="10">
        <v>100</v>
      </c>
      <c r="L202" s="43">
        <f t="shared" si="14"/>
        <v>100</v>
      </c>
      <c r="M202" s="43">
        <f t="shared" si="15"/>
        <v>-30</v>
      </c>
      <c r="W202" s="7" t="str">
        <f t="shared" si="16"/>
        <v>Jul</v>
      </c>
    </row>
    <row r="203" spans="2:23" ht="15.6" x14ac:dyDescent="0.3">
      <c r="B203" s="53">
        <v>45858</v>
      </c>
      <c r="C203" s="10" t="s">
        <v>121</v>
      </c>
      <c r="D203" s="10"/>
      <c r="E203" s="43" t="s">
        <v>518</v>
      </c>
      <c r="F203" s="43" t="s">
        <v>204</v>
      </c>
      <c r="G203" s="43" t="s">
        <v>20</v>
      </c>
      <c r="H203" s="45">
        <v>1</v>
      </c>
      <c r="I203" s="43">
        <f>INDEX('حركة المخزن'!O:O,MATCH('تحليل مبيعات'!C203,'حركة المخزن'!B:B,0))</f>
        <v>135</v>
      </c>
      <c r="J203" s="43">
        <f t="shared" ref="J203:J266" si="17">H203*I203</f>
        <v>135</v>
      </c>
      <c r="K203" s="10">
        <v>50</v>
      </c>
      <c r="L203" s="43">
        <f t="shared" ref="L203:L266" si="18">H203*K203</f>
        <v>50</v>
      </c>
      <c r="M203" s="43">
        <f t="shared" ref="M203:M266" si="19">L203-J203</f>
        <v>-85</v>
      </c>
      <c r="W203" s="7" t="str">
        <f t="shared" ref="W203:W266" si="20">IF(B203="","",TEXT(B203,"mmm"))</f>
        <v>Jul</v>
      </c>
    </row>
    <row r="204" spans="2:23" ht="15.6" x14ac:dyDescent="0.3">
      <c r="B204" s="53">
        <v>45858</v>
      </c>
      <c r="C204" s="10" t="s">
        <v>126</v>
      </c>
      <c r="D204" s="10"/>
      <c r="E204" s="43" t="s">
        <v>518</v>
      </c>
      <c r="F204" s="43" t="s">
        <v>204</v>
      </c>
      <c r="G204" s="43" t="s">
        <v>20</v>
      </c>
      <c r="H204" s="45">
        <v>1</v>
      </c>
      <c r="I204" s="43">
        <f>INDEX('حركة المخزن'!O:O,MATCH('تحليل مبيعات'!C204,'حركة المخزن'!B:B,0))</f>
        <v>140</v>
      </c>
      <c r="J204" s="43">
        <f t="shared" si="17"/>
        <v>140</v>
      </c>
      <c r="K204" s="10">
        <v>320</v>
      </c>
      <c r="L204" s="43">
        <f t="shared" si="18"/>
        <v>320</v>
      </c>
      <c r="M204" s="43">
        <f t="shared" si="19"/>
        <v>180</v>
      </c>
      <c r="W204" s="7" t="str">
        <f t="shared" si="20"/>
        <v>Jul</v>
      </c>
    </row>
    <row r="205" spans="2:23" ht="15.6" x14ac:dyDescent="0.3">
      <c r="B205" s="53">
        <v>45858</v>
      </c>
      <c r="C205" s="10" t="s">
        <v>75</v>
      </c>
      <c r="D205" s="10"/>
      <c r="E205" s="43" t="s">
        <v>518</v>
      </c>
      <c r="F205" s="43" t="s">
        <v>204</v>
      </c>
      <c r="G205" s="43" t="s">
        <v>20</v>
      </c>
      <c r="H205" s="45">
        <v>1</v>
      </c>
      <c r="I205" s="43">
        <f>INDEX('حركة المخزن'!O:O,MATCH('تحليل مبيعات'!C205,'حركة المخزن'!B:B,0))</f>
        <v>200</v>
      </c>
      <c r="J205" s="43">
        <f t="shared" si="17"/>
        <v>200</v>
      </c>
      <c r="K205" s="10">
        <v>30</v>
      </c>
      <c r="L205" s="43">
        <f t="shared" si="18"/>
        <v>30</v>
      </c>
      <c r="M205" s="43">
        <f t="shared" si="19"/>
        <v>-170</v>
      </c>
      <c r="W205" s="7" t="str">
        <f t="shared" si="20"/>
        <v>Jul</v>
      </c>
    </row>
    <row r="206" spans="2:23" ht="15.6" x14ac:dyDescent="0.3">
      <c r="B206" s="53">
        <v>45859</v>
      </c>
      <c r="C206" s="10" t="s">
        <v>110</v>
      </c>
      <c r="D206" s="10"/>
      <c r="E206" s="43" t="s">
        <v>518</v>
      </c>
      <c r="F206" s="43" t="s">
        <v>204</v>
      </c>
      <c r="G206" s="43" t="s">
        <v>20</v>
      </c>
      <c r="H206" s="45">
        <v>2</v>
      </c>
      <c r="I206" s="43">
        <f>INDEX('حركة المخزن'!O:O,MATCH('تحليل مبيعات'!C206,'حركة المخزن'!B:B,0))</f>
        <v>75</v>
      </c>
      <c r="J206" s="43">
        <f t="shared" si="17"/>
        <v>150</v>
      </c>
      <c r="K206" s="10">
        <v>25</v>
      </c>
      <c r="L206" s="43">
        <f t="shared" si="18"/>
        <v>50</v>
      </c>
      <c r="M206" s="43">
        <f t="shared" si="19"/>
        <v>-100</v>
      </c>
      <c r="W206" s="7" t="str">
        <f t="shared" si="20"/>
        <v>Jul</v>
      </c>
    </row>
    <row r="207" spans="2:23" ht="15.6" x14ac:dyDescent="0.3">
      <c r="B207" s="53">
        <v>45859</v>
      </c>
      <c r="C207" s="10" t="s">
        <v>140</v>
      </c>
      <c r="D207" s="10"/>
      <c r="E207" s="43" t="s">
        <v>518</v>
      </c>
      <c r="F207" s="43" t="s">
        <v>204</v>
      </c>
      <c r="G207" s="43" t="s">
        <v>20</v>
      </c>
      <c r="H207" s="45">
        <v>1</v>
      </c>
      <c r="I207" s="43">
        <f>INDEX('حركة المخزن'!O:O,MATCH('تحليل مبيعات'!C207,'حركة المخزن'!B:B,0))</f>
        <v>145</v>
      </c>
      <c r="J207" s="43">
        <f t="shared" si="17"/>
        <v>145</v>
      </c>
      <c r="K207" s="10">
        <v>125</v>
      </c>
      <c r="L207" s="43">
        <f t="shared" si="18"/>
        <v>125</v>
      </c>
      <c r="M207" s="43">
        <f t="shared" si="19"/>
        <v>-20</v>
      </c>
      <c r="W207" s="7" t="str">
        <f t="shared" si="20"/>
        <v>Jul</v>
      </c>
    </row>
    <row r="208" spans="2:23" ht="15.6" x14ac:dyDescent="0.3">
      <c r="B208" s="53">
        <v>45859</v>
      </c>
      <c r="C208" s="10" t="s">
        <v>129</v>
      </c>
      <c r="D208" s="10"/>
      <c r="E208" s="43" t="s">
        <v>518</v>
      </c>
      <c r="F208" s="43" t="s">
        <v>204</v>
      </c>
      <c r="G208" s="43" t="s">
        <v>20</v>
      </c>
      <c r="H208" s="45">
        <v>1</v>
      </c>
      <c r="I208" s="43">
        <f>INDEX('حركة المخزن'!O:O,MATCH('تحليل مبيعات'!C208,'حركة المخزن'!B:B,0))</f>
        <v>100</v>
      </c>
      <c r="J208" s="43">
        <f t="shared" si="17"/>
        <v>100</v>
      </c>
      <c r="K208" s="10">
        <v>300</v>
      </c>
      <c r="L208" s="43">
        <f t="shared" si="18"/>
        <v>300</v>
      </c>
      <c r="M208" s="43">
        <f t="shared" si="19"/>
        <v>200</v>
      </c>
      <c r="W208" s="7" t="str">
        <f t="shared" si="20"/>
        <v>Jul</v>
      </c>
    </row>
    <row r="209" spans="2:23" ht="15.6" x14ac:dyDescent="0.3">
      <c r="B209" s="53">
        <v>45859</v>
      </c>
      <c r="C209" s="10" t="s">
        <v>45</v>
      </c>
      <c r="D209" s="10"/>
      <c r="E209" s="43" t="s">
        <v>518</v>
      </c>
      <c r="F209" s="43" t="s">
        <v>204</v>
      </c>
      <c r="G209" s="43" t="s">
        <v>20</v>
      </c>
      <c r="H209" s="45">
        <v>1</v>
      </c>
      <c r="I209" s="43">
        <f>INDEX('حركة المخزن'!O:O,MATCH('تحليل مبيعات'!C209,'حركة المخزن'!B:B,0))</f>
        <v>115</v>
      </c>
      <c r="J209" s="43">
        <f t="shared" si="17"/>
        <v>115</v>
      </c>
      <c r="K209" s="10">
        <v>700</v>
      </c>
      <c r="L209" s="43">
        <f t="shared" si="18"/>
        <v>700</v>
      </c>
      <c r="M209" s="43">
        <f t="shared" si="19"/>
        <v>585</v>
      </c>
      <c r="W209" s="7" t="str">
        <f t="shared" si="20"/>
        <v>Jul</v>
      </c>
    </row>
    <row r="210" spans="2:23" ht="15.6" x14ac:dyDescent="0.3">
      <c r="B210" s="53">
        <v>45859</v>
      </c>
      <c r="C210" s="10" t="s">
        <v>130</v>
      </c>
      <c r="D210" s="10"/>
      <c r="E210" s="43" t="s">
        <v>518</v>
      </c>
      <c r="F210" s="43" t="s">
        <v>204</v>
      </c>
      <c r="G210" s="43" t="s">
        <v>20</v>
      </c>
      <c r="H210" s="45">
        <v>1</v>
      </c>
      <c r="I210" s="43">
        <f>INDEX('حركة المخزن'!O:O,MATCH('تحليل مبيعات'!C210,'حركة المخزن'!B:B,0))</f>
        <v>150</v>
      </c>
      <c r="J210" s="43">
        <f t="shared" si="17"/>
        <v>150</v>
      </c>
      <c r="K210" s="10">
        <v>80</v>
      </c>
      <c r="L210" s="43">
        <f t="shared" si="18"/>
        <v>80</v>
      </c>
      <c r="M210" s="43">
        <f t="shared" si="19"/>
        <v>-70</v>
      </c>
      <c r="W210" s="7" t="str">
        <f t="shared" si="20"/>
        <v>Jul</v>
      </c>
    </row>
    <row r="211" spans="2:23" ht="15.6" x14ac:dyDescent="0.3">
      <c r="B211" s="53">
        <v>45859</v>
      </c>
      <c r="C211" s="10" t="s">
        <v>25</v>
      </c>
      <c r="D211" s="10"/>
      <c r="E211" s="43" t="s">
        <v>518</v>
      </c>
      <c r="F211" s="43" t="s">
        <v>204</v>
      </c>
      <c r="G211" s="43" t="s">
        <v>20</v>
      </c>
      <c r="H211" s="45">
        <v>1</v>
      </c>
      <c r="I211" s="43">
        <f>INDEX('حركة المخزن'!O:O,MATCH('تحليل مبيعات'!C211,'حركة المخزن'!B:B,0))</f>
        <v>60</v>
      </c>
      <c r="J211" s="43">
        <f t="shared" si="17"/>
        <v>60</v>
      </c>
      <c r="K211" s="10">
        <v>325</v>
      </c>
      <c r="L211" s="43">
        <f t="shared" si="18"/>
        <v>325</v>
      </c>
      <c r="M211" s="43">
        <f t="shared" si="19"/>
        <v>265</v>
      </c>
      <c r="W211" s="7" t="str">
        <f t="shared" si="20"/>
        <v>Jul</v>
      </c>
    </row>
    <row r="212" spans="2:23" ht="15.6" x14ac:dyDescent="0.3">
      <c r="B212" s="53">
        <v>45859</v>
      </c>
      <c r="C212" s="10" t="s">
        <v>59</v>
      </c>
      <c r="D212" s="10"/>
      <c r="E212" s="43" t="s">
        <v>518</v>
      </c>
      <c r="F212" s="43" t="s">
        <v>204</v>
      </c>
      <c r="G212" s="43" t="s">
        <v>20</v>
      </c>
      <c r="H212" s="45">
        <v>1</v>
      </c>
      <c r="I212" s="43">
        <f>INDEX('حركة المخزن'!O:O,MATCH('تحليل مبيعات'!C212,'حركة المخزن'!B:B,0))</f>
        <v>145</v>
      </c>
      <c r="J212" s="43">
        <f t="shared" si="17"/>
        <v>145</v>
      </c>
      <c r="K212" s="10">
        <v>150</v>
      </c>
      <c r="L212" s="43">
        <f t="shared" si="18"/>
        <v>150</v>
      </c>
      <c r="M212" s="43">
        <f t="shared" si="19"/>
        <v>5</v>
      </c>
      <c r="W212" s="7" t="str">
        <f t="shared" si="20"/>
        <v>Jul</v>
      </c>
    </row>
    <row r="213" spans="2:23" ht="15.6" x14ac:dyDescent="0.3">
      <c r="B213" s="53">
        <v>45859</v>
      </c>
      <c r="C213" s="10" t="s">
        <v>140</v>
      </c>
      <c r="D213" s="10"/>
      <c r="E213" s="43" t="s">
        <v>518</v>
      </c>
      <c r="F213" s="43" t="s">
        <v>204</v>
      </c>
      <c r="G213" s="43" t="s">
        <v>20</v>
      </c>
      <c r="H213" s="45">
        <v>1</v>
      </c>
      <c r="I213" s="43">
        <f>INDEX('حركة المخزن'!O:O,MATCH('تحليل مبيعات'!C213,'حركة المخزن'!B:B,0))</f>
        <v>145</v>
      </c>
      <c r="J213" s="43">
        <f t="shared" si="17"/>
        <v>145</v>
      </c>
      <c r="K213" s="10">
        <v>120</v>
      </c>
      <c r="L213" s="43">
        <f t="shared" si="18"/>
        <v>120</v>
      </c>
      <c r="M213" s="43">
        <f t="shared" si="19"/>
        <v>-25</v>
      </c>
      <c r="W213" s="7" t="str">
        <f t="shared" si="20"/>
        <v>Jul</v>
      </c>
    </row>
    <row r="214" spans="2:23" ht="18" x14ac:dyDescent="0.35">
      <c r="B214" s="53">
        <v>45859</v>
      </c>
      <c r="C214" s="10" t="s">
        <v>95</v>
      </c>
      <c r="D214" s="10"/>
      <c r="E214" s="3" t="s">
        <v>516</v>
      </c>
      <c r="F214" s="43" t="s">
        <v>204</v>
      </c>
      <c r="G214" s="43" t="s">
        <v>20</v>
      </c>
      <c r="H214" s="45">
        <v>1</v>
      </c>
      <c r="I214" s="43">
        <f>INDEX('حركة المخزن'!O:O,MATCH('تحليل مبيعات'!C214,'حركة المخزن'!B:B,0))</f>
        <v>155</v>
      </c>
      <c r="J214" s="43">
        <f t="shared" si="17"/>
        <v>155</v>
      </c>
      <c r="K214" s="10">
        <v>275</v>
      </c>
      <c r="L214" s="43">
        <f t="shared" si="18"/>
        <v>275</v>
      </c>
      <c r="M214" s="43">
        <f t="shared" si="19"/>
        <v>120</v>
      </c>
      <c r="W214" s="7" t="str">
        <f t="shared" si="20"/>
        <v>Jul</v>
      </c>
    </row>
    <row r="215" spans="2:23" ht="18" x14ac:dyDescent="0.35">
      <c r="B215" s="53">
        <v>45859</v>
      </c>
      <c r="C215" s="10" t="s">
        <v>133</v>
      </c>
      <c r="D215" s="10"/>
      <c r="E215" s="3" t="s">
        <v>516</v>
      </c>
      <c r="F215" s="43" t="s">
        <v>204</v>
      </c>
      <c r="G215" s="43" t="s">
        <v>20</v>
      </c>
      <c r="H215" s="45">
        <v>1</v>
      </c>
      <c r="I215" s="43">
        <f>INDEX('حركة المخزن'!O:O,MATCH('تحليل مبيعات'!C215,'حركة المخزن'!B:B,0))</f>
        <v>160</v>
      </c>
      <c r="J215" s="43">
        <f t="shared" si="17"/>
        <v>160</v>
      </c>
      <c r="K215" s="10">
        <v>800</v>
      </c>
      <c r="L215" s="43">
        <f t="shared" si="18"/>
        <v>800</v>
      </c>
      <c r="M215" s="43">
        <f t="shared" si="19"/>
        <v>640</v>
      </c>
      <c r="W215" s="7" t="str">
        <f t="shared" si="20"/>
        <v>Jul</v>
      </c>
    </row>
    <row r="216" spans="2:23" ht="18" x14ac:dyDescent="0.35">
      <c r="B216" s="53">
        <v>45859</v>
      </c>
      <c r="C216" s="10" t="s">
        <v>97</v>
      </c>
      <c r="D216" s="10"/>
      <c r="E216" s="3" t="s">
        <v>516</v>
      </c>
      <c r="F216" s="43" t="s">
        <v>204</v>
      </c>
      <c r="G216" s="43" t="s">
        <v>20</v>
      </c>
      <c r="H216" s="45">
        <v>1</v>
      </c>
      <c r="I216" s="43">
        <f>INDEX('حركة المخزن'!O:O,MATCH('تحليل مبيعات'!C216,'حركة المخزن'!B:B,0))</f>
        <v>50</v>
      </c>
      <c r="J216" s="43">
        <f t="shared" si="17"/>
        <v>50</v>
      </c>
      <c r="K216" s="10">
        <v>150</v>
      </c>
      <c r="L216" s="43">
        <f t="shared" si="18"/>
        <v>150</v>
      </c>
      <c r="M216" s="43">
        <f t="shared" si="19"/>
        <v>100</v>
      </c>
      <c r="W216" s="7" t="str">
        <f t="shared" si="20"/>
        <v>Jul</v>
      </c>
    </row>
    <row r="217" spans="2:23" ht="15.6" x14ac:dyDescent="0.3">
      <c r="B217" s="53">
        <v>45860</v>
      </c>
      <c r="C217" s="10" t="s">
        <v>134</v>
      </c>
      <c r="D217" s="10"/>
      <c r="E217" s="43" t="s">
        <v>518</v>
      </c>
      <c r="F217" s="43" t="s">
        <v>204</v>
      </c>
      <c r="G217" s="43" t="s">
        <v>20</v>
      </c>
      <c r="H217" s="45">
        <v>1</v>
      </c>
      <c r="I217" s="43">
        <f>INDEX('حركة المخزن'!O:O,MATCH('تحليل مبيعات'!C217,'حركة المخزن'!B:B,0))</f>
        <v>165</v>
      </c>
      <c r="J217" s="43">
        <f t="shared" si="17"/>
        <v>165</v>
      </c>
      <c r="K217" s="10">
        <v>80</v>
      </c>
      <c r="L217" s="43">
        <f t="shared" si="18"/>
        <v>80</v>
      </c>
      <c r="M217" s="43">
        <f t="shared" si="19"/>
        <v>-85</v>
      </c>
      <c r="W217" s="7" t="str">
        <f t="shared" si="20"/>
        <v>Jul</v>
      </c>
    </row>
    <row r="218" spans="2:23" ht="18" x14ac:dyDescent="0.35">
      <c r="B218" s="53">
        <v>45860</v>
      </c>
      <c r="C218" s="10" t="s">
        <v>47</v>
      </c>
      <c r="D218" s="10"/>
      <c r="E218" s="3" t="s">
        <v>478</v>
      </c>
      <c r="F218" s="43" t="s">
        <v>204</v>
      </c>
      <c r="G218" s="43" t="s">
        <v>20</v>
      </c>
      <c r="H218" s="45">
        <v>4</v>
      </c>
      <c r="I218" s="43">
        <f>INDEX('حركة المخزن'!O:O,MATCH('تحليل مبيعات'!C218,'حركة المخزن'!B:B,0))</f>
        <v>130</v>
      </c>
      <c r="J218" s="43">
        <f t="shared" si="17"/>
        <v>520</v>
      </c>
      <c r="K218" s="10">
        <v>67.5</v>
      </c>
      <c r="L218" s="43">
        <f t="shared" si="18"/>
        <v>270</v>
      </c>
      <c r="M218" s="43">
        <f t="shared" si="19"/>
        <v>-250</v>
      </c>
      <c r="W218" s="7" t="str">
        <f t="shared" si="20"/>
        <v>Jul</v>
      </c>
    </row>
    <row r="219" spans="2:23" ht="18" x14ac:dyDescent="0.35">
      <c r="B219" s="53">
        <v>45860</v>
      </c>
      <c r="C219" s="10" t="s">
        <v>48</v>
      </c>
      <c r="D219" s="10"/>
      <c r="E219" s="3" t="s">
        <v>478</v>
      </c>
      <c r="F219" s="43" t="s">
        <v>204</v>
      </c>
      <c r="G219" s="43" t="s">
        <v>20</v>
      </c>
      <c r="H219" s="45">
        <v>4</v>
      </c>
      <c r="I219" s="43">
        <f>INDEX('حركة المخزن'!O:O,MATCH('تحليل مبيعات'!C219,'حركة المخزن'!B:B,0))</f>
        <v>125</v>
      </c>
      <c r="J219" s="43">
        <f t="shared" si="17"/>
        <v>500</v>
      </c>
      <c r="K219" s="10">
        <v>37.5</v>
      </c>
      <c r="L219" s="43">
        <f t="shared" si="18"/>
        <v>150</v>
      </c>
      <c r="M219" s="43">
        <f t="shared" si="19"/>
        <v>-350</v>
      </c>
      <c r="W219" s="7" t="str">
        <f t="shared" si="20"/>
        <v>Jul</v>
      </c>
    </row>
    <row r="220" spans="2:23" ht="15.6" x14ac:dyDescent="0.3">
      <c r="B220" s="53">
        <v>45860</v>
      </c>
      <c r="C220" s="10" t="s">
        <v>75</v>
      </c>
      <c r="D220" s="10"/>
      <c r="E220" s="43" t="s">
        <v>518</v>
      </c>
      <c r="F220" s="43" t="s">
        <v>204</v>
      </c>
      <c r="G220" s="43" t="s">
        <v>20</v>
      </c>
      <c r="H220" s="45">
        <v>1</v>
      </c>
      <c r="I220" s="43">
        <f>INDEX('حركة المخزن'!O:O,MATCH('تحليل مبيعات'!C220,'حركة المخزن'!B:B,0))</f>
        <v>200</v>
      </c>
      <c r="J220" s="43">
        <f t="shared" si="17"/>
        <v>200</v>
      </c>
      <c r="K220" s="10">
        <v>30</v>
      </c>
      <c r="L220" s="43">
        <f t="shared" si="18"/>
        <v>30</v>
      </c>
      <c r="M220" s="43">
        <f t="shared" si="19"/>
        <v>-170</v>
      </c>
      <c r="W220" s="7" t="str">
        <f t="shared" si="20"/>
        <v>Jul</v>
      </c>
    </row>
    <row r="221" spans="2:23" ht="18" x14ac:dyDescent="0.35">
      <c r="B221" s="53">
        <v>45860</v>
      </c>
      <c r="C221" s="10" t="s">
        <v>47</v>
      </c>
      <c r="D221" s="10"/>
      <c r="E221" s="3" t="s">
        <v>516</v>
      </c>
      <c r="F221" s="43" t="s">
        <v>204</v>
      </c>
      <c r="G221" s="43" t="s">
        <v>20</v>
      </c>
      <c r="H221" s="45">
        <v>4</v>
      </c>
      <c r="I221" s="43">
        <f>INDEX('حركة المخزن'!O:O,MATCH('تحليل مبيعات'!C221,'حركة المخزن'!B:B,0))</f>
        <v>130</v>
      </c>
      <c r="J221" s="43">
        <f t="shared" si="17"/>
        <v>520</v>
      </c>
      <c r="K221" s="10">
        <v>67.5</v>
      </c>
      <c r="L221" s="43">
        <f t="shared" si="18"/>
        <v>270</v>
      </c>
      <c r="M221" s="43">
        <f t="shared" si="19"/>
        <v>-250</v>
      </c>
      <c r="W221" s="7" t="str">
        <f t="shared" si="20"/>
        <v>Jul</v>
      </c>
    </row>
    <row r="222" spans="2:23" ht="18" x14ac:dyDescent="0.35">
      <c r="B222" s="53">
        <v>45860</v>
      </c>
      <c r="C222" s="10" t="s">
        <v>71</v>
      </c>
      <c r="D222" s="10"/>
      <c r="E222" s="3" t="s">
        <v>516</v>
      </c>
      <c r="F222" s="43" t="s">
        <v>204</v>
      </c>
      <c r="G222" s="43" t="s">
        <v>20</v>
      </c>
      <c r="H222" s="45">
        <v>1</v>
      </c>
      <c r="I222" s="43">
        <f>INDEX('حركة المخزن'!O:O,MATCH('تحليل مبيعات'!C222,'حركة المخزن'!B:B,0))</f>
        <v>195</v>
      </c>
      <c r="J222" s="43">
        <f t="shared" si="17"/>
        <v>195</v>
      </c>
      <c r="K222" s="10">
        <v>150</v>
      </c>
      <c r="L222" s="43">
        <f t="shared" si="18"/>
        <v>150</v>
      </c>
      <c r="M222" s="43">
        <f t="shared" si="19"/>
        <v>-45</v>
      </c>
      <c r="W222" s="7" t="str">
        <f t="shared" si="20"/>
        <v>Jul</v>
      </c>
    </row>
    <row r="223" spans="2:23" ht="18" x14ac:dyDescent="0.35">
      <c r="B223" s="53">
        <v>45860</v>
      </c>
      <c r="C223" s="10" t="s">
        <v>98</v>
      </c>
      <c r="D223" s="10"/>
      <c r="E223" s="3" t="s">
        <v>516</v>
      </c>
      <c r="F223" s="43" t="s">
        <v>204</v>
      </c>
      <c r="G223" s="43" t="s">
        <v>20</v>
      </c>
      <c r="H223" s="45">
        <v>1</v>
      </c>
      <c r="I223" s="43">
        <f>INDEX('حركة المخزن'!O:O,MATCH('تحليل مبيعات'!C223,'حركة المخزن'!B:B,0))</f>
        <v>50</v>
      </c>
      <c r="J223" s="43">
        <f t="shared" si="17"/>
        <v>50</v>
      </c>
      <c r="K223" s="10">
        <v>30</v>
      </c>
      <c r="L223" s="43">
        <f t="shared" si="18"/>
        <v>30</v>
      </c>
      <c r="M223" s="43">
        <f t="shared" si="19"/>
        <v>-20</v>
      </c>
      <c r="W223" s="7" t="str">
        <f t="shared" si="20"/>
        <v>Jul</v>
      </c>
    </row>
    <row r="224" spans="2:23" ht="18" x14ac:dyDescent="0.35">
      <c r="B224" s="53">
        <v>45860</v>
      </c>
      <c r="C224" s="10" t="s">
        <v>77</v>
      </c>
      <c r="D224" s="10"/>
      <c r="E224" s="3" t="s">
        <v>516</v>
      </c>
      <c r="F224" s="43" t="s">
        <v>204</v>
      </c>
      <c r="G224" s="43" t="s">
        <v>20</v>
      </c>
      <c r="H224" s="45">
        <v>1</v>
      </c>
      <c r="I224" s="43">
        <f>INDEX('حركة المخزن'!O:O,MATCH('تحليل مبيعات'!C224,'حركة المخزن'!B:B,0))</f>
        <v>180</v>
      </c>
      <c r="J224" s="43">
        <f t="shared" si="17"/>
        <v>180</v>
      </c>
      <c r="K224" s="10">
        <v>70</v>
      </c>
      <c r="L224" s="43">
        <f t="shared" si="18"/>
        <v>70</v>
      </c>
      <c r="M224" s="43">
        <f t="shared" si="19"/>
        <v>-110</v>
      </c>
      <c r="W224" s="7" t="str">
        <f t="shared" si="20"/>
        <v>Jul</v>
      </c>
    </row>
    <row r="225" spans="2:23" ht="18" x14ac:dyDescent="0.35">
      <c r="B225" s="53">
        <v>45860</v>
      </c>
      <c r="C225" s="10" t="s">
        <v>58</v>
      </c>
      <c r="D225" s="10"/>
      <c r="E225" s="3" t="s">
        <v>517</v>
      </c>
      <c r="F225" s="43" t="s">
        <v>204</v>
      </c>
      <c r="G225" s="43" t="s">
        <v>20</v>
      </c>
      <c r="H225" s="45">
        <v>2</v>
      </c>
      <c r="I225" s="43">
        <f>INDEX('حركة المخزن'!O:O,MATCH('تحليل مبيعات'!C225,'حركة المخزن'!B:B,0))</f>
        <v>205</v>
      </c>
      <c r="J225" s="43">
        <f t="shared" si="17"/>
        <v>410</v>
      </c>
      <c r="K225" s="10">
        <v>0</v>
      </c>
      <c r="L225" s="47">
        <f t="shared" si="18"/>
        <v>0</v>
      </c>
      <c r="M225" s="47">
        <f t="shared" si="19"/>
        <v>-410</v>
      </c>
      <c r="W225" s="7" t="str">
        <f t="shared" si="20"/>
        <v>Jul</v>
      </c>
    </row>
    <row r="226" spans="2:23" ht="18" x14ac:dyDescent="0.35">
      <c r="B226" s="53">
        <v>45860</v>
      </c>
      <c r="C226" s="10" t="s">
        <v>135</v>
      </c>
      <c r="D226" s="10"/>
      <c r="E226" s="3" t="s">
        <v>519</v>
      </c>
      <c r="F226" s="43" t="s">
        <v>204</v>
      </c>
      <c r="G226" s="43" t="s">
        <v>20</v>
      </c>
      <c r="H226" s="45">
        <v>2</v>
      </c>
      <c r="I226" s="43">
        <f>INDEX('حركة المخزن'!O:O,MATCH('تحليل مبيعات'!C226,'حركة المخزن'!B:B,0))</f>
        <v>170</v>
      </c>
      <c r="J226" s="43">
        <f t="shared" si="17"/>
        <v>340</v>
      </c>
      <c r="K226" s="10">
        <v>75</v>
      </c>
      <c r="L226" s="43">
        <f t="shared" si="18"/>
        <v>150</v>
      </c>
      <c r="M226" s="43">
        <f t="shared" si="19"/>
        <v>-190</v>
      </c>
      <c r="W226" s="7" t="str">
        <f t="shared" si="20"/>
        <v>Jul</v>
      </c>
    </row>
    <row r="227" spans="2:23" ht="18" x14ac:dyDescent="0.35">
      <c r="B227" s="53">
        <v>45860</v>
      </c>
      <c r="C227" s="10" t="s">
        <v>136</v>
      </c>
      <c r="D227" s="10"/>
      <c r="E227" s="3" t="s">
        <v>519</v>
      </c>
      <c r="F227" s="43" t="s">
        <v>204</v>
      </c>
      <c r="G227" s="43" t="s">
        <v>20</v>
      </c>
      <c r="H227" s="45">
        <v>2</v>
      </c>
      <c r="I227" s="43">
        <f>INDEX('حركة المخزن'!O:O,MATCH('تحليل مبيعات'!C227,'حركة المخزن'!B:B,0))</f>
        <v>240</v>
      </c>
      <c r="J227" s="43">
        <f t="shared" si="17"/>
        <v>480</v>
      </c>
      <c r="K227" s="10">
        <v>100</v>
      </c>
      <c r="L227" s="47">
        <f t="shared" si="18"/>
        <v>200</v>
      </c>
      <c r="M227" s="47">
        <f t="shared" si="19"/>
        <v>-280</v>
      </c>
      <c r="W227" s="7" t="str">
        <f t="shared" si="20"/>
        <v>Jul</v>
      </c>
    </row>
    <row r="228" spans="2:23" ht="15.6" x14ac:dyDescent="0.3">
      <c r="B228" s="53">
        <v>45860</v>
      </c>
      <c r="C228" s="10" t="s">
        <v>75</v>
      </c>
      <c r="D228" s="10"/>
      <c r="E228" s="43" t="s">
        <v>518</v>
      </c>
      <c r="F228" s="43" t="s">
        <v>204</v>
      </c>
      <c r="G228" s="43" t="s">
        <v>20</v>
      </c>
      <c r="H228" s="45">
        <v>1</v>
      </c>
      <c r="I228" s="43">
        <f>INDEX('حركة المخزن'!O:O,MATCH('تحليل مبيعات'!C228,'حركة المخزن'!B:B,0))</f>
        <v>200</v>
      </c>
      <c r="J228" s="43">
        <f t="shared" si="17"/>
        <v>200</v>
      </c>
      <c r="K228" s="10">
        <v>30</v>
      </c>
      <c r="L228" s="43">
        <f t="shared" si="18"/>
        <v>30</v>
      </c>
      <c r="M228" s="43">
        <f t="shared" si="19"/>
        <v>-170</v>
      </c>
      <c r="W228" s="7" t="str">
        <f t="shared" si="20"/>
        <v>Jul</v>
      </c>
    </row>
    <row r="229" spans="2:23" ht="15.6" x14ac:dyDescent="0.3">
      <c r="B229" s="53">
        <v>45860</v>
      </c>
      <c r="C229" s="10" t="s">
        <v>137</v>
      </c>
      <c r="D229" s="10"/>
      <c r="E229" s="43" t="s">
        <v>518</v>
      </c>
      <c r="F229" s="43" t="s">
        <v>204</v>
      </c>
      <c r="G229" s="43" t="s">
        <v>20</v>
      </c>
      <c r="H229" s="45">
        <v>1</v>
      </c>
      <c r="I229" s="43">
        <f>INDEX('حركة المخزن'!O:O,MATCH('تحليل مبيعات'!C229,'حركة المخزن'!B:B,0))</f>
        <v>175</v>
      </c>
      <c r="J229" s="43">
        <f t="shared" si="17"/>
        <v>175</v>
      </c>
      <c r="K229" s="10">
        <v>250</v>
      </c>
      <c r="L229" s="43">
        <f t="shared" si="18"/>
        <v>250</v>
      </c>
      <c r="M229" s="43">
        <f t="shared" si="19"/>
        <v>75</v>
      </c>
      <c r="W229" s="7" t="str">
        <f t="shared" si="20"/>
        <v>Jul</v>
      </c>
    </row>
    <row r="230" spans="2:23" ht="15.6" x14ac:dyDescent="0.3">
      <c r="B230" s="53">
        <v>45860</v>
      </c>
      <c r="C230" s="10" t="s">
        <v>129</v>
      </c>
      <c r="D230" s="10"/>
      <c r="E230" s="43" t="s">
        <v>518</v>
      </c>
      <c r="F230" s="43" t="s">
        <v>204</v>
      </c>
      <c r="G230" s="43" t="s">
        <v>20</v>
      </c>
      <c r="H230" s="45">
        <v>1</v>
      </c>
      <c r="I230" s="43">
        <f>INDEX('حركة المخزن'!O:O,MATCH('تحليل مبيعات'!C230,'حركة المخزن'!B:B,0))</f>
        <v>100</v>
      </c>
      <c r="J230" s="43">
        <f t="shared" si="17"/>
        <v>100</v>
      </c>
      <c r="K230" s="10">
        <v>250</v>
      </c>
      <c r="L230" s="43">
        <f t="shared" si="18"/>
        <v>250</v>
      </c>
      <c r="M230" s="43">
        <f t="shared" si="19"/>
        <v>150</v>
      </c>
      <c r="W230" s="7" t="str">
        <f t="shared" si="20"/>
        <v>Jul</v>
      </c>
    </row>
    <row r="231" spans="2:23" ht="15.6" x14ac:dyDescent="0.3">
      <c r="B231" s="53">
        <v>45860</v>
      </c>
      <c r="C231" s="10" t="s">
        <v>138</v>
      </c>
      <c r="D231" s="10"/>
      <c r="E231" s="43" t="s">
        <v>518</v>
      </c>
      <c r="F231" s="43" t="s">
        <v>204</v>
      </c>
      <c r="G231" s="43" t="s">
        <v>20</v>
      </c>
      <c r="H231" s="45">
        <v>1</v>
      </c>
      <c r="I231" s="43">
        <f>INDEX('حركة المخزن'!O:O,MATCH('تحليل مبيعات'!C231,'حركة المخزن'!B:B,0))</f>
        <v>180</v>
      </c>
      <c r="J231" s="43">
        <f t="shared" si="17"/>
        <v>180</v>
      </c>
      <c r="K231" s="10">
        <v>450</v>
      </c>
      <c r="L231" s="43">
        <f t="shared" si="18"/>
        <v>450</v>
      </c>
      <c r="M231" s="43">
        <f t="shared" si="19"/>
        <v>270</v>
      </c>
      <c r="W231" s="7" t="str">
        <f t="shared" si="20"/>
        <v>Jul</v>
      </c>
    </row>
    <row r="232" spans="2:23" ht="18" x14ac:dyDescent="0.35">
      <c r="B232" s="53">
        <v>45860</v>
      </c>
      <c r="C232" s="10" t="s">
        <v>56</v>
      </c>
      <c r="D232" s="10"/>
      <c r="E232" s="3" t="s">
        <v>517</v>
      </c>
      <c r="F232" s="10" t="s">
        <v>0</v>
      </c>
      <c r="G232" s="43" t="s">
        <v>20</v>
      </c>
      <c r="H232" s="45">
        <v>1</v>
      </c>
      <c r="I232" s="43">
        <f>INDEX('حركة المخزن'!O:O,MATCH('تحليل مبيعات'!C232,'حركة المخزن'!B:B,0))</f>
        <v>50</v>
      </c>
      <c r="J232" s="43">
        <f t="shared" si="17"/>
        <v>50</v>
      </c>
      <c r="K232" s="10">
        <v>3900</v>
      </c>
      <c r="L232" s="43">
        <f t="shared" si="18"/>
        <v>3900</v>
      </c>
      <c r="M232" s="43">
        <f t="shared" si="19"/>
        <v>3850</v>
      </c>
      <c r="W232" s="7" t="str">
        <f t="shared" si="20"/>
        <v>Jul</v>
      </c>
    </row>
    <row r="233" spans="2:23" ht="15.6" x14ac:dyDescent="0.3">
      <c r="B233" s="53">
        <v>45860</v>
      </c>
      <c r="C233" s="10" t="s">
        <v>139</v>
      </c>
      <c r="D233" s="10"/>
      <c r="E233" s="43" t="s">
        <v>518</v>
      </c>
      <c r="F233" s="10" t="s">
        <v>1</v>
      </c>
      <c r="G233" s="43" t="s">
        <v>20</v>
      </c>
      <c r="H233" s="45">
        <v>1</v>
      </c>
      <c r="I233" s="43">
        <f>INDEX('حركة المخزن'!O:O,MATCH('تحليل مبيعات'!C233,'حركة المخزن'!B:B,0))</f>
        <v>375</v>
      </c>
      <c r="J233" s="43">
        <f t="shared" si="17"/>
        <v>375</v>
      </c>
      <c r="K233" s="10">
        <v>1250</v>
      </c>
      <c r="L233" s="43">
        <f t="shared" si="18"/>
        <v>1250</v>
      </c>
      <c r="M233" s="43">
        <f t="shared" si="19"/>
        <v>875</v>
      </c>
      <c r="W233" s="7" t="str">
        <f t="shared" si="20"/>
        <v>Jul</v>
      </c>
    </row>
    <row r="234" spans="2:23" ht="18" x14ac:dyDescent="0.35">
      <c r="B234" s="53">
        <v>45860</v>
      </c>
      <c r="C234" s="10" t="s">
        <v>93</v>
      </c>
      <c r="D234" s="10"/>
      <c r="E234" s="3" t="s">
        <v>520</v>
      </c>
      <c r="F234" s="43" t="s">
        <v>204</v>
      </c>
      <c r="G234" s="43" t="s">
        <v>20</v>
      </c>
      <c r="H234" s="45">
        <v>2</v>
      </c>
      <c r="I234" s="43">
        <f>INDEX('حركة المخزن'!O:O,MATCH('تحليل مبيعات'!C234,'حركة المخزن'!B:B,0))</f>
        <v>5</v>
      </c>
      <c r="J234" s="43">
        <f t="shared" si="17"/>
        <v>10</v>
      </c>
      <c r="K234" s="10">
        <v>3600</v>
      </c>
      <c r="L234" s="43">
        <f t="shared" si="18"/>
        <v>7200</v>
      </c>
      <c r="M234" s="43">
        <f t="shared" si="19"/>
        <v>7190</v>
      </c>
      <c r="W234" s="7" t="str">
        <f t="shared" si="20"/>
        <v>Jul</v>
      </c>
    </row>
    <row r="235" spans="2:23" ht="18" x14ac:dyDescent="0.35">
      <c r="B235" s="53">
        <v>45860</v>
      </c>
      <c r="C235" s="10" t="s">
        <v>148</v>
      </c>
      <c r="D235" s="10"/>
      <c r="E235" s="3" t="s">
        <v>520</v>
      </c>
      <c r="F235" s="43" t="s">
        <v>204</v>
      </c>
      <c r="G235" s="43" t="s">
        <v>20</v>
      </c>
      <c r="H235" s="45">
        <v>2</v>
      </c>
      <c r="I235" s="43">
        <f>INDEX('حركة المخزن'!O:O,MATCH('تحليل مبيعات'!C235,'حركة المخزن'!B:B,0))</f>
        <v>5</v>
      </c>
      <c r="J235" s="43">
        <f t="shared" si="17"/>
        <v>10</v>
      </c>
      <c r="K235" s="10">
        <v>0</v>
      </c>
      <c r="L235" s="47">
        <f t="shared" si="18"/>
        <v>0</v>
      </c>
      <c r="M235" s="47">
        <f t="shared" si="19"/>
        <v>-10</v>
      </c>
      <c r="W235" s="7" t="str">
        <f t="shared" si="20"/>
        <v>Jul</v>
      </c>
    </row>
    <row r="236" spans="2:23" ht="18" x14ac:dyDescent="0.35">
      <c r="B236" s="53">
        <v>45860</v>
      </c>
      <c r="C236" s="10" t="s">
        <v>160</v>
      </c>
      <c r="D236" s="10"/>
      <c r="E236" s="3" t="s">
        <v>520</v>
      </c>
      <c r="F236" s="43" t="s">
        <v>204</v>
      </c>
      <c r="G236" s="43" t="s">
        <v>20</v>
      </c>
      <c r="H236" s="45">
        <v>2</v>
      </c>
      <c r="I236" s="43">
        <f>INDEX('حركة المخزن'!O:O,MATCH('تحليل مبيعات'!C236,'حركة المخزن'!B:B,0))</f>
        <v>320</v>
      </c>
      <c r="J236" s="43">
        <f t="shared" si="17"/>
        <v>640</v>
      </c>
      <c r="K236" s="10">
        <v>0</v>
      </c>
      <c r="L236" s="47">
        <f t="shared" si="18"/>
        <v>0</v>
      </c>
      <c r="M236" s="47">
        <f t="shared" si="19"/>
        <v>-640</v>
      </c>
      <c r="W236" s="7" t="str">
        <f t="shared" si="20"/>
        <v>Jul</v>
      </c>
    </row>
    <row r="237" spans="2:23" ht="18" x14ac:dyDescent="0.35">
      <c r="B237" s="53">
        <v>45860</v>
      </c>
      <c r="C237" s="10" t="s">
        <v>114</v>
      </c>
      <c r="D237" s="10"/>
      <c r="E237" s="3" t="s">
        <v>520</v>
      </c>
      <c r="F237" s="43" t="s">
        <v>204</v>
      </c>
      <c r="G237" s="43" t="s">
        <v>20</v>
      </c>
      <c r="H237" s="45">
        <v>1</v>
      </c>
      <c r="I237" s="43">
        <f>INDEX('حركة المخزن'!O:O,MATCH('تحليل مبيعات'!C237,'حركة المخزن'!B:B,0))</f>
        <v>200</v>
      </c>
      <c r="J237" s="43">
        <f t="shared" si="17"/>
        <v>200</v>
      </c>
      <c r="K237" s="10">
        <v>0</v>
      </c>
      <c r="L237" s="47">
        <f t="shared" si="18"/>
        <v>0</v>
      </c>
      <c r="M237" s="47">
        <f t="shared" si="19"/>
        <v>-200</v>
      </c>
      <c r="W237" s="7" t="str">
        <f t="shared" si="20"/>
        <v>Jul</v>
      </c>
    </row>
    <row r="238" spans="2:23" ht="18" x14ac:dyDescent="0.35">
      <c r="B238" s="53">
        <v>45860</v>
      </c>
      <c r="C238" s="10" t="s">
        <v>161</v>
      </c>
      <c r="D238" s="10"/>
      <c r="E238" s="3" t="s">
        <v>520</v>
      </c>
      <c r="F238" s="43" t="s">
        <v>204</v>
      </c>
      <c r="G238" s="43" t="s">
        <v>20</v>
      </c>
      <c r="H238" s="45">
        <v>1</v>
      </c>
      <c r="I238" s="43">
        <f>INDEX('حركة المخزن'!O:O,MATCH('تحليل مبيعات'!C238,'حركة المخزن'!B:B,0))</f>
        <v>280</v>
      </c>
      <c r="J238" s="43">
        <f t="shared" si="17"/>
        <v>280</v>
      </c>
      <c r="K238" s="10">
        <v>0</v>
      </c>
      <c r="L238" s="47">
        <f t="shared" si="18"/>
        <v>0</v>
      </c>
      <c r="M238" s="47">
        <f t="shared" si="19"/>
        <v>-280</v>
      </c>
      <c r="W238" s="7" t="str">
        <f t="shared" si="20"/>
        <v>Jul</v>
      </c>
    </row>
    <row r="239" spans="2:23" ht="18" x14ac:dyDescent="0.35">
      <c r="B239" s="53">
        <v>45860</v>
      </c>
      <c r="C239" s="10" t="s">
        <v>22</v>
      </c>
      <c r="D239" s="10"/>
      <c r="E239" s="3" t="s">
        <v>520</v>
      </c>
      <c r="F239" s="43" t="s">
        <v>204</v>
      </c>
      <c r="G239" s="43" t="s">
        <v>20</v>
      </c>
      <c r="H239" s="45">
        <v>1</v>
      </c>
      <c r="I239" s="43">
        <f>INDEX('حركة المخزن'!O:O,MATCH('تحليل مبيعات'!C239,'حركة المخزن'!B:B,0))</f>
        <v>75</v>
      </c>
      <c r="J239" s="43">
        <f t="shared" si="17"/>
        <v>75</v>
      </c>
      <c r="K239" s="10">
        <v>0</v>
      </c>
      <c r="L239" s="47">
        <f t="shared" si="18"/>
        <v>0</v>
      </c>
      <c r="M239" s="47">
        <f t="shared" si="19"/>
        <v>-75</v>
      </c>
      <c r="W239" s="7" t="str">
        <f t="shared" si="20"/>
        <v>Jul</v>
      </c>
    </row>
    <row r="240" spans="2:23" ht="18" x14ac:dyDescent="0.35">
      <c r="B240" s="53">
        <v>45861</v>
      </c>
      <c r="C240" s="10" t="s">
        <v>56</v>
      </c>
      <c r="D240" s="10"/>
      <c r="E240" s="3" t="s">
        <v>520</v>
      </c>
      <c r="F240" s="10" t="s">
        <v>0</v>
      </c>
      <c r="G240" s="43" t="s">
        <v>20</v>
      </c>
      <c r="H240" s="45">
        <v>2</v>
      </c>
      <c r="I240" s="43">
        <f>INDEX('حركة المخزن'!O:O,MATCH('تحليل مبيعات'!C240,'حركة المخزن'!B:B,0))</f>
        <v>50</v>
      </c>
      <c r="J240" s="43">
        <f t="shared" si="17"/>
        <v>100</v>
      </c>
      <c r="K240" s="10">
        <v>3700</v>
      </c>
      <c r="L240" s="43">
        <f t="shared" si="18"/>
        <v>7400</v>
      </c>
      <c r="M240" s="43">
        <f t="shared" si="19"/>
        <v>7300</v>
      </c>
      <c r="W240" s="7" t="str">
        <f t="shared" si="20"/>
        <v>Jul</v>
      </c>
    </row>
    <row r="241" spans="2:23" ht="15.6" x14ac:dyDescent="0.3">
      <c r="B241" s="53">
        <v>45861</v>
      </c>
      <c r="C241" s="10" t="s">
        <v>145</v>
      </c>
      <c r="D241" s="10"/>
      <c r="E241" s="43" t="s">
        <v>518</v>
      </c>
      <c r="F241" s="43" t="s">
        <v>204</v>
      </c>
      <c r="G241" s="43" t="s">
        <v>20</v>
      </c>
      <c r="H241" s="45">
        <v>1</v>
      </c>
      <c r="I241" s="43">
        <f>INDEX('حركة المخزن'!O:O,MATCH('تحليل مبيعات'!C241,'حركة المخزن'!B:B,0))</f>
        <v>185</v>
      </c>
      <c r="J241" s="43">
        <f t="shared" si="17"/>
        <v>185</v>
      </c>
      <c r="K241" s="10">
        <v>120</v>
      </c>
      <c r="L241" s="43">
        <f t="shared" si="18"/>
        <v>120</v>
      </c>
      <c r="M241" s="43">
        <f t="shared" si="19"/>
        <v>-65</v>
      </c>
      <c r="W241" s="7" t="str">
        <f t="shared" si="20"/>
        <v>Jul</v>
      </c>
    </row>
    <row r="242" spans="2:23" ht="15.6" x14ac:dyDescent="0.3">
      <c r="B242" s="53">
        <v>45861</v>
      </c>
      <c r="C242" s="10" t="s">
        <v>43</v>
      </c>
      <c r="D242" s="10"/>
      <c r="E242" s="43" t="s">
        <v>518</v>
      </c>
      <c r="F242" s="43" t="s">
        <v>204</v>
      </c>
      <c r="G242" s="43" t="s">
        <v>20</v>
      </c>
      <c r="H242" s="45">
        <v>1</v>
      </c>
      <c r="I242" s="43">
        <f>INDEX('حركة المخزن'!O:O,MATCH('تحليل مبيعات'!C242,'حركة المخزن'!B:B,0))</f>
        <v>110</v>
      </c>
      <c r="J242" s="43">
        <f t="shared" si="17"/>
        <v>110</v>
      </c>
      <c r="K242" s="10">
        <v>230</v>
      </c>
      <c r="L242" s="43">
        <f t="shared" si="18"/>
        <v>230</v>
      </c>
      <c r="M242" s="43">
        <f t="shared" si="19"/>
        <v>120</v>
      </c>
      <c r="W242" s="7" t="str">
        <f t="shared" si="20"/>
        <v>Jul</v>
      </c>
    </row>
    <row r="243" spans="2:23" ht="15.6" x14ac:dyDescent="0.3">
      <c r="B243" s="53">
        <v>45861</v>
      </c>
      <c r="C243" s="10" t="s">
        <v>59</v>
      </c>
      <c r="D243" s="10"/>
      <c r="E243" s="43" t="s">
        <v>518</v>
      </c>
      <c r="F243" s="43" t="s">
        <v>204</v>
      </c>
      <c r="G243" s="43" t="s">
        <v>20</v>
      </c>
      <c r="H243" s="45">
        <v>1</v>
      </c>
      <c r="I243" s="43">
        <f>INDEX('حركة المخزن'!O:O,MATCH('تحليل مبيعات'!C243,'حركة المخزن'!B:B,0))</f>
        <v>145</v>
      </c>
      <c r="J243" s="43">
        <f t="shared" si="17"/>
        <v>145</v>
      </c>
      <c r="K243" s="10">
        <v>150</v>
      </c>
      <c r="L243" s="43">
        <f t="shared" si="18"/>
        <v>150</v>
      </c>
      <c r="M243" s="43">
        <f t="shared" si="19"/>
        <v>5</v>
      </c>
      <c r="W243" s="7" t="str">
        <f t="shared" si="20"/>
        <v>Jul</v>
      </c>
    </row>
    <row r="244" spans="2:23" ht="15.6" x14ac:dyDescent="0.3">
      <c r="B244" s="53">
        <v>45861</v>
      </c>
      <c r="C244" s="10" t="s">
        <v>25</v>
      </c>
      <c r="D244" s="10"/>
      <c r="E244" s="43" t="s">
        <v>518</v>
      </c>
      <c r="F244" s="43" t="s">
        <v>204</v>
      </c>
      <c r="G244" s="43" t="s">
        <v>20</v>
      </c>
      <c r="H244" s="45">
        <v>1</v>
      </c>
      <c r="I244" s="43">
        <f>INDEX('حركة المخزن'!O:O,MATCH('تحليل مبيعات'!C244,'حركة المخزن'!B:B,0))</f>
        <v>60</v>
      </c>
      <c r="J244" s="43">
        <f t="shared" si="17"/>
        <v>60</v>
      </c>
      <c r="K244" s="10">
        <v>350</v>
      </c>
      <c r="L244" s="43">
        <f t="shared" si="18"/>
        <v>350</v>
      </c>
      <c r="M244" s="43">
        <f t="shared" si="19"/>
        <v>290</v>
      </c>
      <c r="W244" s="7" t="str">
        <f t="shared" si="20"/>
        <v>Jul</v>
      </c>
    </row>
    <row r="245" spans="2:23" ht="15.6" x14ac:dyDescent="0.3">
      <c r="B245" s="53">
        <v>45861</v>
      </c>
      <c r="C245" s="10" t="s">
        <v>146</v>
      </c>
      <c r="D245" s="10"/>
      <c r="E245" s="43" t="s">
        <v>518</v>
      </c>
      <c r="F245" s="43" t="s">
        <v>204</v>
      </c>
      <c r="G245" s="43" t="s">
        <v>20</v>
      </c>
      <c r="H245" s="45">
        <v>1</v>
      </c>
      <c r="I245" s="43">
        <f>INDEX('حركة المخزن'!O:O,MATCH('تحليل مبيعات'!C245,'حركة المخزن'!B:B,0))</f>
        <v>190</v>
      </c>
      <c r="J245" s="43">
        <f t="shared" si="17"/>
        <v>190</v>
      </c>
      <c r="K245" s="10">
        <v>250</v>
      </c>
      <c r="L245" s="43">
        <f t="shared" si="18"/>
        <v>250</v>
      </c>
      <c r="M245" s="43">
        <f t="shared" si="19"/>
        <v>60</v>
      </c>
      <c r="W245" s="7" t="str">
        <f t="shared" si="20"/>
        <v>Jul</v>
      </c>
    </row>
    <row r="246" spans="2:23" ht="15.6" x14ac:dyDescent="0.3">
      <c r="B246" s="53">
        <v>45861</v>
      </c>
      <c r="C246" s="10" t="s">
        <v>25</v>
      </c>
      <c r="D246" s="10"/>
      <c r="E246" s="43" t="s">
        <v>518</v>
      </c>
      <c r="F246" s="43" t="s">
        <v>204</v>
      </c>
      <c r="G246" s="43" t="s">
        <v>20</v>
      </c>
      <c r="H246" s="45">
        <v>1</v>
      </c>
      <c r="I246" s="43">
        <f>INDEX('حركة المخزن'!O:O,MATCH('تحليل مبيعات'!C246,'حركة المخزن'!B:B,0))</f>
        <v>60</v>
      </c>
      <c r="J246" s="43">
        <f t="shared" si="17"/>
        <v>60</v>
      </c>
      <c r="K246" s="10">
        <v>350</v>
      </c>
      <c r="L246" s="43">
        <f t="shared" si="18"/>
        <v>350</v>
      </c>
      <c r="M246" s="43">
        <f t="shared" si="19"/>
        <v>290</v>
      </c>
      <c r="W246" s="7" t="str">
        <f t="shared" si="20"/>
        <v>Jul</v>
      </c>
    </row>
    <row r="247" spans="2:23" ht="15.6" x14ac:dyDescent="0.3">
      <c r="B247" s="53">
        <v>45861</v>
      </c>
      <c r="C247" s="10" t="s">
        <v>183</v>
      </c>
      <c r="D247" s="10"/>
      <c r="E247" s="43" t="s">
        <v>518</v>
      </c>
      <c r="F247" s="43" t="s">
        <v>204</v>
      </c>
      <c r="G247" s="43" t="s">
        <v>20</v>
      </c>
      <c r="H247" s="45">
        <v>1</v>
      </c>
      <c r="I247" s="43">
        <f>INDEX('حركة المخزن'!O:O,MATCH('تحليل مبيعات'!C247,'حركة المخزن'!B:B,0))</f>
        <v>550</v>
      </c>
      <c r="J247" s="43">
        <f t="shared" si="17"/>
        <v>550</v>
      </c>
      <c r="K247" s="10">
        <v>320</v>
      </c>
      <c r="L247" s="43">
        <f t="shared" si="18"/>
        <v>320</v>
      </c>
      <c r="M247" s="43">
        <f t="shared" si="19"/>
        <v>-230</v>
      </c>
      <c r="W247" s="7" t="str">
        <f t="shared" si="20"/>
        <v>Jul</v>
      </c>
    </row>
    <row r="248" spans="2:23" ht="15.6" x14ac:dyDescent="0.3">
      <c r="B248" s="53">
        <v>45861</v>
      </c>
      <c r="C248" s="10" t="s">
        <v>94</v>
      </c>
      <c r="D248" s="10"/>
      <c r="E248" s="43" t="s">
        <v>518</v>
      </c>
      <c r="F248" s="43" t="s">
        <v>204</v>
      </c>
      <c r="G248" s="43" t="s">
        <v>20</v>
      </c>
      <c r="H248" s="45">
        <v>1</v>
      </c>
      <c r="I248" s="43">
        <f>INDEX('حركة المخزن'!O:O,MATCH('تحليل مبيعات'!C248,'حركة المخزن'!B:B,0))</f>
        <v>100</v>
      </c>
      <c r="J248" s="43">
        <f t="shared" si="17"/>
        <v>100</v>
      </c>
      <c r="K248" s="10">
        <v>250</v>
      </c>
      <c r="L248" s="43">
        <f t="shared" si="18"/>
        <v>250</v>
      </c>
      <c r="M248" s="43">
        <f t="shared" si="19"/>
        <v>150</v>
      </c>
      <c r="W248" s="7" t="str">
        <f t="shared" si="20"/>
        <v>Jul</v>
      </c>
    </row>
    <row r="249" spans="2:23" ht="15.6" x14ac:dyDescent="0.3">
      <c r="B249" s="53">
        <v>45861</v>
      </c>
      <c r="C249" s="10" t="s">
        <v>25</v>
      </c>
      <c r="D249" s="10"/>
      <c r="E249" s="43" t="s">
        <v>518</v>
      </c>
      <c r="F249" s="43" t="s">
        <v>204</v>
      </c>
      <c r="G249" s="43" t="s">
        <v>20</v>
      </c>
      <c r="H249" s="45">
        <v>1</v>
      </c>
      <c r="I249" s="43">
        <f>INDEX('حركة المخزن'!O:O,MATCH('تحليل مبيعات'!C249,'حركة المخزن'!B:B,0))</f>
        <v>60</v>
      </c>
      <c r="J249" s="43">
        <f t="shared" si="17"/>
        <v>60</v>
      </c>
      <c r="K249" s="10">
        <v>325</v>
      </c>
      <c r="L249" s="43">
        <f t="shared" si="18"/>
        <v>325</v>
      </c>
      <c r="M249" s="43">
        <f t="shared" si="19"/>
        <v>265</v>
      </c>
      <c r="W249" s="7" t="str">
        <f t="shared" si="20"/>
        <v>Jul</v>
      </c>
    </row>
    <row r="250" spans="2:23" ht="18" x14ac:dyDescent="0.35">
      <c r="B250" s="53">
        <v>45861</v>
      </c>
      <c r="C250" s="10" t="s">
        <v>76</v>
      </c>
      <c r="D250" s="10"/>
      <c r="E250" s="3" t="s">
        <v>476</v>
      </c>
      <c r="F250" s="10" t="s">
        <v>1</v>
      </c>
      <c r="G250" s="43" t="s">
        <v>20</v>
      </c>
      <c r="H250" s="45">
        <v>1</v>
      </c>
      <c r="I250" s="43">
        <f>INDEX('حركة المخزن'!O:O,MATCH('تحليل مبيعات'!C250,'حركة المخزن'!B:B,0))</f>
        <v>370</v>
      </c>
      <c r="J250" s="43">
        <f t="shared" si="17"/>
        <v>370</v>
      </c>
      <c r="K250" s="10">
        <v>1600</v>
      </c>
      <c r="L250" s="43">
        <f t="shared" si="18"/>
        <v>1600</v>
      </c>
      <c r="M250" s="43">
        <f t="shared" si="19"/>
        <v>1230</v>
      </c>
      <c r="W250" s="7" t="str">
        <f t="shared" si="20"/>
        <v>Jul</v>
      </c>
    </row>
    <row r="251" spans="2:23" ht="18" x14ac:dyDescent="0.35">
      <c r="B251" s="53">
        <v>45861</v>
      </c>
      <c r="C251" s="10" t="s">
        <v>148</v>
      </c>
      <c r="D251" s="10"/>
      <c r="E251" s="3" t="s">
        <v>476</v>
      </c>
      <c r="F251" s="43" t="s">
        <v>204</v>
      </c>
      <c r="G251" s="43" t="s">
        <v>20</v>
      </c>
      <c r="H251" s="45">
        <v>1</v>
      </c>
      <c r="I251" s="43">
        <f>INDEX('حركة المخزن'!O:O,MATCH('تحليل مبيعات'!C251,'حركة المخزن'!B:B,0))</f>
        <v>5</v>
      </c>
      <c r="J251" s="43">
        <f t="shared" si="17"/>
        <v>5</v>
      </c>
      <c r="K251" s="10">
        <v>300</v>
      </c>
      <c r="L251" s="43">
        <f t="shared" si="18"/>
        <v>300</v>
      </c>
      <c r="M251" s="43">
        <f t="shared" si="19"/>
        <v>295</v>
      </c>
      <c r="W251" s="7" t="str">
        <f t="shared" si="20"/>
        <v>Jul</v>
      </c>
    </row>
    <row r="252" spans="2:23" ht="18" x14ac:dyDescent="0.35">
      <c r="B252" s="53">
        <v>45862</v>
      </c>
      <c r="C252" s="10" t="s">
        <v>97</v>
      </c>
      <c r="D252" s="10"/>
      <c r="E252" s="3" t="s">
        <v>519</v>
      </c>
      <c r="F252" s="43" t="s">
        <v>204</v>
      </c>
      <c r="G252" s="43" t="s">
        <v>20</v>
      </c>
      <c r="H252" s="45">
        <v>1</v>
      </c>
      <c r="I252" s="43">
        <f>INDEX('حركة المخزن'!O:O,MATCH('تحليل مبيعات'!C252,'حركة المخزن'!B:B,0))</f>
        <v>50</v>
      </c>
      <c r="J252" s="43">
        <f t="shared" si="17"/>
        <v>50</v>
      </c>
      <c r="K252" s="10">
        <v>150</v>
      </c>
      <c r="L252" s="43">
        <f t="shared" si="18"/>
        <v>150</v>
      </c>
      <c r="M252" s="43">
        <f t="shared" si="19"/>
        <v>100</v>
      </c>
      <c r="W252" s="7" t="str">
        <f t="shared" si="20"/>
        <v>Jul</v>
      </c>
    </row>
    <row r="253" spans="2:23" ht="18" x14ac:dyDescent="0.35">
      <c r="B253" s="53">
        <v>45862</v>
      </c>
      <c r="C253" s="10" t="s">
        <v>91</v>
      </c>
      <c r="D253" s="10"/>
      <c r="E253" s="3" t="s">
        <v>475</v>
      </c>
      <c r="F253" s="43" t="s">
        <v>204</v>
      </c>
      <c r="G253" s="43" t="s">
        <v>20</v>
      </c>
      <c r="H253" s="45">
        <v>1</v>
      </c>
      <c r="I253" s="43">
        <f>INDEX('حركة المخزن'!O:O,MATCH('تحليل مبيعات'!C253,'حركة المخزن'!B:B,0))</f>
        <v>195</v>
      </c>
      <c r="J253" s="43">
        <f t="shared" si="17"/>
        <v>195</v>
      </c>
      <c r="K253" s="10">
        <v>800</v>
      </c>
      <c r="L253" s="43">
        <f t="shared" si="18"/>
        <v>800</v>
      </c>
      <c r="M253" s="43">
        <f t="shared" si="19"/>
        <v>605</v>
      </c>
      <c r="W253" s="7" t="str">
        <f t="shared" si="20"/>
        <v>Jul</v>
      </c>
    </row>
    <row r="254" spans="2:23" ht="18" x14ac:dyDescent="0.35">
      <c r="B254" s="53">
        <v>45862</v>
      </c>
      <c r="C254" s="10" t="s">
        <v>47</v>
      </c>
      <c r="D254" s="10"/>
      <c r="E254" s="3" t="s">
        <v>475</v>
      </c>
      <c r="F254" s="43" t="s">
        <v>204</v>
      </c>
      <c r="G254" s="43" t="s">
        <v>20</v>
      </c>
      <c r="H254" s="45">
        <v>4</v>
      </c>
      <c r="I254" s="43">
        <f>INDEX('حركة المخزن'!O:O,MATCH('تحليل مبيعات'!C254,'حركة المخزن'!B:B,0))</f>
        <v>130</v>
      </c>
      <c r="J254" s="43">
        <f t="shared" si="17"/>
        <v>520</v>
      </c>
      <c r="K254" s="10">
        <v>67.5</v>
      </c>
      <c r="L254" s="43">
        <f t="shared" si="18"/>
        <v>270</v>
      </c>
      <c r="M254" s="43">
        <f t="shared" si="19"/>
        <v>-250</v>
      </c>
      <c r="W254" s="7" t="str">
        <f t="shared" si="20"/>
        <v>Jul</v>
      </c>
    </row>
    <row r="255" spans="2:23" ht="18" x14ac:dyDescent="0.35">
      <c r="B255" s="53">
        <v>45862</v>
      </c>
      <c r="C255" s="10" t="s">
        <v>137</v>
      </c>
      <c r="D255" s="10"/>
      <c r="E255" s="3" t="s">
        <v>475</v>
      </c>
      <c r="F255" s="43" t="s">
        <v>204</v>
      </c>
      <c r="G255" s="43" t="s">
        <v>20</v>
      </c>
      <c r="H255" s="45">
        <v>1</v>
      </c>
      <c r="I255" s="43">
        <f>INDEX('حركة المخزن'!O:O,MATCH('تحليل مبيعات'!C255,'حركة المخزن'!B:B,0))</f>
        <v>175</v>
      </c>
      <c r="J255" s="43">
        <f t="shared" si="17"/>
        <v>175</v>
      </c>
      <c r="K255" s="10">
        <v>240</v>
      </c>
      <c r="L255" s="43">
        <f t="shared" si="18"/>
        <v>240</v>
      </c>
      <c r="M255" s="43">
        <f t="shared" si="19"/>
        <v>65</v>
      </c>
      <c r="W255" s="7" t="str">
        <f t="shared" si="20"/>
        <v>Jul</v>
      </c>
    </row>
    <row r="256" spans="2:23" ht="15.6" x14ac:dyDescent="0.3">
      <c r="B256" s="53">
        <v>45862</v>
      </c>
      <c r="C256" s="10" t="s">
        <v>151</v>
      </c>
      <c r="D256" s="10"/>
      <c r="E256" s="43" t="s">
        <v>518</v>
      </c>
      <c r="F256" s="43" t="s">
        <v>204</v>
      </c>
      <c r="G256" s="43" t="s">
        <v>20</v>
      </c>
      <c r="H256" s="45">
        <v>1</v>
      </c>
      <c r="I256" s="43">
        <f>INDEX('حركة المخزن'!O:O,MATCH('تحليل مبيعات'!C256,'حركة المخزن'!B:B,0))</f>
        <v>200</v>
      </c>
      <c r="J256" s="43">
        <f t="shared" si="17"/>
        <v>200</v>
      </c>
      <c r="K256" s="10">
        <v>350</v>
      </c>
      <c r="L256" s="43">
        <f t="shared" si="18"/>
        <v>350</v>
      </c>
      <c r="M256" s="43">
        <f t="shared" si="19"/>
        <v>150</v>
      </c>
      <c r="W256" s="7" t="str">
        <f t="shared" si="20"/>
        <v>Jul</v>
      </c>
    </row>
    <row r="257" spans="2:23" ht="18" x14ac:dyDescent="0.35">
      <c r="B257" s="53">
        <v>45862</v>
      </c>
      <c r="C257" s="10" t="s">
        <v>183</v>
      </c>
      <c r="D257" s="10"/>
      <c r="E257" s="3" t="s">
        <v>520</v>
      </c>
      <c r="F257" s="43" t="s">
        <v>204</v>
      </c>
      <c r="G257" s="43" t="s">
        <v>20</v>
      </c>
      <c r="H257" s="45">
        <v>1</v>
      </c>
      <c r="I257" s="43">
        <f>INDEX('حركة المخزن'!O:O,MATCH('تحليل مبيعات'!C257,'حركة المخزن'!B:B,0))</f>
        <v>550</v>
      </c>
      <c r="J257" s="43">
        <f t="shared" si="17"/>
        <v>550</v>
      </c>
      <c r="K257" s="10">
        <v>350</v>
      </c>
      <c r="L257" s="43">
        <f t="shared" si="18"/>
        <v>350</v>
      </c>
      <c r="M257" s="43">
        <f t="shared" si="19"/>
        <v>-200</v>
      </c>
      <c r="W257" s="7" t="str">
        <f t="shared" si="20"/>
        <v>Jul</v>
      </c>
    </row>
    <row r="258" spans="2:23" ht="15.6" x14ac:dyDescent="0.3">
      <c r="B258" s="53">
        <v>45862</v>
      </c>
      <c r="C258" s="10" t="s">
        <v>11</v>
      </c>
      <c r="D258" s="10"/>
      <c r="E258" s="43" t="s">
        <v>518</v>
      </c>
      <c r="F258" s="43" t="s">
        <v>204</v>
      </c>
      <c r="G258" s="43" t="s">
        <v>20</v>
      </c>
      <c r="H258" s="45">
        <v>1</v>
      </c>
      <c r="I258" s="43">
        <f>INDEX('حركة المخزن'!O:O,MATCH('تحليل مبيعات'!C258,'حركة المخزن'!B:B,0))</f>
        <v>100</v>
      </c>
      <c r="J258" s="43">
        <f t="shared" si="17"/>
        <v>100</v>
      </c>
      <c r="K258" s="10">
        <v>300</v>
      </c>
      <c r="L258" s="43">
        <f t="shared" si="18"/>
        <v>300</v>
      </c>
      <c r="M258" s="43">
        <f t="shared" si="19"/>
        <v>200</v>
      </c>
      <c r="W258" s="7" t="str">
        <f t="shared" si="20"/>
        <v>Jul</v>
      </c>
    </row>
    <row r="259" spans="2:23" ht="18" x14ac:dyDescent="0.35">
      <c r="B259" s="53">
        <v>45862</v>
      </c>
      <c r="C259" s="10" t="s">
        <v>58</v>
      </c>
      <c r="D259" s="10"/>
      <c r="E259" s="3" t="s">
        <v>517</v>
      </c>
      <c r="F259" s="43" t="s">
        <v>204</v>
      </c>
      <c r="G259" s="43" t="s">
        <v>20</v>
      </c>
      <c r="H259" s="45">
        <v>2</v>
      </c>
      <c r="I259" s="43">
        <f>INDEX('حركة المخزن'!O:O,MATCH('تحليل مبيعات'!C259,'حركة المخزن'!B:B,0))</f>
        <v>205</v>
      </c>
      <c r="J259" s="43">
        <f t="shared" si="17"/>
        <v>410</v>
      </c>
      <c r="K259" s="10">
        <v>4500</v>
      </c>
      <c r="L259" s="43">
        <f t="shared" si="18"/>
        <v>9000</v>
      </c>
      <c r="M259" s="43">
        <f t="shared" si="19"/>
        <v>8590</v>
      </c>
      <c r="W259" s="7" t="str">
        <f t="shared" si="20"/>
        <v>Jul</v>
      </c>
    </row>
    <row r="260" spans="2:23" ht="18" x14ac:dyDescent="0.35">
      <c r="B260" s="53">
        <v>45862</v>
      </c>
      <c r="C260" s="10" t="s">
        <v>147</v>
      </c>
      <c r="D260" s="10"/>
      <c r="E260" s="3" t="s">
        <v>517</v>
      </c>
      <c r="F260" s="43" t="s">
        <v>204</v>
      </c>
      <c r="G260" s="43" t="s">
        <v>20</v>
      </c>
      <c r="H260" s="45">
        <v>1</v>
      </c>
      <c r="I260" s="43">
        <f>INDEX('حركة المخزن'!O:O,MATCH('تحليل مبيعات'!C260,'حركة المخزن'!B:B,0))</f>
        <v>300</v>
      </c>
      <c r="J260" s="43">
        <f t="shared" si="17"/>
        <v>300</v>
      </c>
      <c r="K260" s="10">
        <v>0</v>
      </c>
      <c r="L260" s="47">
        <f t="shared" si="18"/>
        <v>0</v>
      </c>
      <c r="M260" s="47">
        <f t="shared" si="19"/>
        <v>-300</v>
      </c>
      <c r="W260" s="7" t="str">
        <f t="shared" si="20"/>
        <v>Jul</v>
      </c>
    </row>
    <row r="261" spans="2:23" ht="15.6" x14ac:dyDescent="0.3">
      <c r="B261" s="53">
        <v>45862</v>
      </c>
      <c r="C261" s="10" t="s">
        <v>94</v>
      </c>
      <c r="D261" s="10"/>
      <c r="E261" s="43" t="s">
        <v>518</v>
      </c>
      <c r="F261" s="43" t="s">
        <v>204</v>
      </c>
      <c r="G261" s="43" t="s">
        <v>20</v>
      </c>
      <c r="H261" s="45">
        <v>1</v>
      </c>
      <c r="I261" s="43">
        <f>INDEX('حركة المخزن'!O:O,MATCH('تحليل مبيعات'!C261,'حركة المخزن'!B:B,0))</f>
        <v>100</v>
      </c>
      <c r="J261" s="43">
        <f t="shared" si="17"/>
        <v>100</v>
      </c>
      <c r="K261" s="10">
        <v>250</v>
      </c>
      <c r="L261" s="43">
        <f t="shared" si="18"/>
        <v>250</v>
      </c>
      <c r="M261" s="43">
        <f t="shared" si="19"/>
        <v>150</v>
      </c>
      <c r="W261" s="7" t="str">
        <f t="shared" si="20"/>
        <v>Jul</v>
      </c>
    </row>
    <row r="262" spans="2:23" ht="15.6" x14ac:dyDescent="0.3">
      <c r="B262" s="53">
        <v>45862</v>
      </c>
      <c r="C262" s="10" t="s">
        <v>122</v>
      </c>
      <c r="D262" s="10"/>
      <c r="E262" s="43" t="s">
        <v>518</v>
      </c>
      <c r="F262" s="43" t="s">
        <v>204</v>
      </c>
      <c r="G262" s="43" t="s">
        <v>20</v>
      </c>
      <c r="H262" s="45">
        <v>1</v>
      </c>
      <c r="I262" s="43">
        <f>INDEX('حركة المخزن'!O:O,MATCH('تحليل مبيعات'!C262,'حركة المخزن'!B:B,0))</f>
        <v>110</v>
      </c>
      <c r="J262" s="43">
        <f t="shared" si="17"/>
        <v>110</v>
      </c>
      <c r="K262" s="10">
        <v>150</v>
      </c>
      <c r="L262" s="43">
        <f t="shared" si="18"/>
        <v>150</v>
      </c>
      <c r="M262" s="43">
        <f t="shared" si="19"/>
        <v>40</v>
      </c>
      <c r="W262" s="7" t="str">
        <f t="shared" si="20"/>
        <v>Jul</v>
      </c>
    </row>
    <row r="263" spans="2:23" ht="15.6" x14ac:dyDescent="0.3">
      <c r="B263" s="53">
        <v>45862</v>
      </c>
      <c r="C263" s="10" t="s">
        <v>59</v>
      </c>
      <c r="D263" s="10"/>
      <c r="E263" s="43" t="s">
        <v>518</v>
      </c>
      <c r="F263" s="43" t="s">
        <v>204</v>
      </c>
      <c r="G263" s="43" t="s">
        <v>20</v>
      </c>
      <c r="H263" s="45">
        <v>1</v>
      </c>
      <c r="I263" s="43">
        <f>INDEX('حركة المخزن'!O:O,MATCH('تحليل مبيعات'!C263,'حركة المخزن'!B:B,0))</f>
        <v>145</v>
      </c>
      <c r="J263" s="43">
        <f t="shared" si="17"/>
        <v>145</v>
      </c>
      <c r="K263" s="10">
        <v>150</v>
      </c>
      <c r="L263" s="47">
        <f t="shared" si="18"/>
        <v>150</v>
      </c>
      <c r="M263" s="47">
        <f t="shared" si="19"/>
        <v>5</v>
      </c>
      <c r="W263" s="7" t="str">
        <f t="shared" si="20"/>
        <v>Jul</v>
      </c>
    </row>
    <row r="264" spans="2:23" ht="15.6" x14ac:dyDescent="0.3">
      <c r="B264" s="53">
        <v>45862</v>
      </c>
      <c r="C264" s="10" t="s">
        <v>77</v>
      </c>
      <c r="D264" s="10"/>
      <c r="E264" s="43" t="s">
        <v>518</v>
      </c>
      <c r="F264" s="43" t="s">
        <v>204</v>
      </c>
      <c r="G264" s="43" t="s">
        <v>20</v>
      </c>
      <c r="H264" s="45">
        <v>1</v>
      </c>
      <c r="I264" s="43">
        <f>INDEX('حركة المخزن'!O:O,MATCH('تحليل مبيعات'!C264,'حركة المخزن'!B:B,0))</f>
        <v>180</v>
      </c>
      <c r="J264" s="43">
        <f t="shared" si="17"/>
        <v>180</v>
      </c>
      <c r="K264" s="10">
        <v>70</v>
      </c>
      <c r="L264" s="43">
        <f t="shared" si="18"/>
        <v>70</v>
      </c>
      <c r="M264" s="43">
        <f t="shared" si="19"/>
        <v>-110</v>
      </c>
      <c r="W264" s="7" t="str">
        <f t="shared" si="20"/>
        <v>Jul</v>
      </c>
    </row>
    <row r="265" spans="2:23" ht="18" x14ac:dyDescent="0.35">
      <c r="B265" s="53">
        <v>45862</v>
      </c>
      <c r="C265" s="10" t="s">
        <v>152</v>
      </c>
      <c r="D265" s="10"/>
      <c r="E265" s="3" t="s">
        <v>471</v>
      </c>
      <c r="F265" s="43" t="s">
        <v>204</v>
      </c>
      <c r="G265" s="43" t="s">
        <v>20</v>
      </c>
      <c r="H265" s="45">
        <v>1</v>
      </c>
      <c r="I265" s="43">
        <f>INDEX('حركة المخزن'!O:O,MATCH('تحليل مبيعات'!C265,'حركة المخزن'!B:B,0))</f>
        <v>210</v>
      </c>
      <c r="J265" s="43">
        <f t="shared" si="17"/>
        <v>210</v>
      </c>
      <c r="K265" s="10">
        <v>250</v>
      </c>
      <c r="L265" s="43">
        <f t="shared" si="18"/>
        <v>250</v>
      </c>
      <c r="M265" s="43">
        <f t="shared" si="19"/>
        <v>40</v>
      </c>
      <c r="W265" s="7" t="str">
        <f t="shared" si="20"/>
        <v>Jul</v>
      </c>
    </row>
    <row r="266" spans="2:23" ht="18" x14ac:dyDescent="0.35">
      <c r="B266" s="53">
        <v>45862</v>
      </c>
      <c r="C266" s="10" t="s">
        <v>87</v>
      </c>
      <c r="D266" s="10"/>
      <c r="E266" s="3" t="s">
        <v>520</v>
      </c>
      <c r="F266" s="43" t="s">
        <v>204</v>
      </c>
      <c r="G266" s="43" t="s">
        <v>20</v>
      </c>
      <c r="H266" s="45">
        <v>1</v>
      </c>
      <c r="I266" s="43">
        <f>INDEX('حركة المخزن'!O:O,MATCH('تحليل مبيعات'!C266,'حركة المخزن'!B:B,0))</f>
        <v>54</v>
      </c>
      <c r="J266" s="43">
        <f t="shared" si="17"/>
        <v>54</v>
      </c>
      <c r="K266" s="10">
        <v>270</v>
      </c>
      <c r="L266" s="43">
        <f t="shared" si="18"/>
        <v>270</v>
      </c>
      <c r="M266" s="43">
        <f t="shared" si="19"/>
        <v>216</v>
      </c>
      <c r="W266" s="7" t="str">
        <f t="shared" si="20"/>
        <v>Jul</v>
      </c>
    </row>
    <row r="267" spans="2:23" ht="18" x14ac:dyDescent="0.35">
      <c r="B267" s="53">
        <v>45862</v>
      </c>
      <c r="C267" s="10" t="s">
        <v>47</v>
      </c>
      <c r="D267" s="10"/>
      <c r="E267" s="3" t="s">
        <v>520</v>
      </c>
      <c r="F267" s="43" t="s">
        <v>204</v>
      </c>
      <c r="G267" s="43" t="s">
        <v>20</v>
      </c>
      <c r="H267" s="45">
        <v>4</v>
      </c>
      <c r="I267" s="43">
        <f>INDEX('حركة المخزن'!O:O,MATCH('تحليل مبيعات'!C267,'حركة المخزن'!B:B,0))</f>
        <v>130</v>
      </c>
      <c r="J267" s="43">
        <f t="shared" ref="J267:J330" si="21">H267*I267</f>
        <v>520</v>
      </c>
      <c r="K267" s="10">
        <v>67.5</v>
      </c>
      <c r="L267" s="43">
        <f t="shared" ref="L267:L330" si="22">H267*K267</f>
        <v>270</v>
      </c>
      <c r="M267" s="43">
        <f t="shared" ref="M267:M330" si="23">L267-J267</f>
        <v>-250</v>
      </c>
      <c r="W267" s="7" t="str">
        <f t="shared" ref="W267:W330" si="24">IF(B267="","",TEXT(B267,"mmm"))</f>
        <v>Jul</v>
      </c>
    </row>
    <row r="268" spans="2:23" ht="18" x14ac:dyDescent="0.35">
      <c r="B268" s="53">
        <v>45862</v>
      </c>
      <c r="C268" s="10" t="s">
        <v>24</v>
      </c>
      <c r="D268" s="10"/>
      <c r="E268" s="3" t="s">
        <v>520</v>
      </c>
      <c r="F268" s="43" t="s">
        <v>204</v>
      </c>
      <c r="G268" s="43" t="s">
        <v>20</v>
      </c>
      <c r="H268" s="45">
        <v>1</v>
      </c>
      <c r="I268" s="43">
        <f>INDEX('حركة المخزن'!O:O,MATCH('تحليل مبيعات'!C268,'حركة المخزن'!B:B,0))</f>
        <v>100</v>
      </c>
      <c r="J268" s="43">
        <f t="shared" si="21"/>
        <v>100</v>
      </c>
      <c r="K268" s="10">
        <v>100</v>
      </c>
      <c r="L268" s="43">
        <f t="shared" si="22"/>
        <v>100</v>
      </c>
      <c r="M268" s="43">
        <f t="shared" si="23"/>
        <v>0</v>
      </c>
      <c r="W268" s="7" t="str">
        <f t="shared" si="24"/>
        <v>Jul</v>
      </c>
    </row>
    <row r="269" spans="2:23" ht="18" x14ac:dyDescent="0.35">
      <c r="B269" s="53">
        <v>45862</v>
      </c>
      <c r="C269" s="10" t="s">
        <v>43</v>
      </c>
      <c r="D269" s="10"/>
      <c r="E269" s="3" t="s">
        <v>520</v>
      </c>
      <c r="F269" s="43" t="s">
        <v>204</v>
      </c>
      <c r="G269" s="43" t="s">
        <v>20</v>
      </c>
      <c r="H269" s="45">
        <v>1</v>
      </c>
      <c r="I269" s="43">
        <f>INDEX('حركة المخزن'!O:O,MATCH('تحليل مبيعات'!C269,'حركة المخزن'!B:B,0))</f>
        <v>110</v>
      </c>
      <c r="J269" s="43">
        <f t="shared" si="21"/>
        <v>110</v>
      </c>
      <c r="K269" s="10">
        <v>200</v>
      </c>
      <c r="L269" s="43">
        <f t="shared" si="22"/>
        <v>200</v>
      </c>
      <c r="M269" s="43">
        <f t="shared" si="23"/>
        <v>90</v>
      </c>
      <c r="W269" s="7" t="str">
        <f t="shared" si="24"/>
        <v>Jul</v>
      </c>
    </row>
    <row r="270" spans="2:23" ht="15.6" x14ac:dyDescent="0.3">
      <c r="B270" s="53">
        <v>45862</v>
      </c>
      <c r="C270" s="10" t="s">
        <v>102</v>
      </c>
      <c r="D270" s="10"/>
      <c r="E270" s="43" t="s">
        <v>518</v>
      </c>
      <c r="F270" s="43" t="s">
        <v>204</v>
      </c>
      <c r="G270" s="43" t="s">
        <v>20</v>
      </c>
      <c r="H270" s="45">
        <v>1</v>
      </c>
      <c r="I270" s="43">
        <f>INDEX('حركة المخزن'!O:O,MATCH('تحليل مبيعات'!C270,'حركة المخزن'!B:B,0))</f>
        <v>80</v>
      </c>
      <c r="J270" s="43">
        <f t="shared" si="21"/>
        <v>80</v>
      </c>
      <c r="K270" s="10">
        <v>850</v>
      </c>
      <c r="L270" s="43">
        <f t="shared" si="22"/>
        <v>850</v>
      </c>
      <c r="M270" s="43">
        <f t="shared" si="23"/>
        <v>770</v>
      </c>
      <c r="W270" s="7" t="str">
        <f t="shared" si="24"/>
        <v>Jul</v>
      </c>
    </row>
    <row r="271" spans="2:23" ht="18" x14ac:dyDescent="0.35">
      <c r="B271" s="53">
        <v>45862</v>
      </c>
      <c r="C271" s="10" t="s">
        <v>153</v>
      </c>
      <c r="D271" s="10"/>
      <c r="E271" s="3" t="s">
        <v>476</v>
      </c>
      <c r="F271" s="43" t="s">
        <v>204</v>
      </c>
      <c r="G271" s="43" t="s">
        <v>20</v>
      </c>
      <c r="H271" s="45">
        <v>1</v>
      </c>
      <c r="I271" s="43">
        <f>INDEX('حركة المخزن'!O:O,MATCH('تحليل مبيعات'!C271,'حركة المخزن'!B:B,0))</f>
        <v>215</v>
      </c>
      <c r="J271" s="43">
        <f t="shared" si="21"/>
        <v>215</v>
      </c>
      <c r="K271" s="10">
        <v>70</v>
      </c>
      <c r="L271" s="43">
        <f t="shared" si="22"/>
        <v>70</v>
      </c>
      <c r="M271" s="43">
        <f t="shared" si="23"/>
        <v>-145</v>
      </c>
      <c r="W271" s="7" t="str">
        <f t="shared" si="24"/>
        <v>Jul</v>
      </c>
    </row>
    <row r="272" spans="2:23" ht="15.6" x14ac:dyDescent="0.3">
      <c r="B272" s="53">
        <v>45862</v>
      </c>
      <c r="C272" s="10" t="s">
        <v>68</v>
      </c>
      <c r="D272" s="10"/>
      <c r="E272" s="43" t="s">
        <v>518</v>
      </c>
      <c r="F272" s="43" t="s">
        <v>204</v>
      </c>
      <c r="G272" s="43" t="s">
        <v>20</v>
      </c>
      <c r="H272" s="45">
        <v>1</v>
      </c>
      <c r="I272" s="43">
        <f>INDEX('حركة المخزن'!O:O,MATCH('تحليل مبيعات'!C272,'حركة المخزن'!B:B,0))</f>
        <v>175</v>
      </c>
      <c r="J272" s="43">
        <f t="shared" si="21"/>
        <v>175</v>
      </c>
      <c r="K272" s="10">
        <v>90</v>
      </c>
      <c r="L272" s="43">
        <f t="shared" si="22"/>
        <v>90</v>
      </c>
      <c r="M272" s="43">
        <f t="shared" si="23"/>
        <v>-85</v>
      </c>
      <c r="W272" s="7" t="str">
        <f t="shared" si="24"/>
        <v>Jul</v>
      </c>
    </row>
    <row r="273" spans="2:23" ht="15.6" x14ac:dyDescent="0.3">
      <c r="B273" s="53">
        <v>45862</v>
      </c>
      <c r="C273" s="10" t="s">
        <v>154</v>
      </c>
      <c r="D273" s="10"/>
      <c r="E273" s="43" t="s">
        <v>518</v>
      </c>
      <c r="F273" s="43" t="s">
        <v>204</v>
      </c>
      <c r="G273" s="43" t="s">
        <v>20</v>
      </c>
      <c r="H273" s="45">
        <v>1</v>
      </c>
      <c r="I273" s="43">
        <f>INDEX('حركة المخزن'!O:O,MATCH('تحليل مبيعات'!C273,'حركة المخزن'!B:B,0))</f>
        <v>220</v>
      </c>
      <c r="J273" s="43">
        <f t="shared" si="21"/>
        <v>220</v>
      </c>
      <c r="K273" s="10">
        <v>70</v>
      </c>
      <c r="L273" s="43">
        <f t="shared" si="22"/>
        <v>70</v>
      </c>
      <c r="M273" s="43">
        <f t="shared" si="23"/>
        <v>-150</v>
      </c>
      <c r="W273" s="7" t="str">
        <f t="shared" si="24"/>
        <v>Jul</v>
      </c>
    </row>
    <row r="274" spans="2:23" ht="15.6" x14ac:dyDescent="0.3">
      <c r="B274" s="53">
        <v>45862</v>
      </c>
      <c r="C274" s="10" t="s">
        <v>153</v>
      </c>
      <c r="D274" s="10"/>
      <c r="E274" s="43" t="s">
        <v>518</v>
      </c>
      <c r="F274" s="43" t="s">
        <v>204</v>
      </c>
      <c r="G274" s="43" t="s">
        <v>20</v>
      </c>
      <c r="H274" s="45">
        <v>1</v>
      </c>
      <c r="I274" s="43">
        <f>INDEX('حركة المخزن'!O:O,MATCH('تحليل مبيعات'!C274,'حركة المخزن'!B:B,0))</f>
        <v>215</v>
      </c>
      <c r="J274" s="43">
        <f t="shared" si="21"/>
        <v>215</v>
      </c>
      <c r="K274" s="10">
        <v>70</v>
      </c>
      <c r="L274" s="43">
        <f t="shared" si="22"/>
        <v>70</v>
      </c>
      <c r="M274" s="43">
        <f t="shared" si="23"/>
        <v>-145</v>
      </c>
      <c r="W274" s="7" t="str">
        <f t="shared" si="24"/>
        <v>Jul</v>
      </c>
    </row>
    <row r="275" spans="2:23" ht="15.6" x14ac:dyDescent="0.3">
      <c r="B275" s="53">
        <v>45862</v>
      </c>
      <c r="C275" s="10" t="s">
        <v>151</v>
      </c>
      <c r="D275" s="10"/>
      <c r="E275" s="43" t="s">
        <v>518</v>
      </c>
      <c r="F275" s="43" t="s">
        <v>204</v>
      </c>
      <c r="G275" s="43" t="s">
        <v>20</v>
      </c>
      <c r="H275" s="45">
        <v>1</v>
      </c>
      <c r="I275" s="43">
        <f>INDEX('حركة المخزن'!O:O,MATCH('تحليل مبيعات'!C275,'حركة المخزن'!B:B,0))</f>
        <v>200</v>
      </c>
      <c r="J275" s="43">
        <f t="shared" si="21"/>
        <v>200</v>
      </c>
      <c r="K275" s="10">
        <v>220</v>
      </c>
      <c r="L275" s="43">
        <f t="shared" si="22"/>
        <v>220</v>
      </c>
      <c r="M275" s="43">
        <f t="shared" si="23"/>
        <v>20</v>
      </c>
      <c r="W275" s="7" t="str">
        <f t="shared" si="24"/>
        <v>Jul</v>
      </c>
    </row>
    <row r="276" spans="2:23" ht="18" x14ac:dyDescent="0.35">
      <c r="B276" s="53">
        <v>45862</v>
      </c>
      <c r="C276" s="10" t="s">
        <v>159</v>
      </c>
      <c r="D276" s="10"/>
      <c r="E276" s="3" t="s">
        <v>476</v>
      </c>
      <c r="F276" s="43" t="s">
        <v>204</v>
      </c>
      <c r="G276" s="43" t="s">
        <v>20</v>
      </c>
      <c r="H276" s="45"/>
      <c r="I276" s="43">
        <f>INDEX('حركة المخزن'!O:O,MATCH('تحليل مبيعات'!C276,'حركة المخزن'!B:B,0))</f>
        <v>100</v>
      </c>
      <c r="J276" s="43">
        <f t="shared" si="21"/>
        <v>0</v>
      </c>
      <c r="K276" s="10">
        <v>0</v>
      </c>
      <c r="L276" s="47">
        <f t="shared" si="22"/>
        <v>0</v>
      </c>
      <c r="M276" s="47">
        <f t="shared" si="23"/>
        <v>0</v>
      </c>
      <c r="W276" s="7" t="str">
        <f t="shared" si="24"/>
        <v>Jul</v>
      </c>
    </row>
    <row r="277" spans="2:23" ht="18" x14ac:dyDescent="0.35">
      <c r="B277" s="53">
        <v>45862</v>
      </c>
      <c r="C277" s="10" t="s">
        <v>125</v>
      </c>
      <c r="D277" s="10"/>
      <c r="E277" s="3" t="s">
        <v>516</v>
      </c>
      <c r="F277" s="43" t="s">
        <v>204</v>
      </c>
      <c r="G277" s="43" t="s">
        <v>20</v>
      </c>
      <c r="H277" s="45">
        <v>1</v>
      </c>
      <c r="I277" s="43">
        <f>INDEX('حركة المخزن'!O:O,MATCH('تحليل مبيعات'!C277,'حركة المخزن'!B:B,0))</f>
        <v>125</v>
      </c>
      <c r="J277" s="43">
        <f t="shared" si="21"/>
        <v>125</v>
      </c>
      <c r="K277" s="10">
        <v>150</v>
      </c>
      <c r="L277" s="43">
        <f t="shared" si="22"/>
        <v>150</v>
      </c>
      <c r="M277" s="43">
        <f t="shared" si="23"/>
        <v>25</v>
      </c>
      <c r="W277" s="7" t="str">
        <f t="shared" si="24"/>
        <v>Jul</v>
      </c>
    </row>
    <row r="278" spans="2:23" ht="18" x14ac:dyDescent="0.35">
      <c r="B278" s="53">
        <v>45862</v>
      </c>
      <c r="C278" s="10" t="s">
        <v>155</v>
      </c>
      <c r="D278" s="10"/>
      <c r="E278" s="3" t="s">
        <v>519</v>
      </c>
      <c r="F278" s="43" t="s">
        <v>204</v>
      </c>
      <c r="G278" s="43" t="s">
        <v>20</v>
      </c>
      <c r="H278" s="45">
        <v>2</v>
      </c>
      <c r="I278" s="43">
        <f>INDEX('حركة المخزن'!O:O,MATCH('تحليل مبيعات'!C278,'حركة المخزن'!B:B,0))</f>
        <v>225</v>
      </c>
      <c r="J278" s="43">
        <f t="shared" si="21"/>
        <v>450</v>
      </c>
      <c r="K278" s="10">
        <v>175</v>
      </c>
      <c r="L278" s="43">
        <f t="shared" si="22"/>
        <v>350</v>
      </c>
      <c r="M278" s="43">
        <f t="shared" si="23"/>
        <v>-100</v>
      </c>
      <c r="W278" s="7" t="str">
        <f t="shared" si="24"/>
        <v>Jul</v>
      </c>
    </row>
    <row r="279" spans="2:23" ht="18" x14ac:dyDescent="0.35">
      <c r="B279" s="53">
        <v>45862</v>
      </c>
      <c r="C279" s="10" t="s">
        <v>158</v>
      </c>
      <c r="D279" s="10"/>
      <c r="E279" s="3" t="s">
        <v>519</v>
      </c>
      <c r="F279" s="43" t="s">
        <v>204</v>
      </c>
      <c r="G279" s="43" t="s">
        <v>20</v>
      </c>
      <c r="H279" s="45">
        <v>2</v>
      </c>
      <c r="I279" s="43">
        <f>INDEX('حركة المخزن'!O:O,MATCH('تحليل مبيعات'!C279,'حركة المخزن'!B:B,0))</f>
        <v>230</v>
      </c>
      <c r="J279" s="43">
        <f t="shared" si="21"/>
        <v>460</v>
      </c>
      <c r="K279" s="10">
        <v>200</v>
      </c>
      <c r="L279" s="43">
        <f t="shared" si="22"/>
        <v>400</v>
      </c>
      <c r="M279" s="43">
        <f t="shared" si="23"/>
        <v>-60</v>
      </c>
      <c r="W279" s="7" t="str">
        <f t="shared" si="24"/>
        <v>Jul</v>
      </c>
    </row>
    <row r="280" spans="2:23" ht="18" x14ac:dyDescent="0.35">
      <c r="B280" s="53">
        <v>45862</v>
      </c>
      <c r="C280" s="10" t="s">
        <v>156</v>
      </c>
      <c r="D280" s="10"/>
      <c r="E280" s="3" t="s">
        <v>519</v>
      </c>
      <c r="F280" s="43" t="s">
        <v>204</v>
      </c>
      <c r="G280" s="43" t="s">
        <v>20</v>
      </c>
      <c r="H280" s="45">
        <v>2</v>
      </c>
      <c r="I280" s="43">
        <f>INDEX('حركة المخزن'!O:O,MATCH('تحليل مبيعات'!C280,'حركة المخزن'!B:B,0))</f>
        <v>235</v>
      </c>
      <c r="J280" s="43">
        <f t="shared" si="21"/>
        <v>470</v>
      </c>
      <c r="K280" s="10">
        <v>350</v>
      </c>
      <c r="L280" s="43">
        <f t="shared" si="22"/>
        <v>700</v>
      </c>
      <c r="M280" s="43">
        <f t="shared" si="23"/>
        <v>230</v>
      </c>
      <c r="W280" s="7" t="str">
        <f t="shared" si="24"/>
        <v>Jul</v>
      </c>
    </row>
    <row r="281" spans="2:23" ht="18" x14ac:dyDescent="0.35">
      <c r="B281" s="53">
        <v>45862</v>
      </c>
      <c r="C281" s="10" t="s">
        <v>157</v>
      </c>
      <c r="D281" s="10"/>
      <c r="E281" s="3" t="s">
        <v>519</v>
      </c>
      <c r="F281" s="43" t="s">
        <v>204</v>
      </c>
      <c r="G281" s="43" t="s">
        <v>20</v>
      </c>
      <c r="H281" s="45">
        <v>2</v>
      </c>
      <c r="I281" s="43">
        <f>INDEX('حركة المخزن'!O:O,MATCH('تحليل مبيعات'!C281,'حركة المخزن'!B:B,0))</f>
        <v>240</v>
      </c>
      <c r="J281" s="43">
        <f t="shared" si="21"/>
        <v>480</v>
      </c>
      <c r="K281" s="10">
        <v>50</v>
      </c>
      <c r="L281" s="43">
        <f t="shared" si="22"/>
        <v>100</v>
      </c>
      <c r="M281" s="43">
        <f t="shared" si="23"/>
        <v>-380</v>
      </c>
      <c r="W281" s="7" t="str">
        <f t="shared" si="24"/>
        <v>Jul</v>
      </c>
    </row>
    <row r="282" spans="2:23" ht="15.6" x14ac:dyDescent="0.3">
      <c r="B282" s="53">
        <v>45862</v>
      </c>
      <c r="C282" s="10" t="s">
        <v>25</v>
      </c>
      <c r="D282" s="10"/>
      <c r="E282" s="43" t="s">
        <v>518</v>
      </c>
      <c r="F282" s="43" t="s">
        <v>204</v>
      </c>
      <c r="G282" s="43" t="s">
        <v>20</v>
      </c>
      <c r="H282" s="45">
        <v>1</v>
      </c>
      <c r="I282" s="43">
        <f>INDEX('حركة المخزن'!O:O,MATCH('تحليل مبيعات'!C282,'حركة المخزن'!B:B,0))</f>
        <v>60</v>
      </c>
      <c r="J282" s="43">
        <f t="shared" si="21"/>
        <v>60</v>
      </c>
      <c r="K282" s="10">
        <v>350</v>
      </c>
      <c r="L282" s="43">
        <f t="shared" si="22"/>
        <v>350</v>
      </c>
      <c r="M282" s="43">
        <f t="shared" si="23"/>
        <v>290</v>
      </c>
      <c r="W282" s="7" t="str">
        <f t="shared" si="24"/>
        <v>Jul</v>
      </c>
    </row>
    <row r="283" spans="2:23" ht="15.6" x14ac:dyDescent="0.3">
      <c r="B283" s="53">
        <v>45862</v>
      </c>
      <c r="C283" s="10" t="s">
        <v>7</v>
      </c>
      <c r="D283" s="10"/>
      <c r="E283" s="43" t="s">
        <v>518</v>
      </c>
      <c r="F283" s="10" t="s">
        <v>0</v>
      </c>
      <c r="G283" s="43" t="s">
        <v>20</v>
      </c>
      <c r="H283" s="45">
        <v>2</v>
      </c>
      <c r="I283" s="43">
        <f>INDEX('حركة المخزن'!O:O,MATCH('تحليل مبيعات'!C283,'حركة المخزن'!B:B,0))</f>
        <v>100</v>
      </c>
      <c r="J283" s="43">
        <f t="shared" si="21"/>
        <v>200</v>
      </c>
      <c r="K283" s="10">
        <v>1800</v>
      </c>
      <c r="L283" s="43">
        <f t="shared" si="22"/>
        <v>3600</v>
      </c>
      <c r="M283" s="43">
        <f t="shared" si="23"/>
        <v>3400</v>
      </c>
      <c r="W283" s="7" t="str">
        <f t="shared" si="24"/>
        <v>Jul</v>
      </c>
    </row>
    <row r="284" spans="2:23" ht="18" x14ac:dyDescent="0.35">
      <c r="B284" s="53">
        <v>45862</v>
      </c>
      <c r="C284" s="10" t="s">
        <v>186</v>
      </c>
      <c r="D284" s="10"/>
      <c r="E284" s="3" t="s">
        <v>519</v>
      </c>
      <c r="F284" s="10" t="s">
        <v>1</v>
      </c>
      <c r="G284" s="43" t="s">
        <v>20</v>
      </c>
      <c r="H284" s="45">
        <v>1</v>
      </c>
      <c r="I284" s="43">
        <f>INDEX('حركة المخزن'!O:O,MATCH('تحليل مبيعات'!C284,'حركة المخزن'!B:B,0))</f>
        <v>380</v>
      </c>
      <c r="J284" s="43">
        <f t="shared" si="21"/>
        <v>380</v>
      </c>
      <c r="K284" s="10">
        <v>1750</v>
      </c>
      <c r="L284" s="43">
        <f t="shared" si="22"/>
        <v>1750</v>
      </c>
      <c r="M284" s="43">
        <f t="shared" si="23"/>
        <v>1370</v>
      </c>
      <c r="W284" s="7" t="str">
        <f t="shared" si="24"/>
        <v>Jul</v>
      </c>
    </row>
    <row r="285" spans="2:23" ht="18" x14ac:dyDescent="0.35">
      <c r="B285" s="53">
        <v>45863</v>
      </c>
      <c r="C285" s="10" t="s">
        <v>162</v>
      </c>
      <c r="D285" s="10"/>
      <c r="E285" s="3" t="s">
        <v>519</v>
      </c>
      <c r="F285" s="10" t="s">
        <v>1</v>
      </c>
      <c r="G285" s="43" t="s">
        <v>20</v>
      </c>
      <c r="H285" s="45">
        <v>1</v>
      </c>
      <c r="I285" s="43">
        <f>INDEX('حركة المخزن'!O:O,MATCH('تحليل مبيعات'!C285,'حركة المخزن'!B:B,0))</f>
        <v>385</v>
      </c>
      <c r="J285" s="43">
        <f t="shared" si="21"/>
        <v>385</v>
      </c>
      <c r="K285" s="10">
        <v>2000</v>
      </c>
      <c r="L285" s="43">
        <f t="shared" si="22"/>
        <v>2000</v>
      </c>
      <c r="M285" s="43">
        <f t="shared" si="23"/>
        <v>1615</v>
      </c>
      <c r="W285" s="7" t="str">
        <f t="shared" si="24"/>
        <v>Jul</v>
      </c>
    </row>
    <row r="286" spans="2:23" ht="18" x14ac:dyDescent="0.35">
      <c r="B286" s="53">
        <v>45863</v>
      </c>
      <c r="C286" s="10" t="s">
        <v>76</v>
      </c>
      <c r="D286" s="10"/>
      <c r="E286" s="3" t="s">
        <v>475</v>
      </c>
      <c r="F286" s="10" t="s">
        <v>1</v>
      </c>
      <c r="G286" s="43" t="s">
        <v>20</v>
      </c>
      <c r="H286" s="45">
        <v>1</v>
      </c>
      <c r="I286" s="43">
        <f>INDEX('حركة المخزن'!O:O,MATCH('تحليل مبيعات'!C286,'حركة المخزن'!B:B,0))</f>
        <v>370</v>
      </c>
      <c r="J286" s="43">
        <f t="shared" si="21"/>
        <v>370</v>
      </c>
      <c r="K286" s="10">
        <v>1700</v>
      </c>
      <c r="L286" s="43">
        <f t="shared" si="22"/>
        <v>1700</v>
      </c>
      <c r="M286" s="43">
        <f t="shared" si="23"/>
        <v>1330</v>
      </c>
      <c r="W286" s="7" t="str">
        <f t="shared" si="24"/>
        <v>Jul</v>
      </c>
    </row>
    <row r="287" spans="2:23" ht="18" x14ac:dyDescent="0.35">
      <c r="B287" s="53">
        <v>45863</v>
      </c>
      <c r="C287" s="10" t="s">
        <v>25</v>
      </c>
      <c r="D287" s="10"/>
      <c r="E287" s="3" t="s">
        <v>516</v>
      </c>
      <c r="F287" s="43" t="s">
        <v>204</v>
      </c>
      <c r="G287" s="43" t="s">
        <v>20</v>
      </c>
      <c r="H287" s="45">
        <v>1</v>
      </c>
      <c r="I287" s="43">
        <f>INDEX('حركة المخزن'!O:O,MATCH('تحليل مبيعات'!C287,'حركة المخزن'!B:B,0))</f>
        <v>60</v>
      </c>
      <c r="J287" s="43">
        <f t="shared" si="21"/>
        <v>60</v>
      </c>
      <c r="K287" s="10">
        <v>350</v>
      </c>
      <c r="L287" s="43">
        <f t="shared" si="22"/>
        <v>350</v>
      </c>
      <c r="M287" s="43">
        <f t="shared" si="23"/>
        <v>290</v>
      </c>
      <c r="W287" s="7" t="str">
        <f t="shared" si="24"/>
        <v>Jul</v>
      </c>
    </row>
    <row r="288" spans="2:23" ht="15.6" x14ac:dyDescent="0.3">
      <c r="B288" s="53">
        <v>45863</v>
      </c>
      <c r="C288" s="10" t="s">
        <v>25</v>
      </c>
      <c r="D288" s="10"/>
      <c r="E288" s="43" t="s">
        <v>518</v>
      </c>
      <c r="F288" s="43" t="s">
        <v>204</v>
      </c>
      <c r="G288" s="43" t="s">
        <v>20</v>
      </c>
      <c r="H288" s="45">
        <v>1</v>
      </c>
      <c r="I288" s="43">
        <f>INDEX('حركة المخزن'!O:O,MATCH('تحليل مبيعات'!C288,'حركة المخزن'!B:B,0))</f>
        <v>60</v>
      </c>
      <c r="J288" s="43">
        <f t="shared" si="21"/>
        <v>60</v>
      </c>
      <c r="K288" s="10">
        <v>350</v>
      </c>
      <c r="L288" s="43">
        <f t="shared" si="22"/>
        <v>350</v>
      </c>
      <c r="M288" s="43">
        <f t="shared" si="23"/>
        <v>290</v>
      </c>
      <c r="W288" s="7" t="str">
        <f t="shared" si="24"/>
        <v>Jul</v>
      </c>
    </row>
    <row r="289" spans="2:23" ht="18" x14ac:dyDescent="0.35">
      <c r="B289" s="53">
        <v>45864</v>
      </c>
      <c r="C289" s="10" t="s">
        <v>49</v>
      </c>
      <c r="D289" s="10"/>
      <c r="E289" s="3" t="s">
        <v>516</v>
      </c>
      <c r="F289" s="10" t="s">
        <v>1</v>
      </c>
      <c r="G289" s="43" t="s">
        <v>20</v>
      </c>
      <c r="H289" s="45">
        <v>1</v>
      </c>
      <c r="I289" s="43">
        <f>INDEX('حركة المخزن'!O:O,MATCH('تحليل مبيعات'!C289,'حركة المخزن'!B:B,0))</f>
        <v>350</v>
      </c>
      <c r="J289" s="43">
        <f t="shared" si="21"/>
        <v>350</v>
      </c>
      <c r="K289" s="10">
        <v>2550</v>
      </c>
      <c r="L289" s="43">
        <f t="shared" si="22"/>
        <v>2550</v>
      </c>
      <c r="M289" s="43">
        <f t="shared" si="23"/>
        <v>2200</v>
      </c>
      <c r="W289" s="7" t="str">
        <f t="shared" si="24"/>
        <v>Jul</v>
      </c>
    </row>
    <row r="290" spans="2:23" ht="18" x14ac:dyDescent="0.35">
      <c r="B290" s="53">
        <v>45864</v>
      </c>
      <c r="C290" s="10" t="s">
        <v>76</v>
      </c>
      <c r="D290" s="10"/>
      <c r="E290" s="3" t="s">
        <v>476</v>
      </c>
      <c r="F290" s="10" t="s">
        <v>1</v>
      </c>
      <c r="G290" s="43" t="s">
        <v>20</v>
      </c>
      <c r="H290" s="45">
        <v>1</v>
      </c>
      <c r="I290" s="43">
        <f>INDEX('حركة المخزن'!O:O,MATCH('تحليل مبيعات'!C290,'حركة المخزن'!B:B,0))</f>
        <v>370</v>
      </c>
      <c r="J290" s="43">
        <f t="shared" si="21"/>
        <v>370</v>
      </c>
      <c r="K290" s="10">
        <v>1700</v>
      </c>
      <c r="L290" s="43">
        <f t="shared" si="22"/>
        <v>1700</v>
      </c>
      <c r="M290" s="43">
        <f t="shared" si="23"/>
        <v>1330</v>
      </c>
      <c r="W290" s="7" t="str">
        <f t="shared" si="24"/>
        <v>Jul</v>
      </c>
    </row>
    <row r="291" spans="2:23" ht="15.6" x14ac:dyDescent="0.3">
      <c r="B291" s="53">
        <v>45864</v>
      </c>
      <c r="C291" s="10" t="s">
        <v>75</v>
      </c>
      <c r="D291" s="10"/>
      <c r="E291" s="43" t="s">
        <v>518</v>
      </c>
      <c r="F291" s="43" t="s">
        <v>204</v>
      </c>
      <c r="G291" s="43" t="s">
        <v>20</v>
      </c>
      <c r="H291" s="45">
        <v>1</v>
      </c>
      <c r="I291" s="43">
        <f>INDEX('حركة المخزن'!O:O,MATCH('تحليل مبيعات'!C291,'حركة المخزن'!B:B,0))</f>
        <v>200</v>
      </c>
      <c r="J291" s="43">
        <f t="shared" si="21"/>
        <v>200</v>
      </c>
      <c r="K291" s="10">
        <v>30</v>
      </c>
      <c r="L291" s="43">
        <f t="shared" si="22"/>
        <v>30</v>
      </c>
      <c r="M291" s="43">
        <f t="shared" si="23"/>
        <v>-170</v>
      </c>
      <c r="W291" s="7" t="str">
        <f t="shared" si="24"/>
        <v>Jul</v>
      </c>
    </row>
    <row r="292" spans="2:23" ht="18" x14ac:dyDescent="0.35">
      <c r="B292" s="53">
        <v>45864</v>
      </c>
      <c r="C292" s="10" t="s">
        <v>25</v>
      </c>
      <c r="D292" s="10"/>
      <c r="E292" s="3" t="s">
        <v>475</v>
      </c>
      <c r="F292" s="43" t="s">
        <v>204</v>
      </c>
      <c r="G292" s="43" t="s">
        <v>20</v>
      </c>
      <c r="H292" s="45">
        <v>1</v>
      </c>
      <c r="I292" s="43">
        <f>INDEX('حركة المخزن'!O:O,MATCH('تحليل مبيعات'!C292,'حركة المخزن'!B:B,0))</f>
        <v>60</v>
      </c>
      <c r="J292" s="43">
        <f t="shared" si="21"/>
        <v>60</v>
      </c>
      <c r="K292" s="10">
        <v>325</v>
      </c>
      <c r="L292" s="43">
        <f t="shared" si="22"/>
        <v>325</v>
      </c>
      <c r="M292" s="43">
        <f t="shared" si="23"/>
        <v>265</v>
      </c>
      <c r="W292" s="7" t="str">
        <f t="shared" si="24"/>
        <v>Jul</v>
      </c>
    </row>
    <row r="293" spans="2:23" ht="18" x14ac:dyDescent="0.35">
      <c r="B293" s="53">
        <v>45864</v>
      </c>
      <c r="C293" s="10" t="s">
        <v>48</v>
      </c>
      <c r="D293" s="10"/>
      <c r="E293" s="3" t="s">
        <v>519</v>
      </c>
      <c r="F293" s="43" t="s">
        <v>204</v>
      </c>
      <c r="G293" s="43" t="s">
        <v>20</v>
      </c>
      <c r="H293" s="45">
        <v>4</v>
      </c>
      <c r="I293" s="43">
        <f>INDEX('حركة المخزن'!O:O,MATCH('تحليل مبيعات'!C293,'حركة المخزن'!B:B,0))</f>
        <v>125</v>
      </c>
      <c r="J293" s="43">
        <f t="shared" si="21"/>
        <v>500</v>
      </c>
      <c r="K293" s="10">
        <v>37.5</v>
      </c>
      <c r="L293" s="43">
        <f t="shared" si="22"/>
        <v>150</v>
      </c>
      <c r="M293" s="43">
        <f t="shared" si="23"/>
        <v>-350</v>
      </c>
      <c r="W293" s="7" t="str">
        <f t="shared" si="24"/>
        <v>Jul</v>
      </c>
    </row>
    <row r="294" spans="2:23" ht="15.6" x14ac:dyDescent="0.3">
      <c r="B294" s="53">
        <v>45864</v>
      </c>
      <c r="C294" s="10" t="s">
        <v>24</v>
      </c>
      <c r="D294" s="10"/>
      <c r="E294" s="43" t="s">
        <v>518</v>
      </c>
      <c r="F294" s="43" t="s">
        <v>204</v>
      </c>
      <c r="G294" s="43" t="s">
        <v>20</v>
      </c>
      <c r="H294" s="45">
        <v>1</v>
      </c>
      <c r="I294" s="43">
        <f>INDEX('حركة المخزن'!O:O,MATCH('تحليل مبيعات'!C294,'حركة المخزن'!B:B,0))</f>
        <v>100</v>
      </c>
      <c r="J294" s="43">
        <f t="shared" si="21"/>
        <v>100</v>
      </c>
      <c r="K294" s="10">
        <v>100</v>
      </c>
      <c r="L294" s="43">
        <f t="shared" si="22"/>
        <v>100</v>
      </c>
      <c r="M294" s="43">
        <f t="shared" si="23"/>
        <v>0</v>
      </c>
      <c r="W294" s="7" t="str">
        <f t="shared" si="24"/>
        <v>Jul</v>
      </c>
    </row>
    <row r="295" spans="2:23" ht="18" x14ac:dyDescent="0.35">
      <c r="B295" s="53">
        <v>45864</v>
      </c>
      <c r="C295" s="10" t="s">
        <v>94</v>
      </c>
      <c r="D295" s="10"/>
      <c r="E295" s="3" t="s">
        <v>516</v>
      </c>
      <c r="F295" s="43" t="s">
        <v>204</v>
      </c>
      <c r="G295" s="43" t="s">
        <v>20</v>
      </c>
      <c r="H295" s="45">
        <v>1</v>
      </c>
      <c r="I295" s="43">
        <f>INDEX('حركة المخزن'!O:O,MATCH('تحليل مبيعات'!C295,'حركة المخزن'!B:B,0))</f>
        <v>100</v>
      </c>
      <c r="J295" s="43">
        <f t="shared" si="21"/>
        <v>100</v>
      </c>
      <c r="K295" s="10">
        <v>300</v>
      </c>
      <c r="L295" s="43">
        <f t="shared" si="22"/>
        <v>300</v>
      </c>
      <c r="M295" s="43">
        <f t="shared" si="23"/>
        <v>200</v>
      </c>
      <c r="W295" s="7" t="str">
        <f t="shared" si="24"/>
        <v>Jul</v>
      </c>
    </row>
    <row r="296" spans="2:23" ht="18" x14ac:dyDescent="0.35">
      <c r="B296" s="53">
        <v>45864</v>
      </c>
      <c r="C296" s="10" t="s">
        <v>183</v>
      </c>
      <c r="D296" s="10"/>
      <c r="E296" s="3" t="s">
        <v>516</v>
      </c>
      <c r="F296" s="43" t="s">
        <v>204</v>
      </c>
      <c r="G296" s="43" t="s">
        <v>20</v>
      </c>
      <c r="H296" s="45">
        <v>1</v>
      </c>
      <c r="I296" s="43">
        <f>INDEX('حركة المخزن'!O:O,MATCH('تحليل مبيعات'!C296,'حركة المخزن'!B:B,0))</f>
        <v>550</v>
      </c>
      <c r="J296" s="43">
        <f t="shared" si="21"/>
        <v>550</v>
      </c>
      <c r="K296" s="10">
        <v>200</v>
      </c>
      <c r="L296" s="47">
        <f t="shared" si="22"/>
        <v>200</v>
      </c>
      <c r="M296" s="47">
        <f t="shared" si="23"/>
        <v>-350</v>
      </c>
      <c r="W296" s="7" t="str">
        <f t="shared" si="24"/>
        <v>Jul</v>
      </c>
    </row>
    <row r="297" spans="2:23" ht="18" x14ac:dyDescent="0.35">
      <c r="B297" s="53">
        <v>45864</v>
      </c>
      <c r="C297" s="10" t="s">
        <v>127</v>
      </c>
      <c r="D297" s="10"/>
      <c r="E297" s="3" t="s">
        <v>516</v>
      </c>
      <c r="F297" s="43" t="s">
        <v>204</v>
      </c>
      <c r="G297" s="43" t="s">
        <v>20</v>
      </c>
      <c r="H297" s="45">
        <v>2</v>
      </c>
      <c r="I297" s="43">
        <f>INDEX('حركة المخزن'!O:O,MATCH('تحليل مبيعات'!C297,'حركة المخزن'!B:B,0))</f>
        <v>130</v>
      </c>
      <c r="J297" s="43">
        <f t="shared" si="21"/>
        <v>260</v>
      </c>
      <c r="K297" s="10">
        <v>50</v>
      </c>
      <c r="L297" s="43">
        <f t="shared" si="22"/>
        <v>100</v>
      </c>
      <c r="M297" s="43">
        <f t="shared" si="23"/>
        <v>-160</v>
      </c>
      <c r="W297" s="7" t="str">
        <f t="shared" si="24"/>
        <v>Jul</v>
      </c>
    </row>
    <row r="298" spans="2:23" ht="15.6" x14ac:dyDescent="0.3">
      <c r="B298" s="53">
        <v>45864</v>
      </c>
      <c r="C298" s="10" t="s">
        <v>167</v>
      </c>
      <c r="D298" s="10"/>
      <c r="E298" s="43" t="s">
        <v>518</v>
      </c>
      <c r="F298" s="43" t="s">
        <v>204</v>
      </c>
      <c r="G298" s="43" t="s">
        <v>20</v>
      </c>
      <c r="H298" s="45">
        <v>5</v>
      </c>
      <c r="I298" s="43">
        <f>INDEX('حركة المخزن'!O:O,MATCH('تحليل مبيعات'!C298,'حركة المخزن'!B:B,0))</f>
        <v>320</v>
      </c>
      <c r="J298" s="43">
        <f t="shared" si="21"/>
        <v>1600</v>
      </c>
      <c r="K298" s="10">
        <v>40</v>
      </c>
      <c r="L298" s="47">
        <f t="shared" si="22"/>
        <v>200</v>
      </c>
      <c r="M298" s="47">
        <f t="shared" si="23"/>
        <v>-1400</v>
      </c>
      <c r="W298" s="7" t="str">
        <f t="shared" si="24"/>
        <v>Jul</v>
      </c>
    </row>
    <row r="299" spans="2:23" ht="15.6" x14ac:dyDescent="0.3">
      <c r="B299" s="53">
        <v>45864</v>
      </c>
      <c r="C299" s="10" t="s">
        <v>168</v>
      </c>
      <c r="D299" s="10"/>
      <c r="E299" s="43" t="s">
        <v>518</v>
      </c>
      <c r="F299" s="43" t="s">
        <v>204</v>
      </c>
      <c r="G299" s="43" t="s">
        <v>20</v>
      </c>
      <c r="H299" s="45">
        <v>1</v>
      </c>
      <c r="I299" s="43">
        <f>INDEX('حركة المخزن'!O:O,MATCH('تحليل مبيعات'!C299,'حركة المخزن'!B:B,0))</f>
        <v>245</v>
      </c>
      <c r="J299" s="43">
        <f t="shared" si="21"/>
        <v>245</v>
      </c>
      <c r="K299" s="10">
        <v>100</v>
      </c>
      <c r="L299" s="43">
        <f t="shared" si="22"/>
        <v>100</v>
      </c>
      <c r="M299" s="43">
        <f t="shared" si="23"/>
        <v>-145</v>
      </c>
      <c r="W299" s="7" t="str">
        <f t="shared" si="24"/>
        <v>Jul</v>
      </c>
    </row>
    <row r="300" spans="2:23" ht="15.6" x14ac:dyDescent="0.3">
      <c r="B300" s="53">
        <v>45864</v>
      </c>
      <c r="C300" s="10" t="s">
        <v>102</v>
      </c>
      <c r="D300" s="10"/>
      <c r="E300" s="43" t="s">
        <v>518</v>
      </c>
      <c r="F300" s="43" t="s">
        <v>204</v>
      </c>
      <c r="G300" s="43" t="s">
        <v>20</v>
      </c>
      <c r="H300" s="45">
        <v>1</v>
      </c>
      <c r="I300" s="43">
        <f>INDEX('حركة المخزن'!O:O,MATCH('تحليل مبيعات'!C300,'حركة المخزن'!B:B,0))</f>
        <v>80</v>
      </c>
      <c r="J300" s="43">
        <f t="shared" si="21"/>
        <v>80</v>
      </c>
      <c r="K300" s="10">
        <v>850</v>
      </c>
      <c r="L300" s="43">
        <f t="shared" si="22"/>
        <v>850</v>
      </c>
      <c r="M300" s="43">
        <f t="shared" si="23"/>
        <v>770</v>
      </c>
      <c r="W300" s="7" t="str">
        <f t="shared" si="24"/>
        <v>Jul</v>
      </c>
    </row>
    <row r="301" spans="2:23" ht="18" x14ac:dyDescent="0.35">
      <c r="B301" s="53">
        <v>45864</v>
      </c>
      <c r="C301" s="10" t="s">
        <v>169</v>
      </c>
      <c r="D301" s="10"/>
      <c r="E301" s="3" t="s">
        <v>519</v>
      </c>
      <c r="F301" s="43" t="s">
        <v>204</v>
      </c>
      <c r="G301" s="43" t="s">
        <v>20</v>
      </c>
      <c r="H301" s="45">
        <v>1</v>
      </c>
      <c r="I301" s="43">
        <f>INDEX('حركة المخزن'!O:O,MATCH('تحليل مبيعات'!C301,'حركة المخزن'!B:B,0))</f>
        <v>250</v>
      </c>
      <c r="J301" s="43">
        <f t="shared" si="21"/>
        <v>250</v>
      </c>
      <c r="K301" s="10">
        <v>100</v>
      </c>
      <c r="L301" s="43">
        <f t="shared" si="22"/>
        <v>100</v>
      </c>
      <c r="M301" s="43">
        <f t="shared" si="23"/>
        <v>-150</v>
      </c>
      <c r="W301" s="7" t="str">
        <f t="shared" si="24"/>
        <v>Jul</v>
      </c>
    </row>
    <row r="302" spans="2:23" ht="15.6" x14ac:dyDescent="0.3">
      <c r="B302" s="53">
        <v>45864</v>
      </c>
      <c r="C302" s="10" t="s">
        <v>47</v>
      </c>
      <c r="D302" s="10"/>
      <c r="E302" s="43" t="s">
        <v>518</v>
      </c>
      <c r="F302" s="43" t="s">
        <v>204</v>
      </c>
      <c r="G302" s="43" t="s">
        <v>20</v>
      </c>
      <c r="H302" s="45">
        <v>4</v>
      </c>
      <c r="I302" s="43">
        <f>INDEX('حركة المخزن'!O:O,MATCH('تحليل مبيعات'!C302,'حركة المخزن'!B:B,0))</f>
        <v>130</v>
      </c>
      <c r="J302" s="43">
        <f t="shared" si="21"/>
        <v>520</v>
      </c>
      <c r="K302" s="10">
        <v>70</v>
      </c>
      <c r="L302" s="43">
        <f t="shared" si="22"/>
        <v>280</v>
      </c>
      <c r="M302" s="43">
        <f t="shared" si="23"/>
        <v>-240</v>
      </c>
      <c r="W302" s="7" t="str">
        <f t="shared" si="24"/>
        <v>Jul</v>
      </c>
    </row>
    <row r="303" spans="2:23" ht="15.6" x14ac:dyDescent="0.3">
      <c r="B303" s="53">
        <v>45864</v>
      </c>
      <c r="C303" s="10" t="s">
        <v>103</v>
      </c>
      <c r="D303" s="10"/>
      <c r="E303" s="43" t="s">
        <v>518</v>
      </c>
      <c r="F303" s="43" t="s">
        <v>204</v>
      </c>
      <c r="G303" s="43" t="s">
        <v>20</v>
      </c>
      <c r="H303" s="45">
        <v>1</v>
      </c>
      <c r="I303" s="43">
        <f>INDEX('حركة المخزن'!O:O,MATCH('تحليل مبيعات'!C303,'حركة المخزن'!B:B,0))</f>
        <v>60</v>
      </c>
      <c r="J303" s="43">
        <f t="shared" si="21"/>
        <v>60</v>
      </c>
      <c r="K303" s="10">
        <v>150</v>
      </c>
      <c r="L303" s="43">
        <f t="shared" si="22"/>
        <v>150</v>
      </c>
      <c r="M303" s="43">
        <f t="shared" si="23"/>
        <v>90</v>
      </c>
      <c r="W303" s="7" t="str">
        <f t="shared" si="24"/>
        <v>Jul</v>
      </c>
    </row>
    <row r="304" spans="2:23" ht="18" x14ac:dyDescent="0.35">
      <c r="B304" s="53">
        <v>45864</v>
      </c>
      <c r="C304" s="10" t="s">
        <v>187</v>
      </c>
      <c r="D304" s="10"/>
      <c r="E304" s="3" t="s">
        <v>520</v>
      </c>
      <c r="F304" s="43" t="s">
        <v>204</v>
      </c>
      <c r="G304" s="43" t="s">
        <v>20</v>
      </c>
      <c r="H304" s="45">
        <v>1</v>
      </c>
      <c r="I304" s="43">
        <f>INDEX('حركة المخزن'!O:O,MATCH('تحليل مبيعات'!C304,'حركة المخزن'!B:B,0))</f>
        <v>340</v>
      </c>
      <c r="J304" s="43">
        <f t="shared" si="21"/>
        <v>340</v>
      </c>
      <c r="K304" s="10">
        <v>0</v>
      </c>
      <c r="L304" s="47">
        <f t="shared" si="22"/>
        <v>0</v>
      </c>
      <c r="M304" s="47">
        <f t="shared" si="23"/>
        <v>-340</v>
      </c>
      <c r="W304" s="7" t="str">
        <f t="shared" si="24"/>
        <v>Jul</v>
      </c>
    </row>
    <row r="305" spans="2:23" ht="18" x14ac:dyDescent="0.35">
      <c r="B305" s="53">
        <v>45864</v>
      </c>
      <c r="C305" s="10" t="s">
        <v>125</v>
      </c>
      <c r="D305" s="10"/>
      <c r="E305" s="3" t="s">
        <v>520</v>
      </c>
      <c r="F305" s="43" t="s">
        <v>204</v>
      </c>
      <c r="G305" s="43" t="s">
        <v>20</v>
      </c>
      <c r="H305" s="45">
        <v>1</v>
      </c>
      <c r="I305" s="43">
        <f>INDEX('حركة المخزن'!O:O,MATCH('تحليل مبيعات'!C305,'حركة المخزن'!B:B,0))</f>
        <v>125</v>
      </c>
      <c r="J305" s="43">
        <f t="shared" si="21"/>
        <v>125</v>
      </c>
      <c r="K305" s="10">
        <v>0</v>
      </c>
      <c r="L305" s="47">
        <f t="shared" si="22"/>
        <v>0</v>
      </c>
      <c r="M305" s="47">
        <f t="shared" si="23"/>
        <v>-125</v>
      </c>
      <c r="W305" s="7" t="str">
        <f t="shared" si="24"/>
        <v>Jul</v>
      </c>
    </row>
    <row r="306" spans="2:23" ht="18" x14ac:dyDescent="0.35">
      <c r="B306" s="53">
        <v>45864</v>
      </c>
      <c r="C306" s="10" t="s">
        <v>24</v>
      </c>
      <c r="D306" s="10"/>
      <c r="E306" s="3" t="s">
        <v>520</v>
      </c>
      <c r="F306" s="43" t="s">
        <v>204</v>
      </c>
      <c r="G306" s="43" t="s">
        <v>20</v>
      </c>
      <c r="H306" s="45">
        <v>1</v>
      </c>
      <c r="I306" s="43">
        <f>INDEX('حركة المخزن'!O:O,MATCH('تحليل مبيعات'!C306,'حركة المخزن'!B:B,0))</f>
        <v>100</v>
      </c>
      <c r="J306" s="43">
        <f t="shared" si="21"/>
        <v>100</v>
      </c>
      <c r="K306" s="10">
        <v>0</v>
      </c>
      <c r="L306" s="47">
        <f t="shared" si="22"/>
        <v>0</v>
      </c>
      <c r="M306" s="47">
        <f t="shared" si="23"/>
        <v>-100</v>
      </c>
      <c r="W306" s="7" t="str">
        <f t="shared" si="24"/>
        <v>Jul</v>
      </c>
    </row>
    <row r="307" spans="2:23" ht="18" x14ac:dyDescent="0.35">
      <c r="B307" s="53">
        <v>45864</v>
      </c>
      <c r="C307" s="10" t="s">
        <v>188</v>
      </c>
      <c r="D307" s="10"/>
      <c r="E307" s="3" t="s">
        <v>520</v>
      </c>
      <c r="F307" s="43" t="s">
        <v>204</v>
      </c>
      <c r="G307" s="43" t="s">
        <v>20</v>
      </c>
      <c r="H307" s="45">
        <v>1</v>
      </c>
      <c r="I307" s="43">
        <f>INDEX('حركة المخزن'!O:O,MATCH('تحليل مبيعات'!C307,'حركة المخزن'!B:B,0))</f>
        <v>360</v>
      </c>
      <c r="J307" s="43">
        <f t="shared" si="21"/>
        <v>360</v>
      </c>
      <c r="K307" s="10">
        <v>0</v>
      </c>
      <c r="L307" s="47">
        <f t="shared" si="22"/>
        <v>0</v>
      </c>
      <c r="M307" s="47">
        <f t="shared" si="23"/>
        <v>-360</v>
      </c>
      <c r="W307" s="7" t="str">
        <f t="shared" si="24"/>
        <v>Jul</v>
      </c>
    </row>
    <row r="308" spans="2:23" ht="18" x14ac:dyDescent="0.35">
      <c r="B308" s="53">
        <v>45864</v>
      </c>
      <c r="C308" s="10" t="s">
        <v>183</v>
      </c>
      <c r="D308" s="10"/>
      <c r="E308" s="3" t="s">
        <v>520</v>
      </c>
      <c r="F308" s="43" t="s">
        <v>204</v>
      </c>
      <c r="G308" s="43" t="s">
        <v>20</v>
      </c>
      <c r="H308" s="45">
        <v>1</v>
      </c>
      <c r="I308" s="43">
        <f>INDEX('حركة المخزن'!O:O,MATCH('تحليل مبيعات'!C308,'حركة المخزن'!B:B,0))</f>
        <v>550</v>
      </c>
      <c r="J308" s="43">
        <f t="shared" si="21"/>
        <v>550</v>
      </c>
      <c r="K308" s="10">
        <v>1930</v>
      </c>
      <c r="L308" s="43">
        <f t="shared" si="22"/>
        <v>1930</v>
      </c>
      <c r="M308" s="43">
        <f t="shared" si="23"/>
        <v>1380</v>
      </c>
      <c r="W308" s="7" t="str">
        <f t="shared" si="24"/>
        <v>Jul</v>
      </c>
    </row>
    <row r="309" spans="2:23" ht="15.6" x14ac:dyDescent="0.3">
      <c r="B309" s="53">
        <v>45865</v>
      </c>
      <c r="C309" s="10" t="s">
        <v>69</v>
      </c>
      <c r="D309" s="10"/>
      <c r="E309" s="43" t="s">
        <v>518</v>
      </c>
      <c r="F309" s="43" t="s">
        <v>204</v>
      </c>
      <c r="G309" s="43" t="s">
        <v>20</v>
      </c>
      <c r="H309" s="45">
        <v>1</v>
      </c>
      <c r="I309" s="43">
        <f>INDEX('حركة المخزن'!O:O,MATCH('تحليل مبيعات'!C309,'حركة المخزن'!B:B,0))</f>
        <v>185</v>
      </c>
      <c r="J309" s="43">
        <f t="shared" si="21"/>
        <v>185</v>
      </c>
      <c r="K309" s="10">
        <v>350</v>
      </c>
      <c r="L309" s="43">
        <f t="shared" si="22"/>
        <v>350</v>
      </c>
      <c r="M309" s="43">
        <f t="shared" si="23"/>
        <v>165</v>
      </c>
      <c r="W309" s="7" t="str">
        <f t="shared" si="24"/>
        <v>Jul</v>
      </c>
    </row>
    <row r="310" spans="2:23" ht="15.6" x14ac:dyDescent="0.3">
      <c r="B310" s="53">
        <v>45865</v>
      </c>
      <c r="C310" s="10" t="s">
        <v>125</v>
      </c>
      <c r="D310" s="10"/>
      <c r="E310" s="43" t="s">
        <v>518</v>
      </c>
      <c r="F310" s="43" t="s">
        <v>204</v>
      </c>
      <c r="G310" s="43" t="s">
        <v>20</v>
      </c>
      <c r="H310" s="45">
        <v>1</v>
      </c>
      <c r="I310" s="43">
        <f>INDEX('حركة المخزن'!O:O,MATCH('تحليل مبيعات'!C310,'حركة المخزن'!B:B,0))</f>
        <v>125</v>
      </c>
      <c r="J310" s="43">
        <f t="shared" si="21"/>
        <v>125</v>
      </c>
      <c r="K310" s="10">
        <v>150</v>
      </c>
      <c r="L310" s="43">
        <f t="shared" si="22"/>
        <v>150</v>
      </c>
      <c r="M310" s="43">
        <f t="shared" si="23"/>
        <v>25</v>
      </c>
      <c r="W310" s="7" t="str">
        <f t="shared" si="24"/>
        <v>Jul</v>
      </c>
    </row>
    <row r="311" spans="2:23" ht="15.6" x14ac:dyDescent="0.3">
      <c r="B311" s="53">
        <v>45865</v>
      </c>
      <c r="C311" s="10" t="s">
        <v>170</v>
      </c>
      <c r="D311" s="10"/>
      <c r="E311" s="43" t="s">
        <v>518</v>
      </c>
      <c r="F311" s="43" t="s">
        <v>204</v>
      </c>
      <c r="G311" s="43" t="s">
        <v>20</v>
      </c>
      <c r="H311" s="45">
        <v>1</v>
      </c>
      <c r="I311" s="43">
        <f>INDEX('حركة المخزن'!O:O,MATCH('تحليل مبيعات'!C311,'حركة المخزن'!B:B,0))</f>
        <v>255</v>
      </c>
      <c r="J311" s="43">
        <f t="shared" si="21"/>
        <v>255</v>
      </c>
      <c r="K311" s="10">
        <v>430</v>
      </c>
      <c r="L311" s="43">
        <f t="shared" si="22"/>
        <v>430</v>
      </c>
      <c r="M311" s="43">
        <f t="shared" si="23"/>
        <v>175</v>
      </c>
      <c r="W311" s="7" t="str">
        <f t="shared" si="24"/>
        <v>Jul</v>
      </c>
    </row>
    <row r="312" spans="2:23" ht="15.6" x14ac:dyDescent="0.3">
      <c r="B312" s="53">
        <v>45865</v>
      </c>
      <c r="C312" s="10" t="s">
        <v>39</v>
      </c>
      <c r="D312" s="10"/>
      <c r="E312" s="43" t="s">
        <v>518</v>
      </c>
      <c r="F312" s="43" t="s">
        <v>204</v>
      </c>
      <c r="G312" s="43" t="s">
        <v>20</v>
      </c>
      <c r="H312" s="45">
        <v>1</v>
      </c>
      <c r="I312" s="43">
        <f>INDEX('حركة المخزن'!O:O,MATCH('تحليل مبيعات'!C312,'حركة المخزن'!B:B,0))</f>
        <v>100</v>
      </c>
      <c r="J312" s="43">
        <f t="shared" si="21"/>
        <v>100</v>
      </c>
      <c r="K312" s="10">
        <v>200</v>
      </c>
      <c r="L312" s="43">
        <f t="shared" si="22"/>
        <v>200</v>
      </c>
      <c r="M312" s="43">
        <f t="shared" si="23"/>
        <v>100</v>
      </c>
      <c r="W312" s="7" t="str">
        <f t="shared" si="24"/>
        <v>Jul</v>
      </c>
    </row>
    <row r="313" spans="2:23" ht="15.6" x14ac:dyDescent="0.3">
      <c r="B313" s="53">
        <v>45865</v>
      </c>
      <c r="C313" s="10" t="s">
        <v>171</v>
      </c>
      <c r="D313" s="10"/>
      <c r="E313" s="43" t="s">
        <v>518</v>
      </c>
      <c r="F313" s="43" t="s">
        <v>204</v>
      </c>
      <c r="G313" s="43" t="s">
        <v>20</v>
      </c>
      <c r="H313" s="45">
        <v>1</v>
      </c>
      <c r="I313" s="43">
        <f>INDEX('حركة المخزن'!O:O,MATCH('تحليل مبيعات'!C313,'حركة المخزن'!B:B,0))</f>
        <v>380</v>
      </c>
      <c r="J313" s="43">
        <f t="shared" si="21"/>
        <v>380</v>
      </c>
      <c r="K313" s="10">
        <v>50</v>
      </c>
      <c r="L313" s="47">
        <f t="shared" si="22"/>
        <v>50</v>
      </c>
      <c r="M313" s="47">
        <f t="shared" si="23"/>
        <v>-330</v>
      </c>
      <c r="W313" s="7" t="str">
        <f t="shared" si="24"/>
        <v>Jul</v>
      </c>
    </row>
    <row r="314" spans="2:23" ht="18" x14ac:dyDescent="0.35">
      <c r="B314" s="53">
        <v>45866</v>
      </c>
      <c r="C314" s="10" t="s">
        <v>172</v>
      </c>
      <c r="D314" s="10"/>
      <c r="E314" s="3" t="s">
        <v>471</v>
      </c>
      <c r="F314" s="43" t="s">
        <v>204</v>
      </c>
      <c r="G314" s="43" t="s">
        <v>20</v>
      </c>
      <c r="H314" s="45">
        <v>1</v>
      </c>
      <c r="I314" s="43">
        <f>INDEX('حركة المخزن'!O:O,MATCH('تحليل مبيعات'!C314,'حركة المخزن'!B:B,0))</f>
        <v>260</v>
      </c>
      <c r="J314" s="43">
        <f t="shared" si="21"/>
        <v>260</v>
      </c>
      <c r="K314" s="10">
        <v>100</v>
      </c>
      <c r="L314" s="43">
        <f t="shared" si="22"/>
        <v>100</v>
      </c>
      <c r="M314" s="43">
        <f t="shared" si="23"/>
        <v>-160</v>
      </c>
      <c r="W314" s="7" t="str">
        <f t="shared" si="24"/>
        <v>Jul</v>
      </c>
    </row>
    <row r="315" spans="2:23" ht="15.6" x14ac:dyDescent="0.3">
      <c r="B315" s="53">
        <v>45866</v>
      </c>
      <c r="C315" s="10" t="s">
        <v>173</v>
      </c>
      <c r="D315" s="10"/>
      <c r="E315" s="43" t="s">
        <v>518</v>
      </c>
      <c r="F315" s="43" t="s">
        <v>204</v>
      </c>
      <c r="G315" s="43" t="s">
        <v>20</v>
      </c>
      <c r="H315" s="45">
        <v>1</v>
      </c>
      <c r="I315" s="43">
        <f>INDEX('حركة المخزن'!O:O,MATCH('تحليل مبيعات'!C315,'حركة المخزن'!B:B,0))</f>
        <v>265</v>
      </c>
      <c r="J315" s="43">
        <f t="shared" si="21"/>
        <v>265</v>
      </c>
      <c r="K315" s="10">
        <v>60</v>
      </c>
      <c r="L315" s="43">
        <f t="shared" si="22"/>
        <v>60</v>
      </c>
      <c r="M315" s="43">
        <f t="shared" si="23"/>
        <v>-205</v>
      </c>
      <c r="W315" s="7" t="str">
        <f t="shared" si="24"/>
        <v>Jul</v>
      </c>
    </row>
    <row r="316" spans="2:23" ht="15.6" x14ac:dyDescent="0.3">
      <c r="B316" s="53">
        <v>45866</v>
      </c>
      <c r="C316" s="10" t="s">
        <v>23</v>
      </c>
      <c r="D316" s="10"/>
      <c r="E316" s="43" t="s">
        <v>518</v>
      </c>
      <c r="F316" s="43" t="s">
        <v>204</v>
      </c>
      <c r="G316" s="43" t="s">
        <v>20</v>
      </c>
      <c r="H316" s="45">
        <v>1</v>
      </c>
      <c r="I316" s="43">
        <f>INDEX('حركة المخزن'!O:O,MATCH('تحليل مبيعات'!C316,'حركة المخزن'!B:B,0))</f>
        <v>80</v>
      </c>
      <c r="J316" s="43">
        <f t="shared" si="21"/>
        <v>80</v>
      </c>
      <c r="K316" s="10">
        <v>230</v>
      </c>
      <c r="L316" s="43">
        <f t="shared" si="22"/>
        <v>230</v>
      </c>
      <c r="M316" s="43">
        <f t="shared" si="23"/>
        <v>150</v>
      </c>
      <c r="W316" s="7" t="str">
        <f t="shared" si="24"/>
        <v>Jul</v>
      </c>
    </row>
    <row r="317" spans="2:23" ht="18" x14ac:dyDescent="0.35">
      <c r="B317" s="53">
        <v>45866</v>
      </c>
      <c r="C317" s="10" t="s">
        <v>109</v>
      </c>
      <c r="D317" s="10"/>
      <c r="E317" s="3" t="s">
        <v>516</v>
      </c>
      <c r="F317" s="43" t="s">
        <v>204</v>
      </c>
      <c r="G317" s="43" t="s">
        <v>20</v>
      </c>
      <c r="H317" s="45">
        <v>1</v>
      </c>
      <c r="I317" s="43">
        <f>INDEX('حركة المخزن'!O:O,MATCH('تحليل مبيعات'!C317,'حركة المخزن'!B:B,0))</f>
        <v>70</v>
      </c>
      <c r="J317" s="43">
        <f t="shared" si="21"/>
        <v>70</v>
      </c>
      <c r="K317" s="10">
        <v>820</v>
      </c>
      <c r="L317" s="43">
        <f t="shared" si="22"/>
        <v>820</v>
      </c>
      <c r="M317" s="43">
        <f t="shared" si="23"/>
        <v>750</v>
      </c>
      <c r="W317" s="7" t="str">
        <f t="shared" si="24"/>
        <v>Jul</v>
      </c>
    </row>
    <row r="318" spans="2:23" ht="18" x14ac:dyDescent="0.35">
      <c r="B318" s="53">
        <v>45866</v>
      </c>
      <c r="C318" s="10" t="s">
        <v>174</v>
      </c>
      <c r="D318" s="10"/>
      <c r="E318" s="3" t="s">
        <v>516</v>
      </c>
      <c r="F318" s="43" t="s">
        <v>204</v>
      </c>
      <c r="G318" s="43" t="s">
        <v>20</v>
      </c>
      <c r="H318" s="45">
        <v>1</v>
      </c>
      <c r="I318" s="43">
        <f>INDEX('حركة المخزن'!O:O,MATCH('تحليل مبيعات'!C318,'حركة المخزن'!B:B,0))</f>
        <v>270</v>
      </c>
      <c r="J318" s="43">
        <f t="shared" si="21"/>
        <v>270</v>
      </c>
      <c r="K318" s="10">
        <v>160</v>
      </c>
      <c r="L318" s="43">
        <f t="shared" si="22"/>
        <v>160</v>
      </c>
      <c r="M318" s="43">
        <f t="shared" si="23"/>
        <v>-110</v>
      </c>
      <c r="W318" s="7" t="str">
        <f t="shared" si="24"/>
        <v>Jul</v>
      </c>
    </row>
    <row r="319" spans="2:23" ht="15.6" x14ac:dyDescent="0.3">
      <c r="B319" s="53">
        <v>45866</v>
      </c>
      <c r="C319" s="10" t="s">
        <v>140</v>
      </c>
      <c r="D319" s="10"/>
      <c r="E319" s="43" t="s">
        <v>518</v>
      </c>
      <c r="F319" s="43" t="s">
        <v>204</v>
      </c>
      <c r="G319" s="43" t="s">
        <v>20</v>
      </c>
      <c r="H319" s="45">
        <v>1</v>
      </c>
      <c r="I319" s="43">
        <f>INDEX('حركة المخزن'!O:O,MATCH('تحليل مبيعات'!C319,'حركة المخزن'!B:B,0))</f>
        <v>145</v>
      </c>
      <c r="J319" s="43">
        <f t="shared" si="21"/>
        <v>145</v>
      </c>
      <c r="K319" s="10">
        <v>120</v>
      </c>
      <c r="L319" s="43">
        <f t="shared" si="22"/>
        <v>120</v>
      </c>
      <c r="M319" s="43">
        <f t="shared" si="23"/>
        <v>-25</v>
      </c>
      <c r="W319" s="7" t="str">
        <f t="shared" si="24"/>
        <v>Jul</v>
      </c>
    </row>
    <row r="320" spans="2:23" ht="18" x14ac:dyDescent="0.35">
      <c r="B320" s="53">
        <v>45866</v>
      </c>
      <c r="C320" s="10" t="s">
        <v>176</v>
      </c>
      <c r="D320" s="10"/>
      <c r="E320" s="3" t="s">
        <v>516</v>
      </c>
      <c r="F320" s="10" t="s">
        <v>0</v>
      </c>
      <c r="G320" s="43" t="s">
        <v>20</v>
      </c>
      <c r="H320" s="45">
        <v>2</v>
      </c>
      <c r="I320" s="43">
        <f>INDEX('حركة المخزن'!O:O,MATCH('تحليل مبيعات'!C320,'حركة المخزن'!B:B,0))</f>
        <v>100</v>
      </c>
      <c r="J320" s="43">
        <f t="shared" si="21"/>
        <v>200</v>
      </c>
      <c r="K320" s="10">
        <v>3200</v>
      </c>
      <c r="L320" s="43">
        <f t="shared" si="22"/>
        <v>6400</v>
      </c>
      <c r="M320" s="43">
        <f t="shared" si="23"/>
        <v>6200</v>
      </c>
      <c r="W320" s="7" t="str">
        <f t="shared" si="24"/>
        <v>Jul</v>
      </c>
    </row>
    <row r="321" spans="2:23" ht="15.6" x14ac:dyDescent="0.3">
      <c r="B321" s="53">
        <v>45866</v>
      </c>
      <c r="C321" s="10" t="s">
        <v>177</v>
      </c>
      <c r="D321" s="10"/>
      <c r="E321" s="43" t="s">
        <v>518</v>
      </c>
      <c r="F321" s="10" t="s">
        <v>0</v>
      </c>
      <c r="G321" s="43" t="s">
        <v>20</v>
      </c>
      <c r="H321" s="45">
        <v>4</v>
      </c>
      <c r="I321" s="43">
        <f>INDEX('حركة المخزن'!O:O,MATCH('تحليل مبيعات'!C321,'حركة المخزن'!B:B,0))</f>
        <v>400</v>
      </c>
      <c r="J321" s="43">
        <f t="shared" si="21"/>
        <v>1600</v>
      </c>
      <c r="K321" s="10">
        <v>0</v>
      </c>
      <c r="L321" s="47">
        <f t="shared" si="22"/>
        <v>0</v>
      </c>
      <c r="M321" s="47">
        <f t="shared" si="23"/>
        <v>-1600</v>
      </c>
      <c r="W321" s="7" t="str">
        <f t="shared" si="24"/>
        <v>Jul</v>
      </c>
    </row>
    <row r="322" spans="2:23" ht="15.6" x14ac:dyDescent="0.3">
      <c r="B322" s="53">
        <v>45866</v>
      </c>
      <c r="C322" s="10" t="s">
        <v>178</v>
      </c>
      <c r="D322" s="10"/>
      <c r="E322" s="43" t="s">
        <v>518</v>
      </c>
      <c r="F322" s="10" t="s">
        <v>0</v>
      </c>
      <c r="G322" s="43" t="s">
        <v>20</v>
      </c>
      <c r="H322" s="45">
        <v>4</v>
      </c>
      <c r="I322" s="43">
        <f>INDEX('حركة المخزن'!O:O,MATCH('تحليل مبيعات'!C322,'حركة المخزن'!B:B,0))</f>
        <v>200</v>
      </c>
      <c r="J322" s="43">
        <f t="shared" si="21"/>
        <v>800</v>
      </c>
      <c r="K322" s="10">
        <v>5675</v>
      </c>
      <c r="L322" s="43">
        <f t="shared" si="22"/>
        <v>22700</v>
      </c>
      <c r="M322" s="43">
        <f t="shared" si="23"/>
        <v>21900</v>
      </c>
      <c r="W322" s="7" t="str">
        <f t="shared" si="24"/>
        <v>Jul</v>
      </c>
    </row>
    <row r="323" spans="2:23" ht="15.6" x14ac:dyDescent="0.3">
      <c r="B323" s="53">
        <v>45866</v>
      </c>
      <c r="C323" s="10" t="s">
        <v>56</v>
      </c>
      <c r="D323" s="10"/>
      <c r="E323" s="43" t="s">
        <v>518</v>
      </c>
      <c r="F323" s="10" t="s">
        <v>0</v>
      </c>
      <c r="G323" s="43" t="s">
        <v>20</v>
      </c>
      <c r="H323" s="45">
        <v>2</v>
      </c>
      <c r="I323" s="43">
        <f>INDEX('حركة المخزن'!O:O,MATCH('تحليل مبيعات'!C323,'حركة المخزن'!B:B,0))</f>
        <v>50</v>
      </c>
      <c r="J323" s="43">
        <f t="shared" si="21"/>
        <v>100</v>
      </c>
      <c r="K323" s="10">
        <v>3800</v>
      </c>
      <c r="L323" s="43">
        <f t="shared" si="22"/>
        <v>7600</v>
      </c>
      <c r="M323" s="43">
        <f t="shared" si="23"/>
        <v>7500</v>
      </c>
      <c r="W323" s="7" t="str">
        <f t="shared" si="24"/>
        <v>Jul</v>
      </c>
    </row>
    <row r="324" spans="2:23" ht="18" x14ac:dyDescent="0.35">
      <c r="B324" s="53">
        <v>45866</v>
      </c>
      <c r="C324" s="10" t="s">
        <v>179</v>
      </c>
      <c r="D324" s="10"/>
      <c r="E324" s="3" t="s">
        <v>517</v>
      </c>
      <c r="F324" s="10" t="s">
        <v>1</v>
      </c>
      <c r="G324" s="43" t="s">
        <v>20</v>
      </c>
      <c r="H324" s="45">
        <v>1</v>
      </c>
      <c r="I324" s="43">
        <f>INDEX('حركة المخزن'!O:O,MATCH('تحليل مبيعات'!C324,'حركة المخزن'!B:B,0))</f>
        <v>390</v>
      </c>
      <c r="J324" s="43">
        <f t="shared" si="21"/>
        <v>390</v>
      </c>
      <c r="K324" s="10">
        <v>1300</v>
      </c>
      <c r="L324" s="43">
        <f t="shared" si="22"/>
        <v>1300</v>
      </c>
      <c r="M324" s="43">
        <f t="shared" si="23"/>
        <v>910</v>
      </c>
      <c r="W324" s="7" t="str">
        <f t="shared" si="24"/>
        <v>Jul</v>
      </c>
    </row>
    <row r="325" spans="2:23" ht="18" x14ac:dyDescent="0.35">
      <c r="B325" s="53">
        <v>45866</v>
      </c>
      <c r="C325" s="10" t="s">
        <v>76</v>
      </c>
      <c r="D325" s="10"/>
      <c r="E325" s="3" t="s">
        <v>520</v>
      </c>
      <c r="F325" s="10" t="s">
        <v>1</v>
      </c>
      <c r="G325" s="43" t="s">
        <v>20</v>
      </c>
      <c r="H325" s="45">
        <v>1</v>
      </c>
      <c r="I325" s="43">
        <f>INDEX('حركة المخزن'!O:O,MATCH('تحليل مبيعات'!C325,'حركة المخزن'!B:B,0))</f>
        <v>370</v>
      </c>
      <c r="J325" s="43">
        <f t="shared" si="21"/>
        <v>370</v>
      </c>
      <c r="K325" s="10">
        <v>1700</v>
      </c>
      <c r="L325" s="43">
        <f t="shared" si="22"/>
        <v>1700</v>
      </c>
      <c r="M325" s="43">
        <f t="shared" si="23"/>
        <v>1330</v>
      </c>
      <c r="W325" s="7" t="str">
        <f t="shared" si="24"/>
        <v>Jul</v>
      </c>
    </row>
    <row r="326" spans="2:23" ht="15.6" x14ac:dyDescent="0.3">
      <c r="B326" s="53">
        <v>45866</v>
      </c>
      <c r="C326" s="10" t="s">
        <v>48</v>
      </c>
      <c r="D326" s="10"/>
      <c r="E326" s="43" t="s">
        <v>518</v>
      </c>
      <c r="F326" s="43" t="s">
        <v>204</v>
      </c>
      <c r="G326" s="43" t="s">
        <v>20</v>
      </c>
      <c r="H326" s="45">
        <v>4</v>
      </c>
      <c r="I326" s="43">
        <f>INDEX('حركة المخزن'!O:O,MATCH('تحليل مبيعات'!C326,'حركة المخزن'!B:B,0))</f>
        <v>125</v>
      </c>
      <c r="J326" s="43">
        <f t="shared" si="21"/>
        <v>500</v>
      </c>
      <c r="K326" s="10">
        <v>37.5</v>
      </c>
      <c r="L326" s="43">
        <f t="shared" si="22"/>
        <v>150</v>
      </c>
      <c r="M326" s="43">
        <f t="shared" si="23"/>
        <v>-350</v>
      </c>
      <c r="W326" s="7" t="str">
        <f t="shared" si="24"/>
        <v>Jul</v>
      </c>
    </row>
    <row r="327" spans="2:23" ht="15.6" x14ac:dyDescent="0.3">
      <c r="B327" s="53">
        <v>45866</v>
      </c>
      <c r="C327" s="10" t="s">
        <v>109</v>
      </c>
      <c r="D327" s="10"/>
      <c r="E327" s="43" t="s">
        <v>518</v>
      </c>
      <c r="F327" s="43" t="s">
        <v>204</v>
      </c>
      <c r="G327" s="43" t="s">
        <v>20</v>
      </c>
      <c r="H327" s="45">
        <v>1</v>
      </c>
      <c r="I327" s="43">
        <f>INDEX('حركة المخزن'!O:O,MATCH('تحليل مبيعات'!C327,'حركة المخزن'!B:B,0))</f>
        <v>70</v>
      </c>
      <c r="J327" s="43">
        <f t="shared" si="21"/>
        <v>70</v>
      </c>
      <c r="K327" s="10">
        <v>800</v>
      </c>
      <c r="L327" s="43">
        <f t="shared" si="22"/>
        <v>800</v>
      </c>
      <c r="M327" s="43">
        <f t="shared" si="23"/>
        <v>730</v>
      </c>
      <c r="W327" s="7" t="str">
        <f t="shared" si="24"/>
        <v>Jul</v>
      </c>
    </row>
    <row r="328" spans="2:23" ht="15.6" x14ac:dyDescent="0.3">
      <c r="B328" s="53">
        <v>45866</v>
      </c>
      <c r="C328" s="10" t="s">
        <v>47</v>
      </c>
      <c r="D328" s="10"/>
      <c r="E328" s="43" t="s">
        <v>518</v>
      </c>
      <c r="F328" s="43" t="s">
        <v>204</v>
      </c>
      <c r="G328" s="43" t="s">
        <v>20</v>
      </c>
      <c r="H328" s="45">
        <v>4</v>
      </c>
      <c r="I328" s="43">
        <f>INDEX('حركة المخزن'!O:O,MATCH('تحليل مبيعات'!C328,'حركة المخزن'!B:B,0))</f>
        <v>130</v>
      </c>
      <c r="J328" s="43">
        <f t="shared" si="21"/>
        <v>520</v>
      </c>
      <c r="K328" s="10">
        <v>67.5</v>
      </c>
      <c r="L328" s="43">
        <f t="shared" si="22"/>
        <v>270</v>
      </c>
      <c r="M328" s="43">
        <f t="shared" si="23"/>
        <v>-250</v>
      </c>
      <c r="W328" s="7" t="str">
        <f t="shared" si="24"/>
        <v>Jul</v>
      </c>
    </row>
    <row r="329" spans="2:23" ht="15.6" x14ac:dyDescent="0.3">
      <c r="B329" s="53">
        <v>45867</v>
      </c>
      <c r="C329" s="10" t="s">
        <v>68</v>
      </c>
      <c r="D329" s="10"/>
      <c r="E329" s="43" t="s">
        <v>518</v>
      </c>
      <c r="F329" s="43" t="s">
        <v>204</v>
      </c>
      <c r="G329" s="43" t="s">
        <v>20</v>
      </c>
      <c r="H329" s="45">
        <v>1</v>
      </c>
      <c r="I329" s="43">
        <f>INDEX('حركة المخزن'!O:O,MATCH('تحليل مبيعات'!C329,'حركة المخزن'!B:B,0))</f>
        <v>175</v>
      </c>
      <c r="J329" s="43">
        <f t="shared" si="21"/>
        <v>175</v>
      </c>
      <c r="K329" s="10">
        <v>100</v>
      </c>
      <c r="L329" s="43">
        <f t="shared" si="22"/>
        <v>100</v>
      </c>
      <c r="M329" s="43">
        <f t="shared" si="23"/>
        <v>-75</v>
      </c>
      <c r="W329" s="7" t="str">
        <f t="shared" si="24"/>
        <v>Jul</v>
      </c>
    </row>
    <row r="330" spans="2:23" ht="18" x14ac:dyDescent="0.35">
      <c r="B330" s="53">
        <v>45867</v>
      </c>
      <c r="C330" s="10" t="s">
        <v>102</v>
      </c>
      <c r="D330" s="10"/>
      <c r="E330" s="3" t="s">
        <v>476</v>
      </c>
      <c r="F330" s="43" t="s">
        <v>204</v>
      </c>
      <c r="G330" s="43" t="s">
        <v>20</v>
      </c>
      <c r="H330" s="45">
        <v>1</v>
      </c>
      <c r="I330" s="43">
        <f>INDEX('حركة المخزن'!O:O,MATCH('تحليل مبيعات'!C330,'حركة المخزن'!B:B,0))</f>
        <v>80</v>
      </c>
      <c r="J330" s="43">
        <f t="shared" si="21"/>
        <v>80</v>
      </c>
      <c r="K330" s="10">
        <v>900</v>
      </c>
      <c r="L330" s="43">
        <f t="shared" si="22"/>
        <v>900</v>
      </c>
      <c r="M330" s="43">
        <f t="shared" si="23"/>
        <v>820</v>
      </c>
      <c r="W330" s="7" t="str">
        <f t="shared" si="24"/>
        <v>Jul</v>
      </c>
    </row>
    <row r="331" spans="2:23" ht="18" x14ac:dyDescent="0.35">
      <c r="B331" s="53">
        <v>45867</v>
      </c>
      <c r="C331" s="10" t="s">
        <v>95</v>
      </c>
      <c r="D331" s="10"/>
      <c r="E331" s="3" t="s">
        <v>520</v>
      </c>
      <c r="F331" s="43" t="s">
        <v>204</v>
      </c>
      <c r="G331" s="43" t="s">
        <v>20</v>
      </c>
      <c r="H331" s="45">
        <v>1</v>
      </c>
      <c r="I331" s="43">
        <f>INDEX('حركة المخزن'!O:O,MATCH('تحليل مبيعات'!C331,'حركة المخزن'!B:B,0))</f>
        <v>155</v>
      </c>
      <c r="J331" s="43">
        <f t="shared" ref="J331:J390" si="25">H331*I331</f>
        <v>155</v>
      </c>
      <c r="K331" s="10">
        <v>300</v>
      </c>
      <c r="L331" s="43">
        <f t="shared" ref="L331:L390" si="26">H331*K331</f>
        <v>300</v>
      </c>
      <c r="M331" s="43">
        <f t="shared" ref="M331:M390" si="27">L331-J331</f>
        <v>145</v>
      </c>
      <c r="W331" s="7" t="str">
        <f t="shared" ref="W331:W390" si="28">IF(B331="","",TEXT(B331,"mmm"))</f>
        <v>Jul</v>
      </c>
    </row>
    <row r="332" spans="2:23" ht="18" x14ac:dyDescent="0.35">
      <c r="B332" s="53">
        <v>45867</v>
      </c>
      <c r="C332" s="10" t="s">
        <v>94</v>
      </c>
      <c r="D332" s="10"/>
      <c r="E332" s="3" t="s">
        <v>520</v>
      </c>
      <c r="F332" s="43" t="s">
        <v>204</v>
      </c>
      <c r="G332" s="43" t="s">
        <v>20</v>
      </c>
      <c r="H332" s="45">
        <v>1</v>
      </c>
      <c r="I332" s="43">
        <f>INDEX('حركة المخزن'!O:O,MATCH('تحليل مبيعات'!C332,'حركة المخزن'!B:B,0))</f>
        <v>100</v>
      </c>
      <c r="J332" s="43">
        <f t="shared" si="25"/>
        <v>100</v>
      </c>
      <c r="K332" s="10">
        <v>250</v>
      </c>
      <c r="L332" s="43">
        <f t="shared" si="26"/>
        <v>250</v>
      </c>
      <c r="M332" s="43">
        <f t="shared" si="27"/>
        <v>150</v>
      </c>
      <c r="W332" s="7" t="str">
        <f t="shared" si="28"/>
        <v>Jul</v>
      </c>
    </row>
    <row r="333" spans="2:23" ht="18" x14ac:dyDescent="0.35">
      <c r="B333" s="53">
        <v>45867</v>
      </c>
      <c r="C333" s="10" t="s">
        <v>180</v>
      </c>
      <c r="D333" s="10"/>
      <c r="E333" s="3" t="s">
        <v>471</v>
      </c>
      <c r="F333" s="43" t="s">
        <v>204</v>
      </c>
      <c r="G333" s="43" t="s">
        <v>20</v>
      </c>
      <c r="H333" s="45">
        <v>1</v>
      </c>
      <c r="I333" s="43">
        <f>INDEX('حركة المخزن'!O:O,MATCH('تحليل مبيعات'!C333,'حركة المخزن'!B:B,0))</f>
        <v>275</v>
      </c>
      <c r="J333" s="43">
        <f t="shared" si="25"/>
        <v>275</v>
      </c>
      <c r="K333" s="10">
        <v>1200</v>
      </c>
      <c r="L333" s="43">
        <f t="shared" si="26"/>
        <v>1200</v>
      </c>
      <c r="M333" s="43">
        <f t="shared" si="27"/>
        <v>925</v>
      </c>
      <c r="W333" s="7" t="str">
        <f t="shared" si="28"/>
        <v>Jul</v>
      </c>
    </row>
    <row r="334" spans="2:23" ht="18" x14ac:dyDescent="0.35">
      <c r="B334" s="53">
        <v>45867</v>
      </c>
      <c r="C334" s="10" t="s">
        <v>181</v>
      </c>
      <c r="D334" s="10"/>
      <c r="E334" s="3" t="s">
        <v>471</v>
      </c>
      <c r="F334" s="43" t="s">
        <v>204</v>
      </c>
      <c r="G334" s="43" t="s">
        <v>20</v>
      </c>
      <c r="H334" s="45">
        <v>1</v>
      </c>
      <c r="I334" s="43">
        <f>INDEX('حركة المخزن'!O:O,MATCH('تحليل مبيعات'!C334,'حركة المخزن'!B:B,0))</f>
        <v>280</v>
      </c>
      <c r="J334" s="43">
        <f t="shared" si="25"/>
        <v>280</v>
      </c>
      <c r="K334" s="10">
        <v>1200</v>
      </c>
      <c r="L334" s="43">
        <f t="shared" si="26"/>
        <v>1200</v>
      </c>
      <c r="M334" s="43">
        <f t="shared" si="27"/>
        <v>920</v>
      </c>
      <c r="W334" s="7" t="str">
        <f t="shared" si="28"/>
        <v>Jul</v>
      </c>
    </row>
    <row r="335" spans="2:23" ht="18" x14ac:dyDescent="0.35">
      <c r="B335" s="53">
        <v>45867</v>
      </c>
      <c r="C335" s="10" t="s">
        <v>151</v>
      </c>
      <c r="D335" s="10"/>
      <c r="E335" s="3" t="s">
        <v>471</v>
      </c>
      <c r="F335" s="43" t="s">
        <v>204</v>
      </c>
      <c r="G335" s="43" t="s">
        <v>20</v>
      </c>
      <c r="H335" s="45">
        <v>1</v>
      </c>
      <c r="I335" s="43">
        <f>INDEX('حركة المخزن'!O:O,MATCH('تحليل مبيعات'!C335,'حركة المخزن'!B:B,0))</f>
        <v>200</v>
      </c>
      <c r="J335" s="43">
        <f t="shared" si="25"/>
        <v>200</v>
      </c>
      <c r="K335" s="10">
        <v>200</v>
      </c>
      <c r="L335" s="43">
        <f t="shared" si="26"/>
        <v>200</v>
      </c>
      <c r="M335" s="43">
        <f t="shared" si="27"/>
        <v>0</v>
      </c>
      <c r="W335" s="7" t="str">
        <f t="shared" si="28"/>
        <v>Jul</v>
      </c>
    </row>
    <row r="336" spans="2:23" ht="15.6" x14ac:dyDescent="0.3">
      <c r="B336" s="53">
        <v>45867</v>
      </c>
      <c r="C336" s="10" t="s">
        <v>75</v>
      </c>
      <c r="D336" s="10"/>
      <c r="E336" s="43" t="s">
        <v>518</v>
      </c>
      <c r="F336" s="43" t="s">
        <v>204</v>
      </c>
      <c r="G336" s="43" t="s">
        <v>20</v>
      </c>
      <c r="H336" s="45">
        <v>1</v>
      </c>
      <c r="I336" s="43">
        <f>INDEX('حركة المخزن'!O:O,MATCH('تحليل مبيعات'!C336,'حركة المخزن'!B:B,0))</f>
        <v>200</v>
      </c>
      <c r="J336" s="43">
        <f t="shared" si="25"/>
        <v>200</v>
      </c>
      <c r="K336" s="10">
        <v>30</v>
      </c>
      <c r="L336" s="43">
        <f t="shared" si="26"/>
        <v>30</v>
      </c>
      <c r="M336" s="43">
        <f t="shared" si="27"/>
        <v>-170</v>
      </c>
      <c r="W336" s="7" t="str">
        <f t="shared" si="28"/>
        <v>Jul</v>
      </c>
    </row>
    <row r="337" spans="2:23" ht="18" x14ac:dyDescent="0.35">
      <c r="B337" s="53">
        <v>45867</v>
      </c>
      <c r="C337" s="10" t="s">
        <v>183</v>
      </c>
      <c r="D337" s="10"/>
      <c r="E337" s="3" t="s">
        <v>471</v>
      </c>
      <c r="F337" s="43" t="s">
        <v>204</v>
      </c>
      <c r="G337" s="43" t="s">
        <v>20</v>
      </c>
      <c r="H337" s="45">
        <v>1</v>
      </c>
      <c r="I337" s="43">
        <f>INDEX('حركة المخزن'!O:O,MATCH('تحليل مبيعات'!C337,'حركة المخزن'!B:B,0))</f>
        <v>550</v>
      </c>
      <c r="J337" s="43">
        <f t="shared" si="25"/>
        <v>550</v>
      </c>
      <c r="K337" s="10">
        <v>320</v>
      </c>
      <c r="L337" s="43">
        <f t="shared" si="26"/>
        <v>320</v>
      </c>
      <c r="M337" s="43">
        <f t="shared" si="27"/>
        <v>-230</v>
      </c>
      <c r="W337" s="7" t="str">
        <f t="shared" si="28"/>
        <v>Jul</v>
      </c>
    </row>
    <row r="338" spans="2:23" ht="18" x14ac:dyDescent="0.35">
      <c r="B338" s="53">
        <v>45867</v>
      </c>
      <c r="C338" s="10" t="s">
        <v>104</v>
      </c>
      <c r="D338" s="10"/>
      <c r="E338" s="3" t="s">
        <v>471</v>
      </c>
      <c r="F338" s="43" t="s">
        <v>204</v>
      </c>
      <c r="G338" s="43" t="s">
        <v>20</v>
      </c>
      <c r="H338" s="45">
        <v>1</v>
      </c>
      <c r="I338" s="43">
        <f>INDEX('حركة المخزن'!O:O,MATCH('تحليل مبيعات'!C338,'حركة المخزن'!B:B,0))</f>
        <v>65</v>
      </c>
      <c r="J338" s="43">
        <f t="shared" si="25"/>
        <v>65</v>
      </c>
      <c r="K338" s="10">
        <v>150</v>
      </c>
      <c r="L338" s="43">
        <f t="shared" si="26"/>
        <v>150</v>
      </c>
      <c r="M338" s="43">
        <f t="shared" si="27"/>
        <v>85</v>
      </c>
      <c r="W338" s="7" t="str">
        <f t="shared" si="28"/>
        <v>Jul</v>
      </c>
    </row>
    <row r="339" spans="2:23" ht="18" x14ac:dyDescent="0.35">
      <c r="B339" s="53">
        <v>45867</v>
      </c>
      <c r="C339" s="10" t="s">
        <v>133</v>
      </c>
      <c r="D339" s="10"/>
      <c r="E339" s="3" t="s">
        <v>471</v>
      </c>
      <c r="F339" s="43" t="s">
        <v>204</v>
      </c>
      <c r="G339" s="43" t="s">
        <v>20</v>
      </c>
      <c r="H339" s="45">
        <v>1</v>
      </c>
      <c r="I339" s="43">
        <f>INDEX('حركة المخزن'!O:O,MATCH('تحليل مبيعات'!C339,'حركة المخزن'!B:B,0))</f>
        <v>160</v>
      </c>
      <c r="J339" s="43">
        <f t="shared" si="25"/>
        <v>160</v>
      </c>
      <c r="K339" s="10">
        <v>800</v>
      </c>
      <c r="L339" s="43">
        <f t="shared" si="26"/>
        <v>800</v>
      </c>
      <c r="M339" s="43">
        <f t="shared" si="27"/>
        <v>640</v>
      </c>
      <c r="W339" s="7" t="str">
        <f t="shared" si="28"/>
        <v>Jul</v>
      </c>
    </row>
    <row r="340" spans="2:23" ht="18" x14ac:dyDescent="0.35">
      <c r="B340" s="53">
        <v>45867</v>
      </c>
      <c r="C340" s="10" t="s">
        <v>48</v>
      </c>
      <c r="D340" s="10"/>
      <c r="E340" s="3" t="s">
        <v>471</v>
      </c>
      <c r="F340" s="43" t="s">
        <v>204</v>
      </c>
      <c r="G340" s="43" t="s">
        <v>20</v>
      </c>
      <c r="H340" s="45">
        <v>4</v>
      </c>
      <c r="I340" s="43">
        <f>INDEX('حركة المخزن'!O:O,MATCH('تحليل مبيعات'!C340,'حركة المخزن'!B:B,0))</f>
        <v>125</v>
      </c>
      <c r="J340" s="43">
        <f t="shared" si="25"/>
        <v>500</v>
      </c>
      <c r="K340" s="10">
        <v>32.5</v>
      </c>
      <c r="L340" s="43">
        <f t="shared" si="26"/>
        <v>130</v>
      </c>
      <c r="M340" s="43">
        <f t="shared" si="27"/>
        <v>-370</v>
      </c>
      <c r="W340" s="7" t="str">
        <f t="shared" si="28"/>
        <v>Jul</v>
      </c>
    </row>
    <row r="341" spans="2:23" ht="18" x14ac:dyDescent="0.35">
      <c r="B341" s="53">
        <v>45867</v>
      </c>
      <c r="C341" s="10" t="s">
        <v>94</v>
      </c>
      <c r="D341" s="10"/>
      <c r="E341" s="3" t="s">
        <v>471</v>
      </c>
      <c r="F341" s="43" t="s">
        <v>204</v>
      </c>
      <c r="G341" s="43" t="s">
        <v>20</v>
      </c>
      <c r="H341" s="45">
        <v>1</v>
      </c>
      <c r="I341" s="43">
        <f>INDEX('حركة المخزن'!O:O,MATCH('تحليل مبيعات'!C341,'حركة المخزن'!B:B,0))</f>
        <v>100</v>
      </c>
      <c r="J341" s="43">
        <f t="shared" si="25"/>
        <v>100</v>
      </c>
      <c r="K341" s="10">
        <v>250</v>
      </c>
      <c r="L341" s="43">
        <f t="shared" si="26"/>
        <v>250</v>
      </c>
      <c r="M341" s="43">
        <f t="shared" si="27"/>
        <v>150</v>
      </c>
      <c r="W341" s="7" t="str">
        <f t="shared" si="28"/>
        <v>Jul</v>
      </c>
    </row>
    <row r="342" spans="2:23" ht="18" x14ac:dyDescent="0.35">
      <c r="B342" s="53">
        <v>45867</v>
      </c>
      <c r="C342" s="10" t="s">
        <v>23</v>
      </c>
      <c r="D342" s="10"/>
      <c r="E342" s="3" t="s">
        <v>471</v>
      </c>
      <c r="F342" s="43" t="s">
        <v>204</v>
      </c>
      <c r="G342" s="43" t="s">
        <v>20</v>
      </c>
      <c r="H342" s="45">
        <v>1</v>
      </c>
      <c r="I342" s="43">
        <f>INDEX('حركة المخزن'!O:O,MATCH('تحليل مبيعات'!C342,'حركة المخزن'!B:B,0))</f>
        <v>80</v>
      </c>
      <c r="J342" s="43">
        <f t="shared" si="25"/>
        <v>80</v>
      </c>
      <c r="K342" s="10">
        <v>230</v>
      </c>
      <c r="L342" s="43">
        <f t="shared" si="26"/>
        <v>230</v>
      </c>
      <c r="M342" s="43">
        <f t="shared" si="27"/>
        <v>150</v>
      </c>
      <c r="W342" s="7" t="str">
        <f t="shared" si="28"/>
        <v>Jul</v>
      </c>
    </row>
    <row r="343" spans="2:23" ht="18" x14ac:dyDescent="0.35">
      <c r="B343" s="53">
        <v>45867</v>
      </c>
      <c r="C343" s="10" t="s">
        <v>182</v>
      </c>
      <c r="D343" s="10"/>
      <c r="E343" s="3" t="s">
        <v>471</v>
      </c>
      <c r="F343" s="43" t="s">
        <v>204</v>
      </c>
      <c r="G343" s="43" t="s">
        <v>20</v>
      </c>
      <c r="H343" s="45">
        <v>1</v>
      </c>
      <c r="I343" s="43">
        <f>INDEX('حركة المخزن'!O:O,MATCH('تحليل مبيعات'!C343,'حركة المخزن'!B:B,0))</f>
        <v>285</v>
      </c>
      <c r="J343" s="43">
        <f t="shared" si="25"/>
        <v>285</v>
      </c>
      <c r="K343" s="10">
        <v>100</v>
      </c>
      <c r="L343" s="43">
        <f t="shared" si="26"/>
        <v>100</v>
      </c>
      <c r="M343" s="43">
        <f t="shared" si="27"/>
        <v>-185</v>
      </c>
      <c r="W343" s="7" t="str">
        <f t="shared" si="28"/>
        <v>Jul</v>
      </c>
    </row>
    <row r="344" spans="2:23" ht="18" x14ac:dyDescent="0.35">
      <c r="B344" s="53">
        <v>45867</v>
      </c>
      <c r="C344" s="10" t="s">
        <v>47</v>
      </c>
      <c r="D344" s="10"/>
      <c r="E344" s="3" t="s">
        <v>471</v>
      </c>
      <c r="F344" s="43" t="s">
        <v>204</v>
      </c>
      <c r="G344" s="43" t="s">
        <v>20</v>
      </c>
      <c r="H344" s="45">
        <v>4</v>
      </c>
      <c r="I344" s="43">
        <f>INDEX('حركة المخزن'!O:O,MATCH('تحليل مبيعات'!C344,'حركة المخزن'!B:B,0))</f>
        <v>130</v>
      </c>
      <c r="J344" s="43">
        <f t="shared" si="25"/>
        <v>520</v>
      </c>
      <c r="K344" s="10">
        <v>67.5</v>
      </c>
      <c r="L344" s="43">
        <f t="shared" si="26"/>
        <v>270</v>
      </c>
      <c r="M344" s="43">
        <f t="shared" si="27"/>
        <v>-250</v>
      </c>
      <c r="W344" s="7" t="str">
        <f t="shared" si="28"/>
        <v>Jul</v>
      </c>
    </row>
    <row r="345" spans="2:23" ht="18" x14ac:dyDescent="0.35">
      <c r="B345" s="53">
        <v>45867</v>
      </c>
      <c r="C345" s="10" t="s">
        <v>39</v>
      </c>
      <c r="D345" s="10"/>
      <c r="E345" s="3" t="s">
        <v>520</v>
      </c>
      <c r="F345" s="43" t="s">
        <v>204</v>
      </c>
      <c r="G345" s="43" t="s">
        <v>20</v>
      </c>
      <c r="H345" s="45">
        <v>1</v>
      </c>
      <c r="I345" s="43">
        <f>INDEX('حركة المخزن'!O:O,MATCH('تحليل مبيعات'!C345,'حركة المخزن'!B:B,0))</f>
        <v>100</v>
      </c>
      <c r="J345" s="43">
        <f t="shared" si="25"/>
        <v>100</v>
      </c>
      <c r="K345" s="10">
        <v>440</v>
      </c>
      <c r="L345" s="43">
        <f t="shared" si="26"/>
        <v>440</v>
      </c>
      <c r="M345" s="43">
        <f t="shared" si="27"/>
        <v>340</v>
      </c>
      <c r="W345" s="7" t="str">
        <f t="shared" si="28"/>
        <v>Jul</v>
      </c>
    </row>
    <row r="346" spans="2:23" ht="15.6" x14ac:dyDescent="0.3">
      <c r="B346" s="53">
        <v>45867</v>
      </c>
      <c r="C346" s="10" t="s">
        <v>25</v>
      </c>
      <c r="D346" s="10"/>
      <c r="E346" s="43" t="s">
        <v>518</v>
      </c>
      <c r="F346" s="43" t="s">
        <v>204</v>
      </c>
      <c r="G346" s="43" t="s">
        <v>20</v>
      </c>
      <c r="H346" s="45">
        <v>1</v>
      </c>
      <c r="I346" s="43">
        <f>INDEX('حركة المخزن'!O:O,MATCH('تحليل مبيعات'!C346,'حركة المخزن'!B:B,0))</f>
        <v>60</v>
      </c>
      <c r="J346" s="43">
        <f t="shared" si="25"/>
        <v>60</v>
      </c>
      <c r="K346" s="10">
        <v>350</v>
      </c>
      <c r="L346" s="43">
        <f t="shared" si="26"/>
        <v>350</v>
      </c>
      <c r="M346" s="43">
        <f t="shared" si="27"/>
        <v>290</v>
      </c>
      <c r="W346" s="7" t="str">
        <f t="shared" si="28"/>
        <v>Jul</v>
      </c>
    </row>
    <row r="347" spans="2:23" ht="15.6" x14ac:dyDescent="0.3">
      <c r="B347" s="53">
        <v>45867</v>
      </c>
      <c r="C347" s="10" t="s">
        <v>99</v>
      </c>
      <c r="D347" s="10"/>
      <c r="E347" s="43" t="s">
        <v>518</v>
      </c>
      <c r="F347" s="43" t="s">
        <v>204</v>
      </c>
      <c r="G347" s="43" t="s">
        <v>20</v>
      </c>
      <c r="H347" s="45">
        <v>1</v>
      </c>
      <c r="I347" s="43">
        <f>INDEX('حركة المخزن'!O:O,MATCH('تحليل مبيعات'!C347,'حركة المخزن'!B:B,0))</f>
        <v>135</v>
      </c>
      <c r="J347" s="43">
        <f t="shared" si="25"/>
        <v>135</v>
      </c>
      <c r="K347" s="10">
        <v>800</v>
      </c>
      <c r="L347" s="43">
        <f t="shared" si="26"/>
        <v>800</v>
      </c>
      <c r="M347" s="43">
        <f t="shared" si="27"/>
        <v>665</v>
      </c>
      <c r="W347" s="7" t="str">
        <f t="shared" si="28"/>
        <v>Jul</v>
      </c>
    </row>
    <row r="348" spans="2:23" ht="15.6" x14ac:dyDescent="0.3">
      <c r="B348" s="53">
        <v>45867</v>
      </c>
      <c r="C348" s="10" t="s">
        <v>23</v>
      </c>
      <c r="D348" s="10"/>
      <c r="E348" s="43" t="s">
        <v>518</v>
      </c>
      <c r="F348" s="43" t="s">
        <v>204</v>
      </c>
      <c r="G348" s="43" t="s">
        <v>20</v>
      </c>
      <c r="H348" s="45">
        <v>1</v>
      </c>
      <c r="I348" s="43">
        <f>INDEX('حركة المخزن'!O:O,MATCH('تحليل مبيعات'!C348,'حركة المخزن'!B:B,0))</f>
        <v>80</v>
      </c>
      <c r="J348" s="43">
        <f t="shared" si="25"/>
        <v>80</v>
      </c>
      <c r="K348" s="10">
        <v>230</v>
      </c>
      <c r="L348" s="43">
        <f t="shared" si="26"/>
        <v>230</v>
      </c>
      <c r="M348" s="43">
        <f t="shared" si="27"/>
        <v>150</v>
      </c>
      <c r="W348" s="7" t="str">
        <f t="shared" si="28"/>
        <v>Jul</v>
      </c>
    </row>
    <row r="349" spans="2:23" ht="15.6" x14ac:dyDescent="0.3">
      <c r="B349" s="53">
        <v>45867</v>
      </c>
      <c r="C349" s="10" t="s">
        <v>97</v>
      </c>
      <c r="D349" s="10"/>
      <c r="E349" s="43" t="s">
        <v>518</v>
      </c>
      <c r="F349" s="43" t="s">
        <v>204</v>
      </c>
      <c r="G349" s="43" t="s">
        <v>20</v>
      </c>
      <c r="H349" s="45">
        <v>1</v>
      </c>
      <c r="I349" s="43">
        <f>INDEX('حركة المخزن'!O:O,MATCH('تحليل مبيعات'!C349,'حركة المخزن'!B:B,0))</f>
        <v>50</v>
      </c>
      <c r="J349" s="43">
        <f t="shared" si="25"/>
        <v>50</v>
      </c>
      <c r="K349" s="10">
        <v>150</v>
      </c>
      <c r="L349" s="43">
        <f t="shared" si="26"/>
        <v>150</v>
      </c>
      <c r="M349" s="43">
        <f t="shared" si="27"/>
        <v>100</v>
      </c>
      <c r="W349" s="7" t="str">
        <f t="shared" si="28"/>
        <v>Jul</v>
      </c>
    </row>
    <row r="350" spans="2:23" ht="18" x14ac:dyDescent="0.35">
      <c r="B350" s="53">
        <v>45867</v>
      </c>
      <c r="C350" s="10" t="s">
        <v>49</v>
      </c>
      <c r="D350" s="10"/>
      <c r="E350" s="3" t="s">
        <v>516</v>
      </c>
      <c r="F350" s="10" t="s">
        <v>1</v>
      </c>
      <c r="G350" s="43" t="s">
        <v>20</v>
      </c>
      <c r="H350" s="45">
        <v>1</v>
      </c>
      <c r="I350" s="43">
        <f>INDEX('حركة المخزن'!O:O,MATCH('تحليل مبيعات'!C350,'حركة المخزن'!B:B,0))</f>
        <v>350</v>
      </c>
      <c r="J350" s="43">
        <f t="shared" si="25"/>
        <v>350</v>
      </c>
      <c r="K350" s="10">
        <v>2550</v>
      </c>
      <c r="L350" s="43">
        <f t="shared" si="26"/>
        <v>2550</v>
      </c>
      <c r="M350" s="43">
        <f t="shared" si="27"/>
        <v>2200</v>
      </c>
      <c r="W350" s="7" t="str">
        <f t="shared" si="28"/>
        <v>Jul</v>
      </c>
    </row>
    <row r="351" spans="2:23" ht="18" x14ac:dyDescent="0.35">
      <c r="B351" s="53">
        <v>45867</v>
      </c>
      <c r="C351" s="10" t="s">
        <v>180</v>
      </c>
      <c r="D351" s="10"/>
      <c r="E351" s="3" t="s">
        <v>519</v>
      </c>
      <c r="F351" s="43" t="s">
        <v>204</v>
      </c>
      <c r="G351" s="43" t="s">
        <v>20</v>
      </c>
      <c r="H351" s="45">
        <v>1</v>
      </c>
      <c r="I351" s="43">
        <f>INDEX('حركة المخزن'!O:O,MATCH('تحليل مبيعات'!C351,'حركة المخزن'!B:B,0))</f>
        <v>275</v>
      </c>
      <c r="J351" s="43">
        <f t="shared" si="25"/>
        <v>275</v>
      </c>
      <c r="K351" s="10">
        <v>1200</v>
      </c>
      <c r="L351" s="43">
        <f t="shared" si="26"/>
        <v>1200</v>
      </c>
      <c r="M351" s="43">
        <f t="shared" si="27"/>
        <v>925</v>
      </c>
      <c r="W351" s="7" t="str">
        <f t="shared" si="28"/>
        <v>Jul</v>
      </c>
    </row>
    <row r="352" spans="2:23" ht="18" x14ac:dyDescent="0.35">
      <c r="B352" s="53">
        <v>45867</v>
      </c>
      <c r="C352" s="10" t="s">
        <v>181</v>
      </c>
      <c r="D352" s="10"/>
      <c r="E352" s="3" t="s">
        <v>519</v>
      </c>
      <c r="F352" s="43" t="s">
        <v>204</v>
      </c>
      <c r="G352" s="43" t="s">
        <v>20</v>
      </c>
      <c r="H352" s="45">
        <v>1</v>
      </c>
      <c r="I352" s="43">
        <f>INDEX('حركة المخزن'!O:O,MATCH('تحليل مبيعات'!C352,'حركة المخزن'!B:B,0))</f>
        <v>280</v>
      </c>
      <c r="J352" s="43">
        <f t="shared" si="25"/>
        <v>280</v>
      </c>
      <c r="K352" s="10">
        <v>1200</v>
      </c>
      <c r="L352" s="43">
        <f t="shared" si="26"/>
        <v>1200</v>
      </c>
      <c r="M352" s="43">
        <f t="shared" si="27"/>
        <v>920</v>
      </c>
      <c r="W352" s="7" t="str">
        <f t="shared" si="28"/>
        <v>Jul</v>
      </c>
    </row>
    <row r="353" spans="2:23" ht="15.6" x14ac:dyDescent="0.3">
      <c r="B353" s="53">
        <v>45867</v>
      </c>
      <c r="C353" s="10" t="s">
        <v>68</v>
      </c>
      <c r="D353" s="10"/>
      <c r="E353" s="43" t="s">
        <v>518</v>
      </c>
      <c r="F353" s="43" t="s">
        <v>204</v>
      </c>
      <c r="G353" s="43" t="s">
        <v>20</v>
      </c>
      <c r="H353" s="45">
        <v>1</v>
      </c>
      <c r="I353" s="43">
        <f>INDEX('حركة المخزن'!O:O,MATCH('تحليل مبيعات'!C353,'حركة المخزن'!B:B,0))</f>
        <v>175</v>
      </c>
      <c r="J353" s="43">
        <f t="shared" si="25"/>
        <v>175</v>
      </c>
      <c r="K353" s="10">
        <v>90</v>
      </c>
      <c r="L353" s="43">
        <f t="shared" si="26"/>
        <v>90</v>
      </c>
      <c r="M353" s="43">
        <f t="shared" si="27"/>
        <v>-85</v>
      </c>
      <c r="W353" s="7" t="str">
        <f t="shared" si="28"/>
        <v>Jul</v>
      </c>
    </row>
    <row r="354" spans="2:23" ht="15.6" x14ac:dyDescent="0.3">
      <c r="B354" s="53">
        <v>45867</v>
      </c>
      <c r="C354" s="10" t="s">
        <v>43</v>
      </c>
      <c r="D354" s="10"/>
      <c r="E354" s="43" t="s">
        <v>518</v>
      </c>
      <c r="F354" s="43" t="s">
        <v>204</v>
      </c>
      <c r="G354" s="43" t="s">
        <v>20</v>
      </c>
      <c r="H354" s="45">
        <v>1</v>
      </c>
      <c r="I354" s="43">
        <f>INDEX('حركة المخزن'!O:O,MATCH('تحليل مبيعات'!C354,'حركة المخزن'!B:B,0))</f>
        <v>110</v>
      </c>
      <c r="J354" s="43">
        <f t="shared" si="25"/>
        <v>110</v>
      </c>
      <c r="K354" s="10">
        <v>100</v>
      </c>
      <c r="L354" s="47">
        <f t="shared" si="26"/>
        <v>100</v>
      </c>
      <c r="M354" s="47">
        <f t="shared" si="27"/>
        <v>-10</v>
      </c>
      <c r="W354" s="7" t="str">
        <f t="shared" si="28"/>
        <v>Jul</v>
      </c>
    </row>
    <row r="355" spans="2:23" ht="18" x14ac:dyDescent="0.35">
      <c r="B355" s="53">
        <v>45868</v>
      </c>
      <c r="C355" s="10" t="s">
        <v>87</v>
      </c>
      <c r="D355" s="10"/>
      <c r="E355" s="3" t="s">
        <v>476</v>
      </c>
      <c r="F355" s="43" t="s">
        <v>204</v>
      </c>
      <c r="G355" s="43" t="s">
        <v>20</v>
      </c>
      <c r="H355" s="45">
        <v>1</v>
      </c>
      <c r="I355" s="43">
        <f>INDEX('حركة المخزن'!O:O,MATCH('تحليل مبيعات'!C355,'حركة المخزن'!B:B,0))</f>
        <v>54</v>
      </c>
      <c r="J355" s="43">
        <f t="shared" si="25"/>
        <v>54</v>
      </c>
      <c r="K355" s="10">
        <v>250</v>
      </c>
      <c r="L355" s="43">
        <f t="shared" si="26"/>
        <v>250</v>
      </c>
      <c r="M355" s="43">
        <f t="shared" si="27"/>
        <v>196</v>
      </c>
      <c r="W355" s="7" t="str">
        <f t="shared" si="28"/>
        <v>Jul</v>
      </c>
    </row>
    <row r="356" spans="2:23" ht="15.6" x14ac:dyDescent="0.3">
      <c r="B356" s="53">
        <v>45868</v>
      </c>
      <c r="C356" s="10" t="s">
        <v>65</v>
      </c>
      <c r="D356" s="10"/>
      <c r="E356" s="43" t="s">
        <v>518</v>
      </c>
      <c r="F356" s="43" t="s">
        <v>204</v>
      </c>
      <c r="G356" s="43" t="s">
        <v>20</v>
      </c>
      <c r="H356" s="45">
        <v>1</v>
      </c>
      <c r="I356" s="43">
        <f>INDEX('حركة المخزن'!O:O,MATCH('تحليل مبيعات'!C356,'حركة المخزن'!B:B,0))</f>
        <v>155</v>
      </c>
      <c r="J356" s="43">
        <f t="shared" si="25"/>
        <v>155</v>
      </c>
      <c r="K356" s="10">
        <v>100</v>
      </c>
      <c r="L356" s="43">
        <f t="shared" si="26"/>
        <v>100</v>
      </c>
      <c r="M356" s="43">
        <f t="shared" si="27"/>
        <v>-55</v>
      </c>
      <c r="W356" s="7" t="str">
        <f t="shared" si="28"/>
        <v>Jul</v>
      </c>
    </row>
    <row r="357" spans="2:23" ht="15.6" x14ac:dyDescent="0.3">
      <c r="B357" s="53">
        <v>45868</v>
      </c>
      <c r="C357" s="10" t="s">
        <v>43</v>
      </c>
      <c r="D357" s="10"/>
      <c r="E357" s="43" t="s">
        <v>518</v>
      </c>
      <c r="F357" s="43" t="s">
        <v>204</v>
      </c>
      <c r="G357" s="43" t="s">
        <v>20</v>
      </c>
      <c r="H357" s="45">
        <v>1</v>
      </c>
      <c r="I357" s="43">
        <f>INDEX('حركة المخزن'!O:O,MATCH('تحليل مبيعات'!C357,'حركة المخزن'!B:B,0))</f>
        <v>110</v>
      </c>
      <c r="J357" s="43">
        <f t="shared" si="25"/>
        <v>110</v>
      </c>
      <c r="K357" s="10">
        <v>220</v>
      </c>
      <c r="L357" s="43">
        <f t="shared" si="26"/>
        <v>220</v>
      </c>
      <c r="M357" s="43">
        <f t="shared" si="27"/>
        <v>110</v>
      </c>
      <c r="W357" s="7" t="str">
        <f t="shared" si="28"/>
        <v>Jul</v>
      </c>
    </row>
    <row r="358" spans="2:23" ht="15.6" x14ac:dyDescent="0.3">
      <c r="B358" s="53">
        <v>45868</v>
      </c>
      <c r="C358" s="10" t="s">
        <v>26</v>
      </c>
      <c r="D358" s="10"/>
      <c r="E358" s="43" t="s">
        <v>518</v>
      </c>
      <c r="F358" s="43" t="s">
        <v>204</v>
      </c>
      <c r="G358" s="43" t="s">
        <v>20</v>
      </c>
      <c r="H358" s="45">
        <v>1</v>
      </c>
      <c r="I358" s="43">
        <f>INDEX('حركة المخزن'!O:O,MATCH('تحليل مبيعات'!C358,'حركة المخزن'!B:B,0))</f>
        <v>80</v>
      </c>
      <c r="J358" s="43">
        <f t="shared" si="25"/>
        <v>80</v>
      </c>
      <c r="K358" s="10">
        <v>550</v>
      </c>
      <c r="L358" s="43">
        <f t="shared" si="26"/>
        <v>550</v>
      </c>
      <c r="M358" s="43">
        <f t="shared" si="27"/>
        <v>470</v>
      </c>
      <c r="W358" s="7" t="str">
        <f t="shared" si="28"/>
        <v>Jul</v>
      </c>
    </row>
    <row r="359" spans="2:23" ht="15.6" x14ac:dyDescent="0.3">
      <c r="B359" s="53">
        <v>45868</v>
      </c>
      <c r="C359" s="10" t="s">
        <v>184</v>
      </c>
      <c r="D359" s="10"/>
      <c r="E359" s="43" t="s">
        <v>518</v>
      </c>
      <c r="F359" s="43" t="s">
        <v>204</v>
      </c>
      <c r="G359" s="43" t="s">
        <v>20</v>
      </c>
      <c r="H359" s="45">
        <v>1</v>
      </c>
      <c r="I359" s="43">
        <f>INDEX('حركة المخزن'!O:O,MATCH('تحليل مبيعات'!C359,'حركة المخزن'!B:B,0))</f>
        <v>290</v>
      </c>
      <c r="J359" s="43">
        <f t="shared" si="25"/>
        <v>290</v>
      </c>
      <c r="K359" s="10">
        <v>30</v>
      </c>
      <c r="L359" s="43">
        <f t="shared" si="26"/>
        <v>30</v>
      </c>
      <c r="M359" s="43">
        <f t="shared" si="27"/>
        <v>-260</v>
      </c>
      <c r="W359" s="7" t="str">
        <f t="shared" si="28"/>
        <v>Jul</v>
      </c>
    </row>
    <row r="360" spans="2:23" ht="15.6" x14ac:dyDescent="0.3">
      <c r="B360" s="53">
        <v>45868</v>
      </c>
      <c r="C360" s="10" t="s">
        <v>185</v>
      </c>
      <c r="D360" s="10"/>
      <c r="E360" s="43" t="s">
        <v>518</v>
      </c>
      <c r="F360" s="43" t="s">
        <v>204</v>
      </c>
      <c r="G360" s="43" t="s">
        <v>20</v>
      </c>
      <c r="H360" s="45">
        <v>1</v>
      </c>
      <c r="I360" s="43">
        <f>INDEX('حركة المخزن'!O:O,MATCH('تحليل مبيعات'!C360,'حركة المخزن'!B:B,0))</f>
        <v>295</v>
      </c>
      <c r="J360" s="43">
        <f t="shared" si="25"/>
        <v>295</v>
      </c>
      <c r="K360" s="10">
        <v>750</v>
      </c>
      <c r="L360" s="43">
        <f t="shared" si="26"/>
        <v>750</v>
      </c>
      <c r="M360" s="43">
        <f t="shared" si="27"/>
        <v>455</v>
      </c>
      <c r="W360" s="7" t="str">
        <f t="shared" si="28"/>
        <v>Jul</v>
      </c>
    </row>
    <row r="361" spans="2:23" ht="15.6" x14ac:dyDescent="0.3">
      <c r="B361" s="53">
        <v>45868</v>
      </c>
      <c r="C361" s="10" t="s">
        <v>35</v>
      </c>
      <c r="D361" s="10"/>
      <c r="E361" s="43" t="s">
        <v>518</v>
      </c>
      <c r="F361" s="43" t="s">
        <v>204</v>
      </c>
      <c r="G361" s="43" t="s">
        <v>20</v>
      </c>
      <c r="H361" s="45">
        <v>1</v>
      </c>
      <c r="I361" s="43">
        <f>INDEX('حركة المخزن'!O:O,MATCH('تحليل مبيعات'!C361,'حركة المخزن'!B:B,0))</f>
        <v>70</v>
      </c>
      <c r="J361" s="43">
        <f t="shared" si="25"/>
        <v>70</v>
      </c>
      <c r="K361" s="10">
        <v>200</v>
      </c>
      <c r="L361" s="43">
        <f t="shared" si="26"/>
        <v>200</v>
      </c>
      <c r="M361" s="43">
        <f t="shared" si="27"/>
        <v>130</v>
      </c>
      <c r="W361" s="7" t="str">
        <f t="shared" si="28"/>
        <v>Jul</v>
      </c>
    </row>
    <row r="362" spans="2:23" ht="18" x14ac:dyDescent="0.35">
      <c r="B362" s="53">
        <v>45868</v>
      </c>
      <c r="C362" s="10" t="s">
        <v>76</v>
      </c>
      <c r="D362" s="10"/>
      <c r="E362" s="3" t="s">
        <v>478</v>
      </c>
      <c r="F362" s="10" t="s">
        <v>1</v>
      </c>
      <c r="G362" s="43" t="s">
        <v>20</v>
      </c>
      <c r="H362" s="45">
        <v>1</v>
      </c>
      <c r="I362" s="43">
        <f>INDEX('حركة المخزن'!O:O,MATCH('تحليل مبيعات'!C362,'حركة المخزن'!B:B,0))</f>
        <v>370</v>
      </c>
      <c r="J362" s="43">
        <f t="shared" si="25"/>
        <v>370</v>
      </c>
      <c r="K362" s="10">
        <v>1700</v>
      </c>
      <c r="L362" s="43">
        <f t="shared" si="26"/>
        <v>1700</v>
      </c>
      <c r="M362" s="43">
        <f t="shared" si="27"/>
        <v>1330</v>
      </c>
      <c r="W362" s="7" t="str">
        <f t="shared" si="28"/>
        <v>Jul</v>
      </c>
    </row>
    <row r="363" spans="2:23" ht="18" x14ac:dyDescent="0.35">
      <c r="B363" s="53">
        <v>45869</v>
      </c>
      <c r="C363" s="10" t="s">
        <v>138</v>
      </c>
      <c r="D363" s="10"/>
      <c r="E363" s="3" t="s">
        <v>475</v>
      </c>
      <c r="F363" s="43" t="s">
        <v>204</v>
      </c>
      <c r="G363" s="43" t="s">
        <v>20</v>
      </c>
      <c r="H363" s="45">
        <v>1</v>
      </c>
      <c r="I363" s="43">
        <f>INDEX('حركة المخزن'!O:O,MATCH('تحليل مبيعات'!C363,'حركة المخزن'!B:B,0))</f>
        <v>180</v>
      </c>
      <c r="J363" s="43">
        <f t="shared" si="25"/>
        <v>180</v>
      </c>
      <c r="K363" s="10">
        <v>450</v>
      </c>
      <c r="L363" s="43">
        <f t="shared" si="26"/>
        <v>450</v>
      </c>
      <c r="M363" s="43">
        <f t="shared" si="27"/>
        <v>270</v>
      </c>
      <c r="W363" s="7" t="str">
        <f t="shared" si="28"/>
        <v>Jul</v>
      </c>
    </row>
    <row r="364" spans="2:23" ht="18" x14ac:dyDescent="0.35">
      <c r="B364" s="53">
        <v>45869</v>
      </c>
      <c r="C364" s="10" t="s">
        <v>23</v>
      </c>
      <c r="D364" s="10"/>
      <c r="E364" s="3" t="s">
        <v>519</v>
      </c>
      <c r="F364" s="43" t="s">
        <v>204</v>
      </c>
      <c r="G364" s="43" t="s">
        <v>20</v>
      </c>
      <c r="H364" s="45">
        <v>2</v>
      </c>
      <c r="I364" s="43">
        <f>INDEX('حركة المخزن'!O:O,MATCH('تحليل مبيعات'!C364,'حركة المخزن'!B:B,0))</f>
        <v>80</v>
      </c>
      <c r="J364" s="43">
        <f t="shared" si="25"/>
        <v>160</v>
      </c>
      <c r="K364" s="10">
        <v>250</v>
      </c>
      <c r="L364" s="43">
        <f t="shared" si="26"/>
        <v>500</v>
      </c>
      <c r="M364" s="43">
        <f t="shared" si="27"/>
        <v>340</v>
      </c>
      <c r="W364" s="7" t="str">
        <f t="shared" si="28"/>
        <v>Jul</v>
      </c>
    </row>
    <row r="365" spans="2:23" ht="15.6" x14ac:dyDescent="0.3">
      <c r="B365" s="53">
        <v>45869</v>
      </c>
      <c r="C365" s="10" t="s">
        <v>104</v>
      </c>
      <c r="D365" s="10"/>
      <c r="E365" s="43" t="s">
        <v>518</v>
      </c>
      <c r="F365" s="43" t="s">
        <v>204</v>
      </c>
      <c r="G365" s="43" t="s">
        <v>20</v>
      </c>
      <c r="H365" s="45">
        <v>1</v>
      </c>
      <c r="I365" s="43">
        <f>INDEX('حركة المخزن'!O:O,MATCH('تحليل مبيعات'!C365,'حركة المخزن'!B:B,0))</f>
        <v>65</v>
      </c>
      <c r="J365" s="43">
        <f t="shared" si="25"/>
        <v>65</v>
      </c>
      <c r="K365" s="10">
        <v>150</v>
      </c>
      <c r="L365" s="43">
        <f t="shared" si="26"/>
        <v>150</v>
      </c>
      <c r="M365" s="43">
        <f t="shared" si="27"/>
        <v>85</v>
      </c>
      <c r="W365" s="7" t="str">
        <f t="shared" si="28"/>
        <v>Jul</v>
      </c>
    </row>
    <row r="366" spans="2:23" ht="18" x14ac:dyDescent="0.35">
      <c r="B366" s="53">
        <v>45869</v>
      </c>
      <c r="C366" s="10" t="s">
        <v>189</v>
      </c>
      <c r="D366" s="10"/>
      <c r="E366" s="3" t="s">
        <v>519</v>
      </c>
      <c r="F366" s="43" t="s">
        <v>204</v>
      </c>
      <c r="G366" s="43" t="s">
        <v>20</v>
      </c>
      <c r="H366" s="45">
        <v>1</v>
      </c>
      <c r="I366" s="43">
        <f>INDEX('حركة المخزن'!O:O,MATCH('تحليل مبيعات'!C366,'حركة المخزن'!B:B,0))</f>
        <v>300</v>
      </c>
      <c r="J366" s="43">
        <f t="shared" si="25"/>
        <v>300</v>
      </c>
      <c r="K366" s="10">
        <v>400</v>
      </c>
      <c r="L366" s="43">
        <f t="shared" si="26"/>
        <v>400</v>
      </c>
      <c r="M366" s="43">
        <f t="shared" si="27"/>
        <v>100</v>
      </c>
      <c r="W366" s="7" t="str">
        <f t="shared" si="28"/>
        <v>Jul</v>
      </c>
    </row>
    <row r="367" spans="2:23" ht="18" x14ac:dyDescent="0.35">
      <c r="B367" s="53">
        <v>45869</v>
      </c>
      <c r="C367" s="10" t="s">
        <v>190</v>
      </c>
      <c r="D367" s="10"/>
      <c r="E367" s="3" t="s">
        <v>520</v>
      </c>
      <c r="F367" s="43" t="s">
        <v>204</v>
      </c>
      <c r="G367" s="43" t="s">
        <v>20</v>
      </c>
      <c r="H367" s="45">
        <v>1</v>
      </c>
      <c r="I367" s="43">
        <f>INDEX('حركة المخزن'!O:O,MATCH('تحليل مبيعات'!C367,'حركة المخزن'!B:B,0))</f>
        <v>305</v>
      </c>
      <c r="J367" s="43">
        <f t="shared" si="25"/>
        <v>305</v>
      </c>
      <c r="K367" s="10">
        <v>250</v>
      </c>
      <c r="L367" s="43">
        <f t="shared" si="26"/>
        <v>250</v>
      </c>
      <c r="M367" s="43">
        <f t="shared" si="27"/>
        <v>-55</v>
      </c>
      <c r="W367" s="7" t="str">
        <f t="shared" si="28"/>
        <v>Jul</v>
      </c>
    </row>
    <row r="368" spans="2:23" ht="18" x14ac:dyDescent="0.35">
      <c r="B368" s="53">
        <v>45869</v>
      </c>
      <c r="C368" s="10" t="s">
        <v>191</v>
      </c>
      <c r="D368" s="10"/>
      <c r="E368" s="3" t="s">
        <v>520</v>
      </c>
      <c r="F368" s="43" t="s">
        <v>204</v>
      </c>
      <c r="G368" s="43" t="s">
        <v>20</v>
      </c>
      <c r="H368" s="45">
        <v>1</v>
      </c>
      <c r="I368" s="43">
        <f>INDEX('حركة المخزن'!O:O,MATCH('تحليل مبيعات'!C368,'حركة المخزن'!B:B,0))</f>
        <v>420</v>
      </c>
      <c r="J368" s="43">
        <f t="shared" si="25"/>
        <v>420</v>
      </c>
      <c r="K368" s="10">
        <v>0</v>
      </c>
      <c r="L368" s="47">
        <f t="shared" si="26"/>
        <v>0</v>
      </c>
      <c r="M368" s="47">
        <f t="shared" si="27"/>
        <v>-420</v>
      </c>
      <c r="W368" s="7" t="str">
        <f t="shared" si="28"/>
        <v>Jul</v>
      </c>
    </row>
    <row r="369" spans="2:23" ht="18" x14ac:dyDescent="0.35">
      <c r="B369" s="53">
        <v>45869</v>
      </c>
      <c r="C369" s="10" t="s">
        <v>183</v>
      </c>
      <c r="D369" s="10"/>
      <c r="E369" s="3" t="s">
        <v>520</v>
      </c>
      <c r="F369" s="43" t="s">
        <v>204</v>
      </c>
      <c r="G369" s="43" t="s">
        <v>20</v>
      </c>
      <c r="H369" s="45">
        <v>1</v>
      </c>
      <c r="I369" s="43">
        <f>INDEX('حركة المخزن'!O:O,MATCH('تحليل مبيعات'!C369,'حركة المخزن'!B:B,0))</f>
        <v>550</v>
      </c>
      <c r="J369" s="43">
        <f t="shared" si="25"/>
        <v>550</v>
      </c>
      <c r="K369" s="10">
        <v>0</v>
      </c>
      <c r="L369" s="47">
        <f t="shared" si="26"/>
        <v>0</v>
      </c>
      <c r="M369" s="47">
        <f t="shared" si="27"/>
        <v>-550</v>
      </c>
      <c r="W369" s="7" t="str">
        <f t="shared" si="28"/>
        <v>Jul</v>
      </c>
    </row>
    <row r="370" spans="2:23" ht="18" x14ac:dyDescent="0.35">
      <c r="B370" s="53">
        <v>45869</v>
      </c>
      <c r="C370" s="10" t="s">
        <v>94</v>
      </c>
      <c r="D370" s="10"/>
      <c r="E370" s="3" t="s">
        <v>520</v>
      </c>
      <c r="F370" s="43" t="s">
        <v>204</v>
      </c>
      <c r="G370" s="43" t="s">
        <v>20</v>
      </c>
      <c r="H370" s="45">
        <v>1</v>
      </c>
      <c r="I370" s="43">
        <f>INDEX('حركة المخزن'!O:O,MATCH('تحليل مبيعات'!C370,'حركة المخزن'!B:B,0))</f>
        <v>100</v>
      </c>
      <c r="J370" s="43">
        <f t="shared" si="25"/>
        <v>100</v>
      </c>
      <c r="K370" s="10">
        <v>0</v>
      </c>
      <c r="L370" s="47">
        <f t="shared" si="26"/>
        <v>0</v>
      </c>
      <c r="M370" s="47">
        <f t="shared" si="27"/>
        <v>-100</v>
      </c>
      <c r="W370" s="7" t="str">
        <f t="shared" si="28"/>
        <v>Jul</v>
      </c>
    </row>
    <row r="371" spans="2:23" ht="18" x14ac:dyDescent="0.35">
      <c r="B371" s="53">
        <v>45869</v>
      </c>
      <c r="C371" s="10" t="s">
        <v>151</v>
      </c>
      <c r="D371" s="10"/>
      <c r="E371" s="3" t="s">
        <v>520</v>
      </c>
      <c r="F371" s="43" t="s">
        <v>204</v>
      </c>
      <c r="G371" s="43" t="s">
        <v>20</v>
      </c>
      <c r="H371" s="45">
        <v>1</v>
      </c>
      <c r="I371" s="43">
        <f>INDEX('حركة المخزن'!O:O,MATCH('تحليل مبيعات'!C371,'حركة المخزن'!B:B,0))</f>
        <v>200</v>
      </c>
      <c r="J371" s="43">
        <f t="shared" si="25"/>
        <v>200</v>
      </c>
      <c r="K371" s="10">
        <v>0</v>
      </c>
      <c r="L371" s="47">
        <f t="shared" si="26"/>
        <v>0</v>
      </c>
      <c r="M371" s="47">
        <f t="shared" si="27"/>
        <v>-200</v>
      </c>
      <c r="W371" s="7" t="str">
        <f t="shared" si="28"/>
        <v>Jul</v>
      </c>
    </row>
    <row r="372" spans="2:23" ht="18" x14ac:dyDescent="0.35">
      <c r="B372" s="53">
        <v>45869</v>
      </c>
      <c r="C372" s="10" t="s">
        <v>100</v>
      </c>
      <c r="D372" s="10"/>
      <c r="E372" s="3" t="s">
        <v>520</v>
      </c>
      <c r="F372" s="43" t="s">
        <v>204</v>
      </c>
      <c r="G372" s="43" t="s">
        <v>20</v>
      </c>
      <c r="H372" s="45">
        <v>1</v>
      </c>
      <c r="I372" s="43">
        <f>INDEX('حركة المخزن'!O:O,MATCH('تحليل مبيعات'!C372,'حركة المخزن'!B:B,0))</f>
        <v>25</v>
      </c>
      <c r="J372" s="43">
        <f t="shared" si="25"/>
        <v>25</v>
      </c>
      <c r="K372" s="10">
        <v>0</v>
      </c>
      <c r="L372" s="47">
        <f t="shared" si="26"/>
        <v>0</v>
      </c>
      <c r="M372" s="47">
        <f t="shared" si="27"/>
        <v>-25</v>
      </c>
      <c r="W372" s="7" t="str">
        <f t="shared" si="28"/>
        <v>Jul</v>
      </c>
    </row>
    <row r="373" spans="2:23" ht="18" x14ac:dyDescent="0.35">
      <c r="B373" s="53">
        <v>45869</v>
      </c>
      <c r="C373" s="10" t="s">
        <v>124</v>
      </c>
      <c r="D373" s="10"/>
      <c r="E373" s="3" t="s">
        <v>520</v>
      </c>
      <c r="F373" s="43" t="s">
        <v>204</v>
      </c>
      <c r="G373" s="43" t="s">
        <v>20</v>
      </c>
      <c r="H373" s="45">
        <v>1</v>
      </c>
      <c r="I373" s="43">
        <f>INDEX('حركة المخزن'!O:O,MATCH('تحليل مبيعات'!C373,'حركة المخزن'!B:B,0))</f>
        <v>120</v>
      </c>
      <c r="J373" s="43">
        <f t="shared" si="25"/>
        <v>120</v>
      </c>
      <c r="K373" s="10">
        <v>0</v>
      </c>
      <c r="L373" s="47">
        <f t="shared" si="26"/>
        <v>0</v>
      </c>
      <c r="M373" s="47">
        <f t="shared" si="27"/>
        <v>-120</v>
      </c>
      <c r="W373" s="7" t="str">
        <f t="shared" si="28"/>
        <v>Jul</v>
      </c>
    </row>
    <row r="374" spans="2:23" ht="18" x14ac:dyDescent="0.35">
      <c r="B374" s="53">
        <v>45869</v>
      </c>
      <c r="C374" s="10" t="s">
        <v>159</v>
      </c>
      <c r="D374" s="10"/>
      <c r="E374" s="3" t="s">
        <v>520</v>
      </c>
      <c r="F374" s="43" t="s">
        <v>204</v>
      </c>
      <c r="G374" s="43" t="s">
        <v>20</v>
      </c>
      <c r="H374" s="45">
        <v>1</v>
      </c>
      <c r="I374" s="43">
        <f>INDEX('حركة المخزن'!O:O,MATCH('تحليل مبيعات'!C374,'حركة المخزن'!B:B,0))</f>
        <v>100</v>
      </c>
      <c r="J374" s="43">
        <f t="shared" si="25"/>
        <v>100</v>
      </c>
      <c r="K374" s="10">
        <v>0</v>
      </c>
      <c r="L374" s="47">
        <f t="shared" si="26"/>
        <v>0</v>
      </c>
      <c r="M374" s="47">
        <f t="shared" si="27"/>
        <v>-100</v>
      </c>
      <c r="W374" s="7" t="str">
        <f t="shared" si="28"/>
        <v>Jul</v>
      </c>
    </row>
    <row r="375" spans="2:23" ht="18" x14ac:dyDescent="0.35">
      <c r="B375" s="53">
        <v>45869</v>
      </c>
      <c r="C375" s="10" t="s">
        <v>97</v>
      </c>
      <c r="D375" s="10"/>
      <c r="E375" s="3" t="s">
        <v>520</v>
      </c>
      <c r="F375" s="43" t="s">
        <v>204</v>
      </c>
      <c r="G375" s="43" t="s">
        <v>20</v>
      </c>
      <c r="H375" s="45">
        <v>1</v>
      </c>
      <c r="I375" s="43">
        <f>INDEX('حركة المخزن'!O:O,MATCH('تحليل مبيعات'!C375,'حركة المخزن'!B:B,0))</f>
        <v>50</v>
      </c>
      <c r="J375" s="43">
        <f t="shared" si="25"/>
        <v>50</v>
      </c>
      <c r="K375" s="10">
        <v>5070</v>
      </c>
      <c r="L375" s="43">
        <f t="shared" si="26"/>
        <v>5070</v>
      </c>
      <c r="M375" s="43">
        <f t="shared" si="27"/>
        <v>5020</v>
      </c>
      <c r="W375" s="7" t="str">
        <f t="shared" si="28"/>
        <v>Jul</v>
      </c>
    </row>
    <row r="376" spans="2:23" ht="18" x14ac:dyDescent="0.35">
      <c r="B376" s="53">
        <v>45869</v>
      </c>
      <c r="C376" s="10" t="s">
        <v>99</v>
      </c>
      <c r="D376" s="10"/>
      <c r="E376" s="3" t="s">
        <v>519</v>
      </c>
      <c r="F376" s="43" t="s">
        <v>204</v>
      </c>
      <c r="G376" s="43" t="s">
        <v>20</v>
      </c>
      <c r="H376" s="45">
        <v>1</v>
      </c>
      <c r="I376" s="43">
        <f>INDEX('حركة المخزن'!O:O,MATCH('تحليل مبيعات'!C376,'حركة المخزن'!B:B,0))</f>
        <v>135</v>
      </c>
      <c r="J376" s="43">
        <f t="shared" si="25"/>
        <v>135</v>
      </c>
      <c r="K376" s="10">
        <v>800</v>
      </c>
      <c r="L376" s="43">
        <f t="shared" si="26"/>
        <v>800</v>
      </c>
      <c r="M376" s="43">
        <f t="shared" si="27"/>
        <v>665</v>
      </c>
      <c r="W376" s="7" t="str">
        <f t="shared" si="28"/>
        <v>Jul</v>
      </c>
    </row>
    <row r="377" spans="2:23" ht="18" x14ac:dyDescent="0.35">
      <c r="B377" s="53">
        <v>45869</v>
      </c>
      <c r="C377" s="10" t="s">
        <v>23</v>
      </c>
      <c r="D377" s="10"/>
      <c r="E377" s="3" t="s">
        <v>519</v>
      </c>
      <c r="F377" s="43" t="s">
        <v>204</v>
      </c>
      <c r="G377" s="43" t="s">
        <v>20</v>
      </c>
      <c r="H377" s="45">
        <v>1</v>
      </c>
      <c r="I377" s="43">
        <f>INDEX('حركة المخزن'!O:O,MATCH('تحليل مبيعات'!C377,'حركة المخزن'!B:B,0))</f>
        <v>80</v>
      </c>
      <c r="J377" s="43">
        <f t="shared" si="25"/>
        <v>80</v>
      </c>
      <c r="K377" s="10">
        <v>230</v>
      </c>
      <c r="L377" s="43">
        <f t="shared" si="26"/>
        <v>230</v>
      </c>
      <c r="M377" s="43">
        <f t="shared" si="27"/>
        <v>150</v>
      </c>
      <c r="W377" s="7" t="str">
        <f t="shared" si="28"/>
        <v>Jul</v>
      </c>
    </row>
    <row r="378" spans="2:23" ht="18" x14ac:dyDescent="0.35">
      <c r="B378" s="53">
        <v>45869</v>
      </c>
      <c r="C378" s="10" t="s">
        <v>183</v>
      </c>
      <c r="D378" s="10"/>
      <c r="E378" s="3" t="s">
        <v>519</v>
      </c>
      <c r="F378" s="43" t="s">
        <v>204</v>
      </c>
      <c r="G378" s="43" t="s">
        <v>20</v>
      </c>
      <c r="H378" s="45">
        <v>1</v>
      </c>
      <c r="I378" s="43">
        <f>INDEX('حركة المخزن'!O:O,MATCH('تحليل مبيعات'!C378,'حركة المخزن'!B:B,0))</f>
        <v>550</v>
      </c>
      <c r="J378" s="43">
        <f t="shared" si="25"/>
        <v>550</v>
      </c>
      <c r="K378" s="10">
        <v>320</v>
      </c>
      <c r="L378" s="43">
        <f t="shared" si="26"/>
        <v>320</v>
      </c>
      <c r="M378" s="43">
        <f t="shared" si="27"/>
        <v>-230</v>
      </c>
      <c r="W378" s="7" t="str">
        <f t="shared" si="28"/>
        <v>Jul</v>
      </c>
    </row>
    <row r="379" spans="2:23" ht="15.6" x14ac:dyDescent="0.3">
      <c r="B379" s="53">
        <v>45869</v>
      </c>
      <c r="C379" s="10" t="s">
        <v>183</v>
      </c>
      <c r="D379" s="10"/>
      <c r="E379" s="43" t="s">
        <v>518</v>
      </c>
      <c r="F379" s="43" t="s">
        <v>204</v>
      </c>
      <c r="G379" s="43" t="s">
        <v>20</v>
      </c>
      <c r="H379" s="45">
        <v>1</v>
      </c>
      <c r="I379" s="43">
        <f>INDEX('حركة المخزن'!O:O,MATCH('تحليل مبيعات'!C379,'حركة المخزن'!B:B,0))</f>
        <v>550</v>
      </c>
      <c r="J379" s="43">
        <f t="shared" si="25"/>
        <v>550</v>
      </c>
      <c r="K379" s="10">
        <v>320</v>
      </c>
      <c r="L379" s="43">
        <f t="shared" si="26"/>
        <v>320</v>
      </c>
      <c r="M379" s="43">
        <f t="shared" si="27"/>
        <v>-230</v>
      </c>
      <c r="W379" s="7" t="str">
        <f t="shared" si="28"/>
        <v>Jul</v>
      </c>
    </row>
    <row r="380" spans="2:23" ht="18" x14ac:dyDescent="0.35">
      <c r="B380" s="53">
        <v>45869</v>
      </c>
      <c r="C380" s="10" t="s">
        <v>109</v>
      </c>
      <c r="D380" s="10"/>
      <c r="E380" s="3" t="s">
        <v>476</v>
      </c>
      <c r="F380" s="43" t="s">
        <v>204</v>
      </c>
      <c r="G380" s="43" t="s">
        <v>20</v>
      </c>
      <c r="H380" s="45">
        <v>1</v>
      </c>
      <c r="I380" s="43">
        <f>INDEX('حركة المخزن'!O:O,MATCH('تحليل مبيعات'!C380,'حركة المخزن'!B:B,0))</f>
        <v>70</v>
      </c>
      <c r="J380" s="43">
        <f t="shared" si="25"/>
        <v>70</v>
      </c>
      <c r="K380" s="10">
        <v>850</v>
      </c>
      <c r="L380" s="43">
        <f t="shared" si="26"/>
        <v>850</v>
      </c>
      <c r="M380" s="43">
        <f t="shared" si="27"/>
        <v>780</v>
      </c>
      <c r="W380" s="7" t="str">
        <f t="shared" si="28"/>
        <v>Jul</v>
      </c>
    </row>
    <row r="381" spans="2:23" ht="18" x14ac:dyDescent="0.35">
      <c r="B381" s="53">
        <v>45869</v>
      </c>
      <c r="C381" s="10" t="s">
        <v>22</v>
      </c>
      <c r="D381" s="10"/>
      <c r="E381" s="3" t="s">
        <v>478</v>
      </c>
      <c r="F381" s="43" t="s">
        <v>204</v>
      </c>
      <c r="G381" s="43" t="s">
        <v>20</v>
      </c>
      <c r="H381" s="45">
        <v>1</v>
      </c>
      <c r="I381" s="43">
        <f>INDEX('حركة المخزن'!O:O,MATCH('تحليل مبيعات'!C381,'حركة المخزن'!B:B,0))</f>
        <v>75</v>
      </c>
      <c r="J381" s="43">
        <f t="shared" si="25"/>
        <v>75</v>
      </c>
      <c r="K381" s="10">
        <v>2950</v>
      </c>
      <c r="L381" s="43">
        <f t="shared" si="26"/>
        <v>2950</v>
      </c>
      <c r="M381" s="43">
        <f t="shared" si="27"/>
        <v>2875</v>
      </c>
      <c r="W381" s="7" t="str">
        <f t="shared" si="28"/>
        <v>Jul</v>
      </c>
    </row>
    <row r="382" spans="2:23" ht="18" x14ac:dyDescent="0.35">
      <c r="B382" s="53">
        <v>45869</v>
      </c>
      <c r="C382" s="10" t="s">
        <v>102</v>
      </c>
      <c r="D382" s="10"/>
      <c r="E382" s="3" t="s">
        <v>475</v>
      </c>
      <c r="F382" s="43" t="s">
        <v>204</v>
      </c>
      <c r="G382" s="43" t="s">
        <v>20</v>
      </c>
      <c r="H382" s="45">
        <v>1</v>
      </c>
      <c r="I382" s="43">
        <f>INDEX('حركة المخزن'!O:O,MATCH('تحليل مبيعات'!C382,'حركة المخزن'!B:B,0))</f>
        <v>80</v>
      </c>
      <c r="J382" s="43">
        <f t="shared" si="25"/>
        <v>80</v>
      </c>
      <c r="K382" s="10">
        <v>900</v>
      </c>
      <c r="L382" s="43">
        <f t="shared" si="26"/>
        <v>900</v>
      </c>
      <c r="M382" s="43">
        <f t="shared" si="27"/>
        <v>820</v>
      </c>
      <c r="W382" s="7" t="str">
        <f t="shared" si="28"/>
        <v>Jul</v>
      </c>
    </row>
    <row r="383" spans="2:23" ht="15.6" x14ac:dyDescent="0.3">
      <c r="B383" s="53">
        <v>45869</v>
      </c>
      <c r="C383" s="10" t="s">
        <v>192</v>
      </c>
      <c r="D383" s="10"/>
      <c r="E383" s="43" t="s">
        <v>518</v>
      </c>
      <c r="F383" s="10" t="s">
        <v>0</v>
      </c>
      <c r="G383" s="43" t="s">
        <v>20</v>
      </c>
      <c r="H383" s="45">
        <v>4</v>
      </c>
      <c r="I383" s="43">
        <f>INDEX('حركة المخزن'!O:O,MATCH('تحليل مبيعات'!C383,'حركة المخزن'!B:B,0))</f>
        <v>250</v>
      </c>
      <c r="J383" s="43">
        <f t="shared" si="25"/>
        <v>1000</v>
      </c>
      <c r="K383" s="10">
        <v>1800</v>
      </c>
      <c r="L383" s="43">
        <f t="shared" si="26"/>
        <v>7200</v>
      </c>
      <c r="M383" s="43">
        <f t="shared" si="27"/>
        <v>6200</v>
      </c>
      <c r="W383" s="7" t="str">
        <f t="shared" si="28"/>
        <v>Jul</v>
      </c>
    </row>
    <row r="384" spans="2:23" ht="18" x14ac:dyDescent="0.35">
      <c r="B384" s="53">
        <v>45869</v>
      </c>
      <c r="C384" s="10" t="s">
        <v>194</v>
      </c>
      <c r="D384" s="10"/>
      <c r="E384" s="3" t="s">
        <v>520</v>
      </c>
      <c r="F384" s="43" t="s">
        <v>204</v>
      </c>
      <c r="G384" s="43" t="s">
        <v>20</v>
      </c>
      <c r="H384" s="45">
        <v>1</v>
      </c>
      <c r="I384" s="43">
        <f>INDEX('حركة المخزن'!O:O,MATCH('تحليل مبيعات'!C384,'حركة المخزن'!B:B,0))</f>
        <v>440</v>
      </c>
      <c r="J384" s="43">
        <f t="shared" si="25"/>
        <v>440</v>
      </c>
      <c r="K384" s="10">
        <v>0</v>
      </c>
      <c r="L384" s="47">
        <f t="shared" si="26"/>
        <v>0</v>
      </c>
      <c r="M384" s="47">
        <f t="shared" si="27"/>
        <v>-440</v>
      </c>
      <c r="W384" s="7" t="str">
        <f t="shared" si="28"/>
        <v>Jul</v>
      </c>
    </row>
    <row r="385" spans="2:23" ht="15.6" x14ac:dyDescent="0.3">
      <c r="B385" s="53">
        <v>45869</v>
      </c>
      <c r="C385" s="10" t="s">
        <v>195</v>
      </c>
      <c r="D385" s="10"/>
      <c r="E385" s="43" t="s">
        <v>518</v>
      </c>
      <c r="F385" s="43" t="s">
        <v>204</v>
      </c>
      <c r="G385" s="43" t="s">
        <v>20</v>
      </c>
      <c r="H385" s="45">
        <v>1</v>
      </c>
      <c r="I385" s="43">
        <f>INDEX('حركة المخزن'!O:O,MATCH('تحليل مبيعات'!C385,'حركة المخزن'!B:B,0))</f>
        <v>310</v>
      </c>
      <c r="J385" s="43">
        <f t="shared" si="25"/>
        <v>310</v>
      </c>
      <c r="K385" s="10">
        <v>100</v>
      </c>
      <c r="L385" s="43">
        <f t="shared" si="26"/>
        <v>100</v>
      </c>
      <c r="M385" s="43">
        <f t="shared" si="27"/>
        <v>-210</v>
      </c>
      <c r="W385" s="7" t="str">
        <f t="shared" si="28"/>
        <v>Jul</v>
      </c>
    </row>
    <row r="386" spans="2:23" ht="18" x14ac:dyDescent="0.35">
      <c r="B386" s="53">
        <v>45870</v>
      </c>
      <c r="C386" s="10" t="s">
        <v>156</v>
      </c>
      <c r="D386" s="10"/>
      <c r="E386" s="3" t="s">
        <v>517</v>
      </c>
      <c r="F386" s="43" t="s">
        <v>204</v>
      </c>
      <c r="G386" s="43" t="s">
        <v>20</v>
      </c>
      <c r="H386" s="45">
        <v>2</v>
      </c>
      <c r="I386" s="43">
        <f>INDEX('حركة المخزن'!O:O,MATCH('تحليل مبيعات'!C386,'حركة المخزن'!B:B,0))</f>
        <v>235</v>
      </c>
      <c r="J386" s="43">
        <f t="shared" si="25"/>
        <v>470</v>
      </c>
      <c r="K386" s="10">
        <v>0</v>
      </c>
      <c r="L386" s="47">
        <f t="shared" si="26"/>
        <v>0</v>
      </c>
      <c r="M386" s="47">
        <f t="shared" si="27"/>
        <v>-470</v>
      </c>
      <c r="W386" s="7" t="str">
        <f t="shared" si="28"/>
        <v>Aug</v>
      </c>
    </row>
    <row r="387" spans="2:23" ht="18" x14ac:dyDescent="0.35">
      <c r="B387" s="53">
        <v>45870</v>
      </c>
      <c r="C387" s="10" t="s">
        <v>116</v>
      </c>
      <c r="D387" s="10"/>
      <c r="E387" s="3" t="s">
        <v>517</v>
      </c>
      <c r="F387" s="43" t="s">
        <v>204</v>
      </c>
      <c r="G387" s="43" t="s">
        <v>20</v>
      </c>
      <c r="H387" s="45">
        <v>2</v>
      </c>
      <c r="I387" s="43">
        <f>INDEX('حركة المخزن'!O:O,MATCH('تحليل مبيعات'!C387,'حركة المخزن'!B:B,0))</f>
        <v>95</v>
      </c>
      <c r="J387" s="43">
        <f t="shared" si="25"/>
        <v>190</v>
      </c>
      <c r="K387" s="10">
        <v>1100</v>
      </c>
      <c r="L387" s="43">
        <f t="shared" si="26"/>
        <v>2200</v>
      </c>
      <c r="M387" s="43">
        <f t="shared" si="27"/>
        <v>2010</v>
      </c>
      <c r="W387" s="7" t="str">
        <f t="shared" si="28"/>
        <v>Aug</v>
      </c>
    </row>
    <row r="388" spans="2:23" ht="18" x14ac:dyDescent="0.35">
      <c r="B388" s="53">
        <v>45870</v>
      </c>
      <c r="C388" s="10" t="s">
        <v>196</v>
      </c>
      <c r="D388" s="10"/>
      <c r="E388" s="3" t="s">
        <v>519</v>
      </c>
      <c r="F388" s="43" t="s">
        <v>204</v>
      </c>
      <c r="G388" s="43" t="s">
        <v>20</v>
      </c>
      <c r="H388" s="45">
        <v>1</v>
      </c>
      <c r="I388" s="43">
        <f>INDEX('حركة المخزن'!O:O,MATCH('تحليل مبيعات'!C388,'حركة المخزن'!B:B,0))</f>
        <v>315</v>
      </c>
      <c r="J388" s="43">
        <f t="shared" si="25"/>
        <v>315</v>
      </c>
      <c r="K388" s="10">
        <v>40</v>
      </c>
      <c r="L388" s="43">
        <f t="shared" si="26"/>
        <v>40</v>
      </c>
      <c r="M388" s="43">
        <f t="shared" si="27"/>
        <v>-275</v>
      </c>
      <c r="W388" s="7" t="str">
        <f t="shared" si="28"/>
        <v>Aug</v>
      </c>
    </row>
    <row r="389" spans="2:23" ht="18" x14ac:dyDescent="0.35">
      <c r="B389" s="53">
        <v>45870</v>
      </c>
      <c r="C389" s="10" t="s">
        <v>174</v>
      </c>
      <c r="D389" s="10"/>
      <c r="E389" s="3" t="s">
        <v>520</v>
      </c>
      <c r="F389" s="43" t="s">
        <v>204</v>
      </c>
      <c r="G389" s="43" t="s">
        <v>20</v>
      </c>
      <c r="H389" s="45">
        <v>6</v>
      </c>
      <c r="I389" s="43">
        <f>INDEX('حركة المخزن'!O:O,MATCH('تحليل مبيعات'!C389,'حركة المخزن'!B:B,0))</f>
        <v>270</v>
      </c>
      <c r="J389" s="43">
        <f t="shared" si="25"/>
        <v>1620</v>
      </c>
      <c r="K389" s="10">
        <v>40</v>
      </c>
      <c r="L389" s="43">
        <f t="shared" si="26"/>
        <v>240</v>
      </c>
      <c r="M389" s="43">
        <f t="shared" si="27"/>
        <v>-1380</v>
      </c>
      <c r="W389" s="7" t="str">
        <f t="shared" si="28"/>
        <v>Aug</v>
      </c>
    </row>
    <row r="390" spans="2:23" ht="18" x14ac:dyDescent="0.35">
      <c r="B390" s="53">
        <v>45870</v>
      </c>
      <c r="C390" s="10" t="s">
        <v>160</v>
      </c>
      <c r="D390" s="10"/>
      <c r="E390" s="3" t="s">
        <v>520</v>
      </c>
      <c r="F390" s="43" t="s">
        <v>204</v>
      </c>
      <c r="G390" s="43" t="s">
        <v>20</v>
      </c>
      <c r="H390" s="45">
        <v>1</v>
      </c>
      <c r="I390" s="43">
        <f>INDEX('حركة المخزن'!O:O,MATCH('تحليل مبيعات'!C390,'حركة المخزن'!B:B,0))</f>
        <v>320</v>
      </c>
      <c r="J390" s="43">
        <f t="shared" si="25"/>
        <v>320</v>
      </c>
      <c r="K390" s="10">
        <v>600</v>
      </c>
      <c r="L390" s="43">
        <f t="shared" si="26"/>
        <v>600</v>
      </c>
      <c r="M390" s="43">
        <f t="shared" si="27"/>
        <v>280</v>
      </c>
      <c r="W390" s="7" t="str">
        <f t="shared" si="28"/>
        <v>Aug</v>
      </c>
    </row>
    <row r="391" spans="2:23" ht="18" x14ac:dyDescent="0.35">
      <c r="B391" s="53">
        <v>45870</v>
      </c>
      <c r="C391" s="10" t="s">
        <v>197</v>
      </c>
      <c r="D391" s="10"/>
      <c r="E391" s="3" t="s">
        <v>520</v>
      </c>
      <c r="F391" s="43" t="s">
        <v>204</v>
      </c>
      <c r="G391" s="43" t="s">
        <v>20</v>
      </c>
      <c r="H391" s="45">
        <v>8</v>
      </c>
      <c r="I391" s="43">
        <f>INDEX('حركة المخزن'!O:O,MATCH('تحليل مبيعات'!C391,'حركة المخزن'!B:B,0))</f>
        <v>325</v>
      </c>
      <c r="J391" s="43">
        <f t="shared" ref="J391:J425" si="29">H391*I391</f>
        <v>2600</v>
      </c>
      <c r="K391" s="10">
        <v>1.875</v>
      </c>
      <c r="L391" s="43">
        <f t="shared" ref="L391:L404" si="30">H391*K391</f>
        <v>15</v>
      </c>
      <c r="M391" s="43">
        <f t="shared" ref="M391:M404" si="31">L391-J391</f>
        <v>-2585</v>
      </c>
      <c r="W391" s="7" t="str">
        <f t="shared" ref="W391:W454" si="32">IF(B391="","",TEXT(B391,"mmm"))</f>
        <v>Aug</v>
      </c>
    </row>
    <row r="392" spans="2:23" ht="18" x14ac:dyDescent="0.35">
      <c r="B392" s="53">
        <v>45870</v>
      </c>
      <c r="C392" s="10" t="s">
        <v>24</v>
      </c>
      <c r="D392" s="10"/>
      <c r="E392" s="3" t="s">
        <v>520</v>
      </c>
      <c r="F392" s="43" t="s">
        <v>204</v>
      </c>
      <c r="G392" s="43" t="s">
        <v>20</v>
      </c>
      <c r="H392" s="45">
        <v>1</v>
      </c>
      <c r="I392" s="43">
        <f>INDEX('حركة المخزن'!O:O,MATCH('تحليل مبيعات'!C392,'حركة المخزن'!B:B,0))</f>
        <v>100</v>
      </c>
      <c r="J392" s="43">
        <f t="shared" si="29"/>
        <v>100</v>
      </c>
      <c r="K392" s="10">
        <v>70</v>
      </c>
      <c r="L392" s="43">
        <f t="shared" si="30"/>
        <v>70</v>
      </c>
      <c r="M392" s="43">
        <f t="shared" si="31"/>
        <v>-30</v>
      </c>
      <c r="W392" s="7" t="str">
        <f t="shared" si="32"/>
        <v>Aug</v>
      </c>
    </row>
    <row r="393" spans="2:23" ht="18" x14ac:dyDescent="0.35">
      <c r="B393" s="53">
        <v>45870</v>
      </c>
      <c r="C393" s="10" t="s">
        <v>63</v>
      </c>
      <c r="D393" s="10"/>
      <c r="E393" s="3" t="s">
        <v>520</v>
      </c>
      <c r="F393" s="43" t="s">
        <v>204</v>
      </c>
      <c r="G393" s="43" t="s">
        <v>20</v>
      </c>
      <c r="H393" s="45">
        <v>1</v>
      </c>
      <c r="I393" s="43">
        <f>INDEX('حركة المخزن'!O:O,MATCH('تحليل مبيعات'!C393,'حركة المخزن'!B:B,0))</f>
        <v>150</v>
      </c>
      <c r="J393" s="43">
        <f t="shared" si="29"/>
        <v>150</v>
      </c>
      <c r="K393" s="10">
        <v>60</v>
      </c>
      <c r="L393" s="43">
        <f t="shared" si="30"/>
        <v>60</v>
      </c>
      <c r="M393" s="43">
        <f t="shared" si="31"/>
        <v>-90</v>
      </c>
      <c r="W393" s="7" t="str">
        <f t="shared" si="32"/>
        <v>Aug</v>
      </c>
    </row>
    <row r="394" spans="2:23" ht="18" x14ac:dyDescent="0.35">
      <c r="B394" s="53">
        <v>45870</v>
      </c>
      <c r="C394" s="10" t="s">
        <v>68</v>
      </c>
      <c r="D394" s="10"/>
      <c r="E394" s="3" t="s">
        <v>520</v>
      </c>
      <c r="F394" s="43" t="s">
        <v>204</v>
      </c>
      <c r="G394" s="43" t="s">
        <v>20</v>
      </c>
      <c r="H394" s="45">
        <v>1</v>
      </c>
      <c r="I394" s="43">
        <f>INDEX('حركة المخزن'!O:O,MATCH('تحليل مبيعات'!C394,'حركة المخزن'!B:B,0))</f>
        <v>175</v>
      </c>
      <c r="J394" s="43">
        <f t="shared" si="29"/>
        <v>175</v>
      </c>
      <c r="K394" s="10">
        <v>90</v>
      </c>
      <c r="L394" s="43">
        <f t="shared" si="30"/>
        <v>90</v>
      </c>
      <c r="M394" s="43">
        <f t="shared" si="31"/>
        <v>-85</v>
      </c>
      <c r="W394" s="7" t="str">
        <f t="shared" si="32"/>
        <v>Aug</v>
      </c>
    </row>
    <row r="395" spans="2:23" ht="18" x14ac:dyDescent="0.35">
      <c r="B395" s="53">
        <v>45870</v>
      </c>
      <c r="C395" s="10" t="s">
        <v>167</v>
      </c>
      <c r="D395" s="10"/>
      <c r="E395" s="3" t="s">
        <v>520</v>
      </c>
      <c r="F395" s="43" t="s">
        <v>204</v>
      </c>
      <c r="G395" s="43" t="s">
        <v>20</v>
      </c>
      <c r="H395" s="45">
        <v>5</v>
      </c>
      <c r="I395" s="43">
        <f>INDEX('حركة المخزن'!O:O,MATCH('تحليل مبيعات'!C395,'حركة المخزن'!B:B,0))</f>
        <v>320</v>
      </c>
      <c r="J395" s="43">
        <f t="shared" si="29"/>
        <v>1600</v>
      </c>
      <c r="K395" s="10">
        <v>40</v>
      </c>
      <c r="L395" s="47">
        <f t="shared" si="30"/>
        <v>200</v>
      </c>
      <c r="M395" s="47">
        <f t="shared" si="31"/>
        <v>-1400</v>
      </c>
      <c r="W395" s="7" t="str">
        <f t="shared" si="32"/>
        <v>Aug</v>
      </c>
    </row>
    <row r="396" spans="2:23" ht="18" x14ac:dyDescent="0.35">
      <c r="B396" s="53">
        <v>45870</v>
      </c>
      <c r="C396" s="10" t="s">
        <v>160</v>
      </c>
      <c r="D396" s="10"/>
      <c r="E396" s="3" t="s">
        <v>517</v>
      </c>
      <c r="F396" s="43" t="s">
        <v>204</v>
      </c>
      <c r="G396" s="43" t="s">
        <v>20</v>
      </c>
      <c r="H396" s="45">
        <v>1</v>
      </c>
      <c r="I396" s="43">
        <f>INDEX('حركة المخزن'!O:O,MATCH('تحليل مبيعات'!C396,'حركة المخزن'!B:B,0))</f>
        <v>320</v>
      </c>
      <c r="J396" s="43">
        <f t="shared" si="29"/>
        <v>320</v>
      </c>
      <c r="K396" s="10">
        <v>600</v>
      </c>
      <c r="L396" s="43">
        <f t="shared" si="30"/>
        <v>600</v>
      </c>
      <c r="M396" s="43">
        <f t="shared" si="31"/>
        <v>280</v>
      </c>
      <c r="W396" s="7" t="str">
        <f t="shared" si="32"/>
        <v>Aug</v>
      </c>
    </row>
    <row r="397" spans="2:23" ht="18" x14ac:dyDescent="0.35">
      <c r="B397" s="53">
        <v>45870</v>
      </c>
      <c r="C397" s="10" t="s">
        <v>25</v>
      </c>
      <c r="D397" s="10"/>
      <c r="E397" s="3" t="s">
        <v>519</v>
      </c>
      <c r="F397" s="43" t="s">
        <v>204</v>
      </c>
      <c r="G397" s="43" t="s">
        <v>20</v>
      </c>
      <c r="H397" s="45">
        <v>1</v>
      </c>
      <c r="I397" s="43">
        <f>INDEX('حركة المخزن'!O:O,MATCH('تحليل مبيعات'!C397,'حركة المخزن'!B:B,0))</f>
        <v>60</v>
      </c>
      <c r="J397" s="43">
        <f t="shared" si="29"/>
        <v>60</v>
      </c>
      <c r="K397" s="10">
        <v>350</v>
      </c>
      <c r="L397" s="43">
        <f t="shared" si="30"/>
        <v>350</v>
      </c>
      <c r="M397" s="43">
        <f t="shared" si="31"/>
        <v>290</v>
      </c>
      <c r="W397" s="7" t="str">
        <f t="shared" si="32"/>
        <v>Aug</v>
      </c>
    </row>
    <row r="398" spans="2:23" ht="18" x14ac:dyDescent="0.35">
      <c r="B398" s="53">
        <v>45870</v>
      </c>
      <c r="C398" s="10" t="s">
        <v>35</v>
      </c>
      <c r="D398" s="10"/>
      <c r="E398" s="3" t="s">
        <v>519</v>
      </c>
      <c r="F398" s="43" t="s">
        <v>204</v>
      </c>
      <c r="G398" s="43" t="s">
        <v>20</v>
      </c>
      <c r="H398" s="45">
        <v>1</v>
      </c>
      <c r="I398" s="43">
        <f>INDEX('حركة المخزن'!O:O,MATCH('تحليل مبيعات'!C398,'حركة المخزن'!B:B,0))</f>
        <v>70</v>
      </c>
      <c r="J398" s="43">
        <f t="shared" si="29"/>
        <v>70</v>
      </c>
      <c r="K398" s="10">
        <v>200</v>
      </c>
      <c r="L398" s="43">
        <f t="shared" si="30"/>
        <v>200</v>
      </c>
      <c r="M398" s="43">
        <f t="shared" si="31"/>
        <v>130</v>
      </c>
      <c r="W398" s="7" t="str">
        <f t="shared" si="32"/>
        <v>Aug</v>
      </c>
    </row>
    <row r="399" spans="2:23" ht="18" x14ac:dyDescent="0.35">
      <c r="B399" s="53">
        <v>45870</v>
      </c>
      <c r="C399" s="10" t="s">
        <v>71</v>
      </c>
      <c r="D399" s="10"/>
      <c r="E399" s="3" t="s">
        <v>476</v>
      </c>
      <c r="F399" s="43" t="s">
        <v>204</v>
      </c>
      <c r="G399" s="43" t="s">
        <v>20</v>
      </c>
      <c r="H399" s="45">
        <v>1</v>
      </c>
      <c r="I399" s="43">
        <f>INDEX('حركة المخزن'!O:O,MATCH('تحليل مبيعات'!C399,'حركة المخزن'!B:B,0))</f>
        <v>195</v>
      </c>
      <c r="J399" s="43">
        <f t="shared" si="29"/>
        <v>195</v>
      </c>
      <c r="K399" s="10">
        <v>150</v>
      </c>
      <c r="L399" s="43">
        <f t="shared" si="30"/>
        <v>150</v>
      </c>
      <c r="M399" s="43">
        <f t="shared" si="31"/>
        <v>-45</v>
      </c>
      <c r="W399" s="7" t="str">
        <f t="shared" si="32"/>
        <v>Aug</v>
      </c>
    </row>
    <row r="400" spans="2:23" ht="18" x14ac:dyDescent="0.35">
      <c r="B400" s="53">
        <v>45870</v>
      </c>
      <c r="C400" s="10" t="s">
        <v>63</v>
      </c>
      <c r="D400" s="10"/>
      <c r="E400" s="3" t="s">
        <v>520</v>
      </c>
      <c r="F400" s="43" t="s">
        <v>204</v>
      </c>
      <c r="G400" s="43" t="s">
        <v>20</v>
      </c>
      <c r="H400" s="45">
        <v>1</v>
      </c>
      <c r="I400" s="43">
        <f>INDEX('حركة المخزن'!O:O,MATCH('تحليل مبيعات'!C400,'حركة المخزن'!B:B,0))</f>
        <v>150</v>
      </c>
      <c r="J400" s="43">
        <f t="shared" si="29"/>
        <v>150</v>
      </c>
      <c r="K400" s="10">
        <v>60</v>
      </c>
      <c r="L400" s="43">
        <f t="shared" si="30"/>
        <v>60</v>
      </c>
      <c r="M400" s="43">
        <f t="shared" si="31"/>
        <v>-90</v>
      </c>
      <c r="W400" s="7" t="str">
        <f t="shared" si="32"/>
        <v>Aug</v>
      </c>
    </row>
    <row r="401" spans="2:23" ht="18" x14ac:dyDescent="0.35">
      <c r="B401" s="53">
        <v>45870</v>
      </c>
      <c r="C401" s="10" t="s">
        <v>68</v>
      </c>
      <c r="D401" s="10"/>
      <c r="E401" s="3" t="s">
        <v>520</v>
      </c>
      <c r="F401" s="43" t="s">
        <v>204</v>
      </c>
      <c r="G401" s="43" t="s">
        <v>20</v>
      </c>
      <c r="H401" s="45">
        <v>1</v>
      </c>
      <c r="I401" s="43">
        <f>INDEX('حركة المخزن'!O:O,MATCH('تحليل مبيعات'!C401,'حركة المخزن'!B:B,0))</f>
        <v>175</v>
      </c>
      <c r="J401" s="43">
        <f t="shared" si="29"/>
        <v>175</v>
      </c>
      <c r="K401" s="10">
        <v>100</v>
      </c>
      <c r="L401" s="43">
        <f t="shared" si="30"/>
        <v>100</v>
      </c>
      <c r="M401" s="43">
        <f t="shared" si="31"/>
        <v>-75</v>
      </c>
      <c r="W401" s="7" t="str">
        <f t="shared" si="32"/>
        <v>Aug</v>
      </c>
    </row>
    <row r="402" spans="2:23" ht="18" x14ac:dyDescent="0.35">
      <c r="B402" s="53">
        <v>45870</v>
      </c>
      <c r="C402" s="10" t="s">
        <v>198</v>
      </c>
      <c r="D402" s="10"/>
      <c r="E402" s="3" t="s">
        <v>476</v>
      </c>
      <c r="F402" s="43" t="s">
        <v>204</v>
      </c>
      <c r="G402" s="43" t="s">
        <v>20</v>
      </c>
      <c r="H402" s="45">
        <v>1</v>
      </c>
      <c r="I402" s="43">
        <f>INDEX('حركة المخزن'!O:O,MATCH('تحليل مبيعات'!C402,'حركة المخزن'!B:B,0))</f>
        <v>330</v>
      </c>
      <c r="J402" s="43">
        <f t="shared" si="29"/>
        <v>330</v>
      </c>
      <c r="K402" s="10">
        <v>450</v>
      </c>
      <c r="L402" s="43">
        <f t="shared" si="30"/>
        <v>450</v>
      </c>
      <c r="M402" s="43">
        <f t="shared" si="31"/>
        <v>120</v>
      </c>
      <c r="W402" s="7" t="str">
        <f t="shared" si="32"/>
        <v>Aug</v>
      </c>
    </row>
    <row r="403" spans="2:23" ht="18" x14ac:dyDescent="0.35">
      <c r="B403" s="53">
        <v>45870</v>
      </c>
      <c r="C403" s="10" t="s">
        <v>152</v>
      </c>
      <c r="D403" s="10"/>
      <c r="E403" s="3" t="s">
        <v>519</v>
      </c>
      <c r="F403" s="43" t="s">
        <v>204</v>
      </c>
      <c r="G403" s="43" t="s">
        <v>20</v>
      </c>
      <c r="H403" s="45">
        <v>1</v>
      </c>
      <c r="I403" s="43">
        <f>INDEX('حركة المخزن'!O:O,MATCH('تحليل مبيعات'!C403,'حركة المخزن'!B:B,0))</f>
        <v>210</v>
      </c>
      <c r="J403" s="43">
        <f t="shared" si="29"/>
        <v>210</v>
      </c>
      <c r="K403" s="10">
        <v>250</v>
      </c>
      <c r="L403" s="43">
        <f t="shared" si="30"/>
        <v>250</v>
      </c>
      <c r="M403" s="43">
        <f t="shared" si="31"/>
        <v>40</v>
      </c>
      <c r="W403" s="7" t="str">
        <f t="shared" si="32"/>
        <v>Aug</v>
      </c>
    </row>
    <row r="404" spans="2:23" ht="18" x14ac:dyDescent="0.35">
      <c r="B404" s="53">
        <v>45870</v>
      </c>
      <c r="C404" s="10" t="s">
        <v>76</v>
      </c>
      <c r="D404" s="10"/>
      <c r="E404" s="3" t="s">
        <v>519</v>
      </c>
      <c r="F404" s="10" t="s">
        <v>1</v>
      </c>
      <c r="G404" s="43" t="s">
        <v>20</v>
      </c>
      <c r="H404" s="45">
        <v>1</v>
      </c>
      <c r="I404" s="43">
        <f>INDEX('حركة المخزن'!O:O,MATCH('تحليل مبيعات'!C404,'حركة المخزن'!B:B,0))</f>
        <v>370</v>
      </c>
      <c r="J404" s="43">
        <f t="shared" si="29"/>
        <v>370</v>
      </c>
      <c r="K404" s="10">
        <v>1750</v>
      </c>
      <c r="L404" s="43">
        <f t="shared" si="30"/>
        <v>1750</v>
      </c>
      <c r="M404" s="43">
        <f t="shared" si="31"/>
        <v>1380</v>
      </c>
      <c r="W404" s="7" t="str">
        <f t="shared" si="32"/>
        <v>Aug</v>
      </c>
    </row>
    <row r="405" spans="2:23" ht="18" x14ac:dyDescent="0.35">
      <c r="B405" s="53">
        <v>45830</v>
      </c>
      <c r="C405" s="49" t="s">
        <v>13</v>
      </c>
      <c r="D405" s="10"/>
      <c r="E405" s="3" t="s">
        <v>520</v>
      </c>
      <c r="F405" s="10" t="s">
        <v>0</v>
      </c>
      <c r="G405" s="50" t="s">
        <v>19</v>
      </c>
      <c r="H405" s="44">
        <v>2</v>
      </c>
      <c r="I405" s="43">
        <f>INDEX('حركة المخزن'!O:O,MATCH('تحليل مبيعات'!C405,'حركة المخزن'!B:B,0))</f>
        <v>150</v>
      </c>
      <c r="J405" s="43">
        <f t="shared" si="29"/>
        <v>300</v>
      </c>
      <c r="K405" s="10">
        <v>4875</v>
      </c>
      <c r="L405" s="43">
        <f t="shared" ref="L405:L425" si="33">H405*K405</f>
        <v>9750</v>
      </c>
      <c r="M405" s="43">
        <f t="shared" ref="M405:M425" si="34">L405-J405</f>
        <v>9450</v>
      </c>
      <c r="W405" s="7" t="str">
        <f t="shared" si="32"/>
        <v>Jun</v>
      </c>
    </row>
    <row r="406" spans="2:23" ht="15.6" x14ac:dyDescent="0.3">
      <c r="B406" s="53">
        <v>45830</v>
      </c>
      <c r="C406" s="49" t="s">
        <v>13</v>
      </c>
      <c r="D406" s="10"/>
      <c r="E406" s="43" t="s">
        <v>518</v>
      </c>
      <c r="F406" s="10" t="s">
        <v>0</v>
      </c>
      <c r="G406" s="50" t="s">
        <v>19</v>
      </c>
      <c r="H406" s="44">
        <v>1</v>
      </c>
      <c r="I406" s="43">
        <f>INDEX('حركة المخزن'!O:O,MATCH('تحليل مبيعات'!C406,'حركة المخزن'!B:B,0))</f>
        <v>150</v>
      </c>
      <c r="J406" s="43">
        <f t="shared" si="29"/>
        <v>150</v>
      </c>
      <c r="K406" s="10">
        <v>5050</v>
      </c>
      <c r="L406" s="43">
        <f t="shared" si="33"/>
        <v>5050</v>
      </c>
      <c r="M406" s="43">
        <f t="shared" si="34"/>
        <v>4900</v>
      </c>
      <c r="W406" s="7" t="str">
        <f t="shared" si="32"/>
        <v>Jun</v>
      </c>
    </row>
    <row r="407" spans="2:23" ht="18" x14ac:dyDescent="0.35">
      <c r="B407" s="53">
        <v>45843</v>
      </c>
      <c r="C407" s="49" t="s">
        <v>16</v>
      </c>
      <c r="D407" s="10"/>
      <c r="E407" s="3" t="s">
        <v>517</v>
      </c>
      <c r="F407" s="10" t="s">
        <v>1</v>
      </c>
      <c r="G407" s="50" t="s">
        <v>19</v>
      </c>
      <c r="H407" s="44">
        <v>1</v>
      </c>
      <c r="I407" s="43">
        <f>INDEX('حركة المخزن'!O:O,MATCH('تحليل مبيعات'!C407,'حركة المخزن'!B:B,0))</f>
        <v>395</v>
      </c>
      <c r="J407" s="43">
        <f t="shared" si="29"/>
        <v>395</v>
      </c>
      <c r="K407" s="10">
        <v>2850</v>
      </c>
      <c r="L407" s="43">
        <f t="shared" si="33"/>
        <v>2850</v>
      </c>
      <c r="M407" s="43">
        <f t="shared" si="34"/>
        <v>2455</v>
      </c>
      <c r="W407" s="7" t="str">
        <f t="shared" si="32"/>
        <v>Jul</v>
      </c>
    </row>
    <row r="408" spans="2:23" ht="18" x14ac:dyDescent="0.35">
      <c r="B408" s="53">
        <v>45845</v>
      </c>
      <c r="C408" s="49" t="s">
        <v>32</v>
      </c>
      <c r="D408" s="10"/>
      <c r="E408" s="3" t="s">
        <v>476</v>
      </c>
      <c r="F408" s="10" t="s">
        <v>0</v>
      </c>
      <c r="G408" s="50" t="s">
        <v>19</v>
      </c>
      <c r="H408" s="44">
        <v>1</v>
      </c>
      <c r="I408" s="43">
        <f>INDEX('حركة المخزن'!O:O,MATCH('تحليل مبيعات'!C408,'حركة المخزن'!B:B,0))</f>
        <v>150</v>
      </c>
      <c r="J408" s="43">
        <f t="shared" si="29"/>
        <v>150</v>
      </c>
      <c r="K408" s="10">
        <v>3800</v>
      </c>
      <c r="L408" s="43">
        <f t="shared" si="33"/>
        <v>3800</v>
      </c>
      <c r="M408" s="43">
        <f t="shared" si="34"/>
        <v>3650</v>
      </c>
      <c r="W408" s="7" t="str">
        <f t="shared" si="32"/>
        <v>Jul</v>
      </c>
    </row>
    <row r="409" spans="2:23" ht="18" x14ac:dyDescent="0.35">
      <c r="B409" s="53">
        <v>45847</v>
      </c>
      <c r="C409" s="49" t="s">
        <v>13</v>
      </c>
      <c r="D409" s="10"/>
      <c r="E409" s="3" t="s">
        <v>475</v>
      </c>
      <c r="F409" s="10" t="s">
        <v>0</v>
      </c>
      <c r="G409" s="50" t="s">
        <v>19</v>
      </c>
      <c r="H409" s="44">
        <v>2</v>
      </c>
      <c r="I409" s="43">
        <f>INDEX('حركة المخزن'!O:O,MATCH('تحليل مبيعات'!C409,'حركة المخزن'!B:B,0))</f>
        <v>150</v>
      </c>
      <c r="J409" s="43">
        <f t="shared" si="29"/>
        <v>300</v>
      </c>
      <c r="K409" s="10">
        <v>4675</v>
      </c>
      <c r="L409" s="43">
        <f t="shared" si="33"/>
        <v>9350</v>
      </c>
      <c r="M409" s="43">
        <f t="shared" si="34"/>
        <v>9050</v>
      </c>
      <c r="W409" s="7" t="str">
        <f t="shared" si="32"/>
        <v>Jul</v>
      </c>
    </row>
    <row r="410" spans="2:23" ht="18" x14ac:dyDescent="0.35">
      <c r="B410" s="53">
        <v>45848</v>
      </c>
      <c r="C410" s="49" t="s">
        <v>13</v>
      </c>
      <c r="D410" s="10"/>
      <c r="E410" s="3" t="s">
        <v>517</v>
      </c>
      <c r="F410" s="10" t="s">
        <v>0</v>
      </c>
      <c r="G410" s="50" t="s">
        <v>19</v>
      </c>
      <c r="H410" s="44">
        <v>4</v>
      </c>
      <c r="I410" s="43">
        <f>INDEX('حركة المخزن'!O:O,MATCH('تحليل مبيعات'!C410,'حركة المخزن'!B:B,0))</f>
        <v>150</v>
      </c>
      <c r="J410" s="43">
        <f t="shared" si="29"/>
        <v>600</v>
      </c>
      <c r="K410" s="10">
        <v>4612.5</v>
      </c>
      <c r="L410" s="43">
        <f t="shared" si="33"/>
        <v>18450</v>
      </c>
      <c r="M410" s="43">
        <f t="shared" si="34"/>
        <v>17850</v>
      </c>
      <c r="W410" s="7" t="str">
        <f t="shared" si="32"/>
        <v>Jul</v>
      </c>
    </row>
    <row r="411" spans="2:23" ht="18" x14ac:dyDescent="0.35">
      <c r="B411" s="53">
        <v>45848</v>
      </c>
      <c r="C411" s="49" t="s">
        <v>61</v>
      </c>
      <c r="D411" s="10"/>
      <c r="E411" s="3" t="s">
        <v>476</v>
      </c>
      <c r="F411" s="10" t="s">
        <v>0</v>
      </c>
      <c r="G411" s="50" t="s">
        <v>19</v>
      </c>
      <c r="H411" s="44">
        <v>4</v>
      </c>
      <c r="I411" s="43">
        <f>INDEX('حركة المخزن'!O:O,MATCH('تحليل مبيعات'!C411,'حركة المخزن'!B:B,0))</f>
        <v>125</v>
      </c>
      <c r="J411" s="43">
        <f t="shared" si="29"/>
        <v>500</v>
      </c>
      <c r="K411" s="10">
        <v>4412.5</v>
      </c>
      <c r="L411" s="43">
        <f t="shared" si="33"/>
        <v>17650</v>
      </c>
      <c r="M411" s="43">
        <f t="shared" si="34"/>
        <v>17150</v>
      </c>
      <c r="W411" s="7" t="str">
        <f t="shared" si="32"/>
        <v>Jul</v>
      </c>
    </row>
    <row r="412" spans="2:23" ht="18" x14ac:dyDescent="0.35">
      <c r="B412" s="53">
        <v>45850</v>
      </c>
      <c r="C412" s="49" t="s">
        <v>32</v>
      </c>
      <c r="D412" s="10"/>
      <c r="E412" s="3" t="s">
        <v>520</v>
      </c>
      <c r="F412" s="10" t="s">
        <v>0</v>
      </c>
      <c r="G412" s="50" t="s">
        <v>19</v>
      </c>
      <c r="H412" s="44">
        <v>4</v>
      </c>
      <c r="I412" s="43">
        <f>INDEX('حركة المخزن'!O:O,MATCH('تحليل مبيعات'!C412,'حركة المخزن'!B:B,0))</f>
        <v>150</v>
      </c>
      <c r="J412" s="43">
        <f t="shared" si="29"/>
        <v>600</v>
      </c>
      <c r="K412" s="10">
        <v>5000</v>
      </c>
      <c r="L412" s="43">
        <f t="shared" si="33"/>
        <v>20000</v>
      </c>
      <c r="M412" s="43">
        <f t="shared" si="34"/>
        <v>19400</v>
      </c>
      <c r="W412" s="7" t="str">
        <f t="shared" si="32"/>
        <v>Jul</v>
      </c>
    </row>
    <row r="413" spans="2:23" ht="18" x14ac:dyDescent="0.35">
      <c r="B413" s="53">
        <v>45850</v>
      </c>
      <c r="C413" s="49" t="s">
        <v>58</v>
      </c>
      <c r="D413" s="10"/>
      <c r="E413" s="3" t="s">
        <v>520</v>
      </c>
      <c r="F413" s="10" t="s">
        <v>0</v>
      </c>
      <c r="G413" s="50" t="s">
        <v>19</v>
      </c>
      <c r="H413" s="44">
        <v>4</v>
      </c>
      <c r="I413" s="43">
        <f>INDEX('حركة المخزن'!O:O,MATCH('تحليل مبيعات'!C413,'حركة المخزن'!B:B,0))</f>
        <v>205</v>
      </c>
      <c r="J413" s="43">
        <f t="shared" si="29"/>
        <v>820</v>
      </c>
      <c r="K413" s="10">
        <v>0</v>
      </c>
      <c r="L413" s="47">
        <f t="shared" si="33"/>
        <v>0</v>
      </c>
      <c r="M413" s="47">
        <f t="shared" si="34"/>
        <v>-820</v>
      </c>
      <c r="W413" s="7" t="str">
        <f t="shared" si="32"/>
        <v>Jul</v>
      </c>
    </row>
    <row r="414" spans="2:23" ht="18" x14ac:dyDescent="0.35">
      <c r="B414" s="53">
        <v>45850</v>
      </c>
      <c r="C414" s="49" t="s">
        <v>13</v>
      </c>
      <c r="D414" s="10"/>
      <c r="E414" s="3" t="s">
        <v>519</v>
      </c>
      <c r="F414" s="10" t="s">
        <v>0</v>
      </c>
      <c r="G414" s="50" t="s">
        <v>19</v>
      </c>
      <c r="H414" s="44">
        <v>1</v>
      </c>
      <c r="I414" s="43">
        <f>INDEX('حركة المخزن'!O:O,MATCH('تحليل مبيعات'!C414,'حركة المخزن'!B:B,0))</f>
        <v>150</v>
      </c>
      <c r="J414" s="43">
        <f t="shared" si="29"/>
        <v>150</v>
      </c>
      <c r="K414" s="10">
        <v>5150</v>
      </c>
      <c r="L414" s="43">
        <f t="shared" si="33"/>
        <v>5150</v>
      </c>
      <c r="M414" s="43">
        <f t="shared" si="34"/>
        <v>5000</v>
      </c>
      <c r="W414" s="7" t="str">
        <f t="shared" si="32"/>
        <v>Jul</v>
      </c>
    </row>
    <row r="415" spans="2:23" ht="18" x14ac:dyDescent="0.35">
      <c r="B415" s="53">
        <v>45854</v>
      </c>
      <c r="C415" s="49" t="s">
        <v>32</v>
      </c>
      <c r="D415" s="10"/>
      <c r="E415" s="3" t="s">
        <v>519</v>
      </c>
      <c r="F415" s="10" t="s">
        <v>0</v>
      </c>
      <c r="G415" s="50" t="s">
        <v>19</v>
      </c>
      <c r="H415" s="44">
        <v>2</v>
      </c>
      <c r="I415" s="43">
        <f>INDEX('حركة المخزن'!O:O,MATCH('تحليل مبيعات'!C415,'حركة المخزن'!B:B,0))</f>
        <v>150</v>
      </c>
      <c r="J415" s="43">
        <f t="shared" si="29"/>
        <v>300</v>
      </c>
      <c r="K415" s="10">
        <v>4000</v>
      </c>
      <c r="L415" s="43">
        <f t="shared" si="33"/>
        <v>8000</v>
      </c>
      <c r="M415" s="43">
        <f t="shared" si="34"/>
        <v>7700</v>
      </c>
      <c r="W415" s="7" t="str">
        <f t="shared" si="32"/>
        <v>Jul</v>
      </c>
    </row>
    <row r="416" spans="2:23" ht="18" x14ac:dyDescent="0.35">
      <c r="B416" s="53">
        <v>45854</v>
      </c>
      <c r="C416" s="49" t="s">
        <v>32</v>
      </c>
      <c r="D416" s="10"/>
      <c r="E416" s="3" t="s">
        <v>520</v>
      </c>
      <c r="F416" s="10" t="s">
        <v>0</v>
      </c>
      <c r="G416" s="50" t="s">
        <v>19</v>
      </c>
      <c r="H416" s="44">
        <v>2</v>
      </c>
      <c r="I416" s="43">
        <f>INDEX('حركة المخزن'!O:O,MATCH('تحليل مبيعات'!C416,'حركة المخزن'!B:B,0))</f>
        <v>150</v>
      </c>
      <c r="J416" s="43">
        <f t="shared" si="29"/>
        <v>300</v>
      </c>
      <c r="K416" s="10">
        <v>3975</v>
      </c>
      <c r="L416" s="43">
        <f t="shared" si="33"/>
        <v>7950</v>
      </c>
      <c r="M416" s="43">
        <f t="shared" si="34"/>
        <v>7650</v>
      </c>
      <c r="W416" s="7" t="str">
        <f t="shared" si="32"/>
        <v>Jul</v>
      </c>
    </row>
    <row r="417" spans="2:23" ht="18" x14ac:dyDescent="0.35">
      <c r="B417" s="53">
        <v>45861</v>
      </c>
      <c r="C417" s="49" t="s">
        <v>143</v>
      </c>
      <c r="D417" s="10"/>
      <c r="E417" s="3" t="s">
        <v>519</v>
      </c>
      <c r="F417" s="10" t="s">
        <v>0</v>
      </c>
      <c r="G417" s="50" t="s">
        <v>19</v>
      </c>
      <c r="H417" s="44">
        <v>2</v>
      </c>
      <c r="I417" s="43">
        <f>INDEX('حركة المخزن'!O:O,MATCH('تحليل مبيعات'!C417,'حركة المخزن'!B:B,0))</f>
        <v>100</v>
      </c>
      <c r="J417" s="43">
        <f t="shared" si="29"/>
        <v>200</v>
      </c>
      <c r="K417" s="10">
        <v>1250</v>
      </c>
      <c r="L417" s="43">
        <f t="shared" si="33"/>
        <v>2500</v>
      </c>
      <c r="M417" s="43">
        <f t="shared" si="34"/>
        <v>2300</v>
      </c>
      <c r="W417" s="7" t="str">
        <f t="shared" si="32"/>
        <v>Jul</v>
      </c>
    </row>
    <row r="418" spans="2:23" ht="18" x14ac:dyDescent="0.35">
      <c r="B418" s="53">
        <v>45861</v>
      </c>
      <c r="C418" s="49" t="s">
        <v>13</v>
      </c>
      <c r="D418" s="10"/>
      <c r="E418" s="3" t="s">
        <v>471</v>
      </c>
      <c r="F418" s="10" t="s">
        <v>0</v>
      </c>
      <c r="G418" s="50" t="s">
        <v>19</v>
      </c>
      <c r="H418" s="44">
        <v>2</v>
      </c>
      <c r="I418" s="43">
        <f>INDEX('حركة المخزن'!O:O,MATCH('تحليل مبيعات'!C418,'حركة المخزن'!B:B,0))</f>
        <v>150</v>
      </c>
      <c r="J418" s="43">
        <f t="shared" si="29"/>
        <v>300</v>
      </c>
      <c r="K418" s="10">
        <v>3975</v>
      </c>
      <c r="L418" s="43">
        <f t="shared" si="33"/>
        <v>7950</v>
      </c>
      <c r="M418" s="43">
        <f t="shared" si="34"/>
        <v>7650</v>
      </c>
      <c r="W418" s="7" t="str">
        <f t="shared" si="32"/>
        <v>Jul</v>
      </c>
    </row>
    <row r="419" spans="2:23" ht="18" x14ac:dyDescent="0.35">
      <c r="B419" s="53">
        <v>45861</v>
      </c>
      <c r="C419" s="49" t="s">
        <v>149</v>
      </c>
      <c r="D419" s="10"/>
      <c r="E419" s="3" t="s">
        <v>520</v>
      </c>
      <c r="F419" s="10" t="s">
        <v>0</v>
      </c>
      <c r="G419" s="50" t="s">
        <v>19</v>
      </c>
      <c r="H419" s="44">
        <v>4</v>
      </c>
      <c r="I419" s="43">
        <f>INDEX('حركة المخزن'!O:O,MATCH('تحليل مبيعات'!C419,'حركة المخزن'!B:B,0))</f>
        <v>100</v>
      </c>
      <c r="J419" s="43">
        <f t="shared" si="29"/>
        <v>400</v>
      </c>
      <c r="K419" s="10">
        <v>4287.5</v>
      </c>
      <c r="L419" s="43">
        <f t="shared" si="33"/>
        <v>17150</v>
      </c>
      <c r="M419" s="43">
        <f t="shared" si="34"/>
        <v>16750</v>
      </c>
      <c r="W419" s="7" t="str">
        <f t="shared" si="32"/>
        <v>Jul</v>
      </c>
    </row>
    <row r="420" spans="2:23" ht="18" x14ac:dyDescent="0.35">
      <c r="B420" s="53">
        <v>45863</v>
      </c>
      <c r="C420" s="49" t="s">
        <v>13</v>
      </c>
      <c r="D420" s="10"/>
      <c r="E420" s="3" t="s">
        <v>478</v>
      </c>
      <c r="F420" s="10" t="s">
        <v>0</v>
      </c>
      <c r="G420" s="50" t="s">
        <v>19</v>
      </c>
      <c r="H420" s="44">
        <v>3</v>
      </c>
      <c r="I420" s="43">
        <f>INDEX('حركة المخزن'!O:O,MATCH('تحليل مبيعات'!C420,'حركة المخزن'!B:B,0))</f>
        <v>150</v>
      </c>
      <c r="J420" s="43">
        <f t="shared" si="29"/>
        <v>450</v>
      </c>
      <c r="K420" s="10">
        <v>4850</v>
      </c>
      <c r="L420" s="43">
        <f t="shared" si="33"/>
        <v>14550</v>
      </c>
      <c r="M420" s="43">
        <f t="shared" si="34"/>
        <v>14100</v>
      </c>
      <c r="W420" s="7" t="str">
        <f t="shared" si="32"/>
        <v>Jul</v>
      </c>
    </row>
    <row r="421" spans="2:23" ht="18" x14ac:dyDescent="0.35">
      <c r="B421" s="53">
        <v>45863</v>
      </c>
      <c r="C421" s="49" t="s">
        <v>164</v>
      </c>
      <c r="D421" s="10"/>
      <c r="E421" s="3" t="s">
        <v>478</v>
      </c>
      <c r="F421" s="10" t="s">
        <v>0</v>
      </c>
      <c r="G421" s="50" t="s">
        <v>19</v>
      </c>
      <c r="H421" s="44">
        <v>4</v>
      </c>
      <c r="I421" s="43">
        <f>INDEX('حركة المخزن'!O:O,MATCH('تحليل مبيعات'!C421,'حركة المخزن'!B:B,0))</f>
        <v>100</v>
      </c>
      <c r="J421" s="43">
        <f t="shared" si="29"/>
        <v>400</v>
      </c>
      <c r="K421" s="10">
        <v>4750</v>
      </c>
      <c r="L421" s="43">
        <f t="shared" si="33"/>
        <v>19000</v>
      </c>
      <c r="M421" s="43">
        <f t="shared" si="34"/>
        <v>18600</v>
      </c>
      <c r="W421" s="7" t="str">
        <f t="shared" si="32"/>
        <v>Jul</v>
      </c>
    </row>
    <row r="422" spans="2:23" ht="18" x14ac:dyDescent="0.35">
      <c r="B422" s="53">
        <v>45864</v>
      </c>
      <c r="C422" s="49" t="s">
        <v>165</v>
      </c>
      <c r="D422" s="10"/>
      <c r="E422" s="3" t="s">
        <v>476</v>
      </c>
      <c r="F422" s="10" t="s">
        <v>0</v>
      </c>
      <c r="G422" s="50" t="s">
        <v>19</v>
      </c>
      <c r="H422" s="44">
        <v>2</v>
      </c>
      <c r="I422" s="43">
        <f>INDEX('حركة المخزن'!O:O,MATCH('تحليل مبيعات'!C422,'حركة المخزن'!B:B,0))</f>
        <v>100</v>
      </c>
      <c r="J422" s="43">
        <f t="shared" si="29"/>
        <v>200</v>
      </c>
      <c r="K422" s="10">
        <v>2100</v>
      </c>
      <c r="L422" s="43">
        <f t="shared" si="33"/>
        <v>4200</v>
      </c>
      <c r="M422" s="43">
        <f t="shared" si="34"/>
        <v>4000</v>
      </c>
      <c r="W422" s="7" t="str">
        <f t="shared" si="32"/>
        <v>Jul</v>
      </c>
    </row>
    <row r="423" spans="2:23" ht="18" x14ac:dyDescent="0.35">
      <c r="B423" s="53">
        <v>45866</v>
      </c>
      <c r="C423" s="49" t="s">
        <v>13</v>
      </c>
      <c r="D423" s="10"/>
      <c r="E423" s="3" t="s">
        <v>516</v>
      </c>
      <c r="F423" s="10" t="s">
        <v>0</v>
      </c>
      <c r="G423" s="50" t="s">
        <v>19</v>
      </c>
      <c r="H423" s="44">
        <v>2</v>
      </c>
      <c r="I423" s="43">
        <f>INDEX('حركة المخزن'!O:O,MATCH('تحليل مبيعات'!C423,'حركة المخزن'!B:B,0))</f>
        <v>150</v>
      </c>
      <c r="J423" s="43">
        <f t="shared" si="29"/>
        <v>300</v>
      </c>
      <c r="K423" s="10">
        <v>4775</v>
      </c>
      <c r="L423" s="43">
        <f t="shared" si="33"/>
        <v>9550</v>
      </c>
      <c r="M423" s="43">
        <f t="shared" si="34"/>
        <v>9250</v>
      </c>
      <c r="W423" s="7" t="str">
        <f t="shared" si="32"/>
        <v>Jul</v>
      </c>
    </row>
    <row r="424" spans="2:23" ht="18" x14ac:dyDescent="0.35">
      <c r="B424" s="53">
        <v>45870</v>
      </c>
      <c r="C424" s="49" t="s">
        <v>49</v>
      </c>
      <c r="D424" s="10"/>
      <c r="E424" s="3" t="s">
        <v>517</v>
      </c>
      <c r="F424" s="10" t="s">
        <v>1</v>
      </c>
      <c r="G424" s="50" t="s">
        <v>19</v>
      </c>
      <c r="H424" s="44">
        <v>1</v>
      </c>
      <c r="I424" s="43">
        <f>INDEX('حركة المخزن'!O:O,MATCH('تحليل مبيعات'!C424,'حركة المخزن'!B:B,0))</f>
        <v>350</v>
      </c>
      <c r="J424" s="43">
        <f t="shared" si="29"/>
        <v>350</v>
      </c>
      <c r="K424" s="10">
        <v>3050</v>
      </c>
      <c r="L424" s="43">
        <f t="shared" si="33"/>
        <v>3050</v>
      </c>
      <c r="M424" s="43">
        <f t="shared" si="34"/>
        <v>2700</v>
      </c>
      <c r="W424" s="7" t="str">
        <f t="shared" si="32"/>
        <v>Aug</v>
      </c>
    </row>
    <row r="425" spans="2:23" ht="18" x14ac:dyDescent="0.35">
      <c r="B425" s="53">
        <v>45870</v>
      </c>
      <c r="C425" s="49" t="s">
        <v>139</v>
      </c>
      <c r="D425" s="10"/>
      <c r="E425" s="3" t="s">
        <v>520</v>
      </c>
      <c r="F425" s="10" t="s">
        <v>1</v>
      </c>
      <c r="G425" s="50" t="s">
        <v>19</v>
      </c>
      <c r="H425" s="44">
        <v>1</v>
      </c>
      <c r="I425" s="43">
        <f>INDEX('حركة المخزن'!O:O,MATCH('تحليل مبيعات'!C425,'حركة المخزن'!B:B,0))</f>
        <v>375</v>
      </c>
      <c r="J425" s="43">
        <f t="shared" si="29"/>
        <v>375</v>
      </c>
      <c r="K425" s="10">
        <v>1950</v>
      </c>
      <c r="L425" s="43">
        <f t="shared" si="33"/>
        <v>1950</v>
      </c>
      <c r="M425" s="43">
        <f t="shared" si="34"/>
        <v>1575</v>
      </c>
      <c r="W425" s="7" t="str">
        <f t="shared" si="32"/>
        <v>Aug</v>
      </c>
    </row>
    <row r="426" spans="2:23" ht="15.6" x14ac:dyDescent="0.3">
      <c r="L426" s="103"/>
      <c r="W426" s="7" t="str">
        <f t="shared" si="32"/>
        <v/>
      </c>
    </row>
    <row r="427" spans="2:23" x14ac:dyDescent="0.3">
      <c r="W427" s="7" t="str">
        <f t="shared" si="32"/>
        <v/>
      </c>
    </row>
    <row r="428" spans="2:23" x14ac:dyDescent="0.3">
      <c r="W428" s="7" t="str">
        <f t="shared" si="32"/>
        <v/>
      </c>
    </row>
    <row r="429" spans="2:23" x14ac:dyDescent="0.3">
      <c r="W429" s="7" t="str">
        <f t="shared" si="32"/>
        <v/>
      </c>
    </row>
    <row r="430" spans="2:23" x14ac:dyDescent="0.3">
      <c r="W430" s="7" t="str">
        <f t="shared" si="32"/>
        <v/>
      </c>
    </row>
    <row r="431" spans="2:23" x14ac:dyDescent="0.3">
      <c r="W431" s="7" t="str">
        <f t="shared" si="32"/>
        <v/>
      </c>
    </row>
    <row r="432" spans="2:23" x14ac:dyDescent="0.3">
      <c r="W432" s="7" t="str">
        <f t="shared" si="32"/>
        <v/>
      </c>
    </row>
    <row r="433" spans="23:23" x14ac:dyDescent="0.3">
      <c r="W433" s="7" t="str">
        <f t="shared" si="32"/>
        <v/>
      </c>
    </row>
    <row r="434" spans="23:23" x14ac:dyDescent="0.3">
      <c r="W434" s="7" t="str">
        <f t="shared" si="32"/>
        <v/>
      </c>
    </row>
    <row r="435" spans="23:23" x14ac:dyDescent="0.3">
      <c r="W435" s="7" t="str">
        <f t="shared" si="32"/>
        <v/>
      </c>
    </row>
    <row r="436" spans="23:23" x14ac:dyDescent="0.3">
      <c r="W436" s="7" t="str">
        <f t="shared" si="32"/>
        <v/>
      </c>
    </row>
    <row r="437" spans="23:23" x14ac:dyDescent="0.3">
      <c r="W437" s="7" t="str">
        <f t="shared" si="32"/>
        <v/>
      </c>
    </row>
    <row r="438" spans="23:23" x14ac:dyDescent="0.3">
      <c r="W438" s="7" t="str">
        <f t="shared" si="32"/>
        <v/>
      </c>
    </row>
    <row r="439" spans="23:23" x14ac:dyDescent="0.3">
      <c r="W439" s="7" t="str">
        <f t="shared" si="32"/>
        <v/>
      </c>
    </row>
    <row r="440" spans="23:23" x14ac:dyDescent="0.3">
      <c r="W440" s="7" t="str">
        <f t="shared" si="32"/>
        <v/>
      </c>
    </row>
    <row r="441" spans="23:23" x14ac:dyDescent="0.3">
      <c r="W441" s="7" t="str">
        <f t="shared" si="32"/>
        <v/>
      </c>
    </row>
    <row r="442" spans="23:23" x14ac:dyDescent="0.3">
      <c r="W442" s="7" t="str">
        <f t="shared" si="32"/>
        <v/>
      </c>
    </row>
    <row r="443" spans="23:23" x14ac:dyDescent="0.3">
      <c r="W443" s="7" t="str">
        <f t="shared" si="32"/>
        <v/>
      </c>
    </row>
    <row r="444" spans="23:23" x14ac:dyDescent="0.3">
      <c r="W444" s="7" t="str">
        <f t="shared" si="32"/>
        <v/>
      </c>
    </row>
    <row r="445" spans="23:23" x14ac:dyDescent="0.3">
      <c r="W445" s="7" t="str">
        <f t="shared" si="32"/>
        <v/>
      </c>
    </row>
    <row r="446" spans="23:23" x14ac:dyDescent="0.3">
      <c r="W446" s="7" t="str">
        <f t="shared" si="32"/>
        <v/>
      </c>
    </row>
    <row r="447" spans="23:23" x14ac:dyDescent="0.3">
      <c r="W447" s="7" t="str">
        <f t="shared" si="32"/>
        <v/>
      </c>
    </row>
    <row r="448" spans="23:23" x14ac:dyDescent="0.3">
      <c r="W448" s="7" t="str">
        <f t="shared" si="32"/>
        <v/>
      </c>
    </row>
    <row r="449" spans="23:23" x14ac:dyDescent="0.3">
      <c r="W449" s="7" t="str">
        <f t="shared" si="32"/>
        <v/>
      </c>
    </row>
    <row r="450" spans="23:23" x14ac:dyDescent="0.3">
      <c r="W450" s="7" t="str">
        <f t="shared" si="32"/>
        <v/>
      </c>
    </row>
    <row r="451" spans="23:23" x14ac:dyDescent="0.3">
      <c r="W451" s="7" t="str">
        <f t="shared" si="32"/>
        <v/>
      </c>
    </row>
    <row r="452" spans="23:23" x14ac:dyDescent="0.3">
      <c r="W452" s="7" t="str">
        <f t="shared" si="32"/>
        <v/>
      </c>
    </row>
    <row r="453" spans="23:23" x14ac:dyDescent="0.3">
      <c r="W453" s="7" t="str">
        <f t="shared" si="32"/>
        <v/>
      </c>
    </row>
    <row r="454" spans="23:23" x14ac:dyDescent="0.3">
      <c r="W454" s="7" t="str">
        <f t="shared" si="32"/>
        <v/>
      </c>
    </row>
    <row r="455" spans="23:23" x14ac:dyDescent="0.3">
      <c r="W455" s="7" t="str">
        <f t="shared" ref="W455:W518" si="35">IF(B455="","",TEXT(B455,"mmm"))</f>
        <v/>
      </c>
    </row>
    <row r="456" spans="23:23" x14ac:dyDescent="0.3">
      <c r="W456" s="7" t="str">
        <f t="shared" si="35"/>
        <v/>
      </c>
    </row>
    <row r="457" spans="23:23" x14ac:dyDescent="0.3">
      <c r="W457" s="7" t="str">
        <f t="shared" si="35"/>
        <v/>
      </c>
    </row>
    <row r="458" spans="23:23" x14ac:dyDescent="0.3">
      <c r="W458" s="7" t="str">
        <f t="shared" si="35"/>
        <v/>
      </c>
    </row>
    <row r="459" spans="23:23" x14ac:dyDescent="0.3">
      <c r="W459" s="7" t="str">
        <f t="shared" si="35"/>
        <v/>
      </c>
    </row>
    <row r="460" spans="23:23" x14ac:dyDescent="0.3">
      <c r="W460" s="7" t="str">
        <f t="shared" si="35"/>
        <v/>
      </c>
    </row>
    <row r="461" spans="23:23" x14ac:dyDescent="0.3">
      <c r="W461" s="7" t="str">
        <f t="shared" si="35"/>
        <v/>
      </c>
    </row>
    <row r="462" spans="23:23" x14ac:dyDescent="0.3">
      <c r="W462" s="7" t="str">
        <f t="shared" si="35"/>
        <v/>
      </c>
    </row>
    <row r="463" spans="23:23" x14ac:dyDescent="0.3">
      <c r="W463" s="7" t="str">
        <f t="shared" si="35"/>
        <v/>
      </c>
    </row>
    <row r="464" spans="23:23" x14ac:dyDescent="0.3">
      <c r="W464" s="7" t="str">
        <f t="shared" si="35"/>
        <v/>
      </c>
    </row>
    <row r="465" spans="23:23" x14ac:dyDescent="0.3">
      <c r="W465" s="7" t="str">
        <f t="shared" si="35"/>
        <v/>
      </c>
    </row>
    <row r="466" spans="23:23" x14ac:dyDescent="0.3">
      <c r="W466" s="7" t="str">
        <f t="shared" si="35"/>
        <v/>
      </c>
    </row>
    <row r="467" spans="23:23" x14ac:dyDescent="0.3">
      <c r="W467" s="7" t="str">
        <f t="shared" si="35"/>
        <v/>
      </c>
    </row>
    <row r="468" spans="23:23" x14ac:dyDescent="0.3">
      <c r="W468" s="7" t="str">
        <f t="shared" si="35"/>
        <v/>
      </c>
    </row>
    <row r="469" spans="23:23" x14ac:dyDescent="0.3">
      <c r="W469" s="7" t="str">
        <f t="shared" si="35"/>
        <v/>
      </c>
    </row>
    <row r="470" spans="23:23" x14ac:dyDescent="0.3">
      <c r="W470" s="7" t="str">
        <f t="shared" si="35"/>
        <v/>
      </c>
    </row>
    <row r="471" spans="23:23" x14ac:dyDescent="0.3">
      <c r="W471" s="7" t="str">
        <f t="shared" si="35"/>
        <v/>
      </c>
    </row>
    <row r="472" spans="23:23" x14ac:dyDescent="0.3">
      <c r="W472" s="7" t="str">
        <f t="shared" si="35"/>
        <v/>
      </c>
    </row>
    <row r="473" spans="23:23" x14ac:dyDescent="0.3">
      <c r="W473" s="7" t="str">
        <f t="shared" si="35"/>
        <v/>
      </c>
    </row>
    <row r="474" spans="23:23" x14ac:dyDescent="0.3">
      <c r="W474" s="7" t="str">
        <f t="shared" si="35"/>
        <v/>
      </c>
    </row>
    <row r="475" spans="23:23" x14ac:dyDescent="0.3">
      <c r="W475" s="7" t="str">
        <f t="shared" si="35"/>
        <v/>
      </c>
    </row>
    <row r="476" spans="23:23" x14ac:dyDescent="0.3">
      <c r="W476" s="7" t="str">
        <f t="shared" si="35"/>
        <v/>
      </c>
    </row>
    <row r="477" spans="23:23" x14ac:dyDescent="0.3">
      <c r="W477" s="7" t="str">
        <f t="shared" si="35"/>
        <v/>
      </c>
    </row>
    <row r="478" spans="23:23" x14ac:dyDescent="0.3">
      <c r="W478" s="7" t="str">
        <f t="shared" si="35"/>
        <v/>
      </c>
    </row>
    <row r="479" spans="23:23" x14ac:dyDescent="0.3">
      <c r="W479" s="7" t="str">
        <f t="shared" si="35"/>
        <v/>
      </c>
    </row>
    <row r="480" spans="23:23" x14ac:dyDescent="0.3">
      <c r="W480" s="7" t="str">
        <f t="shared" si="35"/>
        <v/>
      </c>
    </row>
    <row r="481" spans="23:23" x14ac:dyDescent="0.3">
      <c r="W481" s="7" t="str">
        <f t="shared" si="35"/>
        <v/>
      </c>
    </row>
    <row r="482" spans="23:23" x14ac:dyDescent="0.3">
      <c r="W482" s="7" t="str">
        <f t="shared" si="35"/>
        <v/>
      </c>
    </row>
    <row r="483" spans="23:23" x14ac:dyDescent="0.3">
      <c r="W483" s="7" t="str">
        <f t="shared" si="35"/>
        <v/>
      </c>
    </row>
    <row r="484" spans="23:23" x14ac:dyDescent="0.3">
      <c r="W484" s="7" t="str">
        <f t="shared" si="35"/>
        <v/>
      </c>
    </row>
    <row r="485" spans="23:23" x14ac:dyDescent="0.3">
      <c r="W485" s="7" t="str">
        <f t="shared" si="35"/>
        <v/>
      </c>
    </row>
    <row r="486" spans="23:23" x14ac:dyDescent="0.3">
      <c r="W486" s="7" t="str">
        <f t="shared" si="35"/>
        <v/>
      </c>
    </row>
    <row r="487" spans="23:23" x14ac:dyDescent="0.3">
      <c r="W487" s="7" t="str">
        <f t="shared" si="35"/>
        <v/>
      </c>
    </row>
    <row r="488" spans="23:23" x14ac:dyDescent="0.3">
      <c r="W488" s="7" t="str">
        <f t="shared" si="35"/>
        <v/>
      </c>
    </row>
    <row r="489" spans="23:23" x14ac:dyDescent="0.3">
      <c r="W489" s="7" t="str">
        <f t="shared" si="35"/>
        <v/>
      </c>
    </row>
    <row r="490" spans="23:23" x14ac:dyDescent="0.3">
      <c r="W490" s="7" t="str">
        <f t="shared" si="35"/>
        <v/>
      </c>
    </row>
    <row r="491" spans="23:23" x14ac:dyDescent="0.3">
      <c r="W491" s="7" t="str">
        <f t="shared" si="35"/>
        <v/>
      </c>
    </row>
    <row r="492" spans="23:23" x14ac:dyDescent="0.3">
      <c r="W492" s="7" t="str">
        <f t="shared" si="35"/>
        <v/>
      </c>
    </row>
    <row r="493" spans="23:23" x14ac:dyDescent="0.3">
      <c r="W493" s="7" t="str">
        <f t="shared" si="35"/>
        <v/>
      </c>
    </row>
    <row r="494" spans="23:23" x14ac:dyDescent="0.3">
      <c r="W494" s="7" t="str">
        <f t="shared" si="35"/>
        <v/>
      </c>
    </row>
    <row r="495" spans="23:23" x14ac:dyDescent="0.3">
      <c r="W495" s="7" t="str">
        <f t="shared" si="35"/>
        <v/>
      </c>
    </row>
    <row r="496" spans="23:23" x14ac:dyDescent="0.3">
      <c r="W496" s="7" t="str">
        <f t="shared" si="35"/>
        <v/>
      </c>
    </row>
    <row r="497" spans="23:23" x14ac:dyDescent="0.3">
      <c r="W497" s="7" t="str">
        <f t="shared" si="35"/>
        <v/>
      </c>
    </row>
    <row r="498" spans="23:23" x14ac:dyDescent="0.3">
      <c r="W498" s="7" t="str">
        <f t="shared" si="35"/>
        <v/>
      </c>
    </row>
    <row r="499" spans="23:23" x14ac:dyDescent="0.3">
      <c r="W499" s="7" t="str">
        <f t="shared" si="35"/>
        <v/>
      </c>
    </row>
    <row r="500" spans="23:23" x14ac:dyDescent="0.3">
      <c r="W500" s="7" t="str">
        <f t="shared" si="35"/>
        <v/>
      </c>
    </row>
    <row r="501" spans="23:23" x14ac:dyDescent="0.3">
      <c r="W501" s="7" t="str">
        <f t="shared" si="35"/>
        <v/>
      </c>
    </row>
    <row r="502" spans="23:23" x14ac:dyDescent="0.3">
      <c r="W502" s="7" t="str">
        <f t="shared" si="35"/>
        <v/>
      </c>
    </row>
    <row r="503" spans="23:23" x14ac:dyDescent="0.3">
      <c r="W503" s="7" t="str">
        <f t="shared" si="35"/>
        <v/>
      </c>
    </row>
    <row r="504" spans="23:23" x14ac:dyDescent="0.3">
      <c r="W504" s="7" t="str">
        <f t="shared" si="35"/>
        <v/>
      </c>
    </row>
    <row r="505" spans="23:23" x14ac:dyDescent="0.3">
      <c r="W505" s="7" t="str">
        <f t="shared" si="35"/>
        <v/>
      </c>
    </row>
    <row r="506" spans="23:23" x14ac:dyDescent="0.3">
      <c r="W506" s="7" t="str">
        <f t="shared" si="35"/>
        <v/>
      </c>
    </row>
    <row r="507" spans="23:23" x14ac:dyDescent="0.3">
      <c r="W507" s="7" t="str">
        <f t="shared" si="35"/>
        <v/>
      </c>
    </row>
    <row r="508" spans="23:23" x14ac:dyDescent="0.3">
      <c r="W508" s="7" t="str">
        <f t="shared" si="35"/>
        <v/>
      </c>
    </row>
    <row r="509" spans="23:23" x14ac:dyDescent="0.3">
      <c r="W509" s="7" t="str">
        <f t="shared" si="35"/>
        <v/>
      </c>
    </row>
    <row r="510" spans="23:23" x14ac:dyDescent="0.3">
      <c r="W510" s="7" t="str">
        <f t="shared" si="35"/>
        <v/>
      </c>
    </row>
    <row r="511" spans="23:23" x14ac:dyDescent="0.3">
      <c r="W511" s="7" t="str">
        <f t="shared" si="35"/>
        <v/>
      </c>
    </row>
    <row r="512" spans="23:23" x14ac:dyDescent="0.3">
      <c r="W512" s="7" t="str">
        <f t="shared" si="35"/>
        <v/>
      </c>
    </row>
    <row r="513" spans="23:23" x14ac:dyDescent="0.3">
      <c r="W513" s="7" t="str">
        <f t="shared" si="35"/>
        <v/>
      </c>
    </row>
    <row r="514" spans="23:23" x14ac:dyDescent="0.3">
      <c r="W514" s="7" t="str">
        <f t="shared" si="35"/>
        <v/>
      </c>
    </row>
    <row r="515" spans="23:23" x14ac:dyDescent="0.3">
      <c r="W515" s="7" t="str">
        <f t="shared" si="35"/>
        <v/>
      </c>
    </row>
    <row r="516" spans="23:23" x14ac:dyDescent="0.3">
      <c r="W516" s="7" t="str">
        <f t="shared" si="35"/>
        <v/>
      </c>
    </row>
    <row r="517" spans="23:23" x14ac:dyDescent="0.3">
      <c r="W517" s="7" t="str">
        <f t="shared" si="35"/>
        <v/>
      </c>
    </row>
    <row r="518" spans="23:23" x14ac:dyDescent="0.3">
      <c r="W518" s="7" t="str">
        <f t="shared" si="35"/>
        <v/>
      </c>
    </row>
    <row r="519" spans="23:23" x14ac:dyDescent="0.3">
      <c r="W519" s="7" t="str">
        <f t="shared" ref="W519:W582" si="36">IF(B519="","",TEXT(B519,"mmm"))</f>
        <v/>
      </c>
    </row>
    <row r="520" spans="23:23" x14ac:dyDescent="0.3">
      <c r="W520" s="7" t="str">
        <f t="shared" si="36"/>
        <v/>
      </c>
    </row>
    <row r="521" spans="23:23" x14ac:dyDescent="0.3">
      <c r="W521" s="7" t="str">
        <f t="shared" si="36"/>
        <v/>
      </c>
    </row>
    <row r="522" spans="23:23" x14ac:dyDescent="0.3">
      <c r="W522" s="7" t="str">
        <f t="shared" si="36"/>
        <v/>
      </c>
    </row>
    <row r="523" spans="23:23" x14ac:dyDescent="0.3">
      <c r="W523" s="7" t="str">
        <f t="shared" si="36"/>
        <v/>
      </c>
    </row>
    <row r="524" spans="23:23" x14ac:dyDescent="0.3">
      <c r="W524" s="7" t="str">
        <f t="shared" si="36"/>
        <v/>
      </c>
    </row>
    <row r="525" spans="23:23" x14ac:dyDescent="0.3">
      <c r="W525" s="7" t="str">
        <f t="shared" si="36"/>
        <v/>
      </c>
    </row>
    <row r="526" spans="23:23" x14ac:dyDescent="0.3">
      <c r="W526" s="7" t="str">
        <f t="shared" si="36"/>
        <v/>
      </c>
    </row>
    <row r="527" spans="23:23" x14ac:dyDescent="0.3">
      <c r="W527" s="7" t="str">
        <f t="shared" si="36"/>
        <v/>
      </c>
    </row>
    <row r="528" spans="23:23" x14ac:dyDescent="0.3">
      <c r="W528" s="7" t="str">
        <f t="shared" si="36"/>
        <v/>
      </c>
    </row>
    <row r="529" spans="23:23" x14ac:dyDescent="0.3">
      <c r="W529" s="7" t="str">
        <f t="shared" si="36"/>
        <v/>
      </c>
    </row>
    <row r="530" spans="23:23" x14ac:dyDescent="0.3">
      <c r="W530" s="7" t="str">
        <f t="shared" si="36"/>
        <v/>
      </c>
    </row>
    <row r="531" spans="23:23" x14ac:dyDescent="0.3">
      <c r="W531" s="7" t="str">
        <f t="shared" si="36"/>
        <v/>
      </c>
    </row>
    <row r="532" spans="23:23" x14ac:dyDescent="0.3">
      <c r="W532" s="7" t="str">
        <f t="shared" si="36"/>
        <v/>
      </c>
    </row>
    <row r="533" spans="23:23" x14ac:dyDescent="0.3">
      <c r="W533" s="7" t="str">
        <f t="shared" si="36"/>
        <v/>
      </c>
    </row>
    <row r="534" spans="23:23" x14ac:dyDescent="0.3">
      <c r="W534" s="7" t="str">
        <f t="shared" si="36"/>
        <v/>
      </c>
    </row>
    <row r="535" spans="23:23" x14ac:dyDescent="0.3">
      <c r="W535" s="7" t="str">
        <f t="shared" si="36"/>
        <v/>
      </c>
    </row>
    <row r="536" spans="23:23" x14ac:dyDescent="0.3">
      <c r="W536" s="7" t="str">
        <f t="shared" si="36"/>
        <v/>
      </c>
    </row>
    <row r="537" spans="23:23" x14ac:dyDescent="0.3">
      <c r="W537" s="7" t="str">
        <f t="shared" si="36"/>
        <v/>
      </c>
    </row>
    <row r="538" spans="23:23" x14ac:dyDescent="0.3">
      <c r="W538" s="7" t="str">
        <f t="shared" si="36"/>
        <v/>
      </c>
    </row>
    <row r="539" spans="23:23" x14ac:dyDescent="0.3">
      <c r="W539" s="7" t="str">
        <f t="shared" si="36"/>
        <v/>
      </c>
    </row>
    <row r="540" spans="23:23" x14ac:dyDescent="0.3">
      <c r="W540" s="7" t="str">
        <f t="shared" si="36"/>
        <v/>
      </c>
    </row>
    <row r="541" spans="23:23" x14ac:dyDescent="0.3">
      <c r="W541" s="7" t="str">
        <f t="shared" si="36"/>
        <v/>
      </c>
    </row>
    <row r="542" spans="23:23" x14ac:dyDescent="0.3">
      <c r="W542" s="7" t="str">
        <f t="shared" si="36"/>
        <v/>
      </c>
    </row>
    <row r="543" spans="23:23" x14ac:dyDescent="0.3">
      <c r="W543" s="7" t="str">
        <f t="shared" si="36"/>
        <v/>
      </c>
    </row>
    <row r="544" spans="23:23" x14ac:dyDescent="0.3">
      <c r="W544" s="7" t="str">
        <f t="shared" si="36"/>
        <v/>
      </c>
    </row>
    <row r="545" spans="23:23" x14ac:dyDescent="0.3">
      <c r="W545" s="7" t="str">
        <f t="shared" si="36"/>
        <v/>
      </c>
    </row>
    <row r="546" spans="23:23" x14ac:dyDescent="0.3">
      <c r="W546" s="7" t="str">
        <f t="shared" si="36"/>
        <v/>
      </c>
    </row>
    <row r="547" spans="23:23" x14ac:dyDescent="0.3">
      <c r="W547" s="7" t="str">
        <f t="shared" si="36"/>
        <v/>
      </c>
    </row>
    <row r="548" spans="23:23" x14ac:dyDescent="0.3">
      <c r="W548" s="7" t="str">
        <f t="shared" si="36"/>
        <v/>
      </c>
    </row>
    <row r="549" spans="23:23" x14ac:dyDescent="0.3">
      <c r="W549" s="7" t="str">
        <f t="shared" si="36"/>
        <v/>
      </c>
    </row>
    <row r="550" spans="23:23" x14ac:dyDescent="0.3">
      <c r="W550" s="7" t="str">
        <f t="shared" si="36"/>
        <v/>
      </c>
    </row>
    <row r="551" spans="23:23" x14ac:dyDescent="0.3">
      <c r="W551" s="7" t="str">
        <f t="shared" si="36"/>
        <v/>
      </c>
    </row>
    <row r="552" spans="23:23" x14ac:dyDescent="0.3">
      <c r="W552" s="7" t="str">
        <f t="shared" si="36"/>
        <v/>
      </c>
    </row>
    <row r="553" spans="23:23" x14ac:dyDescent="0.3">
      <c r="W553" s="7" t="str">
        <f t="shared" si="36"/>
        <v/>
      </c>
    </row>
    <row r="554" spans="23:23" x14ac:dyDescent="0.3">
      <c r="W554" s="7" t="str">
        <f t="shared" si="36"/>
        <v/>
      </c>
    </row>
    <row r="555" spans="23:23" x14ac:dyDescent="0.3">
      <c r="W555" s="7" t="str">
        <f t="shared" si="36"/>
        <v/>
      </c>
    </row>
    <row r="556" spans="23:23" x14ac:dyDescent="0.3">
      <c r="W556" s="7" t="str">
        <f t="shared" si="36"/>
        <v/>
      </c>
    </row>
    <row r="557" spans="23:23" x14ac:dyDescent="0.3">
      <c r="W557" s="7" t="str">
        <f t="shared" si="36"/>
        <v/>
      </c>
    </row>
    <row r="558" spans="23:23" x14ac:dyDescent="0.3">
      <c r="W558" s="7" t="str">
        <f t="shared" si="36"/>
        <v/>
      </c>
    </row>
    <row r="559" spans="23:23" x14ac:dyDescent="0.3">
      <c r="W559" s="7" t="str">
        <f t="shared" si="36"/>
        <v/>
      </c>
    </row>
    <row r="560" spans="23:23" x14ac:dyDescent="0.3">
      <c r="W560" s="7" t="str">
        <f t="shared" si="36"/>
        <v/>
      </c>
    </row>
    <row r="561" spans="23:23" x14ac:dyDescent="0.3">
      <c r="W561" s="7" t="str">
        <f t="shared" si="36"/>
        <v/>
      </c>
    </row>
    <row r="562" spans="23:23" x14ac:dyDescent="0.3">
      <c r="W562" s="7" t="str">
        <f t="shared" si="36"/>
        <v/>
      </c>
    </row>
    <row r="563" spans="23:23" x14ac:dyDescent="0.3">
      <c r="W563" s="7" t="str">
        <f t="shared" si="36"/>
        <v/>
      </c>
    </row>
    <row r="564" spans="23:23" x14ac:dyDescent="0.3">
      <c r="W564" s="7" t="str">
        <f t="shared" si="36"/>
        <v/>
      </c>
    </row>
    <row r="565" spans="23:23" x14ac:dyDescent="0.3">
      <c r="W565" s="7" t="str">
        <f t="shared" si="36"/>
        <v/>
      </c>
    </row>
    <row r="566" spans="23:23" x14ac:dyDescent="0.3">
      <c r="W566" s="7" t="str">
        <f t="shared" si="36"/>
        <v/>
      </c>
    </row>
    <row r="567" spans="23:23" x14ac:dyDescent="0.3">
      <c r="W567" s="7" t="str">
        <f t="shared" si="36"/>
        <v/>
      </c>
    </row>
    <row r="568" spans="23:23" x14ac:dyDescent="0.3">
      <c r="W568" s="7" t="str">
        <f t="shared" si="36"/>
        <v/>
      </c>
    </row>
    <row r="569" spans="23:23" x14ac:dyDescent="0.3">
      <c r="W569" s="7" t="str">
        <f t="shared" si="36"/>
        <v/>
      </c>
    </row>
    <row r="570" spans="23:23" x14ac:dyDescent="0.3">
      <c r="W570" s="7" t="str">
        <f t="shared" si="36"/>
        <v/>
      </c>
    </row>
    <row r="571" spans="23:23" x14ac:dyDescent="0.3">
      <c r="W571" s="7" t="str">
        <f t="shared" si="36"/>
        <v/>
      </c>
    </row>
    <row r="572" spans="23:23" x14ac:dyDescent="0.3">
      <c r="W572" s="7" t="str">
        <f t="shared" si="36"/>
        <v/>
      </c>
    </row>
    <row r="573" spans="23:23" x14ac:dyDescent="0.3">
      <c r="W573" s="7" t="str">
        <f t="shared" si="36"/>
        <v/>
      </c>
    </row>
    <row r="574" spans="23:23" x14ac:dyDescent="0.3">
      <c r="W574" s="7" t="str">
        <f t="shared" si="36"/>
        <v/>
      </c>
    </row>
    <row r="575" spans="23:23" x14ac:dyDescent="0.3">
      <c r="W575" s="7" t="str">
        <f t="shared" si="36"/>
        <v/>
      </c>
    </row>
    <row r="576" spans="23:23" x14ac:dyDescent="0.3">
      <c r="W576" s="7" t="str">
        <f t="shared" si="36"/>
        <v/>
      </c>
    </row>
    <row r="577" spans="23:23" x14ac:dyDescent="0.3">
      <c r="W577" s="7" t="str">
        <f t="shared" si="36"/>
        <v/>
      </c>
    </row>
    <row r="578" spans="23:23" x14ac:dyDescent="0.3">
      <c r="W578" s="7" t="str">
        <f t="shared" si="36"/>
        <v/>
      </c>
    </row>
    <row r="579" spans="23:23" x14ac:dyDescent="0.3">
      <c r="W579" s="7" t="str">
        <f t="shared" si="36"/>
        <v/>
      </c>
    </row>
    <row r="580" spans="23:23" x14ac:dyDescent="0.3">
      <c r="W580" s="7" t="str">
        <f t="shared" si="36"/>
        <v/>
      </c>
    </row>
    <row r="581" spans="23:23" x14ac:dyDescent="0.3">
      <c r="W581" s="7" t="str">
        <f t="shared" si="36"/>
        <v/>
      </c>
    </row>
    <row r="582" spans="23:23" x14ac:dyDescent="0.3">
      <c r="W582" s="7" t="str">
        <f t="shared" si="36"/>
        <v/>
      </c>
    </row>
    <row r="583" spans="23:23" x14ac:dyDescent="0.3">
      <c r="W583" s="7" t="str">
        <f t="shared" ref="W583:W646" si="37">IF(B583="","",TEXT(B583,"mmm"))</f>
        <v/>
      </c>
    </row>
    <row r="584" spans="23:23" x14ac:dyDescent="0.3">
      <c r="W584" s="7" t="str">
        <f t="shared" si="37"/>
        <v/>
      </c>
    </row>
    <row r="585" spans="23:23" x14ac:dyDescent="0.3">
      <c r="W585" s="7" t="str">
        <f t="shared" si="37"/>
        <v/>
      </c>
    </row>
    <row r="586" spans="23:23" x14ac:dyDescent="0.3">
      <c r="W586" s="7" t="str">
        <f t="shared" si="37"/>
        <v/>
      </c>
    </row>
    <row r="587" spans="23:23" x14ac:dyDescent="0.3">
      <c r="W587" s="7" t="str">
        <f t="shared" si="37"/>
        <v/>
      </c>
    </row>
    <row r="588" spans="23:23" x14ac:dyDescent="0.3">
      <c r="W588" s="7" t="str">
        <f t="shared" si="37"/>
        <v/>
      </c>
    </row>
    <row r="589" spans="23:23" x14ac:dyDescent="0.3">
      <c r="W589" s="7" t="str">
        <f t="shared" si="37"/>
        <v/>
      </c>
    </row>
    <row r="590" spans="23:23" x14ac:dyDescent="0.3">
      <c r="W590" s="7" t="str">
        <f t="shared" si="37"/>
        <v/>
      </c>
    </row>
    <row r="591" spans="23:23" x14ac:dyDescent="0.3">
      <c r="W591" s="7" t="str">
        <f t="shared" si="37"/>
        <v/>
      </c>
    </row>
    <row r="592" spans="23:23" x14ac:dyDescent="0.3">
      <c r="W592" s="7" t="str">
        <f t="shared" si="37"/>
        <v/>
      </c>
    </row>
    <row r="593" spans="23:23" x14ac:dyDescent="0.3">
      <c r="W593" s="7" t="str">
        <f t="shared" si="37"/>
        <v/>
      </c>
    </row>
    <row r="594" spans="23:23" x14ac:dyDescent="0.3">
      <c r="W594" s="7" t="str">
        <f t="shared" si="37"/>
        <v/>
      </c>
    </row>
    <row r="595" spans="23:23" x14ac:dyDescent="0.3">
      <c r="W595" s="7" t="str">
        <f t="shared" si="37"/>
        <v/>
      </c>
    </row>
    <row r="596" spans="23:23" x14ac:dyDescent="0.3">
      <c r="W596" s="7" t="str">
        <f t="shared" si="37"/>
        <v/>
      </c>
    </row>
    <row r="597" spans="23:23" x14ac:dyDescent="0.3">
      <c r="W597" s="7" t="str">
        <f t="shared" si="37"/>
        <v/>
      </c>
    </row>
    <row r="598" spans="23:23" x14ac:dyDescent="0.3">
      <c r="W598" s="7" t="str">
        <f t="shared" si="37"/>
        <v/>
      </c>
    </row>
    <row r="599" spans="23:23" x14ac:dyDescent="0.3">
      <c r="W599" s="7" t="str">
        <f t="shared" si="37"/>
        <v/>
      </c>
    </row>
    <row r="600" spans="23:23" x14ac:dyDescent="0.3">
      <c r="W600" s="7" t="str">
        <f t="shared" si="37"/>
        <v/>
      </c>
    </row>
    <row r="601" spans="23:23" x14ac:dyDescent="0.3">
      <c r="W601" s="7" t="str">
        <f t="shared" si="37"/>
        <v/>
      </c>
    </row>
    <row r="602" spans="23:23" x14ac:dyDescent="0.3">
      <c r="W602" s="7" t="str">
        <f t="shared" si="37"/>
        <v/>
      </c>
    </row>
    <row r="603" spans="23:23" x14ac:dyDescent="0.3">
      <c r="W603" s="7" t="str">
        <f t="shared" si="37"/>
        <v/>
      </c>
    </row>
    <row r="604" spans="23:23" x14ac:dyDescent="0.3">
      <c r="W604" s="7" t="str">
        <f t="shared" si="37"/>
        <v/>
      </c>
    </row>
    <row r="605" spans="23:23" x14ac:dyDescent="0.3">
      <c r="W605" s="7" t="str">
        <f t="shared" si="37"/>
        <v/>
      </c>
    </row>
    <row r="606" spans="23:23" x14ac:dyDescent="0.3">
      <c r="W606" s="7" t="str">
        <f t="shared" si="37"/>
        <v/>
      </c>
    </row>
    <row r="607" spans="23:23" x14ac:dyDescent="0.3">
      <c r="W607" s="7" t="str">
        <f t="shared" si="37"/>
        <v/>
      </c>
    </row>
    <row r="608" spans="23:23" x14ac:dyDescent="0.3">
      <c r="W608" s="7" t="str">
        <f t="shared" si="37"/>
        <v/>
      </c>
    </row>
    <row r="609" spans="23:23" x14ac:dyDescent="0.3">
      <c r="W609" s="7" t="str">
        <f t="shared" si="37"/>
        <v/>
      </c>
    </row>
    <row r="610" spans="23:23" x14ac:dyDescent="0.3">
      <c r="W610" s="7" t="str">
        <f t="shared" si="37"/>
        <v/>
      </c>
    </row>
    <row r="611" spans="23:23" x14ac:dyDescent="0.3">
      <c r="W611" s="7" t="str">
        <f t="shared" si="37"/>
        <v/>
      </c>
    </row>
    <row r="612" spans="23:23" x14ac:dyDescent="0.3">
      <c r="W612" s="7" t="str">
        <f t="shared" si="37"/>
        <v/>
      </c>
    </row>
    <row r="613" spans="23:23" x14ac:dyDescent="0.3">
      <c r="W613" s="7" t="str">
        <f t="shared" si="37"/>
        <v/>
      </c>
    </row>
    <row r="614" spans="23:23" x14ac:dyDescent="0.3">
      <c r="W614" s="7" t="str">
        <f t="shared" si="37"/>
        <v/>
      </c>
    </row>
    <row r="615" spans="23:23" x14ac:dyDescent="0.3">
      <c r="W615" s="7" t="str">
        <f t="shared" si="37"/>
        <v/>
      </c>
    </row>
    <row r="616" spans="23:23" x14ac:dyDescent="0.3">
      <c r="W616" s="7" t="str">
        <f t="shared" si="37"/>
        <v/>
      </c>
    </row>
    <row r="617" spans="23:23" x14ac:dyDescent="0.3">
      <c r="W617" s="7" t="str">
        <f t="shared" si="37"/>
        <v/>
      </c>
    </row>
    <row r="618" spans="23:23" x14ac:dyDescent="0.3">
      <c r="W618" s="7" t="str">
        <f t="shared" si="37"/>
        <v/>
      </c>
    </row>
    <row r="619" spans="23:23" x14ac:dyDescent="0.3">
      <c r="W619" s="7" t="str">
        <f t="shared" si="37"/>
        <v/>
      </c>
    </row>
    <row r="620" spans="23:23" x14ac:dyDescent="0.3">
      <c r="W620" s="7" t="str">
        <f t="shared" si="37"/>
        <v/>
      </c>
    </row>
    <row r="621" spans="23:23" x14ac:dyDescent="0.3">
      <c r="W621" s="7" t="str">
        <f t="shared" si="37"/>
        <v/>
      </c>
    </row>
    <row r="622" spans="23:23" x14ac:dyDescent="0.3">
      <c r="W622" s="7" t="str">
        <f t="shared" si="37"/>
        <v/>
      </c>
    </row>
    <row r="623" spans="23:23" x14ac:dyDescent="0.3">
      <c r="W623" s="7" t="str">
        <f t="shared" si="37"/>
        <v/>
      </c>
    </row>
    <row r="624" spans="23:23" x14ac:dyDescent="0.3">
      <c r="W624" s="7" t="str">
        <f t="shared" si="37"/>
        <v/>
      </c>
    </row>
    <row r="625" spans="23:23" x14ac:dyDescent="0.3">
      <c r="W625" s="7" t="str">
        <f t="shared" si="37"/>
        <v/>
      </c>
    </row>
    <row r="626" spans="23:23" x14ac:dyDescent="0.3">
      <c r="W626" s="7" t="str">
        <f t="shared" si="37"/>
        <v/>
      </c>
    </row>
    <row r="627" spans="23:23" x14ac:dyDescent="0.3">
      <c r="W627" s="7" t="str">
        <f t="shared" si="37"/>
        <v/>
      </c>
    </row>
    <row r="628" spans="23:23" x14ac:dyDescent="0.3">
      <c r="W628" s="7" t="str">
        <f t="shared" si="37"/>
        <v/>
      </c>
    </row>
    <row r="629" spans="23:23" x14ac:dyDescent="0.3">
      <c r="W629" s="7" t="str">
        <f t="shared" si="37"/>
        <v/>
      </c>
    </row>
    <row r="630" spans="23:23" x14ac:dyDescent="0.3">
      <c r="W630" s="7" t="str">
        <f t="shared" si="37"/>
        <v/>
      </c>
    </row>
    <row r="631" spans="23:23" x14ac:dyDescent="0.3">
      <c r="W631" s="7" t="str">
        <f t="shared" si="37"/>
        <v/>
      </c>
    </row>
    <row r="632" spans="23:23" x14ac:dyDescent="0.3">
      <c r="W632" s="7" t="str">
        <f t="shared" si="37"/>
        <v/>
      </c>
    </row>
    <row r="633" spans="23:23" x14ac:dyDescent="0.3">
      <c r="W633" s="7" t="str">
        <f t="shared" si="37"/>
        <v/>
      </c>
    </row>
    <row r="634" spans="23:23" x14ac:dyDescent="0.3">
      <c r="W634" s="7" t="str">
        <f t="shared" si="37"/>
        <v/>
      </c>
    </row>
    <row r="635" spans="23:23" x14ac:dyDescent="0.3">
      <c r="W635" s="7" t="str">
        <f t="shared" si="37"/>
        <v/>
      </c>
    </row>
    <row r="636" spans="23:23" x14ac:dyDescent="0.3">
      <c r="W636" s="7" t="str">
        <f t="shared" si="37"/>
        <v/>
      </c>
    </row>
    <row r="637" spans="23:23" x14ac:dyDescent="0.3">
      <c r="W637" s="7" t="str">
        <f t="shared" si="37"/>
        <v/>
      </c>
    </row>
    <row r="638" spans="23:23" x14ac:dyDescent="0.3">
      <c r="W638" s="7" t="str">
        <f t="shared" si="37"/>
        <v/>
      </c>
    </row>
    <row r="639" spans="23:23" x14ac:dyDescent="0.3">
      <c r="W639" s="7" t="str">
        <f t="shared" si="37"/>
        <v/>
      </c>
    </row>
    <row r="640" spans="23:23" x14ac:dyDescent="0.3">
      <c r="W640" s="7" t="str">
        <f t="shared" si="37"/>
        <v/>
      </c>
    </row>
    <row r="641" spans="23:23" x14ac:dyDescent="0.3">
      <c r="W641" s="7" t="str">
        <f t="shared" si="37"/>
        <v/>
      </c>
    </row>
    <row r="642" spans="23:23" x14ac:dyDescent="0.3">
      <c r="W642" s="7" t="str">
        <f t="shared" si="37"/>
        <v/>
      </c>
    </row>
    <row r="643" spans="23:23" x14ac:dyDescent="0.3">
      <c r="W643" s="7" t="str">
        <f t="shared" si="37"/>
        <v/>
      </c>
    </row>
    <row r="644" spans="23:23" x14ac:dyDescent="0.3">
      <c r="W644" s="7" t="str">
        <f t="shared" si="37"/>
        <v/>
      </c>
    </row>
    <row r="645" spans="23:23" x14ac:dyDescent="0.3">
      <c r="W645" s="7" t="str">
        <f t="shared" si="37"/>
        <v/>
      </c>
    </row>
    <row r="646" spans="23:23" x14ac:dyDescent="0.3">
      <c r="W646" s="7" t="str">
        <f t="shared" si="37"/>
        <v/>
      </c>
    </row>
    <row r="647" spans="23:23" x14ac:dyDescent="0.3">
      <c r="W647" s="7" t="str">
        <f t="shared" ref="W647:W710" si="38">IF(B647="","",TEXT(B647,"mmm"))</f>
        <v/>
      </c>
    </row>
    <row r="648" spans="23:23" x14ac:dyDescent="0.3">
      <c r="W648" s="7" t="str">
        <f t="shared" si="38"/>
        <v/>
      </c>
    </row>
    <row r="649" spans="23:23" x14ac:dyDescent="0.3">
      <c r="W649" s="7" t="str">
        <f t="shared" si="38"/>
        <v/>
      </c>
    </row>
    <row r="650" spans="23:23" x14ac:dyDescent="0.3">
      <c r="W650" s="7" t="str">
        <f t="shared" si="38"/>
        <v/>
      </c>
    </row>
    <row r="651" spans="23:23" x14ac:dyDescent="0.3">
      <c r="W651" s="7" t="str">
        <f t="shared" si="38"/>
        <v/>
      </c>
    </row>
    <row r="652" spans="23:23" x14ac:dyDescent="0.3">
      <c r="W652" s="7" t="str">
        <f t="shared" si="38"/>
        <v/>
      </c>
    </row>
    <row r="653" spans="23:23" x14ac:dyDescent="0.3">
      <c r="W653" s="7" t="str">
        <f t="shared" si="38"/>
        <v/>
      </c>
    </row>
    <row r="654" spans="23:23" x14ac:dyDescent="0.3">
      <c r="W654" s="7" t="str">
        <f t="shared" si="38"/>
        <v/>
      </c>
    </row>
    <row r="655" spans="23:23" x14ac:dyDescent="0.3">
      <c r="W655" s="7" t="str">
        <f t="shared" si="38"/>
        <v/>
      </c>
    </row>
    <row r="656" spans="23:23" x14ac:dyDescent="0.3">
      <c r="W656" s="7" t="str">
        <f t="shared" si="38"/>
        <v/>
      </c>
    </row>
    <row r="657" spans="23:23" x14ac:dyDescent="0.3">
      <c r="W657" s="7" t="str">
        <f t="shared" si="38"/>
        <v/>
      </c>
    </row>
    <row r="658" spans="23:23" x14ac:dyDescent="0.3">
      <c r="W658" s="7" t="str">
        <f t="shared" si="38"/>
        <v/>
      </c>
    </row>
    <row r="659" spans="23:23" x14ac:dyDescent="0.3">
      <c r="W659" s="7" t="str">
        <f t="shared" si="38"/>
        <v/>
      </c>
    </row>
    <row r="660" spans="23:23" x14ac:dyDescent="0.3">
      <c r="W660" s="7" t="str">
        <f t="shared" si="38"/>
        <v/>
      </c>
    </row>
    <row r="661" spans="23:23" x14ac:dyDescent="0.3">
      <c r="W661" s="7" t="str">
        <f t="shared" si="38"/>
        <v/>
      </c>
    </row>
    <row r="662" spans="23:23" x14ac:dyDescent="0.3">
      <c r="W662" s="7" t="str">
        <f t="shared" si="38"/>
        <v/>
      </c>
    </row>
    <row r="663" spans="23:23" x14ac:dyDescent="0.3">
      <c r="W663" s="7" t="str">
        <f t="shared" si="38"/>
        <v/>
      </c>
    </row>
    <row r="664" spans="23:23" x14ac:dyDescent="0.3">
      <c r="W664" s="7" t="str">
        <f t="shared" si="38"/>
        <v/>
      </c>
    </row>
    <row r="665" spans="23:23" x14ac:dyDescent="0.3">
      <c r="W665" s="7" t="str">
        <f t="shared" si="38"/>
        <v/>
      </c>
    </row>
    <row r="666" spans="23:23" x14ac:dyDescent="0.3">
      <c r="W666" s="7" t="str">
        <f t="shared" si="38"/>
        <v/>
      </c>
    </row>
    <row r="667" spans="23:23" x14ac:dyDescent="0.3">
      <c r="W667" s="7" t="str">
        <f t="shared" si="38"/>
        <v/>
      </c>
    </row>
    <row r="668" spans="23:23" x14ac:dyDescent="0.3">
      <c r="W668" s="7" t="str">
        <f t="shared" si="38"/>
        <v/>
      </c>
    </row>
    <row r="669" spans="23:23" x14ac:dyDescent="0.3">
      <c r="W669" s="7" t="str">
        <f t="shared" si="38"/>
        <v/>
      </c>
    </row>
    <row r="670" spans="23:23" x14ac:dyDescent="0.3">
      <c r="W670" s="7" t="str">
        <f t="shared" si="38"/>
        <v/>
      </c>
    </row>
    <row r="671" spans="23:23" x14ac:dyDescent="0.3">
      <c r="W671" s="7" t="str">
        <f t="shared" si="38"/>
        <v/>
      </c>
    </row>
    <row r="672" spans="23:23" x14ac:dyDescent="0.3">
      <c r="W672" s="7" t="str">
        <f t="shared" si="38"/>
        <v/>
      </c>
    </row>
    <row r="673" spans="23:23" x14ac:dyDescent="0.3">
      <c r="W673" s="7" t="str">
        <f t="shared" si="38"/>
        <v/>
      </c>
    </row>
    <row r="674" spans="23:23" x14ac:dyDescent="0.3">
      <c r="W674" s="7" t="str">
        <f t="shared" si="38"/>
        <v/>
      </c>
    </row>
    <row r="675" spans="23:23" x14ac:dyDescent="0.3">
      <c r="W675" s="7" t="str">
        <f t="shared" si="38"/>
        <v/>
      </c>
    </row>
    <row r="676" spans="23:23" x14ac:dyDescent="0.3">
      <c r="W676" s="7" t="str">
        <f t="shared" si="38"/>
        <v/>
      </c>
    </row>
    <row r="677" spans="23:23" x14ac:dyDescent="0.3">
      <c r="W677" s="7" t="str">
        <f t="shared" si="38"/>
        <v/>
      </c>
    </row>
    <row r="678" spans="23:23" x14ac:dyDescent="0.3">
      <c r="W678" s="7" t="str">
        <f t="shared" si="38"/>
        <v/>
      </c>
    </row>
    <row r="679" spans="23:23" x14ac:dyDescent="0.3">
      <c r="W679" s="7" t="str">
        <f t="shared" si="38"/>
        <v/>
      </c>
    </row>
    <row r="680" spans="23:23" x14ac:dyDescent="0.3">
      <c r="W680" s="7" t="str">
        <f t="shared" si="38"/>
        <v/>
      </c>
    </row>
    <row r="681" spans="23:23" x14ac:dyDescent="0.3">
      <c r="W681" s="7" t="str">
        <f t="shared" si="38"/>
        <v/>
      </c>
    </row>
    <row r="682" spans="23:23" x14ac:dyDescent="0.3">
      <c r="W682" s="7" t="str">
        <f t="shared" si="38"/>
        <v/>
      </c>
    </row>
    <row r="683" spans="23:23" x14ac:dyDescent="0.3">
      <c r="W683" s="7" t="str">
        <f t="shared" si="38"/>
        <v/>
      </c>
    </row>
    <row r="684" spans="23:23" x14ac:dyDescent="0.3">
      <c r="W684" s="7" t="str">
        <f t="shared" si="38"/>
        <v/>
      </c>
    </row>
    <row r="685" spans="23:23" x14ac:dyDescent="0.3">
      <c r="W685" s="7" t="str">
        <f t="shared" si="38"/>
        <v/>
      </c>
    </row>
    <row r="686" spans="23:23" x14ac:dyDescent="0.3">
      <c r="W686" s="7" t="str">
        <f t="shared" si="38"/>
        <v/>
      </c>
    </row>
    <row r="687" spans="23:23" x14ac:dyDescent="0.3">
      <c r="W687" s="7" t="str">
        <f t="shared" si="38"/>
        <v/>
      </c>
    </row>
    <row r="688" spans="23:23" x14ac:dyDescent="0.3">
      <c r="W688" s="7" t="str">
        <f t="shared" si="38"/>
        <v/>
      </c>
    </row>
    <row r="689" spans="23:23" x14ac:dyDescent="0.3">
      <c r="W689" s="7" t="str">
        <f t="shared" si="38"/>
        <v/>
      </c>
    </row>
    <row r="690" spans="23:23" x14ac:dyDescent="0.3">
      <c r="W690" s="7" t="str">
        <f t="shared" si="38"/>
        <v/>
      </c>
    </row>
    <row r="691" spans="23:23" x14ac:dyDescent="0.3">
      <c r="W691" s="7" t="str">
        <f t="shared" si="38"/>
        <v/>
      </c>
    </row>
    <row r="692" spans="23:23" x14ac:dyDescent="0.3">
      <c r="W692" s="7" t="str">
        <f t="shared" si="38"/>
        <v/>
      </c>
    </row>
    <row r="693" spans="23:23" x14ac:dyDescent="0.3">
      <c r="W693" s="7" t="str">
        <f t="shared" si="38"/>
        <v/>
      </c>
    </row>
    <row r="694" spans="23:23" x14ac:dyDescent="0.3">
      <c r="W694" s="7" t="str">
        <f t="shared" si="38"/>
        <v/>
      </c>
    </row>
    <row r="695" spans="23:23" x14ac:dyDescent="0.3">
      <c r="W695" s="7" t="str">
        <f t="shared" si="38"/>
        <v/>
      </c>
    </row>
    <row r="696" spans="23:23" x14ac:dyDescent="0.3">
      <c r="W696" s="7" t="str">
        <f t="shared" si="38"/>
        <v/>
      </c>
    </row>
    <row r="697" spans="23:23" x14ac:dyDescent="0.3">
      <c r="W697" s="7" t="str">
        <f t="shared" si="38"/>
        <v/>
      </c>
    </row>
    <row r="698" spans="23:23" x14ac:dyDescent="0.3">
      <c r="W698" s="7" t="str">
        <f t="shared" si="38"/>
        <v/>
      </c>
    </row>
    <row r="699" spans="23:23" x14ac:dyDescent="0.3">
      <c r="W699" s="7" t="str">
        <f t="shared" si="38"/>
        <v/>
      </c>
    </row>
    <row r="700" spans="23:23" x14ac:dyDescent="0.3">
      <c r="W700" s="7" t="str">
        <f t="shared" si="38"/>
        <v/>
      </c>
    </row>
    <row r="701" spans="23:23" x14ac:dyDescent="0.3">
      <c r="W701" s="7" t="str">
        <f t="shared" si="38"/>
        <v/>
      </c>
    </row>
    <row r="702" spans="23:23" x14ac:dyDescent="0.3">
      <c r="W702" s="7" t="str">
        <f t="shared" si="38"/>
        <v/>
      </c>
    </row>
    <row r="703" spans="23:23" x14ac:dyDescent="0.3">
      <c r="W703" s="7" t="str">
        <f t="shared" si="38"/>
        <v/>
      </c>
    </row>
    <row r="704" spans="23:23" x14ac:dyDescent="0.3">
      <c r="W704" s="7" t="str">
        <f t="shared" si="38"/>
        <v/>
      </c>
    </row>
    <row r="705" spans="23:23" x14ac:dyDescent="0.3">
      <c r="W705" s="7" t="str">
        <f t="shared" si="38"/>
        <v/>
      </c>
    </row>
    <row r="706" spans="23:23" x14ac:dyDescent="0.3">
      <c r="W706" s="7" t="str">
        <f t="shared" si="38"/>
        <v/>
      </c>
    </row>
    <row r="707" spans="23:23" x14ac:dyDescent="0.3">
      <c r="W707" s="7" t="str">
        <f t="shared" si="38"/>
        <v/>
      </c>
    </row>
    <row r="708" spans="23:23" x14ac:dyDescent="0.3">
      <c r="W708" s="7" t="str">
        <f t="shared" si="38"/>
        <v/>
      </c>
    </row>
    <row r="709" spans="23:23" x14ac:dyDescent="0.3">
      <c r="W709" s="7" t="str">
        <f t="shared" si="38"/>
        <v/>
      </c>
    </row>
    <row r="710" spans="23:23" x14ac:dyDescent="0.3">
      <c r="W710" s="7" t="str">
        <f t="shared" si="38"/>
        <v/>
      </c>
    </row>
    <row r="711" spans="23:23" x14ac:dyDescent="0.3">
      <c r="W711" s="7" t="str">
        <f t="shared" ref="W711:W774" si="39">IF(B711="","",TEXT(B711,"mmm"))</f>
        <v/>
      </c>
    </row>
    <row r="712" spans="23:23" x14ac:dyDescent="0.3">
      <c r="W712" s="7" t="str">
        <f t="shared" si="39"/>
        <v/>
      </c>
    </row>
    <row r="713" spans="23:23" x14ac:dyDescent="0.3">
      <c r="W713" s="7" t="str">
        <f t="shared" si="39"/>
        <v/>
      </c>
    </row>
    <row r="714" spans="23:23" x14ac:dyDescent="0.3">
      <c r="W714" s="7" t="str">
        <f t="shared" si="39"/>
        <v/>
      </c>
    </row>
    <row r="715" spans="23:23" x14ac:dyDescent="0.3">
      <c r="W715" s="7" t="str">
        <f t="shared" si="39"/>
        <v/>
      </c>
    </row>
    <row r="716" spans="23:23" x14ac:dyDescent="0.3">
      <c r="W716" s="7" t="str">
        <f t="shared" si="39"/>
        <v/>
      </c>
    </row>
    <row r="717" spans="23:23" x14ac:dyDescent="0.3">
      <c r="W717" s="7" t="str">
        <f t="shared" si="39"/>
        <v/>
      </c>
    </row>
    <row r="718" spans="23:23" x14ac:dyDescent="0.3">
      <c r="W718" s="7" t="str">
        <f t="shared" si="39"/>
        <v/>
      </c>
    </row>
    <row r="719" spans="23:23" x14ac:dyDescent="0.3">
      <c r="W719" s="7" t="str">
        <f t="shared" si="39"/>
        <v/>
      </c>
    </row>
    <row r="720" spans="23:23" x14ac:dyDescent="0.3">
      <c r="W720" s="7" t="str">
        <f t="shared" si="39"/>
        <v/>
      </c>
    </row>
    <row r="721" spans="23:23" x14ac:dyDescent="0.3">
      <c r="W721" s="7" t="str">
        <f t="shared" si="39"/>
        <v/>
      </c>
    </row>
    <row r="722" spans="23:23" x14ac:dyDescent="0.3">
      <c r="W722" s="7" t="str">
        <f t="shared" si="39"/>
        <v/>
      </c>
    </row>
    <row r="723" spans="23:23" x14ac:dyDescent="0.3">
      <c r="W723" s="7" t="str">
        <f t="shared" si="39"/>
        <v/>
      </c>
    </row>
    <row r="724" spans="23:23" x14ac:dyDescent="0.3">
      <c r="W724" s="7" t="str">
        <f t="shared" si="39"/>
        <v/>
      </c>
    </row>
    <row r="725" spans="23:23" x14ac:dyDescent="0.3">
      <c r="W725" s="7" t="str">
        <f t="shared" si="39"/>
        <v/>
      </c>
    </row>
    <row r="726" spans="23:23" x14ac:dyDescent="0.3">
      <c r="W726" s="7" t="str">
        <f t="shared" si="39"/>
        <v/>
      </c>
    </row>
    <row r="727" spans="23:23" x14ac:dyDescent="0.3">
      <c r="W727" s="7" t="str">
        <f t="shared" si="39"/>
        <v/>
      </c>
    </row>
    <row r="728" spans="23:23" x14ac:dyDescent="0.3">
      <c r="W728" s="7" t="str">
        <f t="shared" si="39"/>
        <v/>
      </c>
    </row>
    <row r="729" spans="23:23" x14ac:dyDescent="0.3">
      <c r="W729" s="7" t="str">
        <f t="shared" si="39"/>
        <v/>
      </c>
    </row>
    <row r="730" spans="23:23" x14ac:dyDescent="0.3">
      <c r="W730" s="7" t="str">
        <f t="shared" si="39"/>
        <v/>
      </c>
    </row>
    <row r="731" spans="23:23" x14ac:dyDescent="0.3">
      <c r="W731" s="7" t="str">
        <f t="shared" si="39"/>
        <v/>
      </c>
    </row>
    <row r="732" spans="23:23" x14ac:dyDescent="0.3">
      <c r="W732" s="7" t="str">
        <f t="shared" si="39"/>
        <v/>
      </c>
    </row>
    <row r="733" spans="23:23" x14ac:dyDescent="0.3">
      <c r="W733" s="7" t="str">
        <f t="shared" si="39"/>
        <v/>
      </c>
    </row>
    <row r="734" spans="23:23" x14ac:dyDescent="0.3">
      <c r="W734" s="7" t="str">
        <f t="shared" si="39"/>
        <v/>
      </c>
    </row>
    <row r="735" spans="23:23" x14ac:dyDescent="0.3">
      <c r="W735" s="7" t="str">
        <f t="shared" si="39"/>
        <v/>
      </c>
    </row>
    <row r="736" spans="23:23" x14ac:dyDescent="0.3">
      <c r="W736" s="7" t="str">
        <f t="shared" si="39"/>
        <v/>
      </c>
    </row>
    <row r="737" spans="23:23" x14ac:dyDescent="0.3">
      <c r="W737" s="7" t="str">
        <f t="shared" si="39"/>
        <v/>
      </c>
    </row>
    <row r="738" spans="23:23" x14ac:dyDescent="0.3">
      <c r="W738" s="7" t="str">
        <f t="shared" si="39"/>
        <v/>
      </c>
    </row>
    <row r="739" spans="23:23" x14ac:dyDescent="0.3">
      <c r="W739" s="7" t="str">
        <f t="shared" si="39"/>
        <v/>
      </c>
    </row>
    <row r="740" spans="23:23" x14ac:dyDescent="0.3">
      <c r="W740" s="7" t="str">
        <f t="shared" si="39"/>
        <v/>
      </c>
    </row>
    <row r="741" spans="23:23" x14ac:dyDescent="0.3">
      <c r="W741" s="7" t="str">
        <f t="shared" si="39"/>
        <v/>
      </c>
    </row>
    <row r="742" spans="23:23" x14ac:dyDescent="0.3">
      <c r="W742" s="7" t="str">
        <f t="shared" si="39"/>
        <v/>
      </c>
    </row>
    <row r="743" spans="23:23" x14ac:dyDescent="0.3">
      <c r="W743" s="7" t="str">
        <f t="shared" si="39"/>
        <v/>
      </c>
    </row>
    <row r="744" spans="23:23" x14ac:dyDescent="0.3">
      <c r="W744" s="7" t="str">
        <f t="shared" si="39"/>
        <v/>
      </c>
    </row>
    <row r="745" spans="23:23" x14ac:dyDescent="0.3">
      <c r="W745" s="7" t="str">
        <f t="shared" si="39"/>
        <v/>
      </c>
    </row>
    <row r="746" spans="23:23" x14ac:dyDescent="0.3">
      <c r="W746" s="7" t="str">
        <f t="shared" si="39"/>
        <v/>
      </c>
    </row>
    <row r="747" spans="23:23" x14ac:dyDescent="0.3">
      <c r="W747" s="7" t="str">
        <f t="shared" si="39"/>
        <v/>
      </c>
    </row>
    <row r="748" spans="23:23" x14ac:dyDescent="0.3">
      <c r="W748" s="7" t="str">
        <f t="shared" si="39"/>
        <v/>
      </c>
    </row>
    <row r="749" spans="23:23" x14ac:dyDescent="0.3">
      <c r="W749" s="7" t="str">
        <f t="shared" si="39"/>
        <v/>
      </c>
    </row>
    <row r="750" spans="23:23" x14ac:dyDescent="0.3">
      <c r="W750" s="7" t="str">
        <f t="shared" si="39"/>
        <v/>
      </c>
    </row>
    <row r="751" spans="23:23" x14ac:dyDescent="0.3">
      <c r="W751" s="7" t="str">
        <f t="shared" si="39"/>
        <v/>
      </c>
    </row>
    <row r="752" spans="23:23" x14ac:dyDescent="0.3">
      <c r="W752" s="7" t="str">
        <f t="shared" si="39"/>
        <v/>
      </c>
    </row>
    <row r="753" spans="23:23" x14ac:dyDescent="0.3">
      <c r="W753" s="7" t="str">
        <f t="shared" si="39"/>
        <v/>
      </c>
    </row>
    <row r="754" spans="23:23" x14ac:dyDescent="0.3">
      <c r="W754" s="7" t="str">
        <f t="shared" si="39"/>
        <v/>
      </c>
    </row>
    <row r="755" spans="23:23" x14ac:dyDescent="0.3">
      <c r="W755" s="7" t="str">
        <f t="shared" si="39"/>
        <v/>
      </c>
    </row>
    <row r="756" spans="23:23" x14ac:dyDescent="0.3">
      <c r="W756" s="7" t="str">
        <f t="shared" si="39"/>
        <v/>
      </c>
    </row>
    <row r="757" spans="23:23" x14ac:dyDescent="0.3">
      <c r="W757" s="7" t="str">
        <f t="shared" si="39"/>
        <v/>
      </c>
    </row>
    <row r="758" spans="23:23" x14ac:dyDescent="0.3">
      <c r="W758" s="7" t="str">
        <f t="shared" si="39"/>
        <v/>
      </c>
    </row>
    <row r="759" spans="23:23" x14ac:dyDescent="0.3">
      <c r="W759" s="7" t="str">
        <f t="shared" si="39"/>
        <v/>
      </c>
    </row>
    <row r="760" spans="23:23" x14ac:dyDescent="0.3">
      <c r="W760" s="7" t="str">
        <f t="shared" si="39"/>
        <v/>
      </c>
    </row>
    <row r="761" spans="23:23" x14ac:dyDescent="0.3">
      <c r="W761" s="7" t="str">
        <f t="shared" si="39"/>
        <v/>
      </c>
    </row>
    <row r="762" spans="23:23" x14ac:dyDescent="0.3">
      <c r="W762" s="7" t="str">
        <f t="shared" si="39"/>
        <v/>
      </c>
    </row>
    <row r="763" spans="23:23" x14ac:dyDescent="0.3">
      <c r="W763" s="7" t="str">
        <f t="shared" si="39"/>
        <v/>
      </c>
    </row>
    <row r="764" spans="23:23" x14ac:dyDescent="0.3">
      <c r="W764" s="7" t="str">
        <f t="shared" si="39"/>
        <v/>
      </c>
    </row>
    <row r="765" spans="23:23" x14ac:dyDescent="0.3">
      <c r="W765" s="7" t="str">
        <f t="shared" si="39"/>
        <v/>
      </c>
    </row>
    <row r="766" spans="23:23" x14ac:dyDescent="0.3">
      <c r="W766" s="7" t="str">
        <f t="shared" si="39"/>
        <v/>
      </c>
    </row>
    <row r="767" spans="23:23" x14ac:dyDescent="0.3">
      <c r="W767" s="7" t="str">
        <f t="shared" si="39"/>
        <v/>
      </c>
    </row>
    <row r="768" spans="23:23" x14ac:dyDescent="0.3">
      <c r="W768" s="7" t="str">
        <f t="shared" si="39"/>
        <v/>
      </c>
    </row>
    <row r="769" spans="23:23" x14ac:dyDescent="0.3">
      <c r="W769" s="7" t="str">
        <f t="shared" si="39"/>
        <v/>
      </c>
    </row>
    <row r="770" spans="23:23" x14ac:dyDescent="0.3">
      <c r="W770" s="7" t="str">
        <f t="shared" si="39"/>
        <v/>
      </c>
    </row>
    <row r="771" spans="23:23" x14ac:dyDescent="0.3">
      <c r="W771" s="7" t="str">
        <f t="shared" si="39"/>
        <v/>
      </c>
    </row>
    <row r="772" spans="23:23" x14ac:dyDescent="0.3">
      <c r="W772" s="7" t="str">
        <f t="shared" si="39"/>
        <v/>
      </c>
    </row>
    <row r="773" spans="23:23" x14ac:dyDescent="0.3">
      <c r="W773" s="7" t="str">
        <f t="shared" si="39"/>
        <v/>
      </c>
    </row>
    <row r="774" spans="23:23" x14ac:dyDescent="0.3">
      <c r="W774" s="7" t="str">
        <f t="shared" si="39"/>
        <v/>
      </c>
    </row>
    <row r="775" spans="23:23" x14ac:dyDescent="0.3">
      <c r="W775" s="7" t="str">
        <f t="shared" ref="W775:W838" si="40">IF(B775="","",TEXT(B775,"mmm"))</f>
        <v/>
      </c>
    </row>
    <row r="776" spans="23:23" x14ac:dyDescent="0.3">
      <c r="W776" s="7" t="str">
        <f t="shared" si="40"/>
        <v/>
      </c>
    </row>
    <row r="777" spans="23:23" x14ac:dyDescent="0.3">
      <c r="W777" s="7" t="str">
        <f t="shared" si="40"/>
        <v/>
      </c>
    </row>
    <row r="778" spans="23:23" x14ac:dyDescent="0.3">
      <c r="W778" s="7" t="str">
        <f t="shared" si="40"/>
        <v/>
      </c>
    </row>
    <row r="779" spans="23:23" x14ac:dyDescent="0.3">
      <c r="W779" s="7" t="str">
        <f t="shared" si="40"/>
        <v/>
      </c>
    </row>
    <row r="780" spans="23:23" x14ac:dyDescent="0.3">
      <c r="W780" s="7" t="str">
        <f t="shared" si="40"/>
        <v/>
      </c>
    </row>
    <row r="781" spans="23:23" x14ac:dyDescent="0.3">
      <c r="W781" s="7" t="str">
        <f t="shared" si="40"/>
        <v/>
      </c>
    </row>
    <row r="782" spans="23:23" x14ac:dyDescent="0.3">
      <c r="W782" s="7" t="str">
        <f t="shared" si="40"/>
        <v/>
      </c>
    </row>
    <row r="783" spans="23:23" x14ac:dyDescent="0.3">
      <c r="W783" s="7" t="str">
        <f t="shared" si="40"/>
        <v/>
      </c>
    </row>
    <row r="784" spans="23:23" x14ac:dyDescent="0.3">
      <c r="W784" s="7" t="str">
        <f t="shared" si="40"/>
        <v/>
      </c>
    </row>
    <row r="785" spans="23:23" x14ac:dyDescent="0.3">
      <c r="W785" s="7" t="str">
        <f t="shared" si="40"/>
        <v/>
      </c>
    </row>
    <row r="786" spans="23:23" x14ac:dyDescent="0.3">
      <c r="W786" s="7" t="str">
        <f t="shared" si="40"/>
        <v/>
      </c>
    </row>
    <row r="787" spans="23:23" x14ac:dyDescent="0.3">
      <c r="W787" s="7" t="str">
        <f t="shared" si="40"/>
        <v/>
      </c>
    </row>
    <row r="788" spans="23:23" x14ac:dyDescent="0.3">
      <c r="W788" s="7" t="str">
        <f t="shared" si="40"/>
        <v/>
      </c>
    </row>
    <row r="789" spans="23:23" x14ac:dyDescent="0.3">
      <c r="W789" s="7" t="str">
        <f t="shared" si="40"/>
        <v/>
      </c>
    </row>
    <row r="790" spans="23:23" x14ac:dyDescent="0.3">
      <c r="W790" s="7" t="str">
        <f t="shared" si="40"/>
        <v/>
      </c>
    </row>
    <row r="791" spans="23:23" x14ac:dyDescent="0.3">
      <c r="W791" s="7" t="str">
        <f t="shared" si="40"/>
        <v/>
      </c>
    </row>
    <row r="792" spans="23:23" x14ac:dyDescent="0.3">
      <c r="W792" s="7" t="str">
        <f t="shared" si="40"/>
        <v/>
      </c>
    </row>
    <row r="793" spans="23:23" x14ac:dyDescent="0.3">
      <c r="W793" s="7" t="str">
        <f t="shared" si="40"/>
        <v/>
      </c>
    </row>
    <row r="794" spans="23:23" x14ac:dyDescent="0.3">
      <c r="W794" s="7" t="str">
        <f t="shared" si="40"/>
        <v/>
      </c>
    </row>
    <row r="795" spans="23:23" x14ac:dyDescent="0.3">
      <c r="W795" s="7" t="str">
        <f t="shared" si="40"/>
        <v/>
      </c>
    </row>
    <row r="796" spans="23:23" x14ac:dyDescent="0.3">
      <c r="W796" s="7" t="str">
        <f t="shared" si="40"/>
        <v/>
      </c>
    </row>
    <row r="797" spans="23:23" x14ac:dyDescent="0.3">
      <c r="W797" s="7" t="str">
        <f t="shared" si="40"/>
        <v/>
      </c>
    </row>
    <row r="798" spans="23:23" x14ac:dyDescent="0.3">
      <c r="W798" s="7" t="str">
        <f t="shared" si="40"/>
        <v/>
      </c>
    </row>
    <row r="799" spans="23:23" x14ac:dyDescent="0.3">
      <c r="W799" s="7" t="str">
        <f t="shared" si="40"/>
        <v/>
      </c>
    </row>
    <row r="800" spans="23:23" x14ac:dyDescent="0.3">
      <c r="W800" s="7" t="str">
        <f t="shared" si="40"/>
        <v/>
      </c>
    </row>
    <row r="801" spans="23:23" x14ac:dyDescent="0.3">
      <c r="W801" s="7" t="str">
        <f t="shared" si="40"/>
        <v/>
      </c>
    </row>
    <row r="802" spans="23:23" x14ac:dyDescent="0.3">
      <c r="W802" s="7" t="str">
        <f t="shared" si="40"/>
        <v/>
      </c>
    </row>
    <row r="803" spans="23:23" x14ac:dyDescent="0.3">
      <c r="W803" s="7" t="str">
        <f t="shared" si="40"/>
        <v/>
      </c>
    </row>
    <row r="804" spans="23:23" x14ac:dyDescent="0.3">
      <c r="W804" s="7" t="str">
        <f t="shared" si="40"/>
        <v/>
      </c>
    </row>
    <row r="805" spans="23:23" x14ac:dyDescent="0.3">
      <c r="W805" s="7" t="str">
        <f t="shared" si="40"/>
        <v/>
      </c>
    </row>
    <row r="806" spans="23:23" x14ac:dyDescent="0.3">
      <c r="W806" s="7" t="str">
        <f t="shared" si="40"/>
        <v/>
      </c>
    </row>
    <row r="807" spans="23:23" x14ac:dyDescent="0.3">
      <c r="W807" s="7" t="str">
        <f t="shared" si="40"/>
        <v/>
      </c>
    </row>
    <row r="808" spans="23:23" x14ac:dyDescent="0.3">
      <c r="W808" s="7" t="str">
        <f t="shared" si="40"/>
        <v/>
      </c>
    </row>
    <row r="809" spans="23:23" x14ac:dyDescent="0.3">
      <c r="W809" s="7" t="str">
        <f t="shared" si="40"/>
        <v/>
      </c>
    </row>
    <row r="810" spans="23:23" x14ac:dyDescent="0.3">
      <c r="W810" s="7" t="str">
        <f t="shared" si="40"/>
        <v/>
      </c>
    </row>
    <row r="811" spans="23:23" x14ac:dyDescent="0.3">
      <c r="W811" s="7" t="str">
        <f t="shared" si="40"/>
        <v/>
      </c>
    </row>
    <row r="812" spans="23:23" x14ac:dyDescent="0.3">
      <c r="W812" s="7" t="str">
        <f t="shared" si="40"/>
        <v/>
      </c>
    </row>
    <row r="813" spans="23:23" x14ac:dyDescent="0.3">
      <c r="W813" s="7" t="str">
        <f t="shared" si="40"/>
        <v/>
      </c>
    </row>
    <row r="814" spans="23:23" x14ac:dyDescent="0.3">
      <c r="W814" s="7" t="str">
        <f t="shared" si="40"/>
        <v/>
      </c>
    </row>
    <row r="815" spans="23:23" x14ac:dyDescent="0.3">
      <c r="W815" s="7" t="str">
        <f t="shared" si="40"/>
        <v/>
      </c>
    </row>
    <row r="816" spans="23:23" x14ac:dyDescent="0.3">
      <c r="W816" s="7" t="str">
        <f t="shared" si="40"/>
        <v/>
      </c>
    </row>
    <row r="817" spans="23:23" x14ac:dyDescent="0.3">
      <c r="W817" s="7" t="str">
        <f t="shared" si="40"/>
        <v/>
      </c>
    </row>
    <row r="818" spans="23:23" x14ac:dyDescent="0.3">
      <c r="W818" s="7" t="str">
        <f t="shared" si="40"/>
        <v/>
      </c>
    </row>
    <row r="819" spans="23:23" x14ac:dyDescent="0.3">
      <c r="W819" s="7" t="str">
        <f t="shared" si="40"/>
        <v/>
      </c>
    </row>
    <row r="820" spans="23:23" x14ac:dyDescent="0.3">
      <c r="W820" s="7" t="str">
        <f t="shared" si="40"/>
        <v/>
      </c>
    </row>
    <row r="821" spans="23:23" x14ac:dyDescent="0.3">
      <c r="W821" s="7" t="str">
        <f t="shared" si="40"/>
        <v/>
      </c>
    </row>
    <row r="822" spans="23:23" x14ac:dyDescent="0.3">
      <c r="W822" s="7" t="str">
        <f t="shared" si="40"/>
        <v/>
      </c>
    </row>
    <row r="823" spans="23:23" x14ac:dyDescent="0.3">
      <c r="W823" s="7" t="str">
        <f t="shared" si="40"/>
        <v/>
      </c>
    </row>
    <row r="824" spans="23:23" x14ac:dyDescent="0.3">
      <c r="W824" s="7" t="str">
        <f t="shared" si="40"/>
        <v/>
      </c>
    </row>
    <row r="825" spans="23:23" x14ac:dyDescent="0.3">
      <c r="W825" s="7" t="str">
        <f t="shared" si="40"/>
        <v/>
      </c>
    </row>
    <row r="826" spans="23:23" x14ac:dyDescent="0.3">
      <c r="W826" s="7" t="str">
        <f t="shared" si="40"/>
        <v/>
      </c>
    </row>
    <row r="827" spans="23:23" x14ac:dyDescent="0.3">
      <c r="W827" s="7" t="str">
        <f t="shared" si="40"/>
        <v/>
      </c>
    </row>
    <row r="828" spans="23:23" x14ac:dyDescent="0.3">
      <c r="W828" s="7" t="str">
        <f t="shared" si="40"/>
        <v/>
      </c>
    </row>
    <row r="829" spans="23:23" x14ac:dyDescent="0.3">
      <c r="W829" s="7" t="str">
        <f t="shared" si="40"/>
        <v/>
      </c>
    </row>
    <row r="830" spans="23:23" x14ac:dyDescent="0.3">
      <c r="W830" s="7" t="str">
        <f t="shared" si="40"/>
        <v/>
      </c>
    </row>
    <row r="831" spans="23:23" x14ac:dyDescent="0.3">
      <c r="W831" s="7" t="str">
        <f t="shared" si="40"/>
        <v/>
      </c>
    </row>
    <row r="832" spans="23:23" x14ac:dyDescent="0.3">
      <c r="W832" s="7" t="str">
        <f t="shared" si="40"/>
        <v/>
      </c>
    </row>
    <row r="833" spans="23:23" x14ac:dyDescent="0.3">
      <c r="W833" s="7" t="str">
        <f t="shared" si="40"/>
        <v/>
      </c>
    </row>
    <row r="834" spans="23:23" x14ac:dyDescent="0.3">
      <c r="W834" s="7" t="str">
        <f t="shared" si="40"/>
        <v/>
      </c>
    </row>
    <row r="835" spans="23:23" x14ac:dyDescent="0.3">
      <c r="W835" s="7" t="str">
        <f t="shared" si="40"/>
        <v/>
      </c>
    </row>
    <row r="836" spans="23:23" x14ac:dyDescent="0.3">
      <c r="W836" s="7" t="str">
        <f t="shared" si="40"/>
        <v/>
      </c>
    </row>
    <row r="837" spans="23:23" x14ac:dyDescent="0.3">
      <c r="W837" s="7" t="str">
        <f t="shared" si="40"/>
        <v/>
      </c>
    </row>
    <row r="838" spans="23:23" x14ac:dyDescent="0.3">
      <c r="W838" s="7" t="str">
        <f t="shared" si="40"/>
        <v/>
      </c>
    </row>
    <row r="839" spans="23:23" x14ac:dyDescent="0.3">
      <c r="W839" s="7" t="str">
        <f t="shared" ref="W839:W902" si="41">IF(B839="","",TEXT(B839,"mmm"))</f>
        <v/>
      </c>
    </row>
    <row r="840" spans="23:23" x14ac:dyDescent="0.3">
      <c r="W840" s="7" t="str">
        <f t="shared" si="41"/>
        <v/>
      </c>
    </row>
    <row r="841" spans="23:23" x14ac:dyDescent="0.3">
      <c r="W841" s="7" t="str">
        <f t="shared" si="41"/>
        <v/>
      </c>
    </row>
    <row r="842" spans="23:23" x14ac:dyDescent="0.3">
      <c r="W842" s="7" t="str">
        <f t="shared" si="41"/>
        <v/>
      </c>
    </row>
    <row r="843" spans="23:23" x14ac:dyDescent="0.3">
      <c r="W843" s="7" t="str">
        <f t="shared" si="41"/>
        <v/>
      </c>
    </row>
    <row r="844" spans="23:23" x14ac:dyDescent="0.3">
      <c r="W844" s="7" t="str">
        <f t="shared" si="41"/>
        <v/>
      </c>
    </row>
    <row r="845" spans="23:23" x14ac:dyDescent="0.3">
      <c r="W845" s="7" t="str">
        <f t="shared" si="41"/>
        <v/>
      </c>
    </row>
    <row r="846" spans="23:23" x14ac:dyDescent="0.3">
      <c r="W846" s="7" t="str">
        <f t="shared" si="41"/>
        <v/>
      </c>
    </row>
    <row r="847" spans="23:23" x14ac:dyDescent="0.3">
      <c r="W847" s="7" t="str">
        <f t="shared" si="41"/>
        <v/>
      </c>
    </row>
    <row r="848" spans="23:23" x14ac:dyDescent="0.3">
      <c r="W848" s="7" t="str">
        <f t="shared" si="41"/>
        <v/>
      </c>
    </row>
    <row r="849" spans="23:23" x14ac:dyDescent="0.3">
      <c r="W849" s="7" t="str">
        <f t="shared" si="41"/>
        <v/>
      </c>
    </row>
    <row r="850" spans="23:23" x14ac:dyDescent="0.3">
      <c r="W850" s="7" t="str">
        <f t="shared" si="41"/>
        <v/>
      </c>
    </row>
    <row r="851" spans="23:23" x14ac:dyDescent="0.3">
      <c r="W851" s="7" t="str">
        <f t="shared" si="41"/>
        <v/>
      </c>
    </row>
    <row r="852" spans="23:23" x14ac:dyDescent="0.3">
      <c r="W852" s="7" t="str">
        <f t="shared" si="41"/>
        <v/>
      </c>
    </row>
    <row r="853" spans="23:23" x14ac:dyDescent="0.3">
      <c r="W853" s="7" t="str">
        <f t="shared" si="41"/>
        <v/>
      </c>
    </row>
    <row r="854" spans="23:23" x14ac:dyDescent="0.3">
      <c r="W854" s="7" t="str">
        <f t="shared" si="41"/>
        <v/>
      </c>
    </row>
    <row r="855" spans="23:23" x14ac:dyDescent="0.3">
      <c r="W855" s="7" t="str">
        <f t="shared" si="41"/>
        <v/>
      </c>
    </row>
    <row r="856" spans="23:23" x14ac:dyDescent="0.3">
      <c r="W856" s="7" t="str">
        <f t="shared" si="41"/>
        <v/>
      </c>
    </row>
    <row r="857" spans="23:23" x14ac:dyDescent="0.3">
      <c r="W857" s="7" t="str">
        <f t="shared" si="41"/>
        <v/>
      </c>
    </row>
    <row r="858" spans="23:23" x14ac:dyDescent="0.3">
      <c r="W858" s="7" t="str">
        <f t="shared" si="41"/>
        <v/>
      </c>
    </row>
    <row r="859" spans="23:23" x14ac:dyDescent="0.3">
      <c r="W859" s="7" t="str">
        <f t="shared" si="41"/>
        <v/>
      </c>
    </row>
    <row r="860" spans="23:23" x14ac:dyDescent="0.3">
      <c r="W860" s="7" t="str">
        <f t="shared" si="41"/>
        <v/>
      </c>
    </row>
    <row r="861" spans="23:23" x14ac:dyDescent="0.3">
      <c r="W861" s="7" t="str">
        <f t="shared" si="41"/>
        <v/>
      </c>
    </row>
    <row r="862" spans="23:23" x14ac:dyDescent="0.3">
      <c r="W862" s="7" t="str">
        <f t="shared" si="41"/>
        <v/>
      </c>
    </row>
    <row r="863" spans="23:23" x14ac:dyDescent="0.3">
      <c r="W863" s="7" t="str">
        <f t="shared" si="41"/>
        <v/>
      </c>
    </row>
    <row r="864" spans="23:23" x14ac:dyDescent="0.3">
      <c r="W864" s="7" t="str">
        <f t="shared" si="41"/>
        <v/>
      </c>
    </row>
    <row r="865" spans="23:23" x14ac:dyDescent="0.3">
      <c r="W865" s="7" t="str">
        <f t="shared" si="41"/>
        <v/>
      </c>
    </row>
    <row r="866" spans="23:23" x14ac:dyDescent="0.3">
      <c r="W866" s="7" t="str">
        <f t="shared" si="41"/>
        <v/>
      </c>
    </row>
    <row r="867" spans="23:23" x14ac:dyDescent="0.3">
      <c r="W867" s="7" t="str">
        <f t="shared" si="41"/>
        <v/>
      </c>
    </row>
    <row r="868" spans="23:23" x14ac:dyDescent="0.3">
      <c r="W868" s="7" t="str">
        <f t="shared" si="41"/>
        <v/>
      </c>
    </row>
    <row r="869" spans="23:23" x14ac:dyDescent="0.3">
      <c r="W869" s="7" t="str">
        <f t="shared" si="41"/>
        <v/>
      </c>
    </row>
    <row r="870" spans="23:23" x14ac:dyDescent="0.3">
      <c r="W870" s="7" t="str">
        <f t="shared" si="41"/>
        <v/>
      </c>
    </row>
    <row r="871" spans="23:23" x14ac:dyDescent="0.3">
      <c r="W871" s="7" t="str">
        <f t="shared" si="41"/>
        <v/>
      </c>
    </row>
    <row r="872" spans="23:23" x14ac:dyDescent="0.3">
      <c r="W872" s="7" t="str">
        <f t="shared" si="41"/>
        <v/>
      </c>
    </row>
    <row r="873" spans="23:23" x14ac:dyDescent="0.3">
      <c r="W873" s="7" t="str">
        <f t="shared" si="41"/>
        <v/>
      </c>
    </row>
    <row r="874" spans="23:23" x14ac:dyDescent="0.3">
      <c r="W874" s="7" t="str">
        <f t="shared" si="41"/>
        <v/>
      </c>
    </row>
    <row r="875" spans="23:23" x14ac:dyDescent="0.3">
      <c r="W875" s="7" t="str">
        <f t="shared" si="41"/>
        <v/>
      </c>
    </row>
    <row r="876" spans="23:23" x14ac:dyDescent="0.3">
      <c r="W876" s="7" t="str">
        <f t="shared" si="41"/>
        <v/>
      </c>
    </row>
    <row r="877" spans="23:23" x14ac:dyDescent="0.3">
      <c r="W877" s="7" t="str">
        <f t="shared" si="41"/>
        <v/>
      </c>
    </row>
    <row r="878" spans="23:23" x14ac:dyDescent="0.3">
      <c r="W878" s="7" t="str">
        <f t="shared" si="41"/>
        <v/>
      </c>
    </row>
    <row r="879" spans="23:23" x14ac:dyDescent="0.3">
      <c r="W879" s="7" t="str">
        <f t="shared" si="41"/>
        <v/>
      </c>
    </row>
    <row r="880" spans="23:23" x14ac:dyDescent="0.3">
      <c r="W880" s="7" t="str">
        <f t="shared" si="41"/>
        <v/>
      </c>
    </row>
    <row r="881" spans="23:23" x14ac:dyDescent="0.3">
      <c r="W881" s="7" t="str">
        <f t="shared" si="41"/>
        <v/>
      </c>
    </row>
    <row r="882" spans="23:23" x14ac:dyDescent="0.3">
      <c r="W882" s="7" t="str">
        <f t="shared" si="41"/>
        <v/>
      </c>
    </row>
    <row r="883" spans="23:23" x14ac:dyDescent="0.3">
      <c r="W883" s="7" t="str">
        <f t="shared" si="41"/>
        <v/>
      </c>
    </row>
    <row r="884" spans="23:23" x14ac:dyDescent="0.3">
      <c r="W884" s="7" t="str">
        <f t="shared" si="41"/>
        <v/>
      </c>
    </row>
    <row r="885" spans="23:23" x14ac:dyDescent="0.3">
      <c r="W885" s="7" t="str">
        <f t="shared" si="41"/>
        <v/>
      </c>
    </row>
    <row r="886" spans="23:23" x14ac:dyDescent="0.3">
      <c r="W886" s="7" t="str">
        <f t="shared" si="41"/>
        <v/>
      </c>
    </row>
    <row r="887" spans="23:23" x14ac:dyDescent="0.3">
      <c r="W887" s="7" t="str">
        <f t="shared" si="41"/>
        <v/>
      </c>
    </row>
    <row r="888" spans="23:23" x14ac:dyDescent="0.3">
      <c r="W888" s="7" t="str">
        <f t="shared" si="41"/>
        <v/>
      </c>
    </row>
    <row r="889" spans="23:23" x14ac:dyDescent="0.3">
      <c r="W889" s="7" t="str">
        <f t="shared" si="41"/>
        <v/>
      </c>
    </row>
    <row r="890" spans="23:23" x14ac:dyDescent="0.3">
      <c r="W890" s="7" t="str">
        <f t="shared" si="41"/>
        <v/>
      </c>
    </row>
    <row r="891" spans="23:23" x14ac:dyDescent="0.3">
      <c r="W891" s="7" t="str">
        <f t="shared" si="41"/>
        <v/>
      </c>
    </row>
    <row r="892" spans="23:23" x14ac:dyDescent="0.3">
      <c r="W892" s="7" t="str">
        <f t="shared" si="41"/>
        <v/>
      </c>
    </row>
    <row r="893" spans="23:23" x14ac:dyDescent="0.3">
      <c r="W893" s="7" t="str">
        <f t="shared" si="41"/>
        <v/>
      </c>
    </row>
    <row r="894" spans="23:23" x14ac:dyDescent="0.3">
      <c r="W894" s="7" t="str">
        <f t="shared" si="41"/>
        <v/>
      </c>
    </row>
    <row r="895" spans="23:23" x14ac:dyDescent="0.3">
      <c r="W895" s="7" t="str">
        <f t="shared" si="41"/>
        <v/>
      </c>
    </row>
    <row r="896" spans="23:23" x14ac:dyDescent="0.3">
      <c r="W896" s="7" t="str">
        <f t="shared" si="41"/>
        <v/>
      </c>
    </row>
    <row r="897" spans="23:23" x14ac:dyDescent="0.3">
      <c r="W897" s="7" t="str">
        <f t="shared" si="41"/>
        <v/>
      </c>
    </row>
    <row r="898" spans="23:23" x14ac:dyDescent="0.3">
      <c r="W898" s="7" t="str">
        <f t="shared" si="41"/>
        <v/>
      </c>
    </row>
    <row r="899" spans="23:23" x14ac:dyDescent="0.3">
      <c r="W899" s="7" t="str">
        <f t="shared" si="41"/>
        <v/>
      </c>
    </row>
    <row r="900" spans="23:23" x14ac:dyDescent="0.3">
      <c r="W900" s="7" t="str">
        <f t="shared" si="41"/>
        <v/>
      </c>
    </row>
    <row r="901" spans="23:23" x14ac:dyDescent="0.3">
      <c r="W901" s="7" t="str">
        <f t="shared" si="41"/>
        <v/>
      </c>
    </row>
    <row r="902" spans="23:23" x14ac:dyDescent="0.3">
      <c r="W902" s="7" t="str">
        <f t="shared" si="41"/>
        <v/>
      </c>
    </row>
    <row r="903" spans="23:23" x14ac:dyDescent="0.3">
      <c r="W903" s="7" t="str">
        <f t="shared" ref="W903:W926" si="42">IF(B903="","",TEXT(B903,"mmm"))</f>
        <v/>
      </c>
    </row>
    <row r="904" spans="23:23" x14ac:dyDescent="0.3">
      <c r="W904" s="7" t="str">
        <f t="shared" si="42"/>
        <v/>
      </c>
    </row>
    <row r="905" spans="23:23" x14ac:dyDescent="0.3">
      <c r="W905" s="7" t="str">
        <f t="shared" si="42"/>
        <v/>
      </c>
    </row>
    <row r="906" spans="23:23" x14ac:dyDescent="0.3">
      <c r="W906" s="7" t="str">
        <f t="shared" si="42"/>
        <v/>
      </c>
    </row>
    <row r="907" spans="23:23" x14ac:dyDescent="0.3">
      <c r="W907" s="7" t="str">
        <f t="shared" si="42"/>
        <v/>
      </c>
    </row>
    <row r="908" spans="23:23" x14ac:dyDescent="0.3">
      <c r="W908" s="7" t="str">
        <f t="shared" si="42"/>
        <v/>
      </c>
    </row>
    <row r="909" spans="23:23" x14ac:dyDescent="0.3">
      <c r="W909" s="7" t="str">
        <f t="shared" si="42"/>
        <v/>
      </c>
    </row>
    <row r="910" spans="23:23" x14ac:dyDescent="0.3">
      <c r="W910" s="7" t="str">
        <f t="shared" si="42"/>
        <v/>
      </c>
    </row>
    <row r="911" spans="23:23" x14ac:dyDescent="0.3">
      <c r="W911" s="7" t="str">
        <f t="shared" si="42"/>
        <v/>
      </c>
    </row>
    <row r="912" spans="23:23" x14ac:dyDescent="0.3">
      <c r="W912" s="7" t="str">
        <f t="shared" si="42"/>
        <v/>
      </c>
    </row>
    <row r="913" spans="23:23" x14ac:dyDescent="0.3">
      <c r="W913" s="7" t="str">
        <f t="shared" si="42"/>
        <v/>
      </c>
    </row>
    <row r="914" spans="23:23" x14ac:dyDescent="0.3">
      <c r="W914" s="7" t="str">
        <f t="shared" si="42"/>
        <v/>
      </c>
    </row>
    <row r="915" spans="23:23" x14ac:dyDescent="0.3">
      <c r="W915" s="7" t="str">
        <f t="shared" si="42"/>
        <v/>
      </c>
    </row>
    <row r="916" spans="23:23" x14ac:dyDescent="0.3">
      <c r="W916" s="7" t="str">
        <f t="shared" si="42"/>
        <v/>
      </c>
    </row>
    <row r="917" spans="23:23" x14ac:dyDescent="0.3">
      <c r="W917" s="7" t="str">
        <f t="shared" si="42"/>
        <v/>
      </c>
    </row>
    <row r="918" spans="23:23" x14ac:dyDescent="0.3">
      <c r="W918" s="7" t="str">
        <f t="shared" si="42"/>
        <v/>
      </c>
    </row>
    <row r="919" spans="23:23" x14ac:dyDescent="0.3">
      <c r="W919" s="7" t="str">
        <f t="shared" si="42"/>
        <v/>
      </c>
    </row>
    <row r="920" spans="23:23" x14ac:dyDescent="0.3">
      <c r="W920" s="7" t="str">
        <f t="shared" si="42"/>
        <v/>
      </c>
    </row>
    <row r="921" spans="23:23" x14ac:dyDescent="0.3">
      <c r="W921" s="7" t="str">
        <f t="shared" si="42"/>
        <v/>
      </c>
    </row>
    <row r="922" spans="23:23" x14ac:dyDescent="0.3">
      <c r="W922" s="7" t="str">
        <f t="shared" si="42"/>
        <v/>
      </c>
    </row>
    <row r="923" spans="23:23" x14ac:dyDescent="0.3">
      <c r="W923" s="7" t="str">
        <f t="shared" si="42"/>
        <v/>
      </c>
    </row>
    <row r="924" spans="23:23" x14ac:dyDescent="0.3">
      <c r="W924" s="7" t="str">
        <f t="shared" si="42"/>
        <v/>
      </c>
    </row>
    <row r="925" spans="23:23" x14ac:dyDescent="0.3">
      <c r="W925" s="7" t="str">
        <f t="shared" si="42"/>
        <v/>
      </c>
    </row>
    <row r="926" spans="23:23" x14ac:dyDescent="0.3">
      <c r="W926" s="7" t="str">
        <f t="shared" si="42"/>
        <v/>
      </c>
    </row>
  </sheetData>
  <autoFilter ref="B9:M425" xr:uid="{00000000-0001-0000-0600-000000000000}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76FC-8D3D-4000-94AF-BED74610EEB4}">
  <dimension ref="B2:P18"/>
  <sheetViews>
    <sheetView showGridLines="0" rightToLeft="1" zoomScale="85" zoomScaleNormal="85" workbookViewId="0">
      <selection activeCell="A8" sqref="A8"/>
    </sheetView>
  </sheetViews>
  <sheetFormatPr defaultRowHeight="14.4" x14ac:dyDescent="0.3"/>
  <cols>
    <col min="1" max="1" width="9" customWidth="1"/>
    <col min="2" max="2" width="19.109375" customWidth="1"/>
    <col min="3" max="3" width="3.21875" customWidth="1"/>
    <col min="4" max="4" width="27" customWidth="1"/>
    <col min="5" max="5" width="4.88671875" customWidth="1"/>
    <col min="6" max="6" width="27" customWidth="1"/>
    <col min="7" max="7" width="4.88671875" customWidth="1"/>
    <col min="8" max="8" width="27.21875" customWidth="1"/>
    <col min="9" max="9" width="4.88671875" customWidth="1"/>
    <col min="10" max="10" width="27" customWidth="1"/>
    <col min="11" max="11" width="4.88671875" customWidth="1"/>
    <col min="12" max="12" width="27" customWidth="1"/>
    <col min="13" max="13" width="5.77734375" customWidth="1"/>
    <col min="14" max="14" width="27" customWidth="1"/>
    <col min="15" max="15" width="4.77734375" customWidth="1"/>
    <col min="16" max="16" width="27" customWidth="1"/>
    <col min="17" max="22" width="12" bestFit="1" customWidth="1"/>
    <col min="23" max="25" width="10.6640625" bestFit="1" customWidth="1"/>
    <col min="26" max="26" width="12" bestFit="1" customWidth="1"/>
    <col min="27" max="27" width="10.6640625" bestFit="1" customWidth="1"/>
    <col min="28" max="36" width="12" bestFit="1" customWidth="1"/>
    <col min="37" max="37" width="10.6640625" bestFit="1" customWidth="1"/>
    <col min="38" max="38" width="23.6640625" bestFit="1" customWidth="1"/>
    <col min="39" max="41" width="12" bestFit="1" customWidth="1"/>
    <col min="42" max="42" width="10.6640625" bestFit="1" customWidth="1"/>
    <col min="43" max="45" width="12" bestFit="1" customWidth="1"/>
    <col min="46" max="47" width="10.6640625" bestFit="1" customWidth="1"/>
    <col min="48" max="49" width="12" bestFit="1" customWidth="1"/>
    <col min="50" max="50" width="10.6640625" bestFit="1" customWidth="1"/>
    <col min="51" max="59" width="12" bestFit="1" customWidth="1"/>
    <col min="60" max="62" width="10.6640625" bestFit="1" customWidth="1"/>
    <col min="63" max="63" width="12" bestFit="1" customWidth="1"/>
    <col min="64" max="64" width="10.6640625" bestFit="1" customWidth="1"/>
    <col min="65" max="73" width="12" bestFit="1" customWidth="1"/>
    <col min="74" max="74" width="10.6640625" bestFit="1" customWidth="1"/>
    <col min="75" max="75" width="23" bestFit="1" customWidth="1"/>
    <col min="76" max="76" width="30.33203125" bestFit="1" customWidth="1"/>
  </cols>
  <sheetData>
    <row r="2" spans="2:16" ht="18" x14ac:dyDescent="0.35">
      <c r="C2" s="28"/>
      <c r="D2" s="1"/>
    </row>
    <row r="5" spans="2:16" ht="37.5" customHeight="1" x14ac:dyDescent="0.3">
      <c r="B5" s="76" t="s">
        <v>260</v>
      </c>
      <c r="D5" s="76" t="s">
        <v>252</v>
      </c>
      <c r="F5" s="76" t="s">
        <v>256</v>
      </c>
      <c r="H5" s="76" t="s">
        <v>257</v>
      </c>
      <c r="J5" s="76" t="s">
        <v>258</v>
      </c>
      <c r="L5" s="76" t="s">
        <v>254</v>
      </c>
      <c r="N5" s="76" t="s">
        <v>261</v>
      </c>
      <c r="P5" s="76" t="s">
        <v>259</v>
      </c>
    </row>
    <row r="6" spans="2:16" ht="45" customHeight="1" x14ac:dyDescent="0.3">
      <c r="B6" s="77">
        <v>2025</v>
      </c>
      <c r="C6" s="87"/>
      <c r="D6" s="88">
        <f>D8+D10+D12+D14+D16+D18</f>
        <v>556855</v>
      </c>
      <c r="E6" s="89"/>
      <c r="F6" s="88">
        <f>F8+F10+F12+F14+F16+F18</f>
        <v>0</v>
      </c>
      <c r="G6" s="89"/>
      <c r="H6" s="88">
        <f>H8+H10+H12+H14+H16+H18</f>
        <v>0</v>
      </c>
      <c r="I6" s="89"/>
      <c r="J6" s="88">
        <f>J8+J10+J12+J14+J16+J18</f>
        <v>0</v>
      </c>
      <c r="K6" s="89"/>
      <c r="L6" s="88">
        <f>L8+L10+L12+L14+L16+L18</f>
        <v>0</v>
      </c>
      <c r="M6" s="89"/>
      <c r="N6" s="88">
        <f>N8+N10+N12+N14+N16+N18</f>
        <v>0</v>
      </c>
      <c r="P6" s="88">
        <f>P8+P10+P12+P14+P16+P18</f>
        <v>0</v>
      </c>
    </row>
    <row r="7" spans="2:16" ht="33" customHeight="1" x14ac:dyDescent="0.3">
      <c r="B7" s="87"/>
      <c r="C7" s="87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P7" s="89"/>
    </row>
    <row r="8" spans="2:16" ht="44.25" customHeight="1" x14ac:dyDescent="0.3">
      <c r="B8" s="77">
        <v>7</v>
      </c>
      <c r="C8" s="87"/>
      <c r="D8" s="90">
        <v>556855</v>
      </c>
      <c r="E8" s="89"/>
      <c r="F8" s="90"/>
      <c r="G8" s="89"/>
      <c r="H8" s="90"/>
      <c r="I8" s="89"/>
      <c r="J8" s="90"/>
      <c r="K8" s="89"/>
      <c r="L8" s="90"/>
      <c r="M8" s="89"/>
      <c r="N8" s="90"/>
      <c r="P8" s="90"/>
    </row>
    <row r="9" spans="2:16" ht="23.4" x14ac:dyDescent="0.3">
      <c r="B9" s="87"/>
      <c r="C9" s="87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P9" s="89"/>
    </row>
    <row r="10" spans="2:16" ht="44.25" customHeight="1" x14ac:dyDescent="0.3">
      <c r="B10" s="77">
        <v>8</v>
      </c>
      <c r="C10" s="87"/>
      <c r="D10" s="90"/>
      <c r="E10" s="89"/>
      <c r="F10" s="90"/>
      <c r="G10" s="89"/>
      <c r="H10" s="90"/>
      <c r="I10" s="89"/>
      <c r="J10" s="90"/>
      <c r="K10" s="89"/>
      <c r="L10" s="90"/>
      <c r="M10" s="89"/>
      <c r="N10" s="90"/>
      <c r="P10" s="90"/>
    </row>
    <row r="11" spans="2:16" ht="23.4" x14ac:dyDescent="0.3">
      <c r="B11" s="87"/>
      <c r="C11" s="87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P11" s="89"/>
    </row>
    <row r="12" spans="2:16" ht="44.25" customHeight="1" x14ac:dyDescent="0.3">
      <c r="B12" s="77">
        <v>9</v>
      </c>
      <c r="C12" s="87"/>
      <c r="D12" s="90"/>
      <c r="E12" s="89"/>
      <c r="F12" s="90"/>
      <c r="G12" s="89"/>
      <c r="H12" s="90"/>
      <c r="I12" s="89"/>
      <c r="J12" s="90"/>
      <c r="K12" s="89"/>
      <c r="L12" s="90"/>
      <c r="M12" s="89"/>
      <c r="N12" s="90"/>
      <c r="P12" s="90"/>
    </row>
    <row r="13" spans="2:16" ht="23.4" x14ac:dyDescent="0.3">
      <c r="B13" s="87"/>
      <c r="C13" s="87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P13" s="89"/>
    </row>
    <row r="14" spans="2:16" ht="44.25" customHeight="1" x14ac:dyDescent="0.3">
      <c r="B14" s="77">
        <v>10</v>
      </c>
      <c r="C14" s="87"/>
      <c r="D14" s="90"/>
      <c r="E14" s="89"/>
      <c r="F14" s="90"/>
      <c r="G14" s="89"/>
      <c r="H14" s="90"/>
      <c r="I14" s="89"/>
      <c r="J14" s="90"/>
      <c r="K14" s="89"/>
      <c r="L14" s="90"/>
      <c r="M14" s="89"/>
      <c r="N14" s="90"/>
      <c r="P14" s="90"/>
    </row>
    <row r="15" spans="2:16" ht="23.4" x14ac:dyDescent="0.3">
      <c r="B15" s="87"/>
      <c r="C15" s="87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P15" s="89"/>
    </row>
    <row r="16" spans="2:16" ht="44.25" customHeight="1" x14ac:dyDescent="0.3">
      <c r="B16" s="77">
        <v>11</v>
      </c>
      <c r="C16" s="87"/>
      <c r="D16" s="90"/>
      <c r="E16" s="89"/>
      <c r="F16" s="90"/>
      <c r="G16" s="89"/>
      <c r="H16" s="90"/>
      <c r="I16" s="89"/>
      <c r="J16" s="90"/>
      <c r="K16" s="89"/>
      <c r="L16" s="90"/>
      <c r="M16" s="89"/>
      <c r="N16" s="90"/>
      <c r="P16" s="90"/>
    </row>
    <row r="17" spans="2:16" ht="23.4" x14ac:dyDescent="0.3">
      <c r="B17" s="87"/>
      <c r="C17" s="87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P17" s="89"/>
    </row>
    <row r="18" spans="2:16" ht="44.25" customHeight="1" x14ac:dyDescent="0.3">
      <c r="B18" s="77">
        <v>12</v>
      </c>
      <c r="C18" s="87"/>
      <c r="D18" s="90"/>
      <c r="E18" s="89"/>
      <c r="F18" s="90"/>
      <c r="G18" s="89"/>
      <c r="H18" s="90"/>
      <c r="I18" s="89"/>
      <c r="J18" s="90"/>
      <c r="K18" s="89"/>
      <c r="L18" s="90"/>
      <c r="M18" s="89"/>
      <c r="N18" s="90"/>
      <c r="P18" s="9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18B8-1BFB-418D-8C1C-1D5FE411BFBC}">
  <dimension ref="B1:J305"/>
  <sheetViews>
    <sheetView rightToLeft="1" workbookViewId="0">
      <selection activeCell="C1" sqref="C1"/>
    </sheetView>
  </sheetViews>
  <sheetFormatPr defaultRowHeight="14.4" x14ac:dyDescent="0.3"/>
  <cols>
    <col min="2" max="2" width="11.21875" style="7" customWidth="1"/>
    <col min="3" max="3" width="31.33203125" customWidth="1"/>
    <col min="4" max="4" width="15" style="7" customWidth="1"/>
    <col min="6" max="6" width="16.33203125" style="7" customWidth="1"/>
    <col min="7" max="7" width="15" style="7" customWidth="1"/>
  </cols>
  <sheetData>
    <row r="1" spans="2:10" x14ac:dyDescent="0.3">
      <c r="E1" s="7"/>
      <c r="F1" s="7" t="s">
        <v>234</v>
      </c>
      <c r="G1"/>
    </row>
    <row r="2" spans="2:10" x14ac:dyDescent="0.3">
      <c r="E2" s="7"/>
      <c r="F2" s="7" t="s">
        <v>82</v>
      </c>
      <c r="G2"/>
    </row>
    <row r="3" spans="2:10" x14ac:dyDescent="0.3">
      <c r="D3" s="7" t="s">
        <v>215</v>
      </c>
      <c r="E3" s="7" t="s">
        <v>20</v>
      </c>
      <c r="F3" s="7" t="s">
        <v>235</v>
      </c>
      <c r="G3"/>
    </row>
    <row r="4" spans="2:10" x14ac:dyDescent="0.3">
      <c r="D4" s="7" t="s">
        <v>216</v>
      </c>
      <c r="E4" s="7" t="s">
        <v>19</v>
      </c>
      <c r="F4" s="7" t="s">
        <v>236</v>
      </c>
      <c r="G4"/>
    </row>
    <row r="5" spans="2:10" ht="40.5" customHeight="1" x14ac:dyDescent="0.3">
      <c r="B5" s="11" t="s">
        <v>221</v>
      </c>
      <c r="C5" s="12" t="s">
        <v>213</v>
      </c>
      <c r="D5" s="12" t="s">
        <v>222</v>
      </c>
      <c r="E5" s="13" t="s">
        <v>214</v>
      </c>
      <c r="F5" s="13" t="s">
        <v>211</v>
      </c>
      <c r="G5" s="2"/>
      <c r="H5" s="2"/>
      <c r="I5" s="2"/>
      <c r="J5" s="2"/>
    </row>
    <row r="6" spans="2:10" x14ac:dyDescent="0.3">
      <c r="B6" s="14">
        <v>1</v>
      </c>
      <c r="C6" s="15" t="s">
        <v>469</v>
      </c>
      <c r="D6" s="9" t="s">
        <v>215</v>
      </c>
      <c r="E6" s="16" t="s">
        <v>20</v>
      </c>
      <c r="F6" s="16"/>
      <c r="G6"/>
    </row>
    <row r="7" spans="2:10" x14ac:dyDescent="0.3">
      <c r="B7" s="14">
        <v>2</v>
      </c>
      <c r="C7" s="15" t="s">
        <v>470</v>
      </c>
      <c r="D7" s="9" t="s">
        <v>215</v>
      </c>
      <c r="E7" s="16" t="s">
        <v>20</v>
      </c>
      <c r="F7" s="16"/>
      <c r="G7"/>
    </row>
    <row r="8" spans="2:10" x14ac:dyDescent="0.3">
      <c r="B8" s="14">
        <v>3</v>
      </c>
      <c r="C8" s="15" t="s">
        <v>471</v>
      </c>
      <c r="D8" s="9" t="s">
        <v>215</v>
      </c>
      <c r="E8" s="16" t="s">
        <v>20</v>
      </c>
      <c r="F8" s="16"/>
      <c r="G8"/>
    </row>
    <row r="9" spans="2:10" x14ac:dyDescent="0.3">
      <c r="B9" s="14">
        <v>4</v>
      </c>
      <c r="C9" s="15" t="s">
        <v>472</v>
      </c>
      <c r="D9" s="9" t="s">
        <v>215</v>
      </c>
      <c r="E9" s="16" t="s">
        <v>20</v>
      </c>
      <c r="F9" s="16"/>
      <c r="G9"/>
    </row>
    <row r="10" spans="2:10" x14ac:dyDescent="0.3">
      <c r="B10" s="14">
        <v>5</v>
      </c>
      <c r="C10" s="15" t="s">
        <v>473</v>
      </c>
      <c r="D10" s="9" t="s">
        <v>215</v>
      </c>
      <c r="E10" s="16" t="s">
        <v>20</v>
      </c>
      <c r="F10" s="16"/>
      <c r="G10"/>
    </row>
    <row r="11" spans="2:10" x14ac:dyDescent="0.3">
      <c r="B11" s="14">
        <v>6</v>
      </c>
      <c r="C11" s="15" t="s">
        <v>474</v>
      </c>
      <c r="D11" s="9" t="s">
        <v>215</v>
      </c>
      <c r="E11" s="16" t="s">
        <v>20</v>
      </c>
      <c r="F11" s="16"/>
      <c r="G11"/>
    </row>
    <row r="12" spans="2:10" x14ac:dyDescent="0.3">
      <c r="B12" s="14">
        <v>7</v>
      </c>
      <c r="C12" s="15" t="s">
        <v>475</v>
      </c>
      <c r="D12" s="9" t="s">
        <v>215</v>
      </c>
      <c r="E12" s="16" t="s">
        <v>20</v>
      </c>
      <c r="F12" s="16"/>
      <c r="G12"/>
    </row>
    <row r="13" spans="2:10" x14ac:dyDescent="0.3">
      <c r="B13" s="14">
        <v>8</v>
      </c>
      <c r="C13" s="15" t="s">
        <v>476</v>
      </c>
      <c r="D13" s="9" t="s">
        <v>215</v>
      </c>
      <c r="E13" s="16" t="s">
        <v>20</v>
      </c>
      <c r="F13" s="16"/>
      <c r="G13"/>
    </row>
    <row r="14" spans="2:10" x14ac:dyDescent="0.3">
      <c r="B14" s="14">
        <v>9</v>
      </c>
      <c r="C14" s="15" t="s">
        <v>477</v>
      </c>
      <c r="D14" s="9" t="s">
        <v>215</v>
      </c>
      <c r="E14" s="16" t="s">
        <v>20</v>
      </c>
      <c r="F14" s="16"/>
      <c r="G14"/>
    </row>
    <row r="15" spans="2:10" x14ac:dyDescent="0.3">
      <c r="B15" s="14">
        <v>10</v>
      </c>
      <c r="C15" s="15" t="s">
        <v>478</v>
      </c>
      <c r="D15" s="9" t="s">
        <v>215</v>
      </c>
      <c r="E15" s="16" t="s">
        <v>20</v>
      </c>
      <c r="F15" s="16"/>
      <c r="G15"/>
    </row>
    <row r="16" spans="2:10" x14ac:dyDescent="0.3">
      <c r="B16" s="14">
        <v>11</v>
      </c>
      <c r="C16" s="15" t="s">
        <v>479</v>
      </c>
      <c r="D16" s="9" t="s">
        <v>215</v>
      </c>
      <c r="E16" s="16" t="s">
        <v>20</v>
      </c>
      <c r="F16" s="16"/>
      <c r="G16"/>
    </row>
    <row r="17" spans="2:7" x14ac:dyDescent="0.3">
      <c r="B17" s="14">
        <v>12</v>
      </c>
      <c r="C17" s="15" t="s">
        <v>480</v>
      </c>
      <c r="D17" s="9" t="s">
        <v>215</v>
      </c>
      <c r="E17" s="16" t="s">
        <v>20</v>
      </c>
      <c r="F17" s="16"/>
      <c r="G17"/>
    </row>
    <row r="18" spans="2:7" x14ac:dyDescent="0.3">
      <c r="B18" s="14">
        <v>13</v>
      </c>
      <c r="C18" s="15" t="s">
        <v>481</v>
      </c>
      <c r="D18" s="9" t="s">
        <v>215</v>
      </c>
      <c r="E18" s="16" t="s">
        <v>20</v>
      </c>
      <c r="F18" s="16"/>
      <c r="G18"/>
    </row>
    <row r="19" spans="2:7" x14ac:dyDescent="0.3">
      <c r="B19" s="14">
        <v>14</v>
      </c>
      <c r="C19" s="15" t="s">
        <v>482</v>
      </c>
      <c r="D19" s="9" t="s">
        <v>215</v>
      </c>
      <c r="E19" s="16" t="s">
        <v>20</v>
      </c>
      <c r="F19" s="16"/>
      <c r="G19"/>
    </row>
    <row r="20" spans="2:7" x14ac:dyDescent="0.3">
      <c r="B20" s="14">
        <v>15</v>
      </c>
      <c r="C20" s="15" t="s">
        <v>483</v>
      </c>
      <c r="D20" s="9" t="s">
        <v>215</v>
      </c>
      <c r="E20" s="16" t="s">
        <v>20</v>
      </c>
      <c r="F20" s="16"/>
      <c r="G20"/>
    </row>
    <row r="21" spans="2:7" x14ac:dyDescent="0.3">
      <c r="B21" s="14">
        <v>16</v>
      </c>
      <c r="C21" s="15" t="s">
        <v>484</v>
      </c>
      <c r="D21" s="9" t="s">
        <v>215</v>
      </c>
      <c r="E21" s="16" t="s">
        <v>20</v>
      </c>
      <c r="F21" s="16"/>
      <c r="G21"/>
    </row>
    <row r="22" spans="2:7" x14ac:dyDescent="0.3">
      <c r="B22" s="14">
        <v>17</v>
      </c>
      <c r="C22" s="15" t="s">
        <v>485</v>
      </c>
      <c r="D22" s="9" t="s">
        <v>215</v>
      </c>
      <c r="E22" s="16" t="s">
        <v>20</v>
      </c>
      <c r="F22" s="16"/>
      <c r="G22"/>
    </row>
    <row r="23" spans="2:7" x14ac:dyDescent="0.3">
      <c r="B23" s="14">
        <v>18</v>
      </c>
      <c r="C23" s="15" t="s">
        <v>486</v>
      </c>
      <c r="D23" s="9" t="s">
        <v>215</v>
      </c>
      <c r="E23" s="16" t="s">
        <v>20</v>
      </c>
      <c r="F23" s="16"/>
      <c r="G23"/>
    </row>
    <row r="24" spans="2:7" x14ac:dyDescent="0.3">
      <c r="B24" s="14">
        <v>19</v>
      </c>
      <c r="C24" s="15" t="s">
        <v>487</v>
      </c>
      <c r="D24" s="9" t="s">
        <v>215</v>
      </c>
      <c r="E24" s="16" t="s">
        <v>20</v>
      </c>
      <c r="F24" s="16"/>
      <c r="G24"/>
    </row>
    <row r="25" spans="2:7" x14ac:dyDescent="0.3">
      <c r="B25" s="14">
        <v>20</v>
      </c>
      <c r="C25" s="15" t="s">
        <v>488</v>
      </c>
      <c r="D25" s="9" t="s">
        <v>215</v>
      </c>
      <c r="E25" s="16" t="s">
        <v>20</v>
      </c>
      <c r="F25" s="16"/>
      <c r="G25"/>
    </row>
    <row r="26" spans="2:7" x14ac:dyDescent="0.3">
      <c r="B26" s="14">
        <v>21</v>
      </c>
      <c r="C26" s="15" t="s">
        <v>489</v>
      </c>
      <c r="D26" s="9" t="s">
        <v>215</v>
      </c>
      <c r="E26" s="16" t="s">
        <v>20</v>
      </c>
      <c r="F26" s="16"/>
      <c r="G26"/>
    </row>
    <row r="27" spans="2:7" x14ac:dyDescent="0.3">
      <c r="B27" s="14">
        <v>22</v>
      </c>
      <c r="C27" s="15" t="s">
        <v>490</v>
      </c>
      <c r="D27" s="9" t="s">
        <v>215</v>
      </c>
      <c r="E27" s="16" t="s">
        <v>20</v>
      </c>
      <c r="F27" s="16"/>
      <c r="G27"/>
    </row>
    <row r="28" spans="2:7" x14ac:dyDescent="0.3">
      <c r="B28" s="14">
        <v>23</v>
      </c>
      <c r="C28" s="15" t="s">
        <v>491</v>
      </c>
      <c r="D28" s="9" t="s">
        <v>215</v>
      </c>
      <c r="E28" s="16" t="s">
        <v>20</v>
      </c>
      <c r="F28" s="16"/>
      <c r="G28"/>
    </row>
    <row r="29" spans="2:7" x14ac:dyDescent="0.3">
      <c r="B29" s="14">
        <v>24</v>
      </c>
      <c r="C29" s="15" t="s">
        <v>492</v>
      </c>
      <c r="D29" s="9" t="s">
        <v>215</v>
      </c>
      <c r="E29" s="16" t="s">
        <v>20</v>
      </c>
      <c r="F29" s="16"/>
      <c r="G29"/>
    </row>
    <row r="30" spans="2:7" x14ac:dyDescent="0.3">
      <c r="B30" s="14">
        <v>25</v>
      </c>
      <c r="C30" s="15" t="s">
        <v>493</v>
      </c>
      <c r="D30" s="9" t="s">
        <v>215</v>
      </c>
      <c r="E30" s="16" t="s">
        <v>19</v>
      </c>
      <c r="F30" s="16"/>
      <c r="G30"/>
    </row>
    <row r="31" spans="2:7" x14ac:dyDescent="0.3">
      <c r="B31" s="14">
        <v>26</v>
      </c>
      <c r="C31" s="15" t="s">
        <v>494</v>
      </c>
      <c r="D31" s="9" t="s">
        <v>215</v>
      </c>
      <c r="E31" s="16" t="s">
        <v>19</v>
      </c>
      <c r="F31" s="16"/>
      <c r="G31"/>
    </row>
    <row r="32" spans="2:7" x14ac:dyDescent="0.3">
      <c r="B32" s="14">
        <v>27</v>
      </c>
      <c r="C32" s="15" t="s">
        <v>495</v>
      </c>
      <c r="D32" s="9" t="s">
        <v>215</v>
      </c>
      <c r="E32" s="16" t="s">
        <v>19</v>
      </c>
      <c r="F32" s="16"/>
      <c r="G32"/>
    </row>
    <row r="33" spans="2:7" x14ac:dyDescent="0.3">
      <c r="B33" s="14">
        <v>28</v>
      </c>
      <c r="C33" s="15" t="s">
        <v>496</v>
      </c>
      <c r="D33" s="9" t="s">
        <v>215</v>
      </c>
      <c r="E33" s="16" t="s">
        <v>19</v>
      </c>
      <c r="F33" s="16"/>
      <c r="G33"/>
    </row>
    <row r="34" spans="2:7" x14ac:dyDescent="0.3">
      <c r="B34" s="14">
        <v>29</v>
      </c>
      <c r="C34" s="15" t="s">
        <v>497</v>
      </c>
      <c r="D34" s="9" t="s">
        <v>215</v>
      </c>
      <c r="E34" s="16" t="s">
        <v>19</v>
      </c>
      <c r="F34" s="16"/>
      <c r="G34"/>
    </row>
    <row r="35" spans="2:7" x14ac:dyDescent="0.3">
      <c r="B35" s="14">
        <v>30</v>
      </c>
      <c r="C35" s="15" t="s">
        <v>498</v>
      </c>
      <c r="D35" s="9" t="s">
        <v>215</v>
      </c>
      <c r="E35" s="16" t="s">
        <v>19</v>
      </c>
      <c r="F35" s="16"/>
      <c r="G35"/>
    </row>
    <row r="36" spans="2:7" x14ac:dyDescent="0.3">
      <c r="B36" s="14">
        <v>31</v>
      </c>
      <c r="C36" s="15" t="s">
        <v>499</v>
      </c>
      <c r="D36" s="9" t="s">
        <v>215</v>
      </c>
      <c r="E36" s="16" t="s">
        <v>19</v>
      </c>
      <c r="F36" s="16"/>
      <c r="G36"/>
    </row>
    <row r="37" spans="2:7" x14ac:dyDescent="0.3">
      <c r="B37" s="14">
        <v>32</v>
      </c>
      <c r="C37" s="15" t="s">
        <v>500</v>
      </c>
      <c r="D37" s="9" t="s">
        <v>215</v>
      </c>
      <c r="E37" s="16" t="s">
        <v>19</v>
      </c>
      <c r="F37" s="16"/>
      <c r="G37"/>
    </row>
    <row r="38" spans="2:7" x14ac:dyDescent="0.3">
      <c r="B38" s="14">
        <v>33</v>
      </c>
      <c r="C38" s="15" t="s">
        <v>501</v>
      </c>
      <c r="D38" s="9" t="s">
        <v>215</v>
      </c>
      <c r="E38" s="16" t="s">
        <v>19</v>
      </c>
      <c r="F38" s="16"/>
      <c r="G38"/>
    </row>
    <row r="39" spans="2:7" x14ac:dyDescent="0.3">
      <c r="B39" s="14">
        <v>34</v>
      </c>
      <c r="C39" s="15" t="s">
        <v>502</v>
      </c>
      <c r="D39" s="9" t="s">
        <v>215</v>
      </c>
      <c r="E39" s="16" t="s">
        <v>19</v>
      </c>
      <c r="F39" s="16"/>
      <c r="G39"/>
    </row>
    <row r="40" spans="2:7" x14ac:dyDescent="0.3">
      <c r="B40" s="14">
        <v>35</v>
      </c>
      <c r="C40" s="15" t="s">
        <v>503</v>
      </c>
      <c r="D40" s="9" t="s">
        <v>215</v>
      </c>
      <c r="E40" s="16" t="s">
        <v>19</v>
      </c>
      <c r="F40" s="16"/>
      <c r="G40"/>
    </row>
    <row r="41" spans="2:7" x14ac:dyDescent="0.3">
      <c r="B41" s="14">
        <v>36</v>
      </c>
      <c r="C41" s="15" t="s">
        <v>504</v>
      </c>
      <c r="D41" s="9" t="s">
        <v>215</v>
      </c>
      <c r="E41" s="16" t="s">
        <v>19</v>
      </c>
      <c r="F41" s="16"/>
      <c r="G41"/>
    </row>
    <row r="42" spans="2:7" x14ac:dyDescent="0.3">
      <c r="B42" s="14">
        <v>37</v>
      </c>
      <c r="C42" s="15" t="s">
        <v>505</v>
      </c>
      <c r="D42" s="9" t="s">
        <v>215</v>
      </c>
      <c r="E42" s="16" t="s">
        <v>19</v>
      </c>
      <c r="F42" s="16"/>
      <c r="G42"/>
    </row>
    <row r="43" spans="2:7" x14ac:dyDescent="0.3">
      <c r="B43" s="14">
        <v>38</v>
      </c>
      <c r="C43" s="15" t="s">
        <v>506</v>
      </c>
      <c r="D43" s="9" t="s">
        <v>215</v>
      </c>
      <c r="E43" s="16" t="s">
        <v>19</v>
      </c>
      <c r="F43" s="16"/>
      <c r="G43"/>
    </row>
    <row r="44" spans="2:7" x14ac:dyDescent="0.3">
      <c r="B44" s="14">
        <v>39</v>
      </c>
      <c r="C44" s="15" t="s">
        <v>507</v>
      </c>
      <c r="D44" s="9" t="s">
        <v>215</v>
      </c>
      <c r="E44" s="16" t="s">
        <v>19</v>
      </c>
      <c r="F44" s="16"/>
      <c r="G44"/>
    </row>
    <row r="45" spans="2:7" x14ac:dyDescent="0.3">
      <c r="B45" s="14">
        <v>40</v>
      </c>
      <c r="C45" s="15" t="s">
        <v>508</v>
      </c>
      <c r="D45" s="9" t="s">
        <v>215</v>
      </c>
      <c r="E45" s="16" t="s">
        <v>19</v>
      </c>
      <c r="F45" s="16"/>
      <c r="G45"/>
    </row>
    <row r="46" spans="2:7" x14ac:dyDescent="0.3">
      <c r="B46" s="14">
        <v>41</v>
      </c>
      <c r="C46" s="15" t="s">
        <v>509</v>
      </c>
      <c r="D46" s="9" t="s">
        <v>215</v>
      </c>
      <c r="E46" s="16" t="s">
        <v>19</v>
      </c>
      <c r="F46" s="16"/>
      <c r="G46"/>
    </row>
    <row r="47" spans="2:7" x14ac:dyDescent="0.3">
      <c r="B47" s="14">
        <v>42</v>
      </c>
      <c r="C47" s="15" t="s">
        <v>510</v>
      </c>
      <c r="D47" s="9" t="s">
        <v>215</v>
      </c>
      <c r="E47" s="16" t="s">
        <v>19</v>
      </c>
      <c r="F47" s="16"/>
      <c r="G47"/>
    </row>
    <row r="48" spans="2:7" x14ac:dyDescent="0.3">
      <c r="B48" s="14">
        <v>43</v>
      </c>
      <c r="C48" s="15" t="s">
        <v>511</v>
      </c>
      <c r="D48" s="9" t="s">
        <v>215</v>
      </c>
      <c r="E48" s="16" t="s">
        <v>19</v>
      </c>
      <c r="F48" s="16"/>
      <c r="G48"/>
    </row>
    <row r="49" spans="2:7" x14ac:dyDescent="0.3">
      <c r="B49" s="14">
        <v>44</v>
      </c>
      <c r="C49" s="15" t="s">
        <v>512</v>
      </c>
      <c r="D49" s="9" t="s">
        <v>216</v>
      </c>
      <c r="E49" s="16" t="s">
        <v>20</v>
      </c>
      <c r="F49" s="16"/>
      <c r="G49"/>
    </row>
    <row r="50" spans="2:7" x14ac:dyDescent="0.3">
      <c r="B50" s="14">
        <v>45</v>
      </c>
      <c r="C50" s="15" t="s">
        <v>513</v>
      </c>
      <c r="D50" s="9" t="s">
        <v>215</v>
      </c>
      <c r="E50" s="16" t="s">
        <v>20</v>
      </c>
      <c r="F50" s="16"/>
      <c r="G50"/>
    </row>
    <row r="51" spans="2:7" x14ac:dyDescent="0.3">
      <c r="B51" s="14">
        <v>46</v>
      </c>
      <c r="C51" s="15" t="s">
        <v>514</v>
      </c>
      <c r="D51" s="9" t="s">
        <v>255</v>
      </c>
      <c r="E51" s="9" t="s">
        <v>255</v>
      </c>
      <c r="F51" s="16"/>
      <c r="G51"/>
    </row>
    <row r="52" spans="2:7" x14ac:dyDescent="0.3">
      <c r="B52" s="14">
        <v>47</v>
      </c>
      <c r="C52" s="15"/>
      <c r="D52" s="9"/>
      <c r="E52" s="16"/>
      <c r="F52" s="16"/>
      <c r="G52"/>
    </row>
    <row r="53" spans="2:7" x14ac:dyDescent="0.3">
      <c r="B53" s="14">
        <v>48</v>
      </c>
      <c r="C53" s="15"/>
      <c r="D53" s="9"/>
      <c r="E53" s="16"/>
      <c r="F53" s="16"/>
      <c r="G53"/>
    </row>
    <row r="54" spans="2:7" x14ac:dyDescent="0.3">
      <c r="B54" s="14">
        <v>49</v>
      </c>
      <c r="C54" s="15"/>
      <c r="D54" s="9"/>
      <c r="E54" s="16"/>
      <c r="F54" s="16"/>
      <c r="G54"/>
    </row>
    <row r="55" spans="2:7" x14ac:dyDescent="0.3">
      <c r="B55" s="14">
        <v>50</v>
      </c>
      <c r="C55" s="15"/>
      <c r="D55" s="9"/>
      <c r="E55" s="16"/>
      <c r="F55" s="16"/>
      <c r="G55"/>
    </row>
    <row r="56" spans="2:7" x14ac:dyDescent="0.3">
      <c r="B56" s="14">
        <v>51</v>
      </c>
      <c r="C56" s="15"/>
      <c r="D56" s="9"/>
      <c r="E56" s="16"/>
      <c r="F56" s="16"/>
      <c r="G56"/>
    </row>
    <row r="57" spans="2:7" x14ac:dyDescent="0.3">
      <c r="B57" s="14">
        <v>52</v>
      </c>
      <c r="C57" s="15"/>
      <c r="D57" s="9"/>
      <c r="E57" s="16"/>
      <c r="F57" s="16"/>
      <c r="G57"/>
    </row>
    <row r="58" spans="2:7" x14ac:dyDescent="0.3">
      <c r="B58" s="14">
        <v>53</v>
      </c>
      <c r="C58" s="15"/>
      <c r="D58" s="9"/>
      <c r="E58" s="16"/>
      <c r="F58" s="16"/>
      <c r="G58"/>
    </row>
    <row r="59" spans="2:7" x14ac:dyDescent="0.3">
      <c r="B59" s="14">
        <v>54</v>
      </c>
      <c r="C59" s="15"/>
      <c r="D59" s="9"/>
      <c r="E59" s="16"/>
      <c r="F59" s="16"/>
      <c r="G59"/>
    </row>
    <row r="60" spans="2:7" x14ac:dyDescent="0.3">
      <c r="B60" s="14">
        <v>55</v>
      </c>
      <c r="C60" s="15"/>
      <c r="D60" s="9"/>
      <c r="E60" s="16"/>
      <c r="F60" s="16"/>
      <c r="G60"/>
    </row>
    <row r="61" spans="2:7" x14ac:dyDescent="0.3">
      <c r="B61" s="14">
        <v>56</v>
      </c>
      <c r="C61" s="15"/>
      <c r="D61" s="9"/>
      <c r="E61" s="16"/>
      <c r="F61" s="16"/>
      <c r="G61"/>
    </row>
    <row r="62" spans="2:7" x14ac:dyDescent="0.3">
      <c r="B62" s="14">
        <v>57</v>
      </c>
      <c r="C62" s="15"/>
      <c r="D62" s="9"/>
      <c r="E62" s="16"/>
      <c r="F62" s="16"/>
      <c r="G62"/>
    </row>
    <row r="63" spans="2:7" x14ac:dyDescent="0.3">
      <c r="B63" s="14">
        <v>58</v>
      </c>
      <c r="C63" s="15"/>
      <c r="D63" s="9"/>
      <c r="E63" s="16"/>
      <c r="F63" s="16"/>
      <c r="G63"/>
    </row>
    <row r="64" spans="2:7" x14ac:dyDescent="0.3">
      <c r="B64" s="14">
        <v>59</v>
      </c>
      <c r="C64" s="15"/>
      <c r="D64" s="9"/>
      <c r="E64" s="16"/>
      <c r="F64" s="16"/>
      <c r="G64"/>
    </row>
    <row r="65" spans="2:7" x14ac:dyDescent="0.3">
      <c r="B65" s="14">
        <v>60</v>
      </c>
      <c r="C65" s="15"/>
      <c r="D65" s="9"/>
      <c r="E65" s="16"/>
      <c r="F65" s="16"/>
      <c r="G65"/>
    </row>
    <row r="66" spans="2:7" x14ac:dyDescent="0.3">
      <c r="B66" s="14">
        <v>61</v>
      </c>
      <c r="C66" s="15"/>
      <c r="D66" s="9"/>
      <c r="E66" s="16"/>
      <c r="F66" s="16"/>
      <c r="G66"/>
    </row>
    <row r="67" spans="2:7" x14ac:dyDescent="0.3">
      <c r="B67" s="14">
        <v>62</v>
      </c>
      <c r="C67" s="15"/>
      <c r="D67" s="9"/>
      <c r="E67" s="16"/>
      <c r="F67" s="16"/>
      <c r="G67"/>
    </row>
    <row r="68" spans="2:7" x14ac:dyDescent="0.3">
      <c r="B68" s="14">
        <v>63</v>
      </c>
      <c r="C68" s="15"/>
      <c r="D68" s="9"/>
      <c r="E68" s="16"/>
      <c r="F68" s="16"/>
      <c r="G68"/>
    </row>
    <row r="69" spans="2:7" x14ac:dyDescent="0.3">
      <c r="B69" s="14">
        <v>64</v>
      </c>
      <c r="C69" s="15"/>
      <c r="D69" s="9"/>
      <c r="E69" s="16"/>
      <c r="F69" s="16"/>
      <c r="G69"/>
    </row>
    <row r="70" spans="2:7" x14ac:dyDescent="0.3">
      <c r="B70" s="14">
        <v>65</v>
      </c>
      <c r="C70" s="15"/>
      <c r="D70" s="9"/>
      <c r="E70" s="16"/>
      <c r="F70" s="16"/>
      <c r="G70"/>
    </row>
    <row r="71" spans="2:7" x14ac:dyDescent="0.3">
      <c r="B71" s="14">
        <v>66</v>
      </c>
      <c r="C71" s="15"/>
      <c r="D71" s="9"/>
      <c r="E71" s="16"/>
      <c r="F71" s="16"/>
      <c r="G71"/>
    </row>
    <row r="72" spans="2:7" x14ac:dyDescent="0.3">
      <c r="B72" s="14">
        <v>67</v>
      </c>
      <c r="C72" s="15"/>
      <c r="D72" s="9"/>
      <c r="E72" s="16"/>
      <c r="F72" s="16"/>
      <c r="G72"/>
    </row>
    <row r="73" spans="2:7" x14ac:dyDescent="0.3">
      <c r="B73" s="14">
        <v>68</v>
      </c>
      <c r="C73" s="15"/>
      <c r="D73" s="9"/>
      <c r="E73" s="16"/>
      <c r="F73" s="16"/>
      <c r="G73"/>
    </row>
    <row r="74" spans="2:7" x14ac:dyDescent="0.3">
      <c r="B74" s="14">
        <v>69</v>
      </c>
      <c r="C74" s="15"/>
      <c r="D74" s="9"/>
      <c r="E74" s="16"/>
      <c r="F74" s="16"/>
      <c r="G74"/>
    </row>
    <row r="75" spans="2:7" x14ac:dyDescent="0.3">
      <c r="B75" s="14">
        <v>70</v>
      </c>
      <c r="C75" s="15"/>
      <c r="D75" s="9"/>
      <c r="E75" s="16"/>
      <c r="F75" s="16"/>
      <c r="G75"/>
    </row>
    <row r="76" spans="2:7" x14ac:dyDescent="0.3">
      <c r="B76" s="14">
        <v>71</v>
      </c>
      <c r="C76" s="15"/>
      <c r="D76" s="9"/>
      <c r="E76" s="16"/>
      <c r="F76" s="16"/>
      <c r="G76"/>
    </row>
    <row r="77" spans="2:7" x14ac:dyDescent="0.3">
      <c r="B77" s="14">
        <v>72</v>
      </c>
      <c r="C77" s="15"/>
      <c r="D77" s="9"/>
      <c r="E77" s="16"/>
      <c r="F77" s="16"/>
      <c r="G77"/>
    </row>
    <row r="78" spans="2:7" x14ac:dyDescent="0.3">
      <c r="B78" s="14">
        <v>73</v>
      </c>
      <c r="C78" s="15"/>
      <c r="D78" s="9"/>
      <c r="E78" s="16"/>
      <c r="F78" s="16"/>
      <c r="G78"/>
    </row>
    <row r="79" spans="2:7" x14ac:dyDescent="0.3">
      <c r="B79" s="14">
        <v>74</v>
      </c>
      <c r="C79" s="15"/>
      <c r="D79" s="9"/>
      <c r="E79" s="16"/>
      <c r="F79" s="16"/>
      <c r="G79"/>
    </row>
    <row r="80" spans="2:7" x14ac:dyDescent="0.3">
      <c r="B80" s="14">
        <v>75</v>
      </c>
      <c r="C80" s="15"/>
      <c r="D80" s="9"/>
      <c r="E80" s="16"/>
      <c r="F80" s="16"/>
      <c r="G80"/>
    </row>
    <row r="81" spans="2:7" x14ac:dyDescent="0.3">
      <c r="B81" s="14">
        <v>76</v>
      </c>
      <c r="C81" s="15"/>
      <c r="D81" s="9"/>
      <c r="E81" s="16"/>
      <c r="F81" s="16"/>
      <c r="G81"/>
    </row>
    <row r="82" spans="2:7" x14ac:dyDescent="0.3">
      <c r="B82" s="14">
        <v>77</v>
      </c>
      <c r="C82" s="15"/>
      <c r="D82" s="9"/>
      <c r="E82" s="16"/>
      <c r="F82" s="16"/>
      <c r="G82"/>
    </row>
    <row r="83" spans="2:7" x14ac:dyDescent="0.3">
      <c r="B83" s="14">
        <v>78</v>
      </c>
      <c r="C83" s="15"/>
      <c r="D83" s="9"/>
      <c r="E83" s="16"/>
      <c r="F83" s="16"/>
      <c r="G83"/>
    </row>
    <row r="84" spans="2:7" x14ac:dyDescent="0.3">
      <c r="B84" s="14">
        <v>79</v>
      </c>
      <c r="C84" s="15"/>
      <c r="D84" s="9"/>
      <c r="E84" s="16"/>
      <c r="F84" s="16"/>
      <c r="G84"/>
    </row>
    <row r="85" spans="2:7" x14ac:dyDescent="0.3">
      <c r="B85" s="14">
        <v>80</v>
      </c>
      <c r="C85" s="15"/>
      <c r="D85" s="9"/>
      <c r="E85" s="16"/>
      <c r="F85" s="16"/>
      <c r="G85"/>
    </row>
    <row r="86" spans="2:7" x14ac:dyDescent="0.3">
      <c r="B86" s="14">
        <v>81</v>
      </c>
      <c r="C86" s="15"/>
      <c r="D86" s="9"/>
      <c r="E86" s="16"/>
      <c r="F86" s="16"/>
      <c r="G86"/>
    </row>
    <row r="87" spans="2:7" x14ac:dyDescent="0.3">
      <c r="B87" s="14">
        <v>82</v>
      </c>
      <c r="C87" s="15"/>
      <c r="D87" s="9"/>
      <c r="E87" s="16"/>
      <c r="F87" s="16"/>
      <c r="G87"/>
    </row>
    <row r="88" spans="2:7" x14ac:dyDescent="0.3">
      <c r="B88" s="14">
        <v>83</v>
      </c>
      <c r="C88" s="15"/>
      <c r="D88" s="9"/>
      <c r="E88" s="16"/>
      <c r="F88" s="16"/>
      <c r="G88"/>
    </row>
    <row r="89" spans="2:7" x14ac:dyDescent="0.3">
      <c r="B89" s="14">
        <v>84</v>
      </c>
      <c r="C89" s="15"/>
      <c r="D89" s="9"/>
      <c r="E89" s="16"/>
      <c r="F89" s="16"/>
      <c r="G89"/>
    </row>
    <row r="90" spans="2:7" x14ac:dyDescent="0.3">
      <c r="B90" s="14">
        <v>85</v>
      </c>
      <c r="C90" s="15"/>
      <c r="D90" s="9"/>
      <c r="E90" s="16"/>
      <c r="F90" s="16"/>
      <c r="G90"/>
    </row>
    <row r="91" spans="2:7" x14ac:dyDescent="0.3">
      <c r="B91" s="14">
        <v>86</v>
      </c>
      <c r="C91" s="15"/>
      <c r="D91" s="9"/>
      <c r="E91" s="16"/>
      <c r="F91" s="16"/>
      <c r="G91"/>
    </row>
    <row r="92" spans="2:7" x14ac:dyDescent="0.3">
      <c r="B92" s="14">
        <v>87</v>
      </c>
      <c r="C92" s="15"/>
      <c r="D92" s="9"/>
      <c r="E92" s="16"/>
      <c r="F92" s="16"/>
      <c r="G92"/>
    </row>
    <row r="93" spans="2:7" x14ac:dyDescent="0.3">
      <c r="B93" s="14">
        <v>88</v>
      </c>
      <c r="C93" s="15"/>
      <c r="D93" s="9"/>
      <c r="E93" s="16"/>
      <c r="F93" s="16"/>
      <c r="G93"/>
    </row>
    <row r="94" spans="2:7" x14ac:dyDescent="0.3">
      <c r="B94" s="14">
        <v>89</v>
      </c>
      <c r="C94" s="15"/>
      <c r="D94" s="9"/>
      <c r="E94" s="16"/>
      <c r="F94" s="16"/>
      <c r="G94"/>
    </row>
    <row r="95" spans="2:7" x14ac:dyDescent="0.3">
      <c r="B95" s="14">
        <v>90</v>
      </c>
      <c r="C95" s="15"/>
      <c r="D95" s="9"/>
      <c r="E95" s="16"/>
      <c r="F95" s="16"/>
      <c r="G95"/>
    </row>
    <row r="96" spans="2:7" x14ac:dyDescent="0.3">
      <c r="B96" s="14">
        <v>91</v>
      </c>
      <c r="C96" s="15"/>
      <c r="D96" s="9"/>
      <c r="E96" s="16"/>
      <c r="F96" s="16"/>
      <c r="G96"/>
    </row>
    <row r="97" spans="2:7" x14ac:dyDescent="0.3">
      <c r="B97" s="14">
        <v>92</v>
      </c>
      <c r="C97" s="15"/>
      <c r="D97" s="9"/>
      <c r="E97" s="16"/>
      <c r="F97" s="16"/>
      <c r="G97"/>
    </row>
    <row r="98" spans="2:7" x14ac:dyDescent="0.3">
      <c r="B98" s="14">
        <v>93</v>
      </c>
      <c r="C98" s="15"/>
      <c r="D98" s="9"/>
      <c r="E98" s="16"/>
      <c r="F98" s="16"/>
      <c r="G98"/>
    </row>
    <row r="99" spans="2:7" x14ac:dyDescent="0.3">
      <c r="B99" s="14">
        <v>94</v>
      </c>
      <c r="C99" s="15"/>
      <c r="D99" s="9"/>
      <c r="E99" s="16"/>
      <c r="F99" s="16"/>
      <c r="G99"/>
    </row>
    <row r="100" spans="2:7" x14ac:dyDescent="0.3">
      <c r="B100" s="14">
        <v>95</v>
      </c>
      <c r="C100" s="15"/>
      <c r="D100" s="9"/>
      <c r="E100" s="16"/>
      <c r="F100" s="16"/>
      <c r="G100"/>
    </row>
    <row r="101" spans="2:7" x14ac:dyDescent="0.3">
      <c r="B101" s="14">
        <v>96</v>
      </c>
      <c r="C101" s="15"/>
      <c r="D101" s="9"/>
      <c r="E101" s="16"/>
      <c r="F101" s="16"/>
      <c r="G101"/>
    </row>
    <row r="102" spans="2:7" x14ac:dyDescent="0.3">
      <c r="B102" s="14">
        <v>97</v>
      </c>
      <c r="C102" s="15"/>
      <c r="D102" s="9"/>
      <c r="E102" s="16"/>
      <c r="F102" s="16"/>
      <c r="G102"/>
    </row>
    <row r="103" spans="2:7" x14ac:dyDescent="0.3">
      <c r="B103" s="14">
        <v>98</v>
      </c>
      <c r="C103" s="15"/>
      <c r="D103" s="9"/>
      <c r="E103" s="16"/>
      <c r="F103" s="16"/>
      <c r="G103"/>
    </row>
    <row r="104" spans="2:7" x14ac:dyDescent="0.3">
      <c r="B104" s="14">
        <v>99</v>
      </c>
      <c r="C104" s="15"/>
      <c r="D104" s="9"/>
      <c r="E104" s="16"/>
      <c r="F104" s="16"/>
      <c r="G104"/>
    </row>
    <row r="105" spans="2:7" x14ac:dyDescent="0.3">
      <c r="B105" s="14">
        <v>100</v>
      </c>
      <c r="C105" s="15"/>
      <c r="D105" s="9"/>
      <c r="E105" s="16"/>
      <c r="F105" s="16"/>
      <c r="G105"/>
    </row>
    <row r="106" spans="2:7" x14ac:dyDescent="0.3">
      <c r="B106" s="14">
        <v>101</v>
      </c>
      <c r="C106" s="15"/>
      <c r="D106" s="9"/>
      <c r="E106" s="16"/>
      <c r="F106" s="16"/>
      <c r="G106"/>
    </row>
    <row r="107" spans="2:7" x14ac:dyDescent="0.3">
      <c r="B107" s="14">
        <v>102</v>
      </c>
      <c r="C107" s="15"/>
      <c r="D107" s="9"/>
      <c r="E107" s="16"/>
      <c r="F107" s="16"/>
      <c r="G107"/>
    </row>
    <row r="108" spans="2:7" x14ac:dyDescent="0.3">
      <c r="B108" s="14">
        <v>103</v>
      </c>
      <c r="C108" s="15"/>
      <c r="D108" s="9"/>
      <c r="E108" s="16"/>
      <c r="F108" s="16"/>
      <c r="G108"/>
    </row>
    <row r="109" spans="2:7" x14ac:dyDescent="0.3">
      <c r="B109" s="14">
        <v>104</v>
      </c>
      <c r="C109" s="15"/>
      <c r="D109" s="9"/>
      <c r="E109" s="16"/>
      <c r="F109" s="16"/>
      <c r="G109"/>
    </row>
    <row r="110" spans="2:7" x14ac:dyDescent="0.3">
      <c r="B110" s="14">
        <v>105</v>
      </c>
      <c r="C110" s="15"/>
      <c r="D110" s="9"/>
      <c r="E110" s="16"/>
      <c r="F110" s="16"/>
      <c r="G110"/>
    </row>
    <row r="111" spans="2:7" x14ac:dyDescent="0.3">
      <c r="B111" s="14">
        <v>106</v>
      </c>
      <c r="C111" s="15"/>
      <c r="D111" s="9"/>
      <c r="E111" s="16"/>
      <c r="F111" s="16"/>
      <c r="G111"/>
    </row>
    <row r="112" spans="2:7" x14ac:dyDescent="0.3">
      <c r="B112" s="14">
        <v>107</v>
      </c>
      <c r="C112" s="15"/>
      <c r="D112" s="9"/>
      <c r="E112" s="16"/>
      <c r="F112" s="16"/>
      <c r="G112"/>
    </row>
    <row r="113" spans="2:7" x14ac:dyDescent="0.3">
      <c r="B113" s="14">
        <v>108</v>
      </c>
      <c r="C113" s="15"/>
      <c r="D113" s="9"/>
      <c r="E113" s="16"/>
      <c r="F113" s="16"/>
      <c r="G113"/>
    </row>
    <row r="114" spans="2:7" x14ac:dyDescent="0.3">
      <c r="B114" s="14">
        <v>109</v>
      </c>
      <c r="C114" s="15"/>
      <c r="D114" s="9"/>
      <c r="E114" s="16"/>
      <c r="F114" s="16"/>
      <c r="G114"/>
    </row>
    <row r="115" spans="2:7" x14ac:dyDescent="0.3">
      <c r="B115" s="14">
        <v>110</v>
      </c>
      <c r="C115" s="15"/>
      <c r="D115" s="9"/>
      <c r="E115" s="16"/>
      <c r="F115" s="16"/>
      <c r="G115"/>
    </row>
    <row r="116" spans="2:7" x14ac:dyDescent="0.3">
      <c r="B116" s="14">
        <v>111</v>
      </c>
      <c r="C116" s="15"/>
      <c r="D116" s="9"/>
      <c r="E116" s="16"/>
      <c r="F116" s="16"/>
      <c r="G116"/>
    </row>
    <row r="117" spans="2:7" x14ac:dyDescent="0.3">
      <c r="B117" s="14">
        <v>112</v>
      </c>
      <c r="C117" s="15"/>
      <c r="D117" s="9"/>
      <c r="E117" s="16"/>
      <c r="F117" s="16"/>
      <c r="G117"/>
    </row>
    <row r="118" spans="2:7" x14ac:dyDescent="0.3">
      <c r="B118" s="14">
        <v>113</v>
      </c>
      <c r="C118" s="15"/>
      <c r="D118" s="9"/>
      <c r="E118" s="16"/>
      <c r="F118" s="16"/>
      <c r="G118"/>
    </row>
    <row r="119" spans="2:7" x14ac:dyDescent="0.3">
      <c r="B119" s="14">
        <v>114</v>
      </c>
      <c r="C119" s="15"/>
      <c r="D119" s="9"/>
      <c r="E119" s="16"/>
      <c r="F119" s="16"/>
      <c r="G119"/>
    </row>
    <row r="120" spans="2:7" x14ac:dyDescent="0.3">
      <c r="B120" s="14">
        <v>115</v>
      </c>
      <c r="C120" s="15"/>
      <c r="D120" s="9"/>
      <c r="E120" s="16"/>
      <c r="F120" s="16"/>
      <c r="G120"/>
    </row>
    <row r="121" spans="2:7" x14ac:dyDescent="0.3">
      <c r="B121" s="14">
        <v>116</v>
      </c>
      <c r="C121" s="15"/>
      <c r="D121" s="9"/>
      <c r="E121" s="16"/>
      <c r="F121" s="16"/>
      <c r="G121"/>
    </row>
    <row r="122" spans="2:7" x14ac:dyDescent="0.3">
      <c r="B122" s="14">
        <v>117</v>
      </c>
      <c r="C122" s="15"/>
      <c r="D122" s="9"/>
      <c r="E122" s="16"/>
      <c r="F122" s="16"/>
      <c r="G122"/>
    </row>
    <row r="123" spans="2:7" x14ac:dyDescent="0.3">
      <c r="B123" s="14">
        <v>118</v>
      </c>
      <c r="C123" s="15"/>
      <c r="D123" s="9"/>
      <c r="E123" s="16"/>
      <c r="F123" s="16"/>
      <c r="G123"/>
    </row>
    <row r="124" spans="2:7" x14ac:dyDescent="0.3">
      <c r="B124" s="14">
        <v>119</v>
      </c>
      <c r="C124" s="15"/>
      <c r="D124" s="9"/>
      <c r="E124" s="16"/>
      <c r="F124" s="16"/>
      <c r="G124"/>
    </row>
    <row r="125" spans="2:7" x14ac:dyDescent="0.3">
      <c r="B125" s="14">
        <v>120</v>
      </c>
      <c r="C125" s="15"/>
      <c r="D125" s="9"/>
      <c r="E125" s="16"/>
      <c r="F125" s="16"/>
      <c r="G125"/>
    </row>
    <row r="126" spans="2:7" x14ac:dyDescent="0.3">
      <c r="B126" s="14">
        <v>121</v>
      </c>
      <c r="C126" s="15"/>
      <c r="D126" s="9"/>
      <c r="E126" s="16"/>
      <c r="F126" s="16"/>
      <c r="G126"/>
    </row>
    <row r="127" spans="2:7" x14ac:dyDescent="0.3">
      <c r="B127" s="14">
        <v>122</v>
      </c>
      <c r="C127" s="15"/>
      <c r="D127" s="9"/>
      <c r="E127" s="16"/>
      <c r="F127" s="16"/>
      <c r="G127"/>
    </row>
    <row r="128" spans="2:7" x14ac:dyDescent="0.3">
      <c r="B128" s="14">
        <v>123</v>
      </c>
      <c r="C128" s="15"/>
      <c r="D128" s="9"/>
      <c r="E128" s="16"/>
      <c r="F128" s="16"/>
      <c r="G128"/>
    </row>
    <row r="129" spans="2:7" x14ac:dyDescent="0.3">
      <c r="B129" s="14">
        <v>124</v>
      </c>
      <c r="C129" s="15"/>
      <c r="D129" s="9"/>
      <c r="E129" s="16"/>
      <c r="F129" s="16"/>
      <c r="G129"/>
    </row>
    <row r="130" spans="2:7" x14ac:dyDescent="0.3">
      <c r="B130" s="14">
        <v>125</v>
      </c>
      <c r="C130" s="15"/>
      <c r="D130" s="9"/>
      <c r="E130" s="16"/>
      <c r="F130" s="16"/>
      <c r="G130"/>
    </row>
    <row r="131" spans="2:7" x14ac:dyDescent="0.3">
      <c r="B131" s="14">
        <v>126</v>
      </c>
      <c r="C131" s="15"/>
      <c r="D131" s="9"/>
      <c r="E131" s="16"/>
      <c r="F131" s="16"/>
      <c r="G131"/>
    </row>
    <row r="132" spans="2:7" x14ac:dyDescent="0.3">
      <c r="B132" s="14">
        <v>127</v>
      </c>
      <c r="C132" s="15"/>
      <c r="D132" s="9"/>
      <c r="E132" s="16"/>
      <c r="F132" s="16"/>
      <c r="G132"/>
    </row>
    <row r="133" spans="2:7" x14ac:dyDescent="0.3">
      <c r="B133" s="14">
        <v>128</v>
      </c>
      <c r="C133" s="15"/>
      <c r="D133" s="9"/>
      <c r="E133" s="16"/>
      <c r="F133" s="16"/>
      <c r="G133"/>
    </row>
    <row r="134" spans="2:7" x14ac:dyDescent="0.3">
      <c r="B134" s="14">
        <v>129</v>
      </c>
      <c r="C134" s="15"/>
      <c r="D134" s="9"/>
      <c r="E134" s="16"/>
      <c r="F134" s="16"/>
      <c r="G134"/>
    </row>
    <row r="135" spans="2:7" x14ac:dyDescent="0.3">
      <c r="B135" s="14">
        <v>130</v>
      </c>
      <c r="C135" s="15"/>
      <c r="D135" s="9"/>
      <c r="E135" s="16"/>
      <c r="F135" s="16"/>
      <c r="G135"/>
    </row>
    <row r="136" spans="2:7" x14ac:dyDescent="0.3">
      <c r="B136" s="14">
        <v>131</v>
      </c>
      <c r="C136" s="15"/>
      <c r="D136" s="9"/>
      <c r="E136" s="16"/>
      <c r="F136" s="16"/>
      <c r="G136"/>
    </row>
    <row r="137" spans="2:7" x14ac:dyDescent="0.3">
      <c r="B137" s="14">
        <v>132</v>
      </c>
      <c r="C137" s="15"/>
      <c r="D137" s="9"/>
      <c r="E137" s="16"/>
      <c r="F137" s="16"/>
      <c r="G137"/>
    </row>
    <row r="138" spans="2:7" x14ac:dyDescent="0.3">
      <c r="B138" s="14">
        <v>133</v>
      </c>
      <c r="C138" s="15"/>
      <c r="D138" s="9"/>
      <c r="E138" s="16"/>
      <c r="F138" s="16"/>
      <c r="G138"/>
    </row>
    <row r="139" spans="2:7" x14ac:dyDescent="0.3">
      <c r="B139" s="14">
        <v>134</v>
      </c>
      <c r="C139" s="15"/>
      <c r="D139" s="9"/>
      <c r="E139" s="16"/>
      <c r="F139" s="16"/>
      <c r="G139"/>
    </row>
    <row r="140" spans="2:7" x14ac:dyDescent="0.3">
      <c r="B140" s="14">
        <v>135</v>
      </c>
      <c r="C140" s="15"/>
      <c r="D140" s="9"/>
      <c r="E140" s="16"/>
      <c r="F140" s="16"/>
      <c r="G140"/>
    </row>
    <row r="141" spans="2:7" x14ac:dyDescent="0.3">
      <c r="B141" s="14">
        <v>136</v>
      </c>
      <c r="C141" s="15"/>
      <c r="D141" s="9"/>
      <c r="E141" s="16"/>
      <c r="F141" s="16"/>
      <c r="G141"/>
    </row>
    <row r="142" spans="2:7" x14ac:dyDescent="0.3">
      <c r="B142" s="14">
        <v>137</v>
      </c>
      <c r="C142" s="15"/>
      <c r="D142" s="9"/>
      <c r="E142" s="16"/>
      <c r="F142" s="16"/>
      <c r="G142"/>
    </row>
    <row r="143" spans="2:7" x14ac:dyDescent="0.3">
      <c r="B143" s="14">
        <v>138</v>
      </c>
      <c r="C143" s="15"/>
      <c r="D143" s="9"/>
      <c r="E143" s="16"/>
      <c r="F143" s="16"/>
      <c r="G143"/>
    </row>
    <row r="144" spans="2:7" x14ac:dyDescent="0.3">
      <c r="B144" s="14">
        <v>139</v>
      </c>
      <c r="C144" s="15"/>
      <c r="D144" s="9"/>
      <c r="E144" s="16"/>
      <c r="F144" s="16"/>
      <c r="G144"/>
    </row>
    <row r="145" spans="2:7" x14ac:dyDescent="0.3">
      <c r="B145" s="14">
        <v>140</v>
      </c>
      <c r="C145" s="15"/>
      <c r="D145" s="9"/>
      <c r="E145" s="16"/>
      <c r="F145" s="16"/>
      <c r="G145"/>
    </row>
    <row r="146" spans="2:7" x14ac:dyDescent="0.3">
      <c r="B146" s="14">
        <v>141</v>
      </c>
      <c r="C146" s="15"/>
      <c r="D146" s="9"/>
      <c r="E146" s="16"/>
      <c r="F146" s="16"/>
      <c r="G146"/>
    </row>
    <row r="147" spans="2:7" x14ac:dyDescent="0.3">
      <c r="B147" s="14">
        <v>142</v>
      </c>
      <c r="C147" s="15"/>
      <c r="D147" s="9"/>
      <c r="E147" s="16"/>
      <c r="F147" s="16"/>
      <c r="G147"/>
    </row>
    <row r="148" spans="2:7" x14ac:dyDescent="0.3">
      <c r="B148" s="14">
        <v>143</v>
      </c>
      <c r="C148" s="15"/>
      <c r="D148" s="9"/>
      <c r="E148" s="16"/>
      <c r="F148" s="16"/>
      <c r="G148"/>
    </row>
    <row r="149" spans="2:7" x14ac:dyDescent="0.3">
      <c r="B149" s="14">
        <v>144</v>
      </c>
      <c r="C149" s="15"/>
      <c r="D149" s="9"/>
      <c r="E149" s="16"/>
      <c r="F149" s="16"/>
      <c r="G149"/>
    </row>
    <row r="150" spans="2:7" x14ac:dyDescent="0.3">
      <c r="B150" s="14">
        <v>145</v>
      </c>
      <c r="C150" s="15"/>
      <c r="D150" s="9"/>
      <c r="E150" s="16"/>
      <c r="F150" s="16"/>
      <c r="G150"/>
    </row>
    <row r="151" spans="2:7" x14ac:dyDescent="0.3">
      <c r="B151" s="14">
        <v>146</v>
      </c>
      <c r="C151" s="15"/>
      <c r="D151" s="9"/>
      <c r="E151" s="16"/>
      <c r="F151" s="16"/>
      <c r="G151"/>
    </row>
    <row r="152" spans="2:7" x14ac:dyDescent="0.3">
      <c r="B152" s="14">
        <v>147</v>
      </c>
      <c r="C152" s="15"/>
      <c r="D152" s="9"/>
      <c r="E152" s="16"/>
      <c r="F152" s="16"/>
      <c r="G152"/>
    </row>
    <row r="153" spans="2:7" x14ac:dyDescent="0.3">
      <c r="B153" s="14">
        <v>148</v>
      </c>
      <c r="C153" s="15"/>
      <c r="D153" s="9"/>
      <c r="E153" s="16"/>
      <c r="F153" s="16"/>
      <c r="G153"/>
    </row>
    <row r="154" spans="2:7" x14ac:dyDescent="0.3">
      <c r="B154" s="14">
        <v>149</v>
      </c>
      <c r="C154" s="15"/>
      <c r="D154" s="9"/>
      <c r="E154" s="16"/>
      <c r="F154" s="16"/>
      <c r="G154"/>
    </row>
    <row r="155" spans="2:7" x14ac:dyDescent="0.3">
      <c r="B155" s="14">
        <v>150</v>
      </c>
      <c r="C155" s="15"/>
      <c r="D155" s="9"/>
      <c r="E155" s="16"/>
      <c r="F155" s="16"/>
      <c r="G155"/>
    </row>
    <row r="156" spans="2:7" x14ac:dyDescent="0.3">
      <c r="B156" s="14">
        <v>151</v>
      </c>
      <c r="C156" s="15"/>
      <c r="D156" s="9"/>
      <c r="E156" s="16"/>
      <c r="F156" s="16"/>
      <c r="G156"/>
    </row>
    <row r="157" spans="2:7" x14ac:dyDescent="0.3">
      <c r="B157" s="14">
        <v>152</v>
      </c>
      <c r="C157" s="15"/>
      <c r="D157" s="9"/>
      <c r="E157" s="16"/>
      <c r="F157" s="16"/>
      <c r="G157"/>
    </row>
    <row r="158" spans="2:7" x14ac:dyDescent="0.3">
      <c r="B158" s="14">
        <v>153</v>
      </c>
      <c r="C158" s="15"/>
      <c r="D158" s="9"/>
      <c r="E158" s="16"/>
      <c r="F158" s="16"/>
      <c r="G158"/>
    </row>
    <row r="159" spans="2:7" x14ac:dyDescent="0.3">
      <c r="B159" s="14">
        <v>154</v>
      </c>
      <c r="C159" s="15"/>
      <c r="D159" s="9"/>
      <c r="E159" s="16"/>
      <c r="F159" s="16"/>
      <c r="G159"/>
    </row>
    <row r="160" spans="2:7" x14ac:dyDescent="0.3">
      <c r="B160" s="14">
        <v>155</v>
      </c>
      <c r="C160" s="15"/>
      <c r="D160" s="9"/>
      <c r="E160" s="16"/>
      <c r="F160" s="16"/>
      <c r="G160"/>
    </row>
    <row r="161" spans="2:7" x14ac:dyDescent="0.3">
      <c r="B161" s="14">
        <v>156</v>
      </c>
      <c r="C161" s="15"/>
      <c r="D161" s="9"/>
      <c r="E161" s="16"/>
      <c r="F161" s="16"/>
      <c r="G161"/>
    </row>
    <row r="162" spans="2:7" x14ac:dyDescent="0.3">
      <c r="B162" s="14">
        <v>157</v>
      </c>
      <c r="C162" s="15"/>
      <c r="D162" s="9"/>
      <c r="E162" s="16"/>
      <c r="F162" s="16"/>
      <c r="G162"/>
    </row>
    <row r="163" spans="2:7" x14ac:dyDescent="0.3">
      <c r="B163" s="14">
        <v>158</v>
      </c>
      <c r="C163" s="15"/>
      <c r="D163" s="9"/>
      <c r="E163" s="16"/>
      <c r="F163" s="16"/>
      <c r="G163"/>
    </row>
    <row r="164" spans="2:7" x14ac:dyDescent="0.3">
      <c r="B164" s="14">
        <v>159</v>
      </c>
      <c r="C164" s="15"/>
      <c r="D164" s="9"/>
      <c r="E164" s="16"/>
      <c r="F164" s="16"/>
      <c r="G164"/>
    </row>
    <row r="165" spans="2:7" x14ac:dyDescent="0.3">
      <c r="B165" s="14">
        <v>160</v>
      </c>
      <c r="C165" s="15"/>
      <c r="D165" s="9"/>
      <c r="E165" s="16"/>
      <c r="F165" s="16"/>
      <c r="G165"/>
    </row>
    <row r="166" spans="2:7" x14ac:dyDescent="0.3">
      <c r="B166" s="14">
        <v>161</v>
      </c>
      <c r="C166" s="15"/>
      <c r="D166" s="9"/>
      <c r="E166" s="16"/>
      <c r="F166" s="16"/>
      <c r="G166"/>
    </row>
    <row r="167" spans="2:7" x14ac:dyDescent="0.3">
      <c r="B167" s="14">
        <v>162</v>
      </c>
      <c r="C167" s="15"/>
      <c r="D167" s="9"/>
      <c r="E167" s="16"/>
      <c r="F167" s="16"/>
      <c r="G167"/>
    </row>
    <row r="168" spans="2:7" x14ac:dyDescent="0.3">
      <c r="B168" s="14">
        <v>163</v>
      </c>
      <c r="C168" s="15"/>
      <c r="D168" s="9"/>
      <c r="E168" s="16"/>
      <c r="F168" s="16"/>
      <c r="G168"/>
    </row>
    <row r="169" spans="2:7" x14ac:dyDescent="0.3">
      <c r="B169" s="14">
        <v>164</v>
      </c>
      <c r="C169" s="15"/>
      <c r="D169" s="9"/>
      <c r="E169" s="16"/>
      <c r="F169" s="16"/>
      <c r="G169"/>
    </row>
    <row r="170" spans="2:7" x14ac:dyDescent="0.3">
      <c r="B170" s="14">
        <v>165</v>
      </c>
      <c r="C170" s="15"/>
      <c r="D170" s="9"/>
      <c r="E170" s="16"/>
      <c r="F170" s="16"/>
      <c r="G170"/>
    </row>
    <row r="171" spans="2:7" x14ac:dyDescent="0.3">
      <c r="B171" s="14">
        <v>166</v>
      </c>
      <c r="C171" s="15"/>
      <c r="D171" s="9"/>
      <c r="E171" s="16"/>
      <c r="F171" s="16"/>
      <c r="G171"/>
    </row>
    <row r="172" spans="2:7" x14ac:dyDescent="0.3">
      <c r="B172" s="14">
        <v>167</v>
      </c>
      <c r="C172" s="15"/>
      <c r="D172" s="9"/>
      <c r="E172" s="16"/>
      <c r="F172" s="16"/>
      <c r="G172"/>
    </row>
    <row r="173" spans="2:7" x14ac:dyDescent="0.3">
      <c r="B173" s="14">
        <v>168</v>
      </c>
      <c r="C173" s="15"/>
      <c r="D173" s="9"/>
      <c r="E173" s="16"/>
      <c r="F173" s="16"/>
      <c r="G173"/>
    </row>
    <row r="174" spans="2:7" x14ac:dyDescent="0.3">
      <c r="B174" s="14">
        <v>169</v>
      </c>
      <c r="C174" s="15"/>
      <c r="D174" s="9"/>
      <c r="E174" s="16"/>
      <c r="F174" s="16"/>
      <c r="G174"/>
    </row>
    <row r="175" spans="2:7" x14ac:dyDescent="0.3">
      <c r="B175" s="14">
        <v>170</v>
      </c>
      <c r="C175" s="15"/>
      <c r="D175" s="9"/>
      <c r="E175" s="16"/>
      <c r="F175" s="16"/>
      <c r="G175"/>
    </row>
    <row r="176" spans="2:7" x14ac:dyDescent="0.3">
      <c r="B176" s="14">
        <v>171</v>
      </c>
      <c r="C176" s="15"/>
      <c r="D176" s="9"/>
      <c r="E176" s="16"/>
      <c r="F176" s="16"/>
      <c r="G176"/>
    </row>
    <row r="177" spans="2:7" x14ac:dyDescent="0.3">
      <c r="B177" s="14">
        <v>172</v>
      </c>
      <c r="C177" s="15"/>
      <c r="D177" s="9"/>
      <c r="E177" s="16"/>
      <c r="F177" s="16"/>
      <c r="G177"/>
    </row>
    <row r="178" spans="2:7" x14ac:dyDescent="0.3">
      <c r="B178" s="14">
        <v>173</v>
      </c>
      <c r="C178" s="15"/>
      <c r="D178" s="9"/>
      <c r="E178" s="16"/>
      <c r="F178" s="16"/>
      <c r="G178"/>
    </row>
    <row r="179" spans="2:7" x14ac:dyDescent="0.3">
      <c r="B179" s="14">
        <v>174</v>
      </c>
      <c r="C179" s="15"/>
      <c r="D179" s="9"/>
      <c r="E179" s="16"/>
      <c r="F179" s="16"/>
      <c r="G179"/>
    </row>
    <row r="180" spans="2:7" x14ac:dyDescent="0.3">
      <c r="B180" s="14">
        <v>175</v>
      </c>
      <c r="C180" s="15"/>
      <c r="D180" s="9"/>
      <c r="E180" s="16"/>
      <c r="F180" s="16"/>
      <c r="G180"/>
    </row>
    <row r="181" spans="2:7" x14ac:dyDescent="0.3">
      <c r="B181" s="14">
        <v>176</v>
      </c>
      <c r="C181" s="15"/>
      <c r="D181" s="9"/>
      <c r="E181" s="16"/>
      <c r="F181" s="16"/>
      <c r="G181"/>
    </row>
    <row r="182" spans="2:7" x14ac:dyDescent="0.3">
      <c r="B182" s="14">
        <v>177</v>
      </c>
      <c r="C182" s="15"/>
      <c r="D182" s="9"/>
      <c r="E182" s="16"/>
      <c r="F182" s="16"/>
      <c r="G182"/>
    </row>
    <row r="183" spans="2:7" x14ac:dyDescent="0.3">
      <c r="B183" s="14">
        <v>178</v>
      </c>
      <c r="C183" s="15"/>
      <c r="D183" s="9"/>
      <c r="E183" s="16"/>
      <c r="F183" s="16"/>
      <c r="G183"/>
    </row>
    <row r="184" spans="2:7" x14ac:dyDescent="0.3">
      <c r="B184" s="14">
        <v>179</v>
      </c>
      <c r="C184" s="15"/>
      <c r="D184" s="9"/>
      <c r="E184" s="16"/>
      <c r="F184" s="16"/>
      <c r="G184"/>
    </row>
    <row r="185" spans="2:7" x14ac:dyDescent="0.3">
      <c r="B185" s="14">
        <v>180</v>
      </c>
      <c r="C185" s="15"/>
      <c r="D185" s="9"/>
      <c r="E185" s="16"/>
      <c r="F185" s="16"/>
      <c r="G185"/>
    </row>
    <row r="186" spans="2:7" x14ac:dyDescent="0.3">
      <c r="B186" s="14">
        <v>181</v>
      </c>
      <c r="C186" s="15"/>
      <c r="D186" s="9"/>
      <c r="E186" s="16"/>
      <c r="F186" s="16"/>
      <c r="G186"/>
    </row>
    <row r="187" spans="2:7" x14ac:dyDescent="0.3">
      <c r="B187" s="14">
        <v>182</v>
      </c>
      <c r="C187" s="15"/>
      <c r="D187" s="9"/>
      <c r="E187" s="16"/>
      <c r="F187" s="16"/>
      <c r="G187"/>
    </row>
    <row r="188" spans="2:7" x14ac:dyDescent="0.3">
      <c r="B188" s="14">
        <v>183</v>
      </c>
      <c r="C188" s="15"/>
      <c r="D188" s="9"/>
      <c r="E188" s="16"/>
      <c r="F188" s="16"/>
      <c r="G188"/>
    </row>
    <row r="189" spans="2:7" x14ac:dyDescent="0.3">
      <c r="B189" s="14">
        <v>184</v>
      </c>
      <c r="C189" s="15"/>
      <c r="D189" s="9"/>
      <c r="E189" s="16"/>
      <c r="F189" s="16"/>
      <c r="G189"/>
    </row>
    <row r="190" spans="2:7" x14ac:dyDescent="0.3">
      <c r="B190" s="14">
        <v>185</v>
      </c>
      <c r="C190" s="15"/>
      <c r="D190" s="9"/>
      <c r="E190" s="16"/>
      <c r="F190" s="16"/>
      <c r="G190"/>
    </row>
    <row r="191" spans="2:7" x14ac:dyDescent="0.3">
      <c r="B191" s="14">
        <v>186</v>
      </c>
      <c r="C191" s="15"/>
      <c r="D191" s="9"/>
      <c r="E191" s="16"/>
      <c r="F191" s="16"/>
      <c r="G191"/>
    </row>
    <row r="192" spans="2:7" x14ac:dyDescent="0.3">
      <c r="B192" s="14">
        <v>187</v>
      </c>
      <c r="C192" s="15"/>
      <c r="D192" s="9"/>
      <c r="E192" s="16"/>
      <c r="F192" s="16"/>
      <c r="G192"/>
    </row>
    <row r="193" spans="2:7" x14ac:dyDescent="0.3">
      <c r="B193" s="14">
        <v>188</v>
      </c>
      <c r="C193" s="15"/>
      <c r="D193" s="9"/>
      <c r="E193" s="16"/>
      <c r="F193" s="16"/>
      <c r="G193"/>
    </row>
    <row r="194" spans="2:7" x14ac:dyDescent="0.3">
      <c r="B194" s="14">
        <v>189</v>
      </c>
      <c r="C194" s="15"/>
      <c r="D194" s="9"/>
      <c r="E194" s="16"/>
      <c r="F194" s="16"/>
      <c r="G194"/>
    </row>
    <row r="195" spans="2:7" x14ac:dyDescent="0.3">
      <c r="B195" s="14">
        <v>190</v>
      </c>
      <c r="C195" s="15"/>
      <c r="D195" s="9"/>
      <c r="E195" s="16"/>
      <c r="F195" s="16"/>
      <c r="G195"/>
    </row>
    <row r="196" spans="2:7" x14ac:dyDescent="0.3">
      <c r="B196" s="14">
        <v>191</v>
      </c>
      <c r="C196" s="15"/>
      <c r="D196" s="9"/>
      <c r="E196" s="16"/>
      <c r="F196" s="16"/>
      <c r="G196"/>
    </row>
    <row r="197" spans="2:7" x14ac:dyDescent="0.3">
      <c r="B197" s="14">
        <v>192</v>
      </c>
      <c r="C197" s="15"/>
      <c r="D197" s="9"/>
      <c r="E197" s="16"/>
      <c r="F197" s="16"/>
      <c r="G197"/>
    </row>
    <row r="198" spans="2:7" x14ac:dyDescent="0.3">
      <c r="B198" s="14">
        <v>193</v>
      </c>
      <c r="C198" s="15"/>
      <c r="D198" s="9"/>
      <c r="E198" s="16"/>
      <c r="F198" s="16"/>
      <c r="G198"/>
    </row>
    <row r="199" spans="2:7" x14ac:dyDescent="0.3">
      <c r="B199" s="14">
        <v>194</v>
      </c>
      <c r="C199" s="15"/>
      <c r="D199" s="9"/>
      <c r="E199" s="16"/>
      <c r="F199" s="16"/>
      <c r="G199"/>
    </row>
    <row r="200" spans="2:7" x14ac:dyDescent="0.3">
      <c r="B200" s="14">
        <v>195</v>
      </c>
      <c r="C200" s="15"/>
      <c r="D200" s="9"/>
      <c r="E200" s="16"/>
      <c r="F200" s="16"/>
      <c r="G200"/>
    </row>
    <row r="201" spans="2:7" x14ac:dyDescent="0.3">
      <c r="B201" s="14">
        <v>196</v>
      </c>
      <c r="C201" s="15"/>
      <c r="D201" s="9"/>
      <c r="E201" s="16"/>
      <c r="F201" s="16"/>
      <c r="G201"/>
    </row>
    <row r="202" spans="2:7" x14ac:dyDescent="0.3">
      <c r="B202" s="14">
        <v>197</v>
      </c>
      <c r="C202" s="15"/>
      <c r="D202" s="9"/>
      <c r="E202" s="16"/>
      <c r="F202" s="16"/>
      <c r="G202"/>
    </row>
    <row r="203" spans="2:7" x14ac:dyDescent="0.3">
      <c r="B203" s="14">
        <v>198</v>
      </c>
      <c r="C203" s="15"/>
      <c r="D203" s="9"/>
      <c r="E203" s="16"/>
      <c r="F203" s="16"/>
      <c r="G203"/>
    </row>
    <row r="204" spans="2:7" x14ac:dyDescent="0.3">
      <c r="B204" s="14">
        <v>199</v>
      </c>
      <c r="C204" s="15"/>
      <c r="D204" s="9"/>
      <c r="E204" s="16"/>
      <c r="F204" s="16"/>
      <c r="G204"/>
    </row>
    <row r="205" spans="2:7" x14ac:dyDescent="0.3">
      <c r="B205" s="14">
        <v>200</v>
      </c>
      <c r="C205" s="15"/>
      <c r="D205" s="9"/>
      <c r="E205" s="16"/>
      <c r="F205" s="16"/>
      <c r="G205"/>
    </row>
    <row r="206" spans="2:7" x14ac:dyDescent="0.3">
      <c r="B206" s="14">
        <v>201</v>
      </c>
      <c r="C206" s="15"/>
      <c r="D206" s="9"/>
      <c r="E206" s="16"/>
      <c r="F206" s="16"/>
      <c r="G206"/>
    </row>
    <row r="207" spans="2:7" x14ac:dyDescent="0.3">
      <c r="B207" s="14">
        <v>202</v>
      </c>
      <c r="C207" s="15"/>
      <c r="D207" s="9"/>
      <c r="E207" s="16"/>
      <c r="F207" s="16"/>
      <c r="G207"/>
    </row>
    <row r="208" spans="2:7" x14ac:dyDescent="0.3">
      <c r="B208" s="14">
        <v>203</v>
      </c>
      <c r="C208" s="15"/>
      <c r="D208" s="9"/>
      <c r="E208" s="16"/>
      <c r="F208" s="16"/>
      <c r="G208"/>
    </row>
    <row r="209" spans="2:7" x14ac:dyDescent="0.3">
      <c r="B209" s="14">
        <v>204</v>
      </c>
      <c r="C209" s="15"/>
      <c r="D209" s="9"/>
      <c r="E209" s="16"/>
      <c r="F209" s="16"/>
      <c r="G209"/>
    </row>
    <row r="210" spans="2:7" x14ac:dyDescent="0.3">
      <c r="B210" s="14">
        <v>205</v>
      </c>
      <c r="C210" s="15"/>
      <c r="D210" s="9"/>
      <c r="E210" s="16"/>
      <c r="F210" s="16"/>
      <c r="G210"/>
    </row>
    <row r="211" spans="2:7" x14ac:dyDescent="0.3">
      <c r="B211" s="14">
        <v>206</v>
      </c>
      <c r="C211" s="15"/>
      <c r="D211" s="9"/>
      <c r="E211" s="16"/>
      <c r="F211" s="16"/>
      <c r="G211"/>
    </row>
    <row r="212" spans="2:7" x14ac:dyDescent="0.3">
      <c r="B212" s="14">
        <v>207</v>
      </c>
      <c r="C212" s="15"/>
      <c r="D212" s="9"/>
      <c r="E212" s="16"/>
      <c r="F212" s="16"/>
      <c r="G212"/>
    </row>
    <row r="213" spans="2:7" x14ac:dyDescent="0.3">
      <c r="B213" s="14">
        <v>208</v>
      </c>
      <c r="C213" s="15"/>
      <c r="D213" s="9"/>
      <c r="E213" s="16"/>
      <c r="F213" s="16"/>
      <c r="G213"/>
    </row>
    <row r="214" spans="2:7" x14ac:dyDescent="0.3">
      <c r="B214" s="14">
        <v>209</v>
      </c>
      <c r="C214" s="15"/>
      <c r="D214" s="9"/>
      <c r="E214" s="16"/>
      <c r="F214" s="16"/>
      <c r="G214"/>
    </row>
    <row r="215" spans="2:7" x14ac:dyDescent="0.3">
      <c r="B215" s="14">
        <v>210</v>
      </c>
      <c r="C215" s="15"/>
      <c r="D215" s="9"/>
      <c r="E215" s="16"/>
      <c r="F215" s="16"/>
      <c r="G215"/>
    </row>
    <row r="216" spans="2:7" x14ac:dyDescent="0.3">
      <c r="B216" s="14">
        <v>211</v>
      </c>
      <c r="C216" s="15"/>
      <c r="D216" s="9"/>
      <c r="E216" s="16"/>
      <c r="F216" s="16"/>
      <c r="G216"/>
    </row>
    <row r="217" spans="2:7" x14ac:dyDescent="0.3">
      <c r="B217" s="14">
        <v>212</v>
      </c>
      <c r="C217" s="15"/>
      <c r="D217" s="9"/>
      <c r="E217" s="16"/>
      <c r="F217" s="16"/>
      <c r="G217"/>
    </row>
    <row r="218" spans="2:7" x14ac:dyDescent="0.3">
      <c r="B218" s="14">
        <v>213</v>
      </c>
      <c r="C218" s="15"/>
      <c r="D218" s="9"/>
      <c r="E218" s="16"/>
      <c r="F218" s="16"/>
      <c r="G218"/>
    </row>
    <row r="219" spans="2:7" x14ac:dyDescent="0.3">
      <c r="B219" s="14">
        <v>214</v>
      </c>
      <c r="C219" s="15"/>
      <c r="D219" s="9"/>
      <c r="E219" s="16"/>
      <c r="F219" s="16"/>
      <c r="G219"/>
    </row>
    <row r="220" spans="2:7" x14ac:dyDescent="0.3">
      <c r="B220" s="14">
        <v>215</v>
      </c>
      <c r="C220" s="15"/>
      <c r="D220" s="9"/>
      <c r="E220" s="16"/>
      <c r="F220" s="16"/>
      <c r="G220"/>
    </row>
    <row r="221" spans="2:7" x14ac:dyDescent="0.3">
      <c r="B221" s="14">
        <v>216</v>
      </c>
      <c r="C221" s="15"/>
      <c r="D221" s="9"/>
      <c r="E221" s="16"/>
      <c r="F221" s="16"/>
      <c r="G221"/>
    </row>
    <row r="222" spans="2:7" x14ac:dyDescent="0.3">
      <c r="B222" s="14">
        <v>217</v>
      </c>
      <c r="C222" s="15"/>
      <c r="D222" s="9"/>
      <c r="E222" s="16"/>
      <c r="F222" s="16"/>
      <c r="G222"/>
    </row>
    <row r="223" spans="2:7" x14ac:dyDescent="0.3">
      <c r="B223" s="14">
        <v>218</v>
      </c>
      <c r="C223" s="15"/>
      <c r="D223" s="9"/>
      <c r="E223" s="16"/>
      <c r="F223" s="16"/>
      <c r="G223"/>
    </row>
    <row r="224" spans="2:7" x14ac:dyDescent="0.3">
      <c r="B224" s="14">
        <v>219</v>
      </c>
      <c r="C224" s="15"/>
      <c r="D224" s="9"/>
      <c r="E224" s="16"/>
      <c r="F224" s="16"/>
      <c r="G224"/>
    </row>
    <row r="225" spans="2:7" x14ac:dyDescent="0.3">
      <c r="B225" s="14">
        <v>220</v>
      </c>
      <c r="C225" s="15"/>
      <c r="D225" s="9"/>
      <c r="E225" s="16"/>
      <c r="F225" s="16"/>
      <c r="G225"/>
    </row>
    <row r="226" spans="2:7" x14ac:dyDescent="0.3">
      <c r="B226" s="14">
        <v>221</v>
      </c>
      <c r="C226" s="15"/>
      <c r="D226" s="9"/>
      <c r="E226" s="16"/>
      <c r="F226" s="16"/>
      <c r="G226"/>
    </row>
    <row r="227" spans="2:7" x14ac:dyDescent="0.3">
      <c r="B227" s="14">
        <v>222</v>
      </c>
      <c r="C227" s="15"/>
      <c r="D227" s="9"/>
      <c r="E227" s="16"/>
      <c r="F227" s="16"/>
      <c r="G227"/>
    </row>
    <row r="228" spans="2:7" x14ac:dyDescent="0.3">
      <c r="B228" s="14">
        <v>223</v>
      </c>
      <c r="C228" s="15"/>
      <c r="D228" s="9"/>
      <c r="E228" s="16"/>
      <c r="F228" s="16"/>
      <c r="G228"/>
    </row>
    <row r="229" spans="2:7" x14ac:dyDescent="0.3">
      <c r="B229" s="14">
        <v>224</v>
      </c>
      <c r="C229" s="15"/>
      <c r="D229" s="9"/>
      <c r="E229" s="16"/>
      <c r="F229" s="16"/>
      <c r="G229"/>
    </row>
    <row r="230" spans="2:7" x14ac:dyDescent="0.3">
      <c r="B230" s="14">
        <v>225</v>
      </c>
      <c r="C230" s="15"/>
      <c r="D230" s="9"/>
      <c r="E230" s="16"/>
      <c r="F230" s="16"/>
      <c r="G230"/>
    </row>
    <row r="231" spans="2:7" x14ac:dyDescent="0.3">
      <c r="B231" s="14">
        <v>226</v>
      </c>
      <c r="C231" s="15"/>
      <c r="D231" s="9"/>
      <c r="E231" s="16"/>
      <c r="F231" s="16"/>
      <c r="G231"/>
    </row>
    <row r="232" spans="2:7" x14ac:dyDescent="0.3">
      <c r="B232" s="14">
        <v>227</v>
      </c>
      <c r="C232" s="15"/>
      <c r="D232" s="9"/>
      <c r="E232" s="16"/>
      <c r="F232" s="16"/>
      <c r="G232"/>
    </row>
    <row r="233" spans="2:7" x14ac:dyDescent="0.3">
      <c r="B233" s="14">
        <v>228</v>
      </c>
      <c r="C233" s="15"/>
      <c r="D233" s="9"/>
      <c r="E233" s="16"/>
      <c r="F233" s="16"/>
      <c r="G233"/>
    </row>
    <row r="234" spans="2:7" x14ac:dyDescent="0.3">
      <c r="B234" s="14">
        <v>229</v>
      </c>
      <c r="C234" s="15"/>
      <c r="D234" s="9"/>
      <c r="E234" s="16"/>
      <c r="F234" s="16"/>
      <c r="G234"/>
    </row>
    <row r="235" spans="2:7" x14ac:dyDescent="0.3">
      <c r="B235" s="14">
        <v>230</v>
      </c>
      <c r="C235" s="15"/>
      <c r="D235" s="9"/>
      <c r="E235" s="16"/>
      <c r="F235" s="16"/>
      <c r="G235"/>
    </row>
    <row r="236" spans="2:7" x14ac:dyDescent="0.3">
      <c r="B236" s="14">
        <v>231</v>
      </c>
      <c r="C236" s="15"/>
      <c r="D236" s="9"/>
      <c r="E236" s="16"/>
      <c r="F236" s="16"/>
      <c r="G236"/>
    </row>
    <row r="237" spans="2:7" x14ac:dyDescent="0.3">
      <c r="B237" s="14">
        <v>232</v>
      </c>
      <c r="C237" s="15"/>
      <c r="D237" s="9"/>
      <c r="E237" s="16"/>
      <c r="F237" s="16"/>
      <c r="G237"/>
    </row>
    <row r="238" spans="2:7" x14ac:dyDescent="0.3">
      <c r="B238" s="14">
        <v>233</v>
      </c>
      <c r="C238" s="15"/>
      <c r="D238" s="9"/>
      <c r="E238" s="16"/>
      <c r="F238" s="16"/>
      <c r="G238"/>
    </row>
    <row r="239" spans="2:7" x14ac:dyDescent="0.3">
      <c r="B239" s="14">
        <v>234</v>
      </c>
      <c r="C239" s="15"/>
      <c r="D239" s="9"/>
      <c r="E239" s="16"/>
      <c r="F239" s="16"/>
      <c r="G239"/>
    </row>
    <row r="240" spans="2:7" x14ac:dyDescent="0.3">
      <c r="B240" s="14">
        <v>235</v>
      </c>
      <c r="C240" s="15"/>
      <c r="D240" s="9"/>
      <c r="E240" s="16"/>
      <c r="F240" s="16"/>
      <c r="G240"/>
    </row>
    <row r="241" spans="2:7" x14ac:dyDescent="0.3">
      <c r="B241" s="14">
        <v>236</v>
      </c>
      <c r="C241" s="15"/>
      <c r="D241" s="9"/>
      <c r="E241" s="16"/>
      <c r="F241" s="16"/>
      <c r="G241"/>
    </row>
    <row r="242" spans="2:7" x14ac:dyDescent="0.3">
      <c r="B242" s="14">
        <v>237</v>
      </c>
      <c r="C242" s="15"/>
      <c r="D242" s="9"/>
      <c r="E242" s="16"/>
      <c r="F242" s="16"/>
      <c r="G242"/>
    </row>
    <row r="243" spans="2:7" x14ac:dyDescent="0.3">
      <c r="B243" s="14">
        <v>238</v>
      </c>
      <c r="C243" s="15"/>
      <c r="D243" s="9"/>
      <c r="E243" s="16"/>
      <c r="F243" s="16"/>
      <c r="G243"/>
    </row>
    <row r="244" spans="2:7" x14ac:dyDescent="0.3">
      <c r="B244" s="14">
        <v>239</v>
      </c>
      <c r="C244" s="15"/>
      <c r="D244" s="9"/>
      <c r="E244" s="16"/>
      <c r="F244" s="16"/>
      <c r="G244"/>
    </row>
    <row r="245" spans="2:7" x14ac:dyDescent="0.3">
      <c r="B245" s="14">
        <v>240</v>
      </c>
      <c r="C245" s="15"/>
      <c r="D245" s="9"/>
      <c r="E245" s="16"/>
      <c r="F245" s="16"/>
      <c r="G245"/>
    </row>
    <row r="246" spans="2:7" x14ac:dyDescent="0.3">
      <c r="B246" s="14">
        <v>241</v>
      </c>
      <c r="C246" s="15"/>
      <c r="D246" s="9"/>
      <c r="E246" s="16"/>
      <c r="F246" s="16"/>
      <c r="G246"/>
    </row>
    <row r="247" spans="2:7" x14ac:dyDescent="0.3">
      <c r="B247" s="14">
        <v>242</v>
      </c>
      <c r="C247" s="15"/>
      <c r="D247" s="9"/>
      <c r="E247" s="16"/>
      <c r="F247" s="16"/>
      <c r="G247"/>
    </row>
    <row r="248" spans="2:7" x14ac:dyDescent="0.3">
      <c r="B248" s="14">
        <v>243</v>
      </c>
      <c r="C248" s="15"/>
      <c r="D248" s="9"/>
      <c r="E248" s="16"/>
      <c r="F248" s="16"/>
      <c r="G248"/>
    </row>
    <row r="249" spans="2:7" x14ac:dyDescent="0.3">
      <c r="B249" s="14">
        <v>244</v>
      </c>
      <c r="C249" s="15"/>
      <c r="D249" s="9"/>
      <c r="E249" s="16"/>
      <c r="F249" s="16"/>
      <c r="G249"/>
    </row>
    <row r="250" spans="2:7" x14ac:dyDescent="0.3">
      <c r="B250" s="14">
        <v>245</v>
      </c>
      <c r="C250" s="15"/>
      <c r="D250" s="9"/>
      <c r="E250" s="16"/>
      <c r="F250" s="16"/>
      <c r="G250"/>
    </row>
    <row r="251" spans="2:7" x14ac:dyDescent="0.3">
      <c r="B251" s="14">
        <v>246</v>
      </c>
      <c r="C251" s="15"/>
      <c r="D251" s="9"/>
      <c r="E251" s="16"/>
      <c r="F251" s="16"/>
      <c r="G251"/>
    </row>
    <row r="252" spans="2:7" x14ac:dyDescent="0.3">
      <c r="B252" s="14">
        <v>247</v>
      </c>
      <c r="C252" s="15"/>
      <c r="D252" s="9"/>
      <c r="E252" s="16"/>
      <c r="F252" s="16"/>
      <c r="G252"/>
    </row>
    <row r="253" spans="2:7" x14ac:dyDescent="0.3">
      <c r="B253" s="14">
        <v>248</v>
      </c>
      <c r="C253" s="15"/>
      <c r="D253" s="9"/>
      <c r="E253" s="16"/>
      <c r="F253" s="16"/>
      <c r="G253"/>
    </row>
    <row r="254" spans="2:7" x14ac:dyDescent="0.3">
      <c r="B254" s="14">
        <v>249</v>
      </c>
      <c r="C254" s="15"/>
      <c r="D254" s="9"/>
      <c r="E254" s="16"/>
      <c r="F254" s="16"/>
      <c r="G254"/>
    </row>
    <row r="255" spans="2:7" x14ac:dyDescent="0.3">
      <c r="B255" s="14">
        <v>250</v>
      </c>
      <c r="C255" s="15"/>
      <c r="D255" s="9"/>
      <c r="E255" s="16"/>
      <c r="F255" s="16"/>
      <c r="G255"/>
    </row>
    <row r="256" spans="2:7" x14ac:dyDescent="0.3">
      <c r="B256" s="14">
        <v>251</v>
      </c>
      <c r="C256" s="15"/>
      <c r="D256" s="9"/>
      <c r="E256" s="16"/>
      <c r="F256" s="16"/>
      <c r="G256"/>
    </row>
    <row r="257" spans="2:7" x14ac:dyDescent="0.3">
      <c r="B257" s="14">
        <v>252</v>
      </c>
      <c r="C257" s="15"/>
      <c r="D257" s="9"/>
      <c r="E257" s="16"/>
      <c r="F257" s="16"/>
      <c r="G257"/>
    </row>
    <row r="258" spans="2:7" x14ac:dyDescent="0.3">
      <c r="B258" s="14">
        <v>253</v>
      </c>
      <c r="C258" s="15"/>
      <c r="D258" s="9"/>
      <c r="E258" s="16"/>
      <c r="F258" s="16"/>
      <c r="G258"/>
    </row>
    <row r="259" spans="2:7" x14ac:dyDescent="0.3">
      <c r="B259" s="14">
        <v>254</v>
      </c>
      <c r="C259" s="15"/>
      <c r="D259" s="9"/>
      <c r="E259" s="16"/>
      <c r="F259" s="16"/>
      <c r="G259"/>
    </row>
    <row r="260" spans="2:7" x14ac:dyDescent="0.3">
      <c r="B260" s="14">
        <v>255</v>
      </c>
      <c r="C260" s="15"/>
      <c r="D260" s="9"/>
      <c r="E260" s="16"/>
      <c r="F260" s="16"/>
      <c r="G260"/>
    </row>
    <row r="261" spans="2:7" x14ac:dyDescent="0.3">
      <c r="B261" s="14">
        <v>256</v>
      </c>
      <c r="C261" s="15"/>
      <c r="D261" s="9"/>
      <c r="E261" s="16"/>
      <c r="F261" s="16"/>
      <c r="G261"/>
    </row>
    <row r="262" spans="2:7" x14ac:dyDescent="0.3">
      <c r="B262" s="14">
        <v>257</v>
      </c>
      <c r="C262" s="15"/>
      <c r="D262" s="9"/>
      <c r="E262" s="16"/>
      <c r="F262" s="16"/>
      <c r="G262"/>
    </row>
    <row r="263" spans="2:7" x14ac:dyDescent="0.3">
      <c r="B263" s="14">
        <v>258</v>
      </c>
      <c r="C263" s="15"/>
      <c r="D263" s="9"/>
      <c r="E263" s="16"/>
      <c r="F263" s="16"/>
      <c r="G263"/>
    </row>
    <row r="264" spans="2:7" x14ac:dyDescent="0.3">
      <c r="B264" s="14">
        <v>259</v>
      </c>
      <c r="C264" s="15"/>
      <c r="D264" s="9"/>
      <c r="E264" s="16"/>
      <c r="F264" s="16"/>
      <c r="G264"/>
    </row>
    <row r="265" spans="2:7" x14ac:dyDescent="0.3">
      <c r="B265" s="14">
        <v>260</v>
      </c>
      <c r="C265" s="15"/>
      <c r="D265" s="9"/>
      <c r="E265" s="16"/>
      <c r="F265" s="16"/>
      <c r="G265"/>
    </row>
    <row r="266" spans="2:7" x14ac:dyDescent="0.3">
      <c r="B266" s="14">
        <v>261</v>
      </c>
      <c r="C266" s="15"/>
      <c r="D266" s="9"/>
      <c r="E266" s="16"/>
      <c r="F266" s="16"/>
      <c r="G266"/>
    </row>
    <row r="267" spans="2:7" x14ac:dyDescent="0.3">
      <c r="B267" s="14">
        <v>262</v>
      </c>
      <c r="C267" s="15"/>
      <c r="D267" s="9"/>
      <c r="E267" s="16"/>
      <c r="F267" s="16"/>
      <c r="G267"/>
    </row>
    <row r="268" spans="2:7" x14ac:dyDescent="0.3">
      <c r="B268" s="14">
        <v>263</v>
      </c>
      <c r="C268" s="15"/>
      <c r="D268" s="9"/>
      <c r="E268" s="16"/>
      <c r="F268" s="16"/>
      <c r="G268"/>
    </row>
    <row r="269" spans="2:7" x14ac:dyDescent="0.3">
      <c r="B269" s="14">
        <v>264</v>
      </c>
      <c r="C269" s="15"/>
      <c r="D269" s="9"/>
      <c r="E269" s="16"/>
      <c r="F269" s="16"/>
      <c r="G269"/>
    </row>
    <row r="270" spans="2:7" x14ac:dyDescent="0.3">
      <c r="B270" s="14">
        <v>265</v>
      </c>
      <c r="C270" s="15"/>
      <c r="D270" s="9"/>
      <c r="E270" s="16"/>
      <c r="F270" s="16"/>
      <c r="G270"/>
    </row>
    <row r="271" spans="2:7" x14ac:dyDescent="0.3">
      <c r="B271" s="14">
        <v>266</v>
      </c>
      <c r="C271" s="15"/>
      <c r="D271" s="9"/>
      <c r="E271" s="16"/>
      <c r="F271" s="16"/>
      <c r="G271"/>
    </row>
    <row r="272" spans="2:7" x14ac:dyDescent="0.3">
      <c r="B272" s="14">
        <v>267</v>
      </c>
      <c r="C272" s="15"/>
      <c r="D272" s="9"/>
      <c r="E272" s="16"/>
      <c r="F272" s="16"/>
      <c r="G272"/>
    </row>
    <row r="273" spans="2:7" x14ac:dyDescent="0.3">
      <c r="B273" s="14">
        <v>268</v>
      </c>
      <c r="C273" s="15"/>
      <c r="D273" s="9"/>
      <c r="E273" s="16"/>
      <c r="F273" s="16"/>
      <c r="G273"/>
    </row>
    <row r="274" spans="2:7" x14ac:dyDescent="0.3">
      <c r="B274" s="14">
        <v>269</v>
      </c>
      <c r="C274" s="15"/>
      <c r="D274" s="9"/>
      <c r="E274" s="16"/>
      <c r="F274" s="16"/>
      <c r="G274"/>
    </row>
    <row r="275" spans="2:7" x14ac:dyDescent="0.3">
      <c r="B275" s="14">
        <v>270</v>
      </c>
      <c r="C275" s="15"/>
      <c r="D275" s="9"/>
      <c r="E275" s="16"/>
      <c r="F275" s="16"/>
      <c r="G275"/>
    </row>
    <row r="276" spans="2:7" x14ac:dyDescent="0.3">
      <c r="B276" s="14">
        <v>271</v>
      </c>
      <c r="C276" s="15"/>
      <c r="D276" s="9"/>
      <c r="E276" s="16"/>
      <c r="F276" s="16"/>
      <c r="G276"/>
    </row>
    <row r="277" spans="2:7" x14ac:dyDescent="0.3">
      <c r="B277" s="14">
        <v>272</v>
      </c>
      <c r="C277" s="15"/>
      <c r="D277" s="9"/>
      <c r="E277" s="16"/>
      <c r="F277" s="16"/>
      <c r="G277"/>
    </row>
    <row r="278" spans="2:7" x14ac:dyDescent="0.3">
      <c r="B278" s="14">
        <v>273</v>
      </c>
      <c r="C278" s="15"/>
      <c r="D278" s="9"/>
      <c r="E278" s="16"/>
      <c r="F278" s="16"/>
      <c r="G278"/>
    </row>
    <row r="279" spans="2:7" x14ac:dyDescent="0.3">
      <c r="B279" s="14">
        <v>274</v>
      </c>
      <c r="C279" s="15"/>
      <c r="D279" s="9"/>
      <c r="E279" s="16"/>
      <c r="F279" s="16"/>
      <c r="G279"/>
    </row>
    <row r="280" spans="2:7" x14ac:dyDescent="0.3">
      <c r="B280" s="14">
        <v>275</v>
      </c>
      <c r="C280" s="15"/>
      <c r="D280" s="9"/>
      <c r="E280" s="16"/>
      <c r="F280" s="16"/>
      <c r="G280"/>
    </row>
    <row r="281" spans="2:7" x14ac:dyDescent="0.3">
      <c r="B281" s="14">
        <v>276</v>
      </c>
      <c r="C281" s="15"/>
      <c r="D281" s="9"/>
      <c r="E281" s="16"/>
      <c r="F281" s="16"/>
      <c r="G281"/>
    </row>
    <row r="282" spans="2:7" x14ac:dyDescent="0.3">
      <c r="B282" s="14">
        <v>277</v>
      </c>
      <c r="C282" s="15"/>
      <c r="D282" s="9"/>
      <c r="E282" s="16"/>
      <c r="F282" s="16"/>
      <c r="G282"/>
    </row>
    <row r="283" spans="2:7" x14ac:dyDescent="0.3">
      <c r="B283" s="14">
        <v>278</v>
      </c>
      <c r="C283" s="15"/>
      <c r="D283" s="9"/>
      <c r="E283" s="16"/>
      <c r="F283" s="16"/>
      <c r="G283"/>
    </row>
    <row r="284" spans="2:7" x14ac:dyDescent="0.3">
      <c r="B284" s="14">
        <v>279</v>
      </c>
      <c r="C284" s="15"/>
      <c r="D284" s="9"/>
      <c r="E284" s="16"/>
      <c r="F284" s="16"/>
      <c r="G284"/>
    </row>
    <row r="285" spans="2:7" x14ac:dyDescent="0.3">
      <c r="B285" s="14">
        <v>280</v>
      </c>
      <c r="C285" s="15"/>
      <c r="D285" s="9"/>
      <c r="E285" s="16"/>
      <c r="F285" s="16"/>
      <c r="G285"/>
    </row>
    <row r="286" spans="2:7" x14ac:dyDescent="0.3">
      <c r="B286" s="14">
        <v>281</v>
      </c>
      <c r="C286" s="15"/>
      <c r="D286" s="9"/>
      <c r="E286" s="16"/>
      <c r="F286" s="16"/>
      <c r="G286"/>
    </row>
    <row r="287" spans="2:7" x14ac:dyDescent="0.3">
      <c r="B287" s="14">
        <v>282</v>
      </c>
      <c r="C287" s="15"/>
      <c r="D287" s="9"/>
      <c r="E287" s="16"/>
      <c r="F287" s="16"/>
      <c r="G287"/>
    </row>
    <row r="288" spans="2:7" x14ac:dyDescent="0.3">
      <c r="B288" s="14">
        <v>283</v>
      </c>
      <c r="C288" s="15"/>
      <c r="D288" s="9"/>
      <c r="E288" s="16"/>
      <c r="F288" s="16"/>
      <c r="G288"/>
    </row>
    <row r="289" spans="2:7" x14ac:dyDescent="0.3">
      <c r="B289" s="14">
        <v>284</v>
      </c>
      <c r="C289" s="15"/>
      <c r="D289" s="9"/>
      <c r="E289" s="16"/>
      <c r="F289" s="16"/>
      <c r="G289"/>
    </row>
    <row r="290" spans="2:7" x14ac:dyDescent="0.3">
      <c r="B290" s="14">
        <v>285</v>
      </c>
      <c r="C290" s="15"/>
      <c r="D290" s="9"/>
      <c r="E290" s="16"/>
      <c r="F290" s="16"/>
      <c r="G290"/>
    </row>
    <row r="291" spans="2:7" x14ac:dyDescent="0.3">
      <c r="B291" s="14">
        <v>286</v>
      </c>
      <c r="C291" s="15"/>
      <c r="D291" s="9"/>
      <c r="E291" s="16"/>
      <c r="F291" s="16"/>
      <c r="G291"/>
    </row>
    <row r="292" spans="2:7" x14ac:dyDescent="0.3">
      <c r="B292" s="14">
        <v>287</v>
      </c>
      <c r="C292" s="15"/>
      <c r="D292" s="9"/>
      <c r="E292" s="16"/>
      <c r="F292" s="16"/>
      <c r="G292"/>
    </row>
    <row r="293" spans="2:7" x14ac:dyDescent="0.3">
      <c r="B293" s="14">
        <v>288</v>
      </c>
      <c r="C293" s="15"/>
      <c r="D293" s="9"/>
      <c r="E293" s="16"/>
      <c r="F293" s="16"/>
      <c r="G293"/>
    </row>
    <row r="294" spans="2:7" x14ac:dyDescent="0.3">
      <c r="B294" s="14">
        <v>289</v>
      </c>
      <c r="C294" s="15"/>
      <c r="D294" s="9"/>
      <c r="E294" s="16"/>
      <c r="F294" s="16"/>
      <c r="G294"/>
    </row>
    <row r="295" spans="2:7" x14ac:dyDescent="0.3">
      <c r="B295" s="14">
        <v>290</v>
      </c>
      <c r="C295" s="15"/>
      <c r="D295" s="9"/>
      <c r="E295" s="16"/>
      <c r="F295" s="16"/>
      <c r="G295"/>
    </row>
    <row r="296" spans="2:7" x14ac:dyDescent="0.3">
      <c r="B296" s="14">
        <v>291</v>
      </c>
      <c r="C296" s="15"/>
      <c r="D296" s="9"/>
      <c r="E296" s="16"/>
      <c r="F296" s="16"/>
      <c r="G296"/>
    </row>
    <row r="297" spans="2:7" x14ac:dyDescent="0.3">
      <c r="B297" s="14">
        <v>292</v>
      </c>
      <c r="C297" s="15"/>
      <c r="D297" s="9"/>
      <c r="E297" s="16"/>
      <c r="F297" s="16"/>
      <c r="G297"/>
    </row>
    <row r="298" spans="2:7" x14ac:dyDescent="0.3">
      <c r="B298" s="14">
        <v>293</v>
      </c>
      <c r="C298" s="15"/>
      <c r="D298" s="9"/>
      <c r="E298" s="16"/>
      <c r="F298" s="16"/>
      <c r="G298"/>
    </row>
    <row r="299" spans="2:7" x14ac:dyDescent="0.3">
      <c r="B299" s="14">
        <v>294</v>
      </c>
      <c r="C299" s="15"/>
      <c r="D299" s="9"/>
      <c r="E299" s="16"/>
      <c r="F299" s="16"/>
      <c r="G299"/>
    </row>
    <row r="300" spans="2:7" x14ac:dyDescent="0.3">
      <c r="B300" s="14">
        <v>295</v>
      </c>
      <c r="C300" s="15"/>
      <c r="D300" s="9"/>
      <c r="E300" s="16"/>
      <c r="F300" s="16"/>
      <c r="G300"/>
    </row>
    <row r="301" spans="2:7" x14ac:dyDescent="0.3">
      <c r="B301" s="14">
        <v>296</v>
      </c>
      <c r="C301" s="15"/>
      <c r="D301" s="9"/>
      <c r="E301" s="16"/>
      <c r="F301" s="16"/>
      <c r="G301"/>
    </row>
    <row r="302" spans="2:7" x14ac:dyDescent="0.3">
      <c r="B302" s="14">
        <v>297</v>
      </c>
      <c r="C302" s="15"/>
      <c r="D302" s="9"/>
      <c r="E302" s="16"/>
      <c r="F302" s="16"/>
      <c r="G302"/>
    </row>
    <row r="303" spans="2:7" x14ac:dyDescent="0.3">
      <c r="B303" s="14">
        <v>298</v>
      </c>
      <c r="C303" s="15"/>
      <c r="D303" s="9"/>
      <c r="E303" s="16"/>
      <c r="F303" s="16"/>
      <c r="G303"/>
    </row>
    <row r="304" spans="2:7" x14ac:dyDescent="0.3">
      <c r="B304" s="14">
        <v>299</v>
      </c>
      <c r="C304" s="15"/>
      <c r="D304" s="9"/>
      <c r="E304" s="16"/>
      <c r="F304" s="16"/>
      <c r="G304"/>
    </row>
    <row r="305" spans="2:7" x14ac:dyDescent="0.3">
      <c r="B305" s="17">
        <v>300</v>
      </c>
      <c r="C305" s="18"/>
      <c r="D305" s="19"/>
      <c r="E305" s="20"/>
      <c r="F305" s="20"/>
      <c r="G305"/>
    </row>
  </sheetData>
  <phoneticPr fontId="28" type="noConversion"/>
  <conditionalFormatting sqref="C1:C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193C5-084F-45AB-82BB-EF1237BDE29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26946ca-a5a1-4bdf-b1d1-84270136afeb}" enabled="1" method="Privileged" siteId="{10bfe07b-12fc-4c4c-a912-2a8b161354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الاعدادات</vt:lpstr>
      <vt:lpstr>لوحة التحكم</vt:lpstr>
      <vt:lpstr>دفتر اليومية</vt:lpstr>
      <vt:lpstr>رصيد العملاء</vt:lpstr>
      <vt:lpstr>Dashboard</vt:lpstr>
      <vt:lpstr>⁠حسابات عملاء</vt:lpstr>
      <vt:lpstr>حركة المخزن</vt:lpstr>
      <vt:lpstr>المشتريات</vt:lpstr>
      <vt:lpstr>تحليل مبيعات</vt:lpstr>
      <vt:lpstr>نتائج الاعمال شهري</vt:lpstr>
      <vt:lpstr>قائمة عملاء - موردين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 voce Esposa minha</dc:creator>
  <cp:lastModifiedBy>Abdelhamid Hamdy Abdelhamid</cp:lastModifiedBy>
  <dcterms:created xsi:type="dcterms:W3CDTF">2018-07-23T23:49:38Z</dcterms:created>
  <dcterms:modified xsi:type="dcterms:W3CDTF">2026-06-26T18:57:51Z</dcterms:modified>
</cp:coreProperties>
</file>